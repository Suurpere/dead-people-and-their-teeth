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iAnne\Desktop\"/>
    </mc:Choice>
  </mc:AlternateContent>
  <bookViews>
    <workbookView xWindow="0" yWindow="0" windowWidth="12405" windowHeight="8130"/>
  </bookViews>
  <sheets>
    <sheet name="Üld" sheetId="1" r:id="rId1"/>
    <sheet name="Kaaries" sheetId="3" r:id="rId2"/>
    <sheet name="Hambakivi" sheetId="5" r:id="rId3"/>
    <sheet name="AM-kaotatud" sheetId="6" r:id="rId4"/>
    <sheet name="Periap. tühimikud" sheetId="7" r:id="rId5"/>
    <sheet name="Taandumine" sheetId="10" r:id="rId6"/>
    <sheet name="Hammaste hüpoplaasia (HH)" sheetId="9" r:id="rId7"/>
    <sheet name="Patoloogiate esinemine" sheetId="11" r:id="rId8"/>
    <sheet name="Kaariese tugevus" sheetId="12" r:id="rId9"/>
    <sheet name="Kaariese asukoht" sheetId="14" r:id="rId10"/>
    <sheet name="Hambakivi asukoht" sheetId="15" r:id="rId11"/>
    <sheet name="Patoloogiad hammaste kaupa" sheetId="13" r:id="rId12"/>
  </sheets>
  <definedNames>
    <definedName name="_xlnm._FilterDatabase" localSheetId="3" hidden="1">'AM-kaotatud'!$A$3:$AS$259</definedName>
    <definedName name="_xlnm._FilterDatabase" localSheetId="2" hidden="1">Hambakivi!$A$1:$AP$259</definedName>
    <definedName name="_xlnm._FilterDatabase" localSheetId="6" hidden="1">'Hammaste hüpoplaasia (HH)'!$A$3:$AS$260</definedName>
    <definedName name="_xlnm._FilterDatabase" localSheetId="1" hidden="1">Kaaries!$A$3:$AQ$259</definedName>
    <definedName name="_xlnm._FilterDatabase" localSheetId="7" hidden="1">'Patoloogiate esinemine'!$A$1:$M$254</definedName>
    <definedName name="_xlnm._FilterDatabase" localSheetId="4" hidden="1">'Periap. tühimikud'!$A$1:$AU$259</definedName>
    <definedName name="_xlnm._FilterDatabase" localSheetId="5" hidden="1">Taandumine!$A$1:$G$253</definedName>
    <definedName name="_xlnm._FilterDatabase" localSheetId="0" hidden="1">Üld!$A$3:$CY$619</definedName>
  </definedNames>
  <calcPr calcId="152511"/>
</workbook>
</file>

<file path=xl/calcChain.xml><?xml version="1.0" encoding="utf-8"?>
<calcChain xmlns="http://schemas.openxmlformats.org/spreadsheetml/2006/main">
  <c r="AD256" i="9" l="1"/>
  <c r="AB256" i="9"/>
  <c r="N256" i="9"/>
  <c r="L256" i="9"/>
  <c r="AF256" i="9"/>
  <c r="AA256" i="9"/>
  <c r="P256" i="9"/>
  <c r="K256" i="9"/>
  <c r="AG256" i="9"/>
  <c r="Y256" i="9"/>
  <c r="Q256" i="9"/>
  <c r="I256" i="9"/>
  <c r="AI256" i="9"/>
  <c r="V256" i="9"/>
  <c r="S256" i="9"/>
  <c r="F256" i="9"/>
  <c r="AD256" i="7"/>
  <c r="AB256" i="7"/>
  <c r="N256" i="7"/>
  <c r="L256" i="7"/>
  <c r="AF256" i="7"/>
  <c r="AA256" i="7"/>
  <c r="P256" i="7"/>
  <c r="K256" i="7"/>
  <c r="AG256" i="7"/>
  <c r="Y256" i="7"/>
  <c r="Q256" i="7"/>
  <c r="I256" i="7"/>
  <c r="AI256" i="7"/>
  <c r="V256" i="7"/>
  <c r="S256" i="7"/>
  <c r="F256" i="7"/>
  <c r="AC256" i="3"/>
  <c r="AA256" i="3"/>
  <c r="M256" i="3"/>
  <c r="K256" i="3"/>
  <c r="AE256" i="3"/>
  <c r="Z256" i="3"/>
  <c r="O256" i="3"/>
  <c r="J256" i="3"/>
  <c r="AF256" i="3"/>
  <c r="X256" i="3"/>
  <c r="P256" i="3"/>
  <c r="H256" i="3"/>
  <c r="AH256" i="3"/>
  <c r="U256" i="3"/>
  <c r="R256" i="3"/>
  <c r="E256" i="3"/>
  <c r="AD256" i="6"/>
  <c r="N256" i="6"/>
  <c r="AB256" i="6"/>
  <c r="L256" i="6"/>
  <c r="AF256" i="6"/>
  <c r="AA256" i="6"/>
  <c r="P256" i="6"/>
  <c r="K256" i="6"/>
  <c r="AG256" i="6"/>
  <c r="Y256" i="6"/>
  <c r="Q256" i="6"/>
  <c r="I256" i="6"/>
  <c r="AI256" i="6"/>
  <c r="V256" i="6"/>
  <c r="S256" i="6"/>
  <c r="F256" i="6"/>
  <c r="AI289" i="15"/>
  <c r="AA289" i="15"/>
  <c r="S289" i="15"/>
  <c r="K289" i="15"/>
  <c r="AE287" i="15"/>
  <c r="W287" i="15"/>
  <c r="O287" i="15"/>
  <c r="G287" i="15"/>
  <c r="AG286" i="15"/>
  <c r="Y286" i="15"/>
  <c r="Q286" i="15"/>
  <c r="I286" i="15"/>
  <c r="AI285" i="15"/>
  <c r="E284" i="15"/>
  <c r="AH280" i="15"/>
  <c r="AF280" i="15"/>
  <c r="AE280" i="15"/>
  <c r="AA280" i="15"/>
  <c r="AA294" i="15" s="1"/>
  <c r="Z280" i="15"/>
  <c r="X280" i="15"/>
  <c r="U280" i="15"/>
  <c r="R280" i="15"/>
  <c r="P280" i="15"/>
  <c r="O280" i="15"/>
  <c r="K280" i="15"/>
  <c r="J280" i="15"/>
  <c r="H280" i="15"/>
  <c r="E280" i="15"/>
  <c r="X272" i="15"/>
  <c r="X296" i="15" s="1"/>
  <c r="E272" i="15"/>
  <c r="E296" i="15" s="1"/>
  <c r="R271" i="15"/>
  <c r="AF270" i="15"/>
  <c r="AF294" i="15" s="1"/>
  <c r="O270" i="15"/>
  <c r="O294" i="15" s="1"/>
  <c r="AE268" i="15"/>
  <c r="AE292" i="15" s="1"/>
  <c r="Z267" i="15"/>
  <c r="Z291" i="15" s="1"/>
  <c r="AE264" i="15"/>
  <c r="O264" i="15"/>
  <c r="AJ262" i="15"/>
  <c r="AJ289" i="15" s="1"/>
  <c r="AI262" i="15"/>
  <c r="AH262" i="15"/>
  <c r="AG262" i="15"/>
  <c r="AG289" i="15" s="1"/>
  <c r="AF262" i="15"/>
  <c r="AF289" i="15" s="1"/>
  <c r="AE262" i="15"/>
  <c r="AE272" i="15" s="1"/>
  <c r="AE296" i="15" s="1"/>
  <c r="AD262" i="15"/>
  <c r="AD289" i="15" s="1"/>
  <c r="AC262" i="15"/>
  <c r="AC289" i="15" s="1"/>
  <c r="AB262" i="15"/>
  <c r="AB289" i="15" s="1"/>
  <c r="AA262" i="15"/>
  <c r="AA272" i="15" s="1"/>
  <c r="Z262" i="15"/>
  <c r="Y262" i="15"/>
  <c r="Y289" i="15" s="1"/>
  <c r="X262" i="15"/>
  <c r="X289" i="15" s="1"/>
  <c r="W262" i="15"/>
  <c r="W289" i="15" s="1"/>
  <c r="V262" i="15"/>
  <c r="V289" i="15" s="1"/>
  <c r="U262" i="15"/>
  <c r="T262" i="15"/>
  <c r="T289" i="15" s="1"/>
  <c r="S262" i="15"/>
  <c r="R262" i="15"/>
  <c r="Q262" i="15"/>
  <c r="Q289" i="15" s="1"/>
  <c r="P262" i="15"/>
  <c r="P289" i="15" s="1"/>
  <c r="O262" i="15"/>
  <c r="O289" i="15" s="1"/>
  <c r="N262" i="15"/>
  <c r="N289" i="15" s="1"/>
  <c r="M262" i="15"/>
  <c r="M289" i="15" s="1"/>
  <c r="L262" i="15"/>
  <c r="L289" i="15" s="1"/>
  <c r="K262" i="15"/>
  <c r="K272" i="15" s="1"/>
  <c r="K296" i="15" s="1"/>
  <c r="J262" i="15"/>
  <c r="I262" i="15"/>
  <c r="I289" i="15" s="1"/>
  <c r="H262" i="15"/>
  <c r="H289" i="15" s="1"/>
  <c r="G262" i="15"/>
  <c r="G289" i="15" s="1"/>
  <c r="F262" i="15"/>
  <c r="F289" i="15" s="1"/>
  <c r="E262" i="15"/>
  <c r="E289" i="15" s="1"/>
  <c r="AJ261" i="15"/>
  <c r="AJ288" i="15" s="1"/>
  <c r="AI261" i="15"/>
  <c r="AI288" i="15" s="1"/>
  <c r="AH261" i="15"/>
  <c r="AH271" i="15" s="1"/>
  <c r="AH295" i="15" s="1"/>
  <c r="AG261" i="15"/>
  <c r="AG288" i="15" s="1"/>
  <c r="AF261" i="15"/>
  <c r="AE261" i="15"/>
  <c r="AE288" i="15" s="1"/>
  <c r="AD261" i="15"/>
  <c r="AD288" i="15" s="1"/>
  <c r="AC261" i="15"/>
  <c r="AC288" i="15" s="1"/>
  <c r="AB261" i="15"/>
  <c r="AB288" i="15" s="1"/>
  <c r="AA261" i="15"/>
  <c r="AA288" i="15" s="1"/>
  <c r="Z261" i="15"/>
  <c r="Z271" i="15" s="1"/>
  <c r="Z295" i="15" s="1"/>
  <c r="Y261" i="15"/>
  <c r="Y288" i="15" s="1"/>
  <c r="X261" i="15"/>
  <c r="W261" i="15"/>
  <c r="W288" i="15" s="1"/>
  <c r="V261" i="15"/>
  <c r="V288" i="15" s="1"/>
  <c r="U261" i="15"/>
  <c r="T261" i="15"/>
  <c r="T288" i="15" s="1"/>
  <c r="S261" i="15"/>
  <c r="S288" i="15" s="1"/>
  <c r="R261" i="15"/>
  <c r="R288" i="15" s="1"/>
  <c r="Q261" i="15"/>
  <c r="Q288" i="15" s="1"/>
  <c r="P261" i="15"/>
  <c r="O261" i="15"/>
  <c r="N261" i="15"/>
  <c r="N288" i="15" s="1"/>
  <c r="M261" i="15"/>
  <c r="M288" i="15" s="1"/>
  <c r="L261" i="15"/>
  <c r="L288" i="15" s="1"/>
  <c r="K261" i="15"/>
  <c r="K288" i="15" s="1"/>
  <c r="J261" i="15"/>
  <c r="J288" i="15" s="1"/>
  <c r="I261" i="15"/>
  <c r="I288" i="15" s="1"/>
  <c r="H261" i="15"/>
  <c r="G261" i="15"/>
  <c r="G288" i="15" s="1"/>
  <c r="F261" i="15"/>
  <c r="F288" i="15" s="1"/>
  <c r="E261" i="15"/>
  <c r="AJ260" i="15"/>
  <c r="AJ287" i="15" s="1"/>
  <c r="AI260" i="15"/>
  <c r="AI287" i="15" s="1"/>
  <c r="AH260" i="15"/>
  <c r="AH287" i="15" s="1"/>
  <c r="AG260" i="15"/>
  <c r="AG287" i="15" s="1"/>
  <c r="AF260" i="15"/>
  <c r="AF287" i="15" s="1"/>
  <c r="AE260" i="15"/>
  <c r="AE270" i="15" s="1"/>
  <c r="AE294" i="15" s="1"/>
  <c r="AD260" i="15"/>
  <c r="AD287" i="15" s="1"/>
  <c r="AC260" i="15"/>
  <c r="AC287" i="15" s="1"/>
  <c r="AB260" i="15"/>
  <c r="AB287" i="15" s="1"/>
  <c r="AA260" i="15"/>
  <c r="AA270" i="15" s="1"/>
  <c r="Z260" i="15"/>
  <c r="Z287" i="15" s="1"/>
  <c r="Y260" i="15"/>
  <c r="Y287" i="15" s="1"/>
  <c r="X260" i="15"/>
  <c r="W260" i="15"/>
  <c r="V260" i="15"/>
  <c r="V287" i="15" s="1"/>
  <c r="U260" i="15"/>
  <c r="T260" i="15"/>
  <c r="T287" i="15" s="1"/>
  <c r="S260" i="15"/>
  <c r="S287" i="15" s="1"/>
  <c r="R260" i="15"/>
  <c r="Q260" i="15"/>
  <c r="Q287" i="15" s="1"/>
  <c r="P260" i="15"/>
  <c r="O260" i="15"/>
  <c r="N260" i="15"/>
  <c r="N287" i="15" s="1"/>
  <c r="M260" i="15"/>
  <c r="M287" i="15" s="1"/>
  <c r="L260" i="15"/>
  <c r="L287" i="15" s="1"/>
  <c r="K260" i="15"/>
  <c r="K270" i="15" s="1"/>
  <c r="K294" i="15" s="1"/>
  <c r="J260" i="15"/>
  <c r="I260" i="15"/>
  <c r="I287" i="15" s="1"/>
  <c r="H260" i="15"/>
  <c r="G260" i="15"/>
  <c r="F260" i="15"/>
  <c r="F287" i="15" s="1"/>
  <c r="E260" i="15"/>
  <c r="E287" i="15" s="1"/>
  <c r="C260" i="15"/>
  <c r="AJ259" i="15"/>
  <c r="AJ286" i="15" s="1"/>
  <c r="AI259" i="15"/>
  <c r="AI286" i="15" s="1"/>
  <c r="AH259" i="15"/>
  <c r="AH269" i="15" s="1"/>
  <c r="AH293" i="15" s="1"/>
  <c r="AG259" i="15"/>
  <c r="AF259" i="15"/>
  <c r="AE259" i="15"/>
  <c r="AD259" i="15"/>
  <c r="AD286" i="15" s="1"/>
  <c r="AC259" i="15"/>
  <c r="AC286" i="15" s="1"/>
  <c r="AB259" i="15"/>
  <c r="AB286" i="15" s="1"/>
  <c r="AA259" i="15"/>
  <c r="AA286" i="15" s="1"/>
  <c r="Z259" i="15"/>
  <c r="Z269" i="15" s="1"/>
  <c r="Z293" i="15" s="1"/>
  <c r="Y259" i="15"/>
  <c r="X259" i="15"/>
  <c r="X286" i="15" s="1"/>
  <c r="W259" i="15"/>
  <c r="W286" i="15" s="1"/>
  <c r="V259" i="15"/>
  <c r="V286" i="15" s="1"/>
  <c r="U259" i="15"/>
  <c r="U286" i="15" s="1"/>
  <c r="T259" i="15"/>
  <c r="T286" i="15" s="1"/>
  <c r="S259" i="15"/>
  <c r="S286" i="15" s="1"/>
  <c r="R259" i="15"/>
  <c r="R286" i="15" s="1"/>
  <c r="Q259" i="15"/>
  <c r="P259" i="15"/>
  <c r="O259" i="15"/>
  <c r="N259" i="15"/>
  <c r="N286" i="15" s="1"/>
  <c r="M259" i="15"/>
  <c r="M286" i="15" s="1"/>
  <c r="L259" i="15"/>
  <c r="L286" i="15" s="1"/>
  <c r="K259" i="15"/>
  <c r="J259" i="15"/>
  <c r="J286" i="15" s="1"/>
  <c r="I259" i="15"/>
  <c r="H259" i="15"/>
  <c r="G259" i="15"/>
  <c r="G286" i="15" s="1"/>
  <c r="F259" i="15"/>
  <c r="F286" i="15" s="1"/>
  <c r="E259" i="15"/>
  <c r="E269" i="15" s="1"/>
  <c r="E293" i="15" s="1"/>
  <c r="C259" i="15"/>
  <c r="AJ258" i="15"/>
  <c r="AJ285" i="15" s="1"/>
  <c r="AI258" i="15"/>
  <c r="AI264" i="15" s="1"/>
  <c r="AH258" i="15"/>
  <c r="AG258" i="15"/>
  <c r="AG285" i="15" s="1"/>
  <c r="AF258" i="15"/>
  <c r="AF285" i="15" s="1"/>
  <c r="AE258" i="15"/>
  <c r="AE285" i="15" s="1"/>
  <c r="AD258" i="15"/>
  <c r="AD285" i="15" s="1"/>
  <c r="AC258" i="15"/>
  <c r="AC285" i="15" s="1"/>
  <c r="AB258" i="15"/>
  <c r="AB285" i="15" s="1"/>
  <c r="AA258" i="15"/>
  <c r="AA268" i="15" s="1"/>
  <c r="Z258" i="15"/>
  <c r="Y258" i="15"/>
  <c r="Y285" i="15" s="1"/>
  <c r="X258" i="15"/>
  <c r="X285" i="15" s="1"/>
  <c r="W258" i="15"/>
  <c r="W285" i="15" s="1"/>
  <c r="V258" i="15"/>
  <c r="V285" i="15" s="1"/>
  <c r="U258" i="15"/>
  <c r="U285" i="15" s="1"/>
  <c r="T258" i="15"/>
  <c r="T285" i="15" s="1"/>
  <c r="S258" i="15"/>
  <c r="S285" i="15" s="1"/>
  <c r="R258" i="15"/>
  <c r="Q258" i="15"/>
  <c r="Q285" i="15" s="1"/>
  <c r="P258" i="15"/>
  <c r="P285" i="15" s="1"/>
  <c r="O258" i="15"/>
  <c r="N258" i="15"/>
  <c r="N285" i="15" s="1"/>
  <c r="M258" i="15"/>
  <c r="M285" i="15" s="1"/>
  <c r="L258" i="15"/>
  <c r="L285" i="15" s="1"/>
  <c r="K258" i="15"/>
  <c r="K264" i="15" s="1"/>
  <c r="J258" i="15"/>
  <c r="I258" i="15"/>
  <c r="I285" i="15" s="1"/>
  <c r="H258" i="15"/>
  <c r="H285" i="15" s="1"/>
  <c r="G258" i="15"/>
  <c r="G285" i="15" s="1"/>
  <c r="F258" i="15"/>
  <c r="F285" i="15" s="1"/>
  <c r="E258" i="15"/>
  <c r="AX257" i="15"/>
  <c r="AJ257" i="15"/>
  <c r="AI257" i="15"/>
  <c r="AI284" i="15" s="1"/>
  <c r="AH257" i="15"/>
  <c r="AG257" i="15"/>
  <c r="AF257" i="15"/>
  <c r="AE257" i="15"/>
  <c r="AE284" i="15" s="1"/>
  <c r="AD257" i="15"/>
  <c r="AC257" i="15"/>
  <c r="AB257" i="15"/>
  <c r="AA257" i="15"/>
  <c r="AA284" i="15" s="1"/>
  <c r="Z257" i="15"/>
  <c r="Y257" i="15"/>
  <c r="X257" i="15"/>
  <c r="W257" i="15"/>
  <c r="W284" i="15" s="1"/>
  <c r="V257" i="15"/>
  <c r="U257" i="15"/>
  <c r="T257" i="15"/>
  <c r="S257" i="15"/>
  <c r="S284" i="15" s="1"/>
  <c r="R257" i="15"/>
  <c r="Q257" i="15"/>
  <c r="P257" i="15"/>
  <c r="O257" i="15"/>
  <c r="O284" i="15" s="1"/>
  <c r="N257" i="15"/>
  <c r="M257" i="15"/>
  <c r="L257" i="15"/>
  <c r="K257" i="15"/>
  <c r="K284" i="15" s="1"/>
  <c r="J257" i="15"/>
  <c r="I257" i="15"/>
  <c r="H257" i="15"/>
  <c r="G257" i="15"/>
  <c r="G284" i="15" s="1"/>
  <c r="F257" i="15"/>
  <c r="E257" i="15"/>
  <c r="C257" i="15"/>
  <c r="AX255" i="15"/>
  <c r="AM255" i="15"/>
  <c r="AL255" i="15"/>
  <c r="AJ255" i="15"/>
  <c r="AI255" i="15"/>
  <c r="AH255" i="15"/>
  <c r="AG255" i="15"/>
  <c r="AF255" i="15"/>
  <c r="AE255" i="15"/>
  <c r="AD255" i="15"/>
  <c r="AC255" i="15"/>
  <c r="AB255" i="15"/>
  <c r="AA255" i="15"/>
  <c r="Z255" i="15"/>
  <c r="Y255" i="15"/>
  <c r="X255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 s="1"/>
  <c r="BE254" i="15"/>
  <c r="BD254" i="15"/>
  <c r="BB254" i="15"/>
  <c r="BA254" i="15"/>
  <c r="AY254" i="15"/>
  <c r="AU254" i="15"/>
  <c r="AT254" i="15"/>
  <c r="AS254" i="15"/>
  <c r="AR254" i="15"/>
  <c r="AQ254" i="15"/>
  <c r="AP254" i="15"/>
  <c r="AO254" i="15"/>
  <c r="BE253" i="15"/>
  <c r="BD253" i="15"/>
  <c r="BA253" i="15"/>
  <c r="BB253" i="15" s="1"/>
  <c r="AY253" i="15"/>
  <c r="AU253" i="15"/>
  <c r="AT253" i="15"/>
  <c r="AS253" i="15"/>
  <c r="AR253" i="15"/>
  <c r="AQ253" i="15"/>
  <c r="AP253" i="15"/>
  <c r="AO253" i="15"/>
  <c r="BE252" i="15"/>
  <c r="BD252" i="15"/>
  <c r="BA252" i="15"/>
  <c r="BB252" i="15" s="1"/>
  <c r="AY252" i="15"/>
  <c r="AU252" i="15"/>
  <c r="AT252" i="15"/>
  <c r="AS252" i="15"/>
  <c r="AR252" i="15"/>
  <c r="AV252" i="15" s="1"/>
  <c r="AZ252" i="15" s="1"/>
  <c r="AQ252" i="15"/>
  <c r="AP252" i="15"/>
  <c r="AO252" i="15"/>
  <c r="BE251" i="15"/>
  <c r="BD251" i="15"/>
  <c r="BA251" i="15"/>
  <c r="BB251" i="15" s="1"/>
  <c r="AY251" i="15"/>
  <c r="AU251" i="15"/>
  <c r="AT251" i="15"/>
  <c r="AS251" i="15"/>
  <c r="AR251" i="15"/>
  <c r="AQ251" i="15"/>
  <c r="AP251" i="15"/>
  <c r="AO251" i="15"/>
  <c r="BE250" i="15"/>
  <c r="BD250" i="15"/>
  <c r="BB250" i="15"/>
  <c r="BA250" i="15"/>
  <c r="AY250" i="15"/>
  <c r="AU250" i="15"/>
  <c r="AT250" i="15"/>
  <c r="AS250" i="15"/>
  <c r="AR250" i="15"/>
  <c r="AQ250" i="15"/>
  <c r="AP250" i="15"/>
  <c r="AO250" i="15"/>
  <c r="AV250" i="15" s="1"/>
  <c r="AZ250" i="15" s="1"/>
  <c r="BE249" i="15"/>
  <c r="BD249" i="15"/>
  <c r="BA249" i="15"/>
  <c r="BB249" i="15" s="1"/>
  <c r="AY249" i="15"/>
  <c r="AU249" i="15"/>
  <c r="AT249" i="15"/>
  <c r="AS249" i="15"/>
  <c r="AR249" i="15"/>
  <c r="AQ249" i="15"/>
  <c r="AP249" i="15"/>
  <c r="AO249" i="15"/>
  <c r="AV249" i="15" s="1"/>
  <c r="BE248" i="15"/>
  <c r="BD248" i="15"/>
  <c r="BA248" i="15"/>
  <c r="BB248" i="15" s="1"/>
  <c r="AY248" i="15"/>
  <c r="AU248" i="15"/>
  <c r="AT248" i="15"/>
  <c r="AS248" i="15"/>
  <c r="AR248" i="15"/>
  <c r="AQ248" i="15"/>
  <c r="AP248" i="15"/>
  <c r="AO248" i="15"/>
  <c r="BE247" i="15"/>
  <c r="BD247" i="15"/>
  <c r="BA247" i="15"/>
  <c r="BB247" i="15" s="1"/>
  <c r="AY247" i="15"/>
  <c r="AU247" i="15"/>
  <c r="AT247" i="15"/>
  <c r="AS247" i="15"/>
  <c r="AR247" i="15"/>
  <c r="AQ247" i="15"/>
  <c r="AP247" i="15"/>
  <c r="AO247" i="15"/>
  <c r="BE246" i="15"/>
  <c r="BD246" i="15"/>
  <c r="BA246" i="15"/>
  <c r="BB246" i="15" s="1"/>
  <c r="AY246" i="15"/>
  <c r="AU246" i="15"/>
  <c r="AT246" i="15"/>
  <c r="AS246" i="15"/>
  <c r="AR246" i="15"/>
  <c r="AQ246" i="15"/>
  <c r="AP246" i="15"/>
  <c r="AO246" i="15"/>
  <c r="AV246" i="15" s="1"/>
  <c r="AZ246" i="15" s="1"/>
  <c r="BE245" i="15"/>
  <c r="BD245" i="15"/>
  <c r="BA245" i="15"/>
  <c r="BB245" i="15" s="1"/>
  <c r="AY245" i="15"/>
  <c r="AU245" i="15"/>
  <c r="AT245" i="15"/>
  <c r="AS245" i="15"/>
  <c r="AR245" i="15"/>
  <c r="AQ245" i="15"/>
  <c r="AP245" i="15"/>
  <c r="AO245" i="15"/>
  <c r="AV245" i="15" s="1"/>
  <c r="BE244" i="15"/>
  <c r="BD244" i="15"/>
  <c r="BA244" i="15"/>
  <c r="BB244" i="15" s="1"/>
  <c r="AY244" i="15"/>
  <c r="AU244" i="15"/>
  <c r="AT244" i="15"/>
  <c r="AS244" i="15"/>
  <c r="AR244" i="15"/>
  <c r="AQ244" i="15"/>
  <c r="AP244" i="15"/>
  <c r="AO244" i="15"/>
  <c r="BE243" i="15"/>
  <c r="BD243" i="15"/>
  <c r="BA243" i="15"/>
  <c r="BB243" i="15" s="1"/>
  <c r="AY243" i="15"/>
  <c r="AU243" i="15"/>
  <c r="AT243" i="15"/>
  <c r="AS243" i="15"/>
  <c r="AR243" i="15"/>
  <c r="AQ243" i="15"/>
  <c r="AP243" i="15"/>
  <c r="AO243" i="15"/>
  <c r="BE242" i="15"/>
  <c r="BD242" i="15"/>
  <c r="BA242" i="15"/>
  <c r="BB242" i="15" s="1"/>
  <c r="AY242" i="15"/>
  <c r="AU242" i="15"/>
  <c r="AT242" i="15"/>
  <c r="AS242" i="15"/>
  <c r="AR242" i="15"/>
  <c r="AQ242" i="15"/>
  <c r="AP242" i="15"/>
  <c r="AO242" i="15"/>
  <c r="AV242" i="15" s="1"/>
  <c r="AZ242" i="15" s="1"/>
  <c r="BE241" i="15"/>
  <c r="BD241" i="15"/>
  <c r="BA241" i="15"/>
  <c r="BB241" i="15" s="1"/>
  <c r="AY241" i="15"/>
  <c r="AU241" i="15"/>
  <c r="AT241" i="15"/>
  <c r="AS241" i="15"/>
  <c r="AR241" i="15"/>
  <c r="AQ241" i="15"/>
  <c r="AP241" i="15"/>
  <c r="AO241" i="15"/>
  <c r="AV241" i="15" s="1"/>
  <c r="BE240" i="15"/>
  <c r="BD240" i="15"/>
  <c r="BA240" i="15"/>
  <c r="BB240" i="15" s="1"/>
  <c r="AY240" i="15"/>
  <c r="AU240" i="15"/>
  <c r="AT240" i="15"/>
  <c r="AS240" i="15"/>
  <c r="AR240" i="15"/>
  <c r="AQ240" i="15"/>
  <c r="AP240" i="15"/>
  <c r="AO240" i="15"/>
  <c r="BE239" i="15"/>
  <c r="BD239" i="15"/>
  <c r="BA239" i="15"/>
  <c r="BB239" i="15" s="1"/>
  <c r="AY239" i="15"/>
  <c r="AU239" i="15"/>
  <c r="AT239" i="15"/>
  <c r="AS239" i="15"/>
  <c r="AR239" i="15"/>
  <c r="AQ239" i="15"/>
  <c r="AP239" i="15"/>
  <c r="AO239" i="15"/>
  <c r="BE238" i="15"/>
  <c r="BD238" i="15"/>
  <c r="BA238" i="15"/>
  <c r="BB238" i="15" s="1"/>
  <c r="AY238" i="15"/>
  <c r="AU238" i="15"/>
  <c r="AT238" i="15"/>
  <c r="AS238" i="15"/>
  <c r="AR238" i="15"/>
  <c r="AQ238" i="15"/>
  <c r="AP238" i="15"/>
  <c r="AO238" i="15"/>
  <c r="AV238" i="15" s="1"/>
  <c r="AZ238" i="15" s="1"/>
  <c r="BE237" i="15"/>
  <c r="BD237" i="15"/>
  <c r="BA237" i="15"/>
  <c r="BB237" i="15" s="1"/>
  <c r="AY237" i="15"/>
  <c r="AU237" i="15"/>
  <c r="AT237" i="15"/>
  <c r="AS237" i="15"/>
  <c r="AR237" i="15"/>
  <c r="AQ237" i="15"/>
  <c r="AP237" i="15"/>
  <c r="AO237" i="15"/>
  <c r="AV237" i="15" s="1"/>
  <c r="BE236" i="15"/>
  <c r="BD236" i="15"/>
  <c r="BA236" i="15"/>
  <c r="BB236" i="15" s="1"/>
  <c r="AY236" i="15"/>
  <c r="AU236" i="15"/>
  <c r="AT236" i="15"/>
  <c r="AS236" i="15"/>
  <c r="AR236" i="15"/>
  <c r="AQ236" i="15"/>
  <c r="AP236" i="15"/>
  <c r="AO236" i="15"/>
  <c r="BE235" i="15"/>
  <c r="BD235" i="15"/>
  <c r="BA235" i="15"/>
  <c r="BB235" i="15" s="1"/>
  <c r="AY235" i="15"/>
  <c r="AU235" i="15"/>
  <c r="AT235" i="15"/>
  <c r="AS235" i="15"/>
  <c r="AR235" i="15"/>
  <c r="AQ235" i="15"/>
  <c r="AP235" i="15"/>
  <c r="AO235" i="15"/>
  <c r="BE234" i="15"/>
  <c r="BD234" i="15"/>
  <c r="BA234" i="15"/>
  <c r="BB234" i="15" s="1"/>
  <c r="AY234" i="15"/>
  <c r="AU234" i="15"/>
  <c r="AT234" i="15"/>
  <c r="AS234" i="15"/>
  <c r="AR234" i="15"/>
  <c r="AQ234" i="15"/>
  <c r="AP234" i="15"/>
  <c r="AO234" i="15"/>
  <c r="AV234" i="15" s="1"/>
  <c r="AZ234" i="15" s="1"/>
  <c r="BE233" i="15"/>
  <c r="BD233" i="15"/>
  <c r="BA233" i="15"/>
  <c r="BB233" i="15" s="1"/>
  <c r="AY233" i="15"/>
  <c r="AU233" i="15"/>
  <c r="AT233" i="15"/>
  <c r="AS233" i="15"/>
  <c r="AR233" i="15"/>
  <c r="AQ233" i="15"/>
  <c r="AP233" i="15"/>
  <c r="AO233" i="15"/>
  <c r="AV233" i="15" s="1"/>
  <c r="BE232" i="15"/>
  <c r="BD232" i="15"/>
  <c r="BA232" i="15"/>
  <c r="BB232" i="15" s="1"/>
  <c r="AY232" i="15"/>
  <c r="AU232" i="15"/>
  <c r="AT232" i="15"/>
  <c r="AS232" i="15"/>
  <c r="AR232" i="15"/>
  <c r="AQ232" i="15"/>
  <c r="AP232" i="15"/>
  <c r="AO232" i="15"/>
  <c r="BE231" i="15"/>
  <c r="BD231" i="15"/>
  <c r="BA231" i="15"/>
  <c r="BB231" i="15" s="1"/>
  <c r="AY231" i="15"/>
  <c r="AU231" i="15"/>
  <c r="AT231" i="15"/>
  <c r="AS231" i="15"/>
  <c r="AR231" i="15"/>
  <c r="AQ231" i="15"/>
  <c r="AP231" i="15"/>
  <c r="AO231" i="15"/>
  <c r="BE230" i="15"/>
  <c r="BD230" i="15"/>
  <c r="BA230" i="15"/>
  <c r="BB230" i="15" s="1"/>
  <c r="AY230" i="15"/>
  <c r="AU230" i="15"/>
  <c r="AT230" i="15"/>
  <c r="AS230" i="15"/>
  <c r="AR230" i="15"/>
  <c r="AQ230" i="15"/>
  <c r="AP230" i="15"/>
  <c r="AO230" i="15"/>
  <c r="AV230" i="15" s="1"/>
  <c r="AZ230" i="15" s="1"/>
  <c r="BE229" i="15"/>
  <c r="BD229" i="15"/>
  <c r="BA229" i="15"/>
  <c r="BB229" i="15" s="1"/>
  <c r="AY229" i="15"/>
  <c r="AU229" i="15"/>
  <c r="AT229" i="15"/>
  <c r="AS229" i="15"/>
  <c r="AR229" i="15"/>
  <c r="AQ229" i="15"/>
  <c r="AP229" i="15"/>
  <c r="AO229" i="15"/>
  <c r="AV229" i="15" s="1"/>
  <c r="BE228" i="15"/>
  <c r="BD228" i="15"/>
  <c r="BA228" i="15"/>
  <c r="BB228" i="15" s="1"/>
  <c r="AY228" i="15"/>
  <c r="AU228" i="15"/>
  <c r="AT228" i="15"/>
  <c r="AS228" i="15"/>
  <c r="AR228" i="15"/>
  <c r="AQ228" i="15"/>
  <c r="AP228" i="15"/>
  <c r="AO228" i="15"/>
  <c r="BE227" i="15"/>
  <c r="BD227" i="15"/>
  <c r="BA227" i="15"/>
  <c r="BB227" i="15" s="1"/>
  <c r="AY227" i="15"/>
  <c r="AU227" i="15"/>
  <c r="AT227" i="15"/>
  <c r="AS227" i="15"/>
  <c r="AR227" i="15"/>
  <c r="AQ227" i="15"/>
  <c r="AP227" i="15"/>
  <c r="AO227" i="15"/>
  <c r="BE226" i="15"/>
  <c r="BD226" i="15"/>
  <c r="BA226" i="15"/>
  <c r="BB226" i="15" s="1"/>
  <c r="AY226" i="15"/>
  <c r="AU226" i="15"/>
  <c r="AT226" i="15"/>
  <c r="AS226" i="15"/>
  <c r="AR226" i="15"/>
  <c r="AQ226" i="15"/>
  <c r="AP226" i="15"/>
  <c r="AO226" i="15"/>
  <c r="AV226" i="15" s="1"/>
  <c r="AZ226" i="15" s="1"/>
  <c r="BE225" i="15"/>
  <c r="BD225" i="15"/>
  <c r="BA225" i="15"/>
  <c r="BB225" i="15" s="1"/>
  <c r="AY225" i="15"/>
  <c r="AU225" i="15"/>
  <c r="AT225" i="15"/>
  <c r="AS225" i="15"/>
  <c r="AR225" i="15"/>
  <c r="AQ225" i="15"/>
  <c r="AP225" i="15"/>
  <c r="AO225" i="15"/>
  <c r="AV225" i="15" s="1"/>
  <c r="BE224" i="15"/>
  <c r="BD224" i="15"/>
  <c r="BA224" i="15"/>
  <c r="BB224" i="15" s="1"/>
  <c r="AY224" i="15"/>
  <c r="AU224" i="15"/>
  <c r="AT224" i="15"/>
  <c r="AS224" i="15"/>
  <c r="AR224" i="15"/>
  <c r="AQ224" i="15"/>
  <c r="AP224" i="15"/>
  <c r="AO224" i="15"/>
  <c r="BE223" i="15"/>
  <c r="BD223" i="15"/>
  <c r="BA223" i="15"/>
  <c r="BB223" i="15" s="1"/>
  <c r="AY223" i="15"/>
  <c r="AU223" i="15"/>
  <c r="AT223" i="15"/>
  <c r="AS223" i="15"/>
  <c r="AR223" i="15"/>
  <c r="AQ223" i="15"/>
  <c r="AP223" i="15"/>
  <c r="AO223" i="15"/>
  <c r="BE222" i="15"/>
  <c r="BD222" i="15"/>
  <c r="BA222" i="15"/>
  <c r="BB222" i="15" s="1"/>
  <c r="AY222" i="15"/>
  <c r="AU222" i="15"/>
  <c r="AT222" i="15"/>
  <c r="AS222" i="15"/>
  <c r="AR222" i="15"/>
  <c r="AQ222" i="15"/>
  <c r="AP222" i="15"/>
  <c r="AO222" i="15"/>
  <c r="AV222" i="15" s="1"/>
  <c r="AZ222" i="15" s="1"/>
  <c r="BE221" i="15"/>
  <c r="BD221" i="15"/>
  <c r="BA221" i="15"/>
  <c r="BB221" i="15" s="1"/>
  <c r="AY221" i="15"/>
  <c r="AU221" i="15"/>
  <c r="AT221" i="15"/>
  <c r="AS221" i="15"/>
  <c r="AR221" i="15"/>
  <c r="AQ221" i="15"/>
  <c r="AP221" i="15"/>
  <c r="AO221" i="15"/>
  <c r="AV221" i="15" s="1"/>
  <c r="BE220" i="15"/>
  <c r="BD220" i="15"/>
  <c r="BA220" i="15"/>
  <c r="BB220" i="15" s="1"/>
  <c r="AY220" i="15"/>
  <c r="AU220" i="15"/>
  <c r="AT220" i="15"/>
  <c r="AS220" i="15"/>
  <c r="AR220" i="15"/>
  <c r="AQ220" i="15"/>
  <c r="AP220" i="15"/>
  <c r="AO220" i="15"/>
  <c r="BE219" i="15"/>
  <c r="BD219" i="15"/>
  <c r="BA219" i="15"/>
  <c r="BB219" i="15" s="1"/>
  <c r="AY219" i="15"/>
  <c r="AU219" i="15"/>
  <c r="AT219" i="15"/>
  <c r="AS219" i="15"/>
  <c r="AR219" i="15"/>
  <c r="AQ219" i="15"/>
  <c r="AP219" i="15"/>
  <c r="AO219" i="15"/>
  <c r="BE218" i="15"/>
  <c r="BD218" i="15"/>
  <c r="BA218" i="15"/>
  <c r="BB218" i="15" s="1"/>
  <c r="AY218" i="15"/>
  <c r="AU218" i="15"/>
  <c r="AT218" i="15"/>
  <c r="AS218" i="15"/>
  <c r="AR218" i="15"/>
  <c r="AQ218" i="15"/>
  <c r="AP218" i="15"/>
  <c r="AO218" i="15"/>
  <c r="AV218" i="15" s="1"/>
  <c r="AZ218" i="15" s="1"/>
  <c r="BE217" i="15"/>
  <c r="BD217" i="15"/>
  <c r="BA217" i="15"/>
  <c r="BB217" i="15" s="1"/>
  <c r="AY217" i="15"/>
  <c r="AU217" i="15"/>
  <c r="AT217" i="15"/>
  <c r="AS217" i="15"/>
  <c r="AR217" i="15"/>
  <c r="AQ217" i="15"/>
  <c r="AP217" i="15"/>
  <c r="AO217" i="15"/>
  <c r="AV217" i="15" s="1"/>
  <c r="BE216" i="15"/>
  <c r="BD216" i="15"/>
  <c r="BA216" i="15"/>
  <c r="BB216" i="15" s="1"/>
  <c r="AY216" i="15"/>
  <c r="AU216" i="15"/>
  <c r="AT216" i="15"/>
  <c r="AS216" i="15"/>
  <c r="AR216" i="15"/>
  <c r="AQ216" i="15"/>
  <c r="AP216" i="15"/>
  <c r="AO216" i="15"/>
  <c r="BE215" i="15"/>
  <c r="BD215" i="15"/>
  <c r="BA215" i="15"/>
  <c r="BB215" i="15" s="1"/>
  <c r="AY215" i="15"/>
  <c r="AU215" i="15"/>
  <c r="AT215" i="15"/>
  <c r="AS215" i="15"/>
  <c r="AR215" i="15"/>
  <c r="AQ215" i="15"/>
  <c r="AP215" i="15"/>
  <c r="AO215" i="15"/>
  <c r="BE214" i="15"/>
  <c r="BD214" i="15"/>
  <c r="BA214" i="15"/>
  <c r="BB214" i="15" s="1"/>
  <c r="AY214" i="15"/>
  <c r="AU214" i="15"/>
  <c r="AT214" i="15"/>
  <c r="AS214" i="15"/>
  <c r="AR214" i="15"/>
  <c r="AQ214" i="15"/>
  <c r="AP214" i="15"/>
  <c r="AO214" i="15"/>
  <c r="AV214" i="15" s="1"/>
  <c r="AZ214" i="15" s="1"/>
  <c r="BE213" i="15"/>
  <c r="BD213" i="15"/>
  <c r="BA213" i="15"/>
  <c r="BB213" i="15" s="1"/>
  <c r="AY213" i="15"/>
  <c r="AU213" i="15"/>
  <c r="AT213" i="15"/>
  <c r="AS213" i="15"/>
  <c r="AR213" i="15"/>
  <c r="AQ213" i="15"/>
  <c r="AP213" i="15"/>
  <c r="AO213" i="15"/>
  <c r="AV213" i="15" s="1"/>
  <c r="BE212" i="15"/>
  <c r="BD212" i="15"/>
  <c r="BA212" i="15"/>
  <c r="BB212" i="15" s="1"/>
  <c r="AY212" i="15"/>
  <c r="AU212" i="15"/>
  <c r="AT212" i="15"/>
  <c r="AS212" i="15"/>
  <c r="AR212" i="15"/>
  <c r="AQ212" i="15"/>
  <c r="AP212" i="15"/>
  <c r="AO212" i="15"/>
  <c r="BE211" i="15"/>
  <c r="BD211" i="15"/>
  <c r="BA211" i="15"/>
  <c r="BB211" i="15" s="1"/>
  <c r="AY211" i="15"/>
  <c r="AU211" i="15"/>
  <c r="AT211" i="15"/>
  <c r="AS211" i="15"/>
  <c r="AR211" i="15"/>
  <c r="AQ211" i="15"/>
  <c r="AP211" i="15"/>
  <c r="AO211" i="15"/>
  <c r="BE210" i="15"/>
  <c r="BD210" i="15"/>
  <c r="BA210" i="15"/>
  <c r="BB210" i="15" s="1"/>
  <c r="AY210" i="15"/>
  <c r="AU210" i="15"/>
  <c r="AT210" i="15"/>
  <c r="AS210" i="15"/>
  <c r="AR210" i="15"/>
  <c r="AQ210" i="15"/>
  <c r="AP210" i="15"/>
  <c r="AO210" i="15"/>
  <c r="BE209" i="15"/>
  <c r="BD209" i="15"/>
  <c r="BB209" i="15"/>
  <c r="BA209" i="15"/>
  <c r="AY209" i="15"/>
  <c r="AU209" i="15"/>
  <c r="AT209" i="15"/>
  <c r="AS209" i="15"/>
  <c r="AR209" i="15"/>
  <c r="AQ209" i="15"/>
  <c r="AV209" i="15" s="1"/>
  <c r="AZ209" i="15" s="1"/>
  <c r="AP209" i="15"/>
  <c r="AO209" i="15"/>
  <c r="BE208" i="15"/>
  <c r="BD208" i="15"/>
  <c r="BA208" i="15"/>
  <c r="BB208" i="15" s="1"/>
  <c r="AY208" i="15"/>
  <c r="AU208" i="15"/>
  <c r="AT208" i="15"/>
  <c r="AS208" i="15"/>
  <c r="AR208" i="15"/>
  <c r="AQ208" i="15"/>
  <c r="AP208" i="15"/>
  <c r="AO208" i="15"/>
  <c r="BE207" i="15"/>
  <c r="BD207" i="15"/>
  <c r="BA207" i="15"/>
  <c r="BB207" i="15" s="1"/>
  <c r="AY207" i="15"/>
  <c r="AU207" i="15"/>
  <c r="AT207" i="15"/>
  <c r="AS207" i="15"/>
  <c r="AR207" i="15"/>
  <c r="AV207" i="15" s="1"/>
  <c r="AZ207" i="15" s="1"/>
  <c r="AQ207" i="15"/>
  <c r="AP207" i="15"/>
  <c r="AO207" i="15"/>
  <c r="BE206" i="15"/>
  <c r="BD206" i="15"/>
  <c r="BA206" i="15"/>
  <c r="BB206" i="15" s="1"/>
  <c r="AY206" i="15"/>
  <c r="AU206" i="15"/>
  <c r="AT206" i="15"/>
  <c r="AS206" i="15"/>
  <c r="AR206" i="15"/>
  <c r="AQ206" i="15"/>
  <c r="AP206" i="15"/>
  <c r="AO206" i="15"/>
  <c r="AV206" i="15" s="1"/>
  <c r="BE205" i="15"/>
  <c r="BD205" i="15"/>
  <c r="BA205" i="15"/>
  <c r="BB205" i="15" s="1"/>
  <c r="AY205" i="15"/>
  <c r="AU205" i="15"/>
  <c r="AT205" i="15"/>
  <c r="AS205" i="15"/>
  <c r="AR205" i="15"/>
  <c r="AQ205" i="15"/>
  <c r="AP205" i="15"/>
  <c r="AO205" i="15"/>
  <c r="AV205" i="15" s="1"/>
  <c r="BE204" i="15"/>
  <c r="BD204" i="15"/>
  <c r="BA204" i="15"/>
  <c r="BB204" i="15" s="1"/>
  <c r="AY204" i="15"/>
  <c r="AU204" i="15"/>
  <c r="AT204" i="15"/>
  <c r="AS204" i="15"/>
  <c r="AR204" i="15"/>
  <c r="AQ204" i="15"/>
  <c r="AP204" i="15"/>
  <c r="AO204" i="15"/>
  <c r="AV204" i="15" s="1"/>
  <c r="AZ204" i="15" s="1"/>
  <c r="BE203" i="15"/>
  <c r="BD203" i="15"/>
  <c r="BA203" i="15"/>
  <c r="BB203" i="15" s="1"/>
  <c r="AY203" i="15"/>
  <c r="AU203" i="15"/>
  <c r="AT203" i="15"/>
  <c r="AS203" i="15"/>
  <c r="AR203" i="15"/>
  <c r="AQ203" i="15"/>
  <c r="AV203" i="15" s="1"/>
  <c r="AZ203" i="15" s="1"/>
  <c r="AP203" i="15"/>
  <c r="AO203" i="15"/>
  <c r="BE202" i="15"/>
  <c r="BD202" i="15"/>
  <c r="BA202" i="15"/>
  <c r="BB202" i="15" s="1"/>
  <c r="AY202" i="15"/>
  <c r="AU202" i="15"/>
  <c r="AT202" i="15"/>
  <c r="AS202" i="15"/>
  <c r="AR202" i="15"/>
  <c r="AQ202" i="15"/>
  <c r="AP202" i="15"/>
  <c r="AO202" i="15"/>
  <c r="BE201" i="15"/>
  <c r="BD201" i="15"/>
  <c r="BB201" i="15"/>
  <c r="BA201" i="15"/>
  <c r="AY201" i="15"/>
  <c r="AU201" i="15"/>
  <c r="AT201" i="15"/>
  <c r="AS201" i="15"/>
  <c r="AR201" i="15"/>
  <c r="AQ201" i="15"/>
  <c r="AV201" i="15" s="1"/>
  <c r="AZ201" i="15" s="1"/>
  <c r="AP201" i="15"/>
  <c r="AO201" i="15"/>
  <c r="BE200" i="15"/>
  <c r="BD200" i="15"/>
  <c r="BA200" i="15"/>
  <c r="BB200" i="15" s="1"/>
  <c r="AY200" i="15"/>
  <c r="AU200" i="15"/>
  <c r="AT200" i="15"/>
  <c r="AS200" i="15"/>
  <c r="AR200" i="15"/>
  <c r="AQ200" i="15"/>
  <c r="AP200" i="15"/>
  <c r="AO200" i="15"/>
  <c r="BE199" i="15"/>
  <c r="BD199" i="15"/>
  <c r="BA199" i="15"/>
  <c r="BB199" i="15" s="1"/>
  <c r="AY199" i="15"/>
  <c r="AU199" i="15"/>
  <c r="AT199" i="15"/>
  <c r="AS199" i="15"/>
  <c r="AR199" i="15"/>
  <c r="AV199" i="15" s="1"/>
  <c r="AZ199" i="15" s="1"/>
  <c r="AQ199" i="15"/>
  <c r="AP199" i="15"/>
  <c r="AO199" i="15"/>
  <c r="BE198" i="15"/>
  <c r="BD198" i="15"/>
  <c r="BA198" i="15"/>
  <c r="BB198" i="15" s="1"/>
  <c r="AY198" i="15"/>
  <c r="AU198" i="15"/>
  <c r="AT198" i="15"/>
  <c r="AS198" i="15"/>
  <c r="AR198" i="15"/>
  <c r="AQ198" i="15"/>
  <c r="AP198" i="15"/>
  <c r="AO198" i="15"/>
  <c r="AV198" i="15" s="1"/>
  <c r="AZ198" i="15" s="1"/>
  <c r="BE197" i="15"/>
  <c r="BD197" i="15"/>
  <c r="BA197" i="15"/>
  <c r="BB197" i="15" s="1"/>
  <c r="AY197" i="15"/>
  <c r="AU197" i="15"/>
  <c r="AT197" i="15"/>
  <c r="AS197" i="15"/>
  <c r="AR197" i="15"/>
  <c r="AQ197" i="15"/>
  <c r="AP197" i="15"/>
  <c r="AO197" i="15"/>
  <c r="AV197" i="15" s="1"/>
  <c r="AZ197" i="15" s="1"/>
  <c r="BE196" i="15"/>
  <c r="BD196" i="15"/>
  <c r="BA196" i="15"/>
  <c r="BB196" i="15" s="1"/>
  <c r="AY196" i="15"/>
  <c r="AU196" i="15"/>
  <c r="AT196" i="15"/>
  <c r="AS196" i="15"/>
  <c r="AR196" i="15"/>
  <c r="AQ196" i="15"/>
  <c r="AP196" i="15"/>
  <c r="AO196" i="15"/>
  <c r="AV196" i="15" s="1"/>
  <c r="AZ196" i="15" s="1"/>
  <c r="BE195" i="15"/>
  <c r="BD195" i="15"/>
  <c r="BA195" i="15"/>
  <c r="BB195" i="15" s="1"/>
  <c r="AY195" i="15"/>
  <c r="AU195" i="15"/>
  <c r="AT195" i="15"/>
  <c r="AS195" i="15"/>
  <c r="AR195" i="15"/>
  <c r="AQ195" i="15"/>
  <c r="AV195" i="15" s="1"/>
  <c r="AZ195" i="15" s="1"/>
  <c r="AP195" i="15"/>
  <c r="AO195" i="15"/>
  <c r="BE194" i="15"/>
  <c r="BD194" i="15"/>
  <c r="BA194" i="15"/>
  <c r="BB194" i="15" s="1"/>
  <c r="AY194" i="15"/>
  <c r="AU194" i="15"/>
  <c r="AT194" i="15"/>
  <c r="AS194" i="15"/>
  <c r="AR194" i="15"/>
  <c r="AQ194" i="15"/>
  <c r="AP194" i="15"/>
  <c r="AO194" i="15"/>
  <c r="BE193" i="15"/>
  <c r="BD193" i="15"/>
  <c r="BB193" i="15"/>
  <c r="BA193" i="15"/>
  <c r="AY193" i="15"/>
  <c r="AU193" i="15"/>
  <c r="AT193" i="15"/>
  <c r="AS193" i="15"/>
  <c r="AR193" i="15"/>
  <c r="AQ193" i="15"/>
  <c r="AV193" i="15" s="1"/>
  <c r="AZ193" i="15" s="1"/>
  <c r="AP193" i="15"/>
  <c r="AO193" i="15"/>
  <c r="BE192" i="15"/>
  <c r="BD192" i="15"/>
  <c r="BA192" i="15"/>
  <c r="BB192" i="15" s="1"/>
  <c r="AY192" i="15"/>
  <c r="AU192" i="15"/>
  <c r="AT192" i="15"/>
  <c r="AS192" i="15"/>
  <c r="AR192" i="15"/>
  <c r="AQ192" i="15"/>
  <c r="AP192" i="15"/>
  <c r="AO192" i="15"/>
  <c r="BE191" i="15"/>
  <c r="BD191" i="15"/>
  <c r="BA191" i="15"/>
  <c r="BB191" i="15" s="1"/>
  <c r="AY191" i="15"/>
  <c r="AU191" i="15"/>
  <c r="AT191" i="15"/>
  <c r="AS191" i="15"/>
  <c r="AR191" i="15"/>
  <c r="AV191" i="15" s="1"/>
  <c r="AZ191" i="15" s="1"/>
  <c r="AQ191" i="15"/>
  <c r="AP191" i="15"/>
  <c r="AO191" i="15"/>
  <c r="BE190" i="15"/>
  <c r="BD190" i="15"/>
  <c r="BA190" i="15"/>
  <c r="BB190" i="15" s="1"/>
  <c r="AY190" i="15"/>
  <c r="AU190" i="15"/>
  <c r="AT190" i="15"/>
  <c r="AS190" i="15"/>
  <c r="AR190" i="15"/>
  <c r="AQ190" i="15"/>
  <c r="AP190" i="15"/>
  <c r="AO190" i="15"/>
  <c r="AV190" i="15" s="1"/>
  <c r="BE189" i="15"/>
  <c r="BD189" i="15"/>
  <c r="BA189" i="15"/>
  <c r="BB189" i="15" s="1"/>
  <c r="AY189" i="15"/>
  <c r="AU189" i="15"/>
  <c r="AT189" i="15"/>
  <c r="AS189" i="15"/>
  <c r="AR189" i="15"/>
  <c r="AQ189" i="15"/>
  <c r="AP189" i="15"/>
  <c r="AO189" i="15"/>
  <c r="AV189" i="15" s="1"/>
  <c r="BE188" i="15"/>
  <c r="BD188" i="15"/>
  <c r="BA188" i="15"/>
  <c r="BB188" i="15" s="1"/>
  <c r="AY188" i="15"/>
  <c r="AU188" i="15"/>
  <c r="AT188" i="15"/>
  <c r="AS188" i="15"/>
  <c r="AR188" i="15"/>
  <c r="AQ188" i="15"/>
  <c r="AP188" i="15"/>
  <c r="AO188" i="15"/>
  <c r="AV188" i="15" s="1"/>
  <c r="AZ188" i="15" s="1"/>
  <c r="BE187" i="15"/>
  <c r="BD187" i="15"/>
  <c r="BA187" i="15"/>
  <c r="BB187" i="15" s="1"/>
  <c r="AY187" i="15"/>
  <c r="AU187" i="15"/>
  <c r="AT187" i="15"/>
  <c r="AS187" i="15"/>
  <c r="AR187" i="15"/>
  <c r="AQ187" i="15"/>
  <c r="AV187" i="15" s="1"/>
  <c r="AZ187" i="15" s="1"/>
  <c r="AP187" i="15"/>
  <c r="AO187" i="15"/>
  <c r="BE186" i="15"/>
  <c r="BD186" i="15"/>
  <c r="BA186" i="15"/>
  <c r="BB186" i="15" s="1"/>
  <c r="AY186" i="15"/>
  <c r="AU186" i="15"/>
  <c r="AT186" i="15"/>
  <c r="AS186" i="15"/>
  <c r="AR186" i="15"/>
  <c r="AQ186" i="15"/>
  <c r="AP186" i="15"/>
  <c r="AO186" i="15"/>
  <c r="BE185" i="15"/>
  <c r="BD185" i="15"/>
  <c r="BB185" i="15"/>
  <c r="BA185" i="15"/>
  <c r="AY185" i="15"/>
  <c r="AU185" i="15"/>
  <c r="AT185" i="15"/>
  <c r="AS185" i="15"/>
  <c r="AR185" i="15"/>
  <c r="AQ185" i="15"/>
  <c r="AV185" i="15" s="1"/>
  <c r="AZ185" i="15" s="1"/>
  <c r="AP185" i="15"/>
  <c r="AO185" i="15"/>
  <c r="BE184" i="15"/>
  <c r="BD184" i="15"/>
  <c r="BA184" i="15"/>
  <c r="BB184" i="15" s="1"/>
  <c r="AY184" i="15"/>
  <c r="AU184" i="15"/>
  <c r="AT184" i="15"/>
  <c r="AS184" i="15"/>
  <c r="AR184" i="15"/>
  <c r="AQ184" i="15"/>
  <c r="AP184" i="15"/>
  <c r="AO184" i="15"/>
  <c r="BE183" i="15"/>
  <c r="BD183" i="15"/>
  <c r="BA183" i="15"/>
  <c r="BB183" i="15" s="1"/>
  <c r="AY183" i="15"/>
  <c r="AU183" i="15"/>
  <c r="AT183" i="15"/>
  <c r="AS183" i="15"/>
  <c r="AR183" i="15"/>
  <c r="AV183" i="15" s="1"/>
  <c r="AZ183" i="15" s="1"/>
  <c r="AQ183" i="15"/>
  <c r="AP183" i="15"/>
  <c r="AO183" i="15"/>
  <c r="BE182" i="15"/>
  <c r="BD182" i="15"/>
  <c r="BA182" i="15"/>
  <c r="BB182" i="15" s="1"/>
  <c r="AY182" i="15"/>
  <c r="AU182" i="15"/>
  <c r="AT182" i="15"/>
  <c r="AS182" i="15"/>
  <c r="AR182" i="15"/>
  <c r="AQ182" i="15"/>
  <c r="AP182" i="15"/>
  <c r="AO182" i="15"/>
  <c r="AV182" i="15" s="1"/>
  <c r="AZ182" i="15" s="1"/>
  <c r="BE181" i="15"/>
  <c r="BD181" i="15"/>
  <c r="BA181" i="15"/>
  <c r="BB181" i="15" s="1"/>
  <c r="AY181" i="15"/>
  <c r="AU181" i="15"/>
  <c r="AT181" i="15"/>
  <c r="AS181" i="15"/>
  <c r="AR181" i="15"/>
  <c r="AQ181" i="15"/>
  <c r="AP181" i="15"/>
  <c r="AO181" i="15"/>
  <c r="AV181" i="15" s="1"/>
  <c r="AZ181" i="15" s="1"/>
  <c r="BE180" i="15"/>
  <c r="BD180" i="15"/>
  <c r="BA180" i="15"/>
  <c r="BB180" i="15" s="1"/>
  <c r="AY180" i="15"/>
  <c r="AU180" i="15"/>
  <c r="AT180" i="15"/>
  <c r="AS180" i="15"/>
  <c r="AR180" i="15"/>
  <c r="AQ180" i="15"/>
  <c r="AV180" i="15" s="1"/>
  <c r="AZ180" i="15" s="1"/>
  <c r="AP180" i="15"/>
  <c r="AO180" i="15"/>
  <c r="BE179" i="15"/>
  <c r="BD179" i="15"/>
  <c r="BA179" i="15"/>
  <c r="BB179" i="15" s="1"/>
  <c r="AY179" i="15"/>
  <c r="AU179" i="15"/>
  <c r="AT179" i="15"/>
  <c r="AS179" i="15"/>
  <c r="AR179" i="15"/>
  <c r="AQ179" i="15"/>
  <c r="AP179" i="15"/>
  <c r="AO179" i="15"/>
  <c r="BE178" i="15"/>
  <c r="BD178" i="15"/>
  <c r="BB178" i="15"/>
  <c r="BA178" i="15"/>
  <c r="AY178" i="15"/>
  <c r="AU178" i="15"/>
  <c r="AT178" i="15"/>
  <c r="AS178" i="15"/>
  <c r="AR178" i="15"/>
  <c r="AQ178" i="15"/>
  <c r="AV178" i="15" s="1"/>
  <c r="AZ178" i="15" s="1"/>
  <c r="AP178" i="15"/>
  <c r="AO178" i="15"/>
  <c r="BE177" i="15"/>
  <c r="BD177" i="15"/>
  <c r="BA177" i="15"/>
  <c r="BB177" i="15" s="1"/>
  <c r="AY177" i="15"/>
  <c r="AU177" i="15"/>
  <c r="AT177" i="15"/>
  <c r="AS177" i="15"/>
  <c r="AR177" i="15"/>
  <c r="AQ177" i="15"/>
  <c r="AP177" i="15"/>
  <c r="AO177" i="15"/>
  <c r="AV177" i="15" s="1"/>
  <c r="AZ177" i="15" s="1"/>
  <c r="BE176" i="15"/>
  <c r="BD176" i="15"/>
  <c r="BA176" i="15"/>
  <c r="BB176" i="15" s="1"/>
  <c r="AY176" i="15"/>
  <c r="AU176" i="15"/>
  <c r="AT176" i="15"/>
  <c r="AS176" i="15"/>
  <c r="AR176" i="15"/>
  <c r="AV176" i="15" s="1"/>
  <c r="AZ176" i="15" s="1"/>
  <c r="AQ176" i="15"/>
  <c r="AP176" i="15"/>
  <c r="AO176" i="15"/>
  <c r="BE175" i="15"/>
  <c r="BD175" i="15"/>
  <c r="BA175" i="15"/>
  <c r="BB175" i="15" s="1"/>
  <c r="AY175" i="15"/>
  <c r="AU175" i="15"/>
  <c r="AT175" i="15"/>
  <c r="AS175" i="15"/>
  <c r="AR175" i="15"/>
  <c r="AQ175" i="15"/>
  <c r="AP175" i="15"/>
  <c r="AO175" i="15"/>
  <c r="AV175" i="15" s="1"/>
  <c r="BE174" i="15"/>
  <c r="BD174" i="15"/>
  <c r="BA174" i="15"/>
  <c r="BB174" i="15" s="1"/>
  <c r="AY174" i="15"/>
  <c r="AU174" i="15"/>
  <c r="AT174" i="15"/>
  <c r="AS174" i="15"/>
  <c r="AR174" i="15"/>
  <c r="AQ174" i="15"/>
  <c r="AV174" i="15" s="1"/>
  <c r="AZ174" i="15" s="1"/>
  <c r="AP174" i="15"/>
  <c r="AO174" i="15"/>
  <c r="BE173" i="15"/>
  <c r="BD173" i="15"/>
  <c r="BA173" i="15"/>
  <c r="BB173" i="15" s="1"/>
  <c r="AY173" i="15"/>
  <c r="AU173" i="15"/>
  <c r="AT173" i="15"/>
  <c r="AS173" i="15"/>
  <c r="AR173" i="15"/>
  <c r="AQ173" i="15"/>
  <c r="AP173" i="15"/>
  <c r="AO173" i="15"/>
  <c r="AV173" i="15" s="1"/>
  <c r="AZ173" i="15" s="1"/>
  <c r="BE172" i="15"/>
  <c r="BD172" i="15"/>
  <c r="BA172" i="15"/>
  <c r="BB172" i="15" s="1"/>
  <c r="AY172" i="15"/>
  <c r="AU172" i="15"/>
  <c r="AT172" i="15"/>
  <c r="AS172" i="15"/>
  <c r="AR172" i="15"/>
  <c r="AQ172" i="15"/>
  <c r="AV172" i="15" s="1"/>
  <c r="AZ172" i="15" s="1"/>
  <c r="AP172" i="15"/>
  <c r="AO172" i="15"/>
  <c r="BE171" i="15"/>
  <c r="BD171" i="15"/>
  <c r="BA171" i="15"/>
  <c r="BB171" i="15" s="1"/>
  <c r="AY171" i="15"/>
  <c r="AU171" i="15"/>
  <c r="AT171" i="15"/>
  <c r="AS171" i="15"/>
  <c r="AR171" i="15"/>
  <c r="AQ171" i="15"/>
  <c r="AP171" i="15"/>
  <c r="AO171" i="15"/>
  <c r="BE170" i="15"/>
  <c r="BD170" i="15"/>
  <c r="BB170" i="15"/>
  <c r="BA170" i="15"/>
  <c r="AY170" i="15"/>
  <c r="AU170" i="15"/>
  <c r="AT170" i="15"/>
  <c r="AS170" i="15"/>
  <c r="AR170" i="15"/>
  <c r="AQ170" i="15"/>
  <c r="AV170" i="15" s="1"/>
  <c r="AZ170" i="15" s="1"/>
  <c r="AP170" i="15"/>
  <c r="AO170" i="15"/>
  <c r="BE169" i="15"/>
  <c r="BD169" i="15"/>
  <c r="BA169" i="15"/>
  <c r="BB169" i="15" s="1"/>
  <c r="AY169" i="15"/>
  <c r="AU169" i="15"/>
  <c r="AT169" i="15"/>
  <c r="AS169" i="15"/>
  <c r="AR169" i="15"/>
  <c r="AQ169" i="15"/>
  <c r="AP169" i="15"/>
  <c r="AO169" i="15"/>
  <c r="AV169" i="15" s="1"/>
  <c r="AZ169" i="15" s="1"/>
  <c r="BE168" i="15"/>
  <c r="BD168" i="15"/>
  <c r="BA168" i="15"/>
  <c r="BB168" i="15" s="1"/>
  <c r="AY168" i="15"/>
  <c r="AU168" i="15"/>
  <c r="AT168" i="15"/>
  <c r="AS168" i="15"/>
  <c r="AR168" i="15"/>
  <c r="AV168" i="15" s="1"/>
  <c r="AZ168" i="15" s="1"/>
  <c r="AQ168" i="15"/>
  <c r="AP168" i="15"/>
  <c r="AO168" i="15"/>
  <c r="BE167" i="15"/>
  <c r="BD167" i="15"/>
  <c r="BA167" i="15"/>
  <c r="BB167" i="15" s="1"/>
  <c r="AY167" i="15"/>
  <c r="AU167" i="15"/>
  <c r="AT167" i="15"/>
  <c r="AS167" i="15"/>
  <c r="AR167" i="15"/>
  <c r="AQ167" i="15"/>
  <c r="AP167" i="15"/>
  <c r="AO167" i="15"/>
  <c r="AV167" i="15" s="1"/>
  <c r="AZ167" i="15" s="1"/>
  <c r="BE166" i="15"/>
  <c r="BD166" i="15"/>
  <c r="BA166" i="15"/>
  <c r="BB166" i="15" s="1"/>
  <c r="AY166" i="15"/>
  <c r="AU166" i="15"/>
  <c r="AT166" i="15"/>
  <c r="AS166" i="15"/>
  <c r="AR166" i="15"/>
  <c r="AQ166" i="15"/>
  <c r="AV166" i="15" s="1"/>
  <c r="AZ166" i="15" s="1"/>
  <c r="AP166" i="15"/>
  <c r="AO166" i="15"/>
  <c r="BE165" i="15"/>
  <c r="BD165" i="15"/>
  <c r="BA165" i="15"/>
  <c r="BB165" i="15" s="1"/>
  <c r="AY165" i="15"/>
  <c r="AU165" i="15"/>
  <c r="AT165" i="15"/>
  <c r="AS165" i="15"/>
  <c r="AR165" i="15"/>
  <c r="AQ165" i="15"/>
  <c r="AP165" i="15"/>
  <c r="AO165" i="15"/>
  <c r="AV165" i="15" s="1"/>
  <c r="AZ165" i="15" s="1"/>
  <c r="BE164" i="15"/>
  <c r="BD164" i="15"/>
  <c r="BA164" i="15"/>
  <c r="BB164" i="15" s="1"/>
  <c r="AY164" i="15"/>
  <c r="AU164" i="15"/>
  <c r="AT164" i="15"/>
  <c r="AS164" i="15"/>
  <c r="AR164" i="15"/>
  <c r="AQ164" i="15"/>
  <c r="AV164" i="15" s="1"/>
  <c r="AZ164" i="15" s="1"/>
  <c r="AP164" i="15"/>
  <c r="AO164" i="15"/>
  <c r="BE163" i="15"/>
  <c r="BD163" i="15"/>
  <c r="BA163" i="15"/>
  <c r="BB163" i="15" s="1"/>
  <c r="AY163" i="15"/>
  <c r="AU163" i="15"/>
  <c r="AT163" i="15"/>
  <c r="AS163" i="15"/>
  <c r="AR163" i="15"/>
  <c r="AQ163" i="15"/>
  <c r="AP163" i="15"/>
  <c r="AO163" i="15"/>
  <c r="BE162" i="15"/>
  <c r="BD162" i="15"/>
  <c r="BB162" i="15"/>
  <c r="BA162" i="15"/>
  <c r="AY162" i="15"/>
  <c r="AU162" i="15"/>
  <c r="AT162" i="15"/>
  <c r="AS162" i="15"/>
  <c r="AR162" i="15"/>
  <c r="AQ162" i="15"/>
  <c r="AV162" i="15" s="1"/>
  <c r="AZ162" i="15" s="1"/>
  <c r="AP162" i="15"/>
  <c r="AO162" i="15"/>
  <c r="BE161" i="15"/>
  <c r="BD161" i="15"/>
  <c r="BA161" i="15"/>
  <c r="BB161" i="15" s="1"/>
  <c r="AY161" i="15"/>
  <c r="AU161" i="15"/>
  <c r="AT161" i="15"/>
  <c r="AS161" i="15"/>
  <c r="AR161" i="15"/>
  <c r="AQ161" i="15"/>
  <c r="AP161" i="15"/>
  <c r="AO161" i="15"/>
  <c r="AV161" i="15" s="1"/>
  <c r="AZ161" i="15" s="1"/>
  <c r="BE160" i="15"/>
  <c r="BD160" i="15"/>
  <c r="BA160" i="15"/>
  <c r="BB160" i="15" s="1"/>
  <c r="AY160" i="15"/>
  <c r="AU160" i="15"/>
  <c r="AT160" i="15"/>
  <c r="AS160" i="15"/>
  <c r="AR160" i="15"/>
  <c r="AV160" i="15" s="1"/>
  <c r="AZ160" i="15" s="1"/>
  <c r="AQ160" i="15"/>
  <c r="AP160" i="15"/>
  <c r="AO160" i="15"/>
  <c r="BE159" i="15"/>
  <c r="BD159" i="15"/>
  <c r="BA159" i="15"/>
  <c r="BB159" i="15" s="1"/>
  <c r="AY159" i="15"/>
  <c r="AU159" i="15"/>
  <c r="AT159" i="15"/>
  <c r="AS159" i="15"/>
  <c r="AR159" i="15"/>
  <c r="AQ159" i="15"/>
  <c r="AP159" i="15"/>
  <c r="AO159" i="15"/>
  <c r="AV159" i="15" s="1"/>
  <c r="BE158" i="15"/>
  <c r="BD158" i="15"/>
  <c r="BA158" i="15"/>
  <c r="BB158" i="15" s="1"/>
  <c r="AY158" i="15"/>
  <c r="AU158" i="15"/>
  <c r="AT158" i="15"/>
  <c r="AS158" i="15"/>
  <c r="AR158" i="15"/>
  <c r="AQ158" i="15"/>
  <c r="AV158" i="15" s="1"/>
  <c r="AZ158" i="15" s="1"/>
  <c r="AP158" i="15"/>
  <c r="AO158" i="15"/>
  <c r="BE157" i="15"/>
  <c r="BD157" i="15"/>
  <c r="BA157" i="15"/>
  <c r="BB157" i="15" s="1"/>
  <c r="AY157" i="15"/>
  <c r="AU157" i="15"/>
  <c r="AT157" i="15"/>
  <c r="AS157" i="15"/>
  <c r="AR157" i="15"/>
  <c r="AQ157" i="15"/>
  <c r="AP157" i="15"/>
  <c r="AO157" i="15"/>
  <c r="AV157" i="15" s="1"/>
  <c r="AZ157" i="15" s="1"/>
  <c r="BE156" i="15"/>
  <c r="BD156" i="15"/>
  <c r="BA156" i="15"/>
  <c r="BB156" i="15" s="1"/>
  <c r="AY156" i="15"/>
  <c r="AU156" i="15"/>
  <c r="AT156" i="15"/>
  <c r="AS156" i="15"/>
  <c r="AR156" i="15"/>
  <c r="AQ156" i="15"/>
  <c r="AV156" i="15" s="1"/>
  <c r="AZ156" i="15" s="1"/>
  <c r="AP156" i="15"/>
  <c r="AO156" i="15"/>
  <c r="BE155" i="15"/>
  <c r="BD155" i="15"/>
  <c r="BA155" i="15"/>
  <c r="BB155" i="15" s="1"/>
  <c r="AY155" i="15"/>
  <c r="AU155" i="15"/>
  <c r="AT155" i="15"/>
  <c r="AS155" i="15"/>
  <c r="AR155" i="15"/>
  <c r="AQ155" i="15"/>
  <c r="AP155" i="15"/>
  <c r="AO155" i="15"/>
  <c r="BE154" i="15"/>
  <c r="BD154" i="15"/>
  <c r="BB154" i="15"/>
  <c r="BA154" i="15"/>
  <c r="AY154" i="15"/>
  <c r="AU154" i="15"/>
  <c r="AT154" i="15"/>
  <c r="AS154" i="15"/>
  <c r="AR154" i="15"/>
  <c r="AQ154" i="15"/>
  <c r="AV154" i="15" s="1"/>
  <c r="AZ154" i="15" s="1"/>
  <c r="AP154" i="15"/>
  <c r="AO154" i="15"/>
  <c r="BE153" i="15"/>
  <c r="BD153" i="15"/>
  <c r="BA153" i="15"/>
  <c r="BB153" i="15" s="1"/>
  <c r="AY153" i="15"/>
  <c r="AU153" i="15"/>
  <c r="AT153" i="15"/>
  <c r="AS153" i="15"/>
  <c r="AR153" i="15"/>
  <c r="AQ153" i="15"/>
  <c r="AP153" i="15"/>
  <c r="AO153" i="15"/>
  <c r="BE152" i="15"/>
  <c r="BD152" i="15"/>
  <c r="BB152" i="15"/>
  <c r="BA152" i="15"/>
  <c r="AY152" i="15"/>
  <c r="AU152" i="15"/>
  <c r="AT152" i="15"/>
  <c r="AS152" i="15"/>
  <c r="AR152" i="15"/>
  <c r="AV152" i="15" s="1"/>
  <c r="AZ152" i="15" s="1"/>
  <c r="AQ152" i="15"/>
  <c r="AP152" i="15"/>
  <c r="AO152" i="15"/>
  <c r="BE151" i="15"/>
  <c r="BD151" i="15"/>
  <c r="BA151" i="15"/>
  <c r="BB151" i="15" s="1"/>
  <c r="AY151" i="15"/>
  <c r="AU151" i="15"/>
  <c r="AT151" i="15"/>
  <c r="AS151" i="15"/>
  <c r="AR151" i="15"/>
  <c r="AQ151" i="15"/>
  <c r="AP151" i="15"/>
  <c r="AO151" i="15"/>
  <c r="AV151" i="15" s="1"/>
  <c r="BE150" i="15"/>
  <c r="BD150" i="15"/>
  <c r="BA150" i="15"/>
  <c r="BB150" i="15" s="1"/>
  <c r="AY150" i="15"/>
  <c r="AU150" i="15"/>
  <c r="AT150" i="15"/>
  <c r="AS150" i="15"/>
  <c r="AR150" i="15"/>
  <c r="AV150" i="15" s="1"/>
  <c r="AZ150" i="15" s="1"/>
  <c r="AQ150" i="15"/>
  <c r="AP150" i="15"/>
  <c r="AO150" i="15"/>
  <c r="BE149" i="15"/>
  <c r="BD149" i="15"/>
  <c r="BA149" i="15"/>
  <c r="BB149" i="15" s="1"/>
  <c r="AY149" i="15"/>
  <c r="AU149" i="15"/>
  <c r="AT149" i="15"/>
  <c r="AS149" i="15"/>
  <c r="AR149" i="15"/>
  <c r="AQ149" i="15"/>
  <c r="AP149" i="15"/>
  <c r="AO149" i="15"/>
  <c r="AV149" i="15" s="1"/>
  <c r="AZ149" i="15" s="1"/>
  <c r="BE148" i="15"/>
  <c r="BD148" i="15"/>
  <c r="BA148" i="15"/>
  <c r="BB148" i="15" s="1"/>
  <c r="AY148" i="15"/>
  <c r="AU148" i="15"/>
  <c r="AT148" i="15"/>
  <c r="AS148" i="15"/>
  <c r="AR148" i="15"/>
  <c r="AQ148" i="15"/>
  <c r="AV148" i="15" s="1"/>
  <c r="AZ148" i="15" s="1"/>
  <c r="AP148" i="15"/>
  <c r="AO148" i="15"/>
  <c r="BE147" i="15"/>
  <c r="BD147" i="15"/>
  <c r="BA147" i="15"/>
  <c r="BB147" i="15" s="1"/>
  <c r="AY147" i="15"/>
  <c r="AU147" i="15"/>
  <c r="AT147" i="15"/>
  <c r="AS147" i="15"/>
  <c r="AR147" i="15"/>
  <c r="AQ147" i="15"/>
  <c r="AP147" i="15"/>
  <c r="AO147" i="15"/>
  <c r="BE146" i="15"/>
  <c r="BD146" i="15"/>
  <c r="BB146" i="15"/>
  <c r="BA146" i="15"/>
  <c r="AY146" i="15"/>
  <c r="AU146" i="15"/>
  <c r="AT146" i="15"/>
  <c r="AS146" i="15"/>
  <c r="AR146" i="15"/>
  <c r="AQ146" i="15"/>
  <c r="AV146" i="15" s="1"/>
  <c r="AZ146" i="15" s="1"/>
  <c r="AP146" i="15"/>
  <c r="AO146" i="15"/>
  <c r="BE145" i="15"/>
  <c r="BD145" i="15"/>
  <c r="BA145" i="15"/>
  <c r="BB145" i="15" s="1"/>
  <c r="AY145" i="15"/>
  <c r="AU145" i="15"/>
  <c r="AT145" i="15"/>
  <c r="AS145" i="15"/>
  <c r="AR145" i="15"/>
  <c r="AQ145" i="15"/>
  <c r="AP145" i="15"/>
  <c r="AO145" i="15"/>
  <c r="BE144" i="15"/>
  <c r="BD144" i="15"/>
  <c r="BB144" i="15"/>
  <c r="BA144" i="15"/>
  <c r="AY144" i="15"/>
  <c r="AU144" i="15"/>
  <c r="AT144" i="15"/>
  <c r="AS144" i="15"/>
  <c r="AR144" i="15"/>
  <c r="AV144" i="15" s="1"/>
  <c r="AZ144" i="15" s="1"/>
  <c r="AQ144" i="15"/>
  <c r="AP144" i="15"/>
  <c r="AO144" i="15"/>
  <c r="BE143" i="15"/>
  <c r="BD143" i="15"/>
  <c r="BA143" i="15"/>
  <c r="BB143" i="15" s="1"/>
  <c r="AY143" i="15"/>
  <c r="AU143" i="15"/>
  <c r="AT143" i="15"/>
  <c r="AS143" i="15"/>
  <c r="AR143" i="15"/>
  <c r="AQ143" i="15"/>
  <c r="AP143" i="15"/>
  <c r="AO143" i="15"/>
  <c r="AV143" i="15" s="1"/>
  <c r="BE142" i="15"/>
  <c r="BD142" i="15"/>
  <c r="BA142" i="15"/>
  <c r="BB142" i="15" s="1"/>
  <c r="AY142" i="15"/>
  <c r="AU142" i="15"/>
  <c r="AT142" i="15"/>
  <c r="AS142" i="15"/>
  <c r="AR142" i="15"/>
  <c r="AV142" i="15" s="1"/>
  <c r="AZ142" i="15" s="1"/>
  <c r="AQ142" i="15"/>
  <c r="AP142" i="15"/>
  <c r="AO142" i="15"/>
  <c r="BE141" i="15"/>
  <c r="BD141" i="15"/>
  <c r="BA141" i="15"/>
  <c r="BB141" i="15" s="1"/>
  <c r="AY141" i="15"/>
  <c r="AU141" i="15"/>
  <c r="AT141" i="15"/>
  <c r="AS141" i="15"/>
  <c r="AR141" i="15"/>
  <c r="AQ141" i="15"/>
  <c r="AP141" i="15"/>
  <c r="AO141" i="15"/>
  <c r="AV141" i="15" s="1"/>
  <c r="AZ141" i="15" s="1"/>
  <c r="BE140" i="15"/>
  <c r="BD140" i="15"/>
  <c r="BA140" i="15"/>
  <c r="BB140" i="15" s="1"/>
  <c r="AY140" i="15"/>
  <c r="AU140" i="15"/>
  <c r="AT140" i="15"/>
  <c r="AS140" i="15"/>
  <c r="AR140" i="15"/>
  <c r="AQ140" i="15"/>
  <c r="AV140" i="15" s="1"/>
  <c r="AZ140" i="15" s="1"/>
  <c r="AP140" i="15"/>
  <c r="AO140" i="15"/>
  <c r="BE139" i="15"/>
  <c r="BD139" i="15"/>
  <c r="BA139" i="15"/>
  <c r="BB139" i="15" s="1"/>
  <c r="AY139" i="15"/>
  <c r="AU139" i="15"/>
  <c r="AT139" i="15"/>
  <c r="AS139" i="15"/>
  <c r="AR139" i="15"/>
  <c r="AQ139" i="15"/>
  <c r="AP139" i="15"/>
  <c r="AO139" i="15"/>
  <c r="BE138" i="15"/>
  <c r="BD138" i="15"/>
  <c r="BB138" i="15"/>
  <c r="BA138" i="15"/>
  <c r="AY138" i="15"/>
  <c r="AU138" i="15"/>
  <c r="AT138" i="15"/>
  <c r="AS138" i="15"/>
  <c r="AR138" i="15"/>
  <c r="AQ138" i="15"/>
  <c r="AV138" i="15" s="1"/>
  <c r="AZ138" i="15" s="1"/>
  <c r="AP138" i="15"/>
  <c r="AO138" i="15"/>
  <c r="BE137" i="15"/>
  <c r="BD137" i="15"/>
  <c r="BA137" i="15"/>
  <c r="BB137" i="15" s="1"/>
  <c r="AY137" i="15"/>
  <c r="AU137" i="15"/>
  <c r="AT137" i="15"/>
  <c r="AS137" i="15"/>
  <c r="AR137" i="15"/>
  <c r="AQ137" i="15"/>
  <c r="AP137" i="15"/>
  <c r="AO137" i="15"/>
  <c r="BE136" i="15"/>
  <c r="BD136" i="15"/>
  <c r="BB136" i="15"/>
  <c r="BA136" i="15"/>
  <c r="AY136" i="15"/>
  <c r="AU136" i="15"/>
  <c r="AT136" i="15"/>
  <c r="AS136" i="15"/>
  <c r="AR136" i="15"/>
  <c r="AV136" i="15" s="1"/>
  <c r="AZ136" i="15" s="1"/>
  <c r="AQ136" i="15"/>
  <c r="AP136" i="15"/>
  <c r="AO136" i="15"/>
  <c r="BE135" i="15"/>
  <c r="BD135" i="15"/>
  <c r="BA135" i="15"/>
  <c r="BB135" i="15" s="1"/>
  <c r="AY135" i="15"/>
  <c r="AU135" i="15"/>
  <c r="AT135" i="15"/>
  <c r="AS135" i="15"/>
  <c r="AR135" i="15"/>
  <c r="AQ135" i="15"/>
  <c r="AP135" i="15"/>
  <c r="AO135" i="15"/>
  <c r="BE134" i="15"/>
  <c r="BD134" i="15"/>
  <c r="BA134" i="15"/>
  <c r="BB134" i="15" s="1"/>
  <c r="AY134" i="15"/>
  <c r="AU134" i="15"/>
  <c r="AT134" i="15"/>
  <c r="AS134" i="15"/>
  <c r="AR134" i="15"/>
  <c r="AQ134" i="15"/>
  <c r="AP134" i="15"/>
  <c r="AO134" i="15"/>
  <c r="AV134" i="15" s="1"/>
  <c r="AZ134" i="15" s="1"/>
  <c r="BE133" i="15"/>
  <c r="BD133" i="15"/>
  <c r="BA133" i="15"/>
  <c r="BB133" i="15" s="1"/>
  <c r="AY133" i="15"/>
  <c r="AU133" i="15"/>
  <c r="AT133" i="15"/>
  <c r="AS133" i="15"/>
  <c r="AR133" i="15"/>
  <c r="AQ133" i="15"/>
  <c r="AP133" i="15"/>
  <c r="AO133" i="15"/>
  <c r="AV133" i="15" s="1"/>
  <c r="AZ133" i="15" s="1"/>
  <c r="BE132" i="15"/>
  <c r="BD132" i="15"/>
  <c r="BA132" i="15"/>
  <c r="BB132" i="15" s="1"/>
  <c r="AY132" i="15"/>
  <c r="AU132" i="15"/>
  <c r="AT132" i="15"/>
  <c r="AS132" i="15"/>
  <c r="AR132" i="15"/>
  <c r="AQ132" i="15"/>
  <c r="AP132" i="15"/>
  <c r="AO132" i="15"/>
  <c r="AV132" i="15" s="1"/>
  <c r="AZ132" i="15" s="1"/>
  <c r="BE131" i="15"/>
  <c r="BD131" i="15"/>
  <c r="BA131" i="15"/>
  <c r="BB131" i="15" s="1"/>
  <c r="AY131" i="15"/>
  <c r="AU131" i="15"/>
  <c r="AT131" i="15"/>
  <c r="AS131" i="15"/>
  <c r="AR131" i="15"/>
  <c r="AQ131" i="15"/>
  <c r="AP131" i="15"/>
  <c r="AO131" i="15"/>
  <c r="BE130" i="15"/>
  <c r="BD130" i="15"/>
  <c r="BB130" i="15"/>
  <c r="BA130" i="15"/>
  <c r="AY130" i="15"/>
  <c r="AU130" i="15"/>
  <c r="AT130" i="15"/>
  <c r="AS130" i="15"/>
  <c r="AR130" i="15"/>
  <c r="AQ130" i="15"/>
  <c r="AV130" i="15" s="1"/>
  <c r="AZ130" i="15" s="1"/>
  <c r="AP130" i="15"/>
  <c r="AO130" i="15"/>
  <c r="BE129" i="15"/>
  <c r="BD129" i="15"/>
  <c r="BA129" i="15"/>
  <c r="BB129" i="15" s="1"/>
  <c r="AY129" i="15"/>
  <c r="AU129" i="15"/>
  <c r="AT129" i="15"/>
  <c r="AS129" i="15"/>
  <c r="AR129" i="15"/>
  <c r="AQ129" i="15"/>
  <c r="AP129" i="15"/>
  <c r="AO129" i="15"/>
  <c r="BE128" i="15"/>
  <c r="BD128" i="15"/>
  <c r="BB128" i="15"/>
  <c r="BA128" i="15"/>
  <c r="AY128" i="15"/>
  <c r="AU128" i="15"/>
  <c r="AT128" i="15"/>
  <c r="AS128" i="15"/>
  <c r="AR128" i="15"/>
  <c r="AV128" i="15" s="1"/>
  <c r="AZ128" i="15" s="1"/>
  <c r="AQ128" i="15"/>
  <c r="AP128" i="15"/>
  <c r="AO128" i="15"/>
  <c r="BE127" i="15"/>
  <c r="BD127" i="15"/>
  <c r="BA127" i="15"/>
  <c r="BB127" i="15" s="1"/>
  <c r="AY127" i="15"/>
  <c r="AU127" i="15"/>
  <c r="AT127" i="15"/>
  <c r="AS127" i="15"/>
  <c r="AR127" i="15"/>
  <c r="AQ127" i="15"/>
  <c r="AP127" i="15"/>
  <c r="AO127" i="15"/>
  <c r="BE126" i="15"/>
  <c r="BD126" i="15"/>
  <c r="BA126" i="15"/>
  <c r="BB126" i="15" s="1"/>
  <c r="AY126" i="15"/>
  <c r="AU126" i="15"/>
  <c r="AT126" i="15"/>
  <c r="AS126" i="15"/>
  <c r="AR126" i="15"/>
  <c r="AQ126" i="15"/>
  <c r="AP126" i="15"/>
  <c r="AO126" i="15"/>
  <c r="AV126" i="15" s="1"/>
  <c r="AZ126" i="15" s="1"/>
  <c r="BE125" i="15"/>
  <c r="BD125" i="15"/>
  <c r="BA125" i="15"/>
  <c r="BB125" i="15" s="1"/>
  <c r="AY125" i="15"/>
  <c r="AU125" i="15"/>
  <c r="AT125" i="15"/>
  <c r="AS125" i="15"/>
  <c r="AR125" i="15"/>
  <c r="AQ125" i="15"/>
  <c r="AP125" i="15"/>
  <c r="AO125" i="15"/>
  <c r="AV125" i="15" s="1"/>
  <c r="AZ125" i="15" s="1"/>
  <c r="BE124" i="15"/>
  <c r="BD124" i="15"/>
  <c r="BA124" i="15"/>
  <c r="BB124" i="15" s="1"/>
  <c r="AY124" i="15"/>
  <c r="AU124" i="15"/>
  <c r="AT124" i="15"/>
  <c r="AS124" i="15"/>
  <c r="AR124" i="15"/>
  <c r="AQ124" i="15"/>
  <c r="AP124" i="15"/>
  <c r="AO124" i="15"/>
  <c r="AV124" i="15" s="1"/>
  <c r="AZ124" i="15" s="1"/>
  <c r="BE123" i="15"/>
  <c r="BD123" i="15"/>
  <c r="BA123" i="15"/>
  <c r="BB123" i="15" s="1"/>
  <c r="AY123" i="15"/>
  <c r="AU123" i="15"/>
  <c r="AT123" i="15"/>
  <c r="AS123" i="15"/>
  <c r="AR123" i="15"/>
  <c r="AQ123" i="15"/>
  <c r="AP123" i="15"/>
  <c r="AO123" i="15"/>
  <c r="BE122" i="15"/>
  <c r="BD122" i="15"/>
  <c r="BB122" i="15"/>
  <c r="BA122" i="15"/>
  <c r="AY122" i="15"/>
  <c r="AU122" i="15"/>
  <c r="AT122" i="15"/>
  <c r="AS122" i="15"/>
  <c r="AR122" i="15"/>
  <c r="AQ122" i="15"/>
  <c r="AV122" i="15" s="1"/>
  <c r="AZ122" i="15" s="1"/>
  <c r="AP122" i="15"/>
  <c r="AO122" i="15"/>
  <c r="BE121" i="15"/>
  <c r="BD121" i="15"/>
  <c r="BA121" i="15"/>
  <c r="BB121" i="15" s="1"/>
  <c r="AY121" i="15"/>
  <c r="AU121" i="15"/>
  <c r="AT121" i="15"/>
  <c r="AS121" i="15"/>
  <c r="AR121" i="15"/>
  <c r="AQ121" i="15"/>
  <c r="AP121" i="15"/>
  <c r="AO121" i="15"/>
  <c r="BE120" i="15"/>
  <c r="BD120" i="15"/>
  <c r="BB120" i="15"/>
  <c r="BA120" i="15"/>
  <c r="AY120" i="15"/>
  <c r="AU120" i="15"/>
  <c r="AT120" i="15"/>
  <c r="AS120" i="15"/>
  <c r="AR120" i="15"/>
  <c r="AV120" i="15" s="1"/>
  <c r="AZ120" i="15" s="1"/>
  <c r="AQ120" i="15"/>
  <c r="AP120" i="15"/>
  <c r="AO120" i="15"/>
  <c r="BE119" i="15"/>
  <c r="BD119" i="15"/>
  <c r="BA119" i="15"/>
  <c r="BB119" i="15" s="1"/>
  <c r="AY119" i="15"/>
  <c r="AU119" i="15"/>
  <c r="AT119" i="15"/>
  <c r="AS119" i="15"/>
  <c r="AR119" i="15"/>
  <c r="AQ119" i="15"/>
  <c r="AP119" i="15"/>
  <c r="AO119" i="15"/>
  <c r="BE118" i="15"/>
  <c r="BD118" i="15"/>
  <c r="BA118" i="15"/>
  <c r="BB118" i="15" s="1"/>
  <c r="AY118" i="15"/>
  <c r="AU118" i="15"/>
  <c r="AT118" i="15"/>
  <c r="AS118" i="15"/>
  <c r="AR118" i="15"/>
  <c r="AQ118" i="15"/>
  <c r="AP118" i="15"/>
  <c r="AO118" i="15"/>
  <c r="AV118" i="15" s="1"/>
  <c r="AZ118" i="15" s="1"/>
  <c r="BE117" i="15"/>
  <c r="BD117" i="15"/>
  <c r="BA117" i="15"/>
  <c r="BB117" i="15" s="1"/>
  <c r="AY117" i="15"/>
  <c r="AU117" i="15"/>
  <c r="AT117" i="15"/>
  <c r="AS117" i="15"/>
  <c r="AR117" i="15"/>
  <c r="AQ117" i="15"/>
  <c r="AP117" i="15"/>
  <c r="AO117" i="15"/>
  <c r="AV117" i="15" s="1"/>
  <c r="AZ117" i="15" s="1"/>
  <c r="BE116" i="15"/>
  <c r="BD116" i="15"/>
  <c r="BA116" i="15"/>
  <c r="BB116" i="15" s="1"/>
  <c r="AY116" i="15"/>
  <c r="AU116" i="15"/>
  <c r="AT116" i="15"/>
  <c r="AS116" i="15"/>
  <c r="AR116" i="15"/>
  <c r="AQ116" i="15"/>
  <c r="AP116" i="15"/>
  <c r="AO116" i="15"/>
  <c r="AV116" i="15" s="1"/>
  <c r="AZ116" i="15" s="1"/>
  <c r="BE115" i="15"/>
  <c r="BD115" i="15"/>
  <c r="BA115" i="15"/>
  <c r="BB115" i="15" s="1"/>
  <c r="AY115" i="15"/>
  <c r="AU115" i="15"/>
  <c r="AT115" i="15"/>
  <c r="AS115" i="15"/>
  <c r="AR115" i="15"/>
  <c r="AQ115" i="15"/>
  <c r="AP115" i="15"/>
  <c r="AO115" i="15"/>
  <c r="BE114" i="15"/>
  <c r="BD114" i="15"/>
  <c r="BB114" i="15"/>
  <c r="BA114" i="15"/>
  <c r="AY114" i="15"/>
  <c r="AU114" i="15"/>
  <c r="AT114" i="15"/>
  <c r="AS114" i="15"/>
  <c r="AR114" i="15"/>
  <c r="AQ114" i="15"/>
  <c r="AV114" i="15" s="1"/>
  <c r="AZ114" i="15" s="1"/>
  <c r="AP114" i="15"/>
  <c r="AO114" i="15"/>
  <c r="BE113" i="15"/>
  <c r="BD113" i="15"/>
  <c r="BA113" i="15"/>
  <c r="BB113" i="15" s="1"/>
  <c r="AY113" i="15"/>
  <c r="AU113" i="15"/>
  <c r="AT113" i="15"/>
  <c r="AS113" i="15"/>
  <c r="AR113" i="15"/>
  <c r="AQ113" i="15"/>
  <c r="AP113" i="15"/>
  <c r="AO113" i="15"/>
  <c r="BE112" i="15"/>
  <c r="BD112" i="15"/>
  <c r="BB112" i="15"/>
  <c r="BA112" i="15"/>
  <c r="AY112" i="15"/>
  <c r="AU112" i="15"/>
  <c r="AT112" i="15"/>
  <c r="AS112" i="15"/>
  <c r="AR112" i="15"/>
  <c r="AV112" i="15" s="1"/>
  <c r="AZ112" i="15" s="1"/>
  <c r="AQ112" i="15"/>
  <c r="AP112" i="15"/>
  <c r="AO112" i="15"/>
  <c r="BE111" i="15"/>
  <c r="BD111" i="15"/>
  <c r="BA111" i="15"/>
  <c r="BB111" i="15" s="1"/>
  <c r="AY111" i="15"/>
  <c r="AU111" i="15"/>
  <c r="AT111" i="15"/>
  <c r="AS111" i="15"/>
  <c r="AR111" i="15"/>
  <c r="AQ111" i="15"/>
  <c r="AP111" i="15"/>
  <c r="AO111" i="15"/>
  <c r="BE110" i="15"/>
  <c r="BD110" i="15"/>
  <c r="BA110" i="15"/>
  <c r="BB110" i="15" s="1"/>
  <c r="AY110" i="15"/>
  <c r="AU110" i="15"/>
  <c r="AT110" i="15"/>
  <c r="AS110" i="15"/>
  <c r="AR110" i="15"/>
  <c r="AQ110" i="15"/>
  <c r="AP110" i="15"/>
  <c r="AO110" i="15"/>
  <c r="AV110" i="15" s="1"/>
  <c r="AZ110" i="15" s="1"/>
  <c r="BE109" i="15"/>
  <c r="BD109" i="15"/>
  <c r="BA109" i="15"/>
  <c r="BB109" i="15" s="1"/>
  <c r="AY109" i="15"/>
  <c r="AU109" i="15"/>
  <c r="AT109" i="15"/>
  <c r="AS109" i="15"/>
  <c r="AR109" i="15"/>
  <c r="AQ109" i="15"/>
  <c r="AP109" i="15"/>
  <c r="AO109" i="15"/>
  <c r="AV109" i="15" s="1"/>
  <c r="AZ109" i="15" s="1"/>
  <c r="BE108" i="15"/>
  <c r="BD108" i="15"/>
  <c r="BA108" i="15"/>
  <c r="BB108" i="15" s="1"/>
  <c r="AY108" i="15"/>
  <c r="AU108" i="15"/>
  <c r="AT108" i="15"/>
  <c r="AS108" i="15"/>
  <c r="AR108" i="15"/>
  <c r="AQ108" i="15"/>
  <c r="AP108" i="15"/>
  <c r="AO108" i="15"/>
  <c r="AV108" i="15" s="1"/>
  <c r="AZ108" i="15" s="1"/>
  <c r="BE107" i="15"/>
  <c r="BD107" i="15"/>
  <c r="BA107" i="15"/>
  <c r="BB107" i="15" s="1"/>
  <c r="AY107" i="15"/>
  <c r="AU107" i="15"/>
  <c r="AT107" i="15"/>
  <c r="AS107" i="15"/>
  <c r="AR107" i="15"/>
  <c r="AQ107" i="15"/>
  <c r="AP107" i="15"/>
  <c r="AO107" i="15"/>
  <c r="BE106" i="15"/>
  <c r="BD106" i="15"/>
  <c r="BB106" i="15"/>
  <c r="BA106" i="15"/>
  <c r="AY106" i="15"/>
  <c r="AU106" i="15"/>
  <c r="AT106" i="15"/>
  <c r="AS106" i="15"/>
  <c r="AR106" i="15"/>
  <c r="AQ106" i="15"/>
  <c r="AV106" i="15" s="1"/>
  <c r="AZ106" i="15" s="1"/>
  <c r="AP106" i="15"/>
  <c r="AO106" i="15"/>
  <c r="BE105" i="15"/>
  <c r="BD105" i="15"/>
  <c r="BA105" i="15"/>
  <c r="BB105" i="15" s="1"/>
  <c r="AY105" i="15"/>
  <c r="AU105" i="15"/>
  <c r="AT105" i="15"/>
  <c r="AS105" i="15"/>
  <c r="AR105" i="15"/>
  <c r="AQ105" i="15"/>
  <c r="AP105" i="15"/>
  <c r="AO105" i="15"/>
  <c r="BE104" i="15"/>
  <c r="BD104" i="15"/>
  <c r="BB104" i="15"/>
  <c r="BA104" i="15"/>
  <c r="AY104" i="15"/>
  <c r="AU104" i="15"/>
  <c r="AT104" i="15"/>
  <c r="AS104" i="15"/>
  <c r="AR104" i="15"/>
  <c r="AQ104" i="15"/>
  <c r="AV104" i="15" s="1"/>
  <c r="AZ104" i="15" s="1"/>
  <c r="AP104" i="15"/>
  <c r="AO104" i="15"/>
  <c r="BE103" i="15"/>
  <c r="BD103" i="15"/>
  <c r="BA103" i="15"/>
  <c r="BB103" i="15" s="1"/>
  <c r="AY103" i="15"/>
  <c r="AU103" i="15"/>
  <c r="AT103" i="15"/>
  <c r="AS103" i="15"/>
  <c r="AR103" i="15"/>
  <c r="AQ103" i="15"/>
  <c r="AP103" i="15"/>
  <c r="AO103" i="15"/>
  <c r="BE102" i="15"/>
  <c r="BD102" i="15"/>
  <c r="BA102" i="15"/>
  <c r="BB102" i="15" s="1"/>
  <c r="AY102" i="15"/>
  <c r="AU102" i="15"/>
  <c r="AT102" i="15"/>
  <c r="AS102" i="15"/>
  <c r="AR102" i="15"/>
  <c r="AV102" i="15" s="1"/>
  <c r="AZ102" i="15" s="1"/>
  <c r="AQ102" i="15"/>
  <c r="AP102" i="15"/>
  <c r="AO102" i="15"/>
  <c r="BE101" i="15"/>
  <c r="BD101" i="15"/>
  <c r="BA101" i="15"/>
  <c r="BB101" i="15" s="1"/>
  <c r="AY101" i="15"/>
  <c r="AU101" i="15"/>
  <c r="AT101" i="15"/>
  <c r="AS101" i="15"/>
  <c r="AR101" i="15"/>
  <c r="AQ101" i="15"/>
  <c r="AP101" i="15"/>
  <c r="AO101" i="15"/>
  <c r="AV101" i="15" s="1"/>
  <c r="AZ101" i="15" s="1"/>
  <c r="BE100" i="15"/>
  <c r="BD100" i="15"/>
  <c r="BA100" i="15"/>
  <c r="BB100" i="15" s="1"/>
  <c r="AY100" i="15"/>
  <c r="AU100" i="15"/>
  <c r="AT100" i="15"/>
  <c r="AS100" i="15"/>
  <c r="AR100" i="15"/>
  <c r="AQ100" i="15"/>
  <c r="AP100" i="15"/>
  <c r="AO100" i="15"/>
  <c r="AV100" i="15" s="1"/>
  <c r="AZ100" i="15" s="1"/>
  <c r="BE99" i="15"/>
  <c r="BD99" i="15"/>
  <c r="BA99" i="15"/>
  <c r="BB99" i="15" s="1"/>
  <c r="AY99" i="15"/>
  <c r="AU99" i="15"/>
  <c r="AT99" i="15"/>
  <c r="AS99" i="15"/>
  <c r="AR99" i="15"/>
  <c r="AQ99" i="15"/>
  <c r="AP99" i="15"/>
  <c r="AO99" i="15"/>
  <c r="AV99" i="15" s="1"/>
  <c r="AZ99" i="15" s="1"/>
  <c r="BE98" i="15"/>
  <c r="BD98" i="15"/>
  <c r="BA98" i="15"/>
  <c r="BB98" i="15" s="1"/>
  <c r="AY98" i="15"/>
  <c r="AU98" i="15"/>
  <c r="AT98" i="15"/>
  <c r="AS98" i="15"/>
  <c r="AR98" i="15"/>
  <c r="AQ98" i="15"/>
  <c r="AV98" i="15" s="1"/>
  <c r="AZ98" i="15" s="1"/>
  <c r="AP98" i="15"/>
  <c r="AO98" i="15"/>
  <c r="BE97" i="15"/>
  <c r="BD97" i="15"/>
  <c r="BA97" i="15"/>
  <c r="BB97" i="15" s="1"/>
  <c r="AY97" i="15"/>
  <c r="AU97" i="15"/>
  <c r="AT97" i="15"/>
  <c r="AS97" i="15"/>
  <c r="AR97" i="15"/>
  <c r="AQ97" i="15"/>
  <c r="AP97" i="15"/>
  <c r="AO97" i="15"/>
  <c r="BE96" i="15"/>
  <c r="BD96" i="15"/>
  <c r="BB96" i="15"/>
  <c r="BA96" i="15"/>
  <c r="AY96" i="15"/>
  <c r="AU96" i="15"/>
  <c r="AT96" i="15"/>
  <c r="AS96" i="15"/>
  <c r="AR96" i="15"/>
  <c r="AQ96" i="15"/>
  <c r="AV96" i="15" s="1"/>
  <c r="AZ96" i="15" s="1"/>
  <c r="AP96" i="15"/>
  <c r="AO96" i="15"/>
  <c r="BE95" i="15"/>
  <c r="BD95" i="15"/>
  <c r="BA95" i="15"/>
  <c r="BB95" i="15" s="1"/>
  <c r="AY95" i="15"/>
  <c r="AU95" i="15"/>
  <c r="AT95" i="15"/>
  <c r="AS95" i="15"/>
  <c r="AR95" i="15"/>
  <c r="AQ95" i="15"/>
  <c r="AP95" i="15"/>
  <c r="AO95" i="15"/>
  <c r="BE94" i="15"/>
  <c r="BD94" i="15"/>
  <c r="BA94" i="15"/>
  <c r="BB94" i="15" s="1"/>
  <c r="AY94" i="15"/>
  <c r="AU94" i="15"/>
  <c r="AT94" i="15"/>
  <c r="AS94" i="15"/>
  <c r="AR94" i="15"/>
  <c r="AV94" i="15" s="1"/>
  <c r="AZ94" i="15" s="1"/>
  <c r="AQ94" i="15"/>
  <c r="AP94" i="15"/>
  <c r="AO94" i="15"/>
  <c r="BE93" i="15"/>
  <c r="BD93" i="15"/>
  <c r="BA93" i="15"/>
  <c r="BB93" i="15" s="1"/>
  <c r="AY93" i="15"/>
  <c r="AU93" i="15"/>
  <c r="AT93" i="15"/>
  <c r="AS93" i="15"/>
  <c r="AR93" i="15"/>
  <c r="AQ93" i="15"/>
  <c r="AP93" i="15"/>
  <c r="AO93" i="15"/>
  <c r="AV93" i="15" s="1"/>
  <c r="AZ93" i="15" s="1"/>
  <c r="BE92" i="15"/>
  <c r="BD92" i="15"/>
  <c r="BA92" i="15"/>
  <c r="BB92" i="15" s="1"/>
  <c r="AY92" i="15"/>
  <c r="AU92" i="15"/>
  <c r="AT92" i="15"/>
  <c r="AS92" i="15"/>
  <c r="AR92" i="15"/>
  <c r="AQ92" i="15"/>
  <c r="AP92" i="15"/>
  <c r="AO92" i="15"/>
  <c r="AV92" i="15" s="1"/>
  <c r="AZ92" i="15" s="1"/>
  <c r="BE91" i="15"/>
  <c r="BD91" i="15"/>
  <c r="BA91" i="15"/>
  <c r="BB91" i="15" s="1"/>
  <c r="AY91" i="15"/>
  <c r="AU91" i="15"/>
  <c r="AT91" i="15"/>
  <c r="AS91" i="15"/>
  <c r="AR91" i="15"/>
  <c r="AQ91" i="15"/>
  <c r="AP91" i="15"/>
  <c r="AO91" i="15"/>
  <c r="AV91" i="15" s="1"/>
  <c r="AZ91" i="15" s="1"/>
  <c r="BE90" i="15"/>
  <c r="BD90" i="15"/>
  <c r="BA90" i="15"/>
  <c r="BB90" i="15" s="1"/>
  <c r="AY90" i="15"/>
  <c r="AU90" i="15"/>
  <c r="AT90" i="15"/>
  <c r="AS90" i="15"/>
  <c r="AR90" i="15"/>
  <c r="AV90" i="15" s="1"/>
  <c r="AZ90" i="15" s="1"/>
  <c r="AQ90" i="15"/>
  <c r="AP90" i="15"/>
  <c r="AO90" i="15"/>
  <c r="BE89" i="15"/>
  <c r="BD89" i="15"/>
  <c r="BA89" i="15"/>
  <c r="BB89" i="15" s="1"/>
  <c r="AY89" i="15"/>
  <c r="AU89" i="15"/>
  <c r="AT89" i="15"/>
  <c r="AS89" i="15"/>
  <c r="AR89" i="15"/>
  <c r="AQ89" i="15"/>
  <c r="AP89" i="15"/>
  <c r="AO89" i="15"/>
  <c r="BE88" i="15"/>
  <c r="BD88" i="15"/>
  <c r="BB88" i="15"/>
  <c r="BA88" i="15"/>
  <c r="AY88" i="15"/>
  <c r="AU88" i="15"/>
  <c r="AT88" i="15"/>
  <c r="AS88" i="15"/>
  <c r="AR88" i="15"/>
  <c r="AQ88" i="15"/>
  <c r="AV88" i="15" s="1"/>
  <c r="AZ88" i="15" s="1"/>
  <c r="AP88" i="15"/>
  <c r="AO88" i="15"/>
  <c r="BE87" i="15"/>
  <c r="BD87" i="15"/>
  <c r="BA87" i="15"/>
  <c r="BB87" i="15" s="1"/>
  <c r="AY87" i="15"/>
  <c r="AU87" i="15"/>
  <c r="AT87" i="15"/>
  <c r="AS87" i="15"/>
  <c r="AR87" i="15"/>
  <c r="AQ87" i="15"/>
  <c r="AP87" i="15"/>
  <c r="AO87" i="15"/>
  <c r="AV87" i="15" s="1"/>
  <c r="AZ87" i="15" s="1"/>
  <c r="BE86" i="15"/>
  <c r="BD86" i="15"/>
  <c r="BA86" i="15"/>
  <c r="BB86" i="15" s="1"/>
  <c r="AY86" i="15"/>
  <c r="AU86" i="15"/>
  <c r="AT86" i="15"/>
  <c r="AS86" i="15"/>
  <c r="AR86" i="15"/>
  <c r="AV86" i="15" s="1"/>
  <c r="AZ86" i="15" s="1"/>
  <c r="AQ86" i="15"/>
  <c r="AP86" i="15"/>
  <c r="AO86" i="15"/>
  <c r="BE85" i="15"/>
  <c r="BD85" i="15"/>
  <c r="BA85" i="15"/>
  <c r="BB85" i="15" s="1"/>
  <c r="AY85" i="15"/>
  <c r="AU85" i="15"/>
  <c r="AT85" i="15"/>
  <c r="AS85" i="15"/>
  <c r="AR85" i="15"/>
  <c r="AQ85" i="15"/>
  <c r="AP85" i="15"/>
  <c r="AO85" i="15"/>
  <c r="BE84" i="15"/>
  <c r="BD84" i="15"/>
  <c r="BB84" i="15"/>
  <c r="BA84" i="15"/>
  <c r="AY84" i="15"/>
  <c r="AU84" i="15"/>
  <c r="AT84" i="15"/>
  <c r="AS84" i="15"/>
  <c r="AR84" i="15"/>
  <c r="AQ84" i="15"/>
  <c r="AP84" i="15"/>
  <c r="AO84" i="15"/>
  <c r="AV84" i="15" s="1"/>
  <c r="AZ84" i="15" s="1"/>
  <c r="BE83" i="15"/>
  <c r="BD83" i="15"/>
  <c r="BA83" i="15"/>
  <c r="BB83" i="15" s="1"/>
  <c r="AY83" i="15"/>
  <c r="AU83" i="15"/>
  <c r="AT83" i="15"/>
  <c r="AS83" i="15"/>
  <c r="AR83" i="15"/>
  <c r="AQ83" i="15"/>
  <c r="AP83" i="15"/>
  <c r="AO83" i="15"/>
  <c r="AV83" i="15" s="1"/>
  <c r="AZ83" i="15" s="1"/>
  <c r="BE82" i="15"/>
  <c r="BD82" i="15"/>
  <c r="BA82" i="15"/>
  <c r="BB82" i="15" s="1"/>
  <c r="AY82" i="15"/>
  <c r="AU82" i="15"/>
  <c r="AT82" i="15"/>
  <c r="AS82" i="15"/>
  <c r="AR82" i="15"/>
  <c r="AV82" i="15" s="1"/>
  <c r="AZ82" i="15" s="1"/>
  <c r="AQ82" i="15"/>
  <c r="AP82" i="15"/>
  <c r="AO82" i="15"/>
  <c r="BE81" i="15"/>
  <c r="BD81" i="15"/>
  <c r="BA81" i="15"/>
  <c r="BB81" i="15" s="1"/>
  <c r="AY81" i="15"/>
  <c r="AU81" i="15"/>
  <c r="AT81" i="15"/>
  <c r="AS81" i="15"/>
  <c r="AR81" i="15"/>
  <c r="AQ81" i="15"/>
  <c r="AP81" i="15"/>
  <c r="AO81" i="15"/>
  <c r="BE80" i="15"/>
  <c r="BD80" i="15"/>
  <c r="BB80" i="15"/>
  <c r="BA80" i="15"/>
  <c r="AY80" i="15"/>
  <c r="AU80" i="15"/>
  <c r="AT80" i="15"/>
  <c r="AS80" i="15"/>
  <c r="AR80" i="15"/>
  <c r="AQ80" i="15"/>
  <c r="AP80" i="15"/>
  <c r="AO80" i="15"/>
  <c r="AV80" i="15" s="1"/>
  <c r="AZ80" i="15" s="1"/>
  <c r="BE79" i="15"/>
  <c r="BD79" i="15"/>
  <c r="BA79" i="15"/>
  <c r="BB79" i="15" s="1"/>
  <c r="AY79" i="15"/>
  <c r="AU79" i="15"/>
  <c r="AT79" i="15"/>
  <c r="AS79" i="15"/>
  <c r="AR79" i="15"/>
  <c r="AQ79" i="15"/>
  <c r="AP79" i="15"/>
  <c r="AO79" i="15"/>
  <c r="BE78" i="15"/>
  <c r="BD78" i="15"/>
  <c r="BA78" i="15"/>
  <c r="BB78" i="15" s="1"/>
  <c r="AY78" i="15"/>
  <c r="AU78" i="15"/>
  <c r="AT78" i="15"/>
  <c r="AS78" i="15"/>
  <c r="AR78" i="15"/>
  <c r="AV78" i="15" s="1"/>
  <c r="AZ78" i="15" s="1"/>
  <c r="AQ78" i="15"/>
  <c r="AP78" i="15"/>
  <c r="AO78" i="15"/>
  <c r="BE77" i="15"/>
  <c r="BD77" i="15"/>
  <c r="BA77" i="15"/>
  <c r="BB77" i="15" s="1"/>
  <c r="AY77" i="15"/>
  <c r="AU77" i="15"/>
  <c r="AT77" i="15"/>
  <c r="AS77" i="15"/>
  <c r="AR77" i="15"/>
  <c r="AQ77" i="15"/>
  <c r="AP77" i="15"/>
  <c r="AO77" i="15"/>
  <c r="BE76" i="15"/>
  <c r="BD76" i="15"/>
  <c r="BB76" i="15"/>
  <c r="BA76" i="15"/>
  <c r="AY76" i="15"/>
  <c r="AU76" i="15"/>
  <c r="AT76" i="15"/>
  <c r="AS76" i="15"/>
  <c r="AR76" i="15"/>
  <c r="AQ76" i="15"/>
  <c r="AP76" i="15"/>
  <c r="AO76" i="15"/>
  <c r="AV76" i="15" s="1"/>
  <c r="AZ76" i="15" s="1"/>
  <c r="BE75" i="15"/>
  <c r="BD75" i="15"/>
  <c r="BA75" i="15"/>
  <c r="BB75" i="15" s="1"/>
  <c r="AY75" i="15"/>
  <c r="AU75" i="15"/>
  <c r="AT75" i="15"/>
  <c r="AS75" i="15"/>
  <c r="AR75" i="15"/>
  <c r="AQ75" i="15"/>
  <c r="AP75" i="15"/>
  <c r="AO75" i="15"/>
  <c r="AV75" i="15" s="1"/>
  <c r="AZ75" i="15" s="1"/>
  <c r="BE74" i="15"/>
  <c r="BD74" i="15"/>
  <c r="BA74" i="15"/>
  <c r="BB74" i="15" s="1"/>
  <c r="AY74" i="15"/>
  <c r="AU74" i="15"/>
  <c r="AT74" i="15"/>
  <c r="AS74" i="15"/>
  <c r="AR74" i="15"/>
  <c r="AV74" i="15" s="1"/>
  <c r="AZ74" i="15" s="1"/>
  <c r="AQ74" i="15"/>
  <c r="AP74" i="15"/>
  <c r="AO74" i="15"/>
  <c r="BE73" i="15"/>
  <c r="BD73" i="15"/>
  <c r="BA73" i="15"/>
  <c r="BB73" i="15" s="1"/>
  <c r="AY73" i="15"/>
  <c r="AU73" i="15"/>
  <c r="AT73" i="15"/>
  <c r="AS73" i="15"/>
  <c r="AR73" i="15"/>
  <c r="AQ73" i="15"/>
  <c r="AP73" i="15"/>
  <c r="AO73" i="15"/>
  <c r="BE72" i="15"/>
  <c r="BD72" i="15"/>
  <c r="BB72" i="15"/>
  <c r="BA72" i="15"/>
  <c r="AY72" i="15"/>
  <c r="AU72" i="15"/>
  <c r="AT72" i="15"/>
  <c r="AS72" i="15"/>
  <c r="AR72" i="15"/>
  <c r="AQ72" i="15"/>
  <c r="AP72" i="15"/>
  <c r="AO72" i="15"/>
  <c r="AV72" i="15" s="1"/>
  <c r="AZ72" i="15" s="1"/>
  <c r="BE71" i="15"/>
  <c r="BD71" i="15"/>
  <c r="BA71" i="15"/>
  <c r="BB71" i="15" s="1"/>
  <c r="AY71" i="15"/>
  <c r="AU71" i="15"/>
  <c r="AT71" i="15"/>
  <c r="AS71" i="15"/>
  <c r="AR71" i="15"/>
  <c r="AQ71" i="15"/>
  <c r="AP71" i="15"/>
  <c r="AO71" i="15"/>
  <c r="BE70" i="15"/>
  <c r="BD70" i="15"/>
  <c r="BA70" i="15"/>
  <c r="BB70" i="15" s="1"/>
  <c r="AY70" i="15"/>
  <c r="AU70" i="15"/>
  <c r="AT70" i="15"/>
  <c r="AS70" i="15"/>
  <c r="AR70" i="15"/>
  <c r="AV70" i="15" s="1"/>
  <c r="AZ70" i="15" s="1"/>
  <c r="AQ70" i="15"/>
  <c r="AP70" i="15"/>
  <c r="AO70" i="15"/>
  <c r="BE69" i="15"/>
  <c r="BD69" i="15"/>
  <c r="BA69" i="15"/>
  <c r="BB69" i="15" s="1"/>
  <c r="AY69" i="15"/>
  <c r="AU69" i="15"/>
  <c r="AT69" i="15"/>
  <c r="AS69" i="15"/>
  <c r="AR69" i="15"/>
  <c r="AQ69" i="15"/>
  <c r="AP69" i="15"/>
  <c r="AO69" i="15"/>
  <c r="BE68" i="15"/>
  <c r="BD68" i="15"/>
  <c r="BB68" i="15"/>
  <c r="BA68" i="15"/>
  <c r="AY68" i="15"/>
  <c r="AU68" i="15"/>
  <c r="AT68" i="15"/>
  <c r="AS68" i="15"/>
  <c r="AR68" i="15"/>
  <c r="AQ68" i="15"/>
  <c r="AP68" i="15"/>
  <c r="AO68" i="15"/>
  <c r="AV68" i="15" s="1"/>
  <c r="AZ68" i="15" s="1"/>
  <c r="BE67" i="15"/>
  <c r="BD67" i="15"/>
  <c r="BA67" i="15"/>
  <c r="BB67" i="15" s="1"/>
  <c r="AY67" i="15"/>
  <c r="AU67" i="15"/>
  <c r="AT67" i="15"/>
  <c r="AS67" i="15"/>
  <c r="AR67" i="15"/>
  <c r="AQ67" i="15"/>
  <c r="AP67" i="15"/>
  <c r="AO67" i="15"/>
  <c r="AV67" i="15" s="1"/>
  <c r="AZ67" i="15" s="1"/>
  <c r="BE66" i="15"/>
  <c r="BD66" i="15"/>
  <c r="BA66" i="15"/>
  <c r="BB66" i="15" s="1"/>
  <c r="AY66" i="15"/>
  <c r="AU66" i="15"/>
  <c r="AT66" i="15"/>
  <c r="AS66" i="15"/>
  <c r="AR66" i="15"/>
  <c r="AV66" i="15" s="1"/>
  <c r="AZ66" i="15" s="1"/>
  <c r="AQ66" i="15"/>
  <c r="AP66" i="15"/>
  <c r="AO66" i="15"/>
  <c r="BE65" i="15"/>
  <c r="BD65" i="15"/>
  <c r="BA65" i="15"/>
  <c r="BB65" i="15" s="1"/>
  <c r="AY65" i="15"/>
  <c r="AU65" i="15"/>
  <c r="AT65" i="15"/>
  <c r="AS65" i="15"/>
  <c r="AR65" i="15"/>
  <c r="AQ65" i="15"/>
  <c r="AP65" i="15"/>
  <c r="AO65" i="15"/>
  <c r="BE64" i="15"/>
  <c r="BD64" i="15"/>
  <c r="BB64" i="15"/>
  <c r="BA64" i="15"/>
  <c r="AY64" i="15"/>
  <c r="AU64" i="15"/>
  <c r="AT64" i="15"/>
  <c r="AS64" i="15"/>
  <c r="AR64" i="15"/>
  <c r="AQ64" i="15"/>
  <c r="AP64" i="15"/>
  <c r="AO64" i="15"/>
  <c r="AV64" i="15" s="1"/>
  <c r="AZ64" i="15" s="1"/>
  <c r="BE63" i="15"/>
  <c r="BD63" i="15"/>
  <c r="BA63" i="15"/>
  <c r="BB63" i="15" s="1"/>
  <c r="AY63" i="15"/>
  <c r="AU63" i="15"/>
  <c r="AT63" i="15"/>
  <c r="AS63" i="15"/>
  <c r="AR63" i="15"/>
  <c r="AQ63" i="15"/>
  <c r="AP63" i="15"/>
  <c r="AO63" i="15"/>
  <c r="BE62" i="15"/>
  <c r="BD62" i="15"/>
  <c r="BA62" i="15"/>
  <c r="BB62" i="15" s="1"/>
  <c r="AY62" i="15"/>
  <c r="AU62" i="15"/>
  <c r="AT62" i="15"/>
  <c r="AS62" i="15"/>
  <c r="AR62" i="15"/>
  <c r="AV62" i="15" s="1"/>
  <c r="AZ62" i="15" s="1"/>
  <c r="AQ62" i="15"/>
  <c r="AP62" i="15"/>
  <c r="AO62" i="15"/>
  <c r="BE61" i="15"/>
  <c r="BD61" i="15"/>
  <c r="BA61" i="15"/>
  <c r="BB61" i="15" s="1"/>
  <c r="AY61" i="15"/>
  <c r="AU61" i="15"/>
  <c r="AT61" i="15"/>
  <c r="AS61" i="15"/>
  <c r="AR61" i="15"/>
  <c r="AQ61" i="15"/>
  <c r="AP61" i="15"/>
  <c r="AO61" i="15"/>
  <c r="BE60" i="15"/>
  <c r="BD60" i="15"/>
  <c r="BB60" i="15"/>
  <c r="BA60" i="15"/>
  <c r="AY60" i="15"/>
  <c r="AU60" i="15"/>
  <c r="AT60" i="15"/>
  <c r="AS60" i="15"/>
  <c r="AR60" i="15"/>
  <c r="AQ60" i="15"/>
  <c r="AP60" i="15"/>
  <c r="AO60" i="15"/>
  <c r="AV60" i="15" s="1"/>
  <c r="AZ60" i="15" s="1"/>
  <c r="BE59" i="15"/>
  <c r="BD59" i="15"/>
  <c r="BA59" i="15"/>
  <c r="BB59" i="15" s="1"/>
  <c r="AY59" i="15"/>
  <c r="AU59" i="15"/>
  <c r="AT59" i="15"/>
  <c r="AS59" i="15"/>
  <c r="AR59" i="15"/>
  <c r="AQ59" i="15"/>
  <c r="AP59" i="15"/>
  <c r="AO59" i="15"/>
  <c r="AV59" i="15" s="1"/>
  <c r="AZ59" i="15" s="1"/>
  <c r="BE58" i="15"/>
  <c r="BD58" i="15"/>
  <c r="BA58" i="15"/>
  <c r="BB58" i="15" s="1"/>
  <c r="AY58" i="15"/>
  <c r="AU58" i="15"/>
  <c r="AT58" i="15"/>
  <c r="AS58" i="15"/>
  <c r="AR58" i="15"/>
  <c r="AV58" i="15" s="1"/>
  <c r="AZ58" i="15" s="1"/>
  <c r="AQ58" i="15"/>
  <c r="AP58" i="15"/>
  <c r="AO58" i="15"/>
  <c r="BE57" i="15"/>
  <c r="BD57" i="15"/>
  <c r="BA57" i="15"/>
  <c r="BB57" i="15" s="1"/>
  <c r="AY57" i="15"/>
  <c r="AU57" i="15"/>
  <c r="AT57" i="15"/>
  <c r="AS57" i="15"/>
  <c r="AR57" i="15"/>
  <c r="AQ57" i="15"/>
  <c r="AP57" i="15"/>
  <c r="AO57" i="15"/>
  <c r="BE56" i="15"/>
  <c r="BD56" i="15"/>
  <c r="BB56" i="15"/>
  <c r="BA56" i="15"/>
  <c r="AY56" i="15"/>
  <c r="AU56" i="15"/>
  <c r="AT56" i="15"/>
  <c r="AS56" i="15"/>
  <c r="AR56" i="15"/>
  <c r="AQ56" i="15"/>
  <c r="AP56" i="15"/>
  <c r="AO56" i="15"/>
  <c r="AV56" i="15" s="1"/>
  <c r="AZ56" i="15" s="1"/>
  <c r="BE55" i="15"/>
  <c r="BD55" i="15"/>
  <c r="BA55" i="15"/>
  <c r="BB55" i="15" s="1"/>
  <c r="AY55" i="15"/>
  <c r="AU55" i="15"/>
  <c r="AT55" i="15"/>
  <c r="AS55" i="15"/>
  <c r="AR55" i="15"/>
  <c r="AQ55" i="15"/>
  <c r="AP55" i="15"/>
  <c r="AO55" i="15"/>
  <c r="BE54" i="15"/>
  <c r="BD54" i="15"/>
  <c r="BA54" i="15"/>
  <c r="BB54" i="15" s="1"/>
  <c r="AY54" i="15"/>
  <c r="AU54" i="15"/>
  <c r="AT54" i="15"/>
  <c r="AS54" i="15"/>
  <c r="AR54" i="15"/>
  <c r="AV54" i="15" s="1"/>
  <c r="AZ54" i="15" s="1"/>
  <c r="AQ54" i="15"/>
  <c r="AP54" i="15"/>
  <c r="AO54" i="15"/>
  <c r="BE53" i="15"/>
  <c r="BD53" i="15"/>
  <c r="BA53" i="15"/>
  <c r="BB53" i="15" s="1"/>
  <c r="AY53" i="15"/>
  <c r="AU53" i="15"/>
  <c r="AT53" i="15"/>
  <c r="AS53" i="15"/>
  <c r="AR53" i="15"/>
  <c r="AQ53" i="15"/>
  <c r="AP53" i="15"/>
  <c r="AO53" i="15"/>
  <c r="BE52" i="15"/>
  <c r="BD52" i="15"/>
  <c r="BB52" i="15"/>
  <c r="BA52" i="15"/>
  <c r="AY52" i="15"/>
  <c r="AU52" i="15"/>
  <c r="AT52" i="15"/>
  <c r="AS52" i="15"/>
  <c r="AR52" i="15"/>
  <c r="AQ52" i="15"/>
  <c r="AP52" i="15"/>
  <c r="AO52" i="15"/>
  <c r="AV52" i="15" s="1"/>
  <c r="AZ52" i="15" s="1"/>
  <c r="BE51" i="15"/>
  <c r="BD51" i="15"/>
  <c r="BA51" i="15"/>
  <c r="BB51" i="15" s="1"/>
  <c r="AY51" i="15"/>
  <c r="AU51" i="15"/>
  <c r="AT51" i="15"/>
  <c r="AS51" i="15"/>
  <c r="AR51" i="15"/>
  <c r="AQ51" i="15"/>
  <c r="AP51" i="15"/>
  <c r="AO51" i="15"/>
  <c r="AV51" i="15" s="1"/>
  <c r="AZ51" i="15" s="1"/>
  <c r="BE50" i="15"/>
  <c r="BD50" i="15"/>
  <c r="BA50" i="15"/>
  <c r="BB50" i="15" s="1"/>
  <c r="AY50" i="15"/>
  <c r="AU50" i="15"/>
  <c r="AT50" i="15"/>
  <c r="AS50" i="15"/>
  <c r="AR50" i="15"/>
  <c r="AV50" i="15" s="1"/>
  <c r="AZ50" i="15" s="1"/>
  <c r="AQ50" i="15"/>
  <c r="AP50" i="15"/>
  <c r="AO50" i="15"/>
  <c r="BE49" i="15"/>
  <c r="BD49" i="15"/>
  <c r="BA49" i="15"/>
  <c r="BB49" i="15" s="1"/>
  <c r="AY49" i="15"/>
  <c r="AU49" i="15"/>
  <c r="AT49" i="15"/>
  <c r="AS49" i="15"/>
  <c r="AR49" i="15"/>
  <c r="AQ49" i="15"/>
  <c r="AP49" i="15"/>
  <c r="AO49" i="15"/>
  <c r="BE48" i="15"/>
  <c r="BD48" i="15"/>
  <c r="BB48" i="15"/>
  <c r="BA48" i="15"/>
  <c r="AY48" i="15"/>
  <c r="AU48" i="15"/>
  <c r="AT48" i="15"/>
  <c r="AS48" i="15"/>
  <c r="AR48" i="15"/>
  <c r="AQ48" i="15"/>
  <c r="AP48" i="15"/>
  <c r="AO48" i="15"/>
  <c r="AV48" i="15" s="1"/>
  <c r="AZ48" i="15" s="1"/>
  <c r="BE47" i="15"/>
  <c r="BD47" i="15"/>
  <c r="BA47" i="15"/>
  <c r="BB47" i="15" s="1"/>
  <c r="AY47" i="15"/>
  <c r="AU47" i="15"/>
  <c r="AT47" i="15"/>
  <c r="AS47" i="15"/>
  <c r="AR47" i="15"/>
  <c r="AQ47" i="15"/>
  <c r="AP47" i="15"/>
  <c r="AO47" i="15"/>
  <c r="BE46" i="15"/>
  <c r="BD46" i="15"/>
  <c r="BA46" i="15"/>
  <c r="BB46" i="15" s="1"/>
  <c r="AY46" i="15"/>
  <c r="AU46" i="15"/>
  <c r="AT46" i="15"/>
  <c r="AS46" i="15"/>
  <c r="AR46" i="15"/>
  <c r="AV46" i="15" s="1"/>
  <c r="AZ46" i="15" s="1"/>
  <c r="AQ46" i="15"/>
  <c r="AP46" i="15"/>
  <c r="AO46" i="15"/>
  <c r="BE45" i="15"/>
  <c r="BD45" i="15"/>
  <c r="BA45" i="15"/>
  <c r="BB45" i="15" s="1"/>
  <c r="AY45" i="15"/>
  <c r="AU45" i="15"/>
  <c r="AT45" i="15"/>
  <c r="AS45" i="15"/>
  <c r="AR45" i="15"/>
  <c r="AQ45" i="15"/>
  <c r="AP45" i="15"/>
  <c r="AO45" i="15"/>
  <c r="BE44" i="15"/>
  <c r="BD44" i="15"/>
  <c r="BB44" i="15"/>
  <c r="BA44" i="15"/>
  <c r="AY44" i="15"/>
  <c r="AU44" i="15"/>
  <c r="AT44" i="15"/>
  <c r="AS44" i="15"/>
  <c r="AR44" i="15"/>
  <c r="AQ44" i="15"/>
  <c r="AP44" i="15"/>
  <c r="AO44" i="15"/>
  <c r="AV44" i="15" s="1"/>
  <c r="AZ44" i="15" s="1"/>
  <c r="BE43" i="15"/>
  <c r="BD43" i="15"/>
  <c r="BA43" i="15"/>
  <c r="BB43" i="15" s="1"/>
  <c r="AY43" i="15"/>
  <c r="AU43" i="15"/>
  <c r="AT43" i="15"/>
  <c r="AS43" i="15"/>
  <c r="AR43" i="15"/>
  <c r="AQ43" i="15"/>
  <c r="AP43" i="15"/>
  <c r="AO43" i="15"/>
  <c r="AV43" i="15" s="1"/>
  <c r="AZ43" i="15" s="1"/>
  <c r="BE42" i="15"/>
  <c r="BD42" i="15"/>
  <c r="BA42" i="15"/>
  <c r="BB42" i="15" s="1"/>
  <c r="AY42" i="15"/>
  <c r="AU42" i="15"/>
  <c r="AT42" i="15"/>
  <c r="AS42" i="15"/>
  <c r="AR42" i="15"/>
  <c r="AV42" i="15" s="1"/>
  <c r="AZ42" i="15" s="1"/>
  <c r="AQ42" i="15"/>
  <c r="AP42" i="15"/>
  <c r="AO42" i="15"/>
  <c r="BE41" i="15"/>
  <c r="BD41" i="15"/>
  <c r="BA41" i="15"/>
  <c r="BB41" i="15" s="1"/>
  <c r="AY41" i="15"/>
  <c r="AU41" i="15"/>
  <c r="AT41" i="15"/>
  <c r="AS41" i="15"/>
  <c r="AR41" i="15"/>
  <c r="AQ41" i="15"/>
  <c r="AP41" i="15"/>
  <c r="AO41" i="15"/>
  <c r="BE40" i="15"/>
  <c r="BD40" i="15"/>
  <c r="BB40" i="15"/>
  <c r="BA40" i="15"/>
  <c r="AY40" i="15"/>
  <c r="AU40" i="15"/>
  <c r="AT40" i="15"/>
  <c r="AS40" i="15"/>
  <c r="AR40" i="15"/>
  <c r="AQ40" i="15"/>
  <c r="AP40" i="15"/>
  <c r="AO40" i="15"/>
  <c r="AV40" i="15" s="1"/>
  <c r="AZ40" i="15" s="1"/>
  <c r="BE39" i="15"/>
  <c r="BD39" i="15"/>
  <c r="BA39" i="15"/>
  <c r="BB39" i="15" s="1"/>
  <c r="AY39" i="15"/>
  <c r="AU39" i="15"/>
  <c r="AT39" i="15"/>
  <c r="AS39" i="15"/>
  <c r="AR39" i="15"/>
  <c r="AQ39" i="15"/>
  <c r="AP39" i="15"/>
  <c r="AO39" i="15"/>
  <c r="BE38" i="15"/>
  <c r="BD38" i="15"/>
  <c r="BA38" i="15"/>
  <c r="BB38" i="15" s="1"/>
  <c r="AY38" i="15"/>
  <c r="AU38" i="15"/>
  <c r="AT38" i="15"/>
  <c r="AS38" i="15"/>
  <c r="AR38" i="15"/>
  <c r="AV38" i="15" s="1"/>
  <c r="AZ38" i="15" s="1"/>
  <c r="AQ38" i="15"/>
  <c r="AP38" i="15"/>
  <c r="AO38" i="15"/>
  <c r="BE37" i="15"/>
  <c r="BD37" i="15"/>
  <c r="BA37" i="15"/>
  <c r="BB37" i="15" s="1"/>
  <c r="AY37" i="15"/>
  <c r="AU37" i="15"/>
  <c r="AT37" i="15"/>
  <c r="AS37" i="15"/>
  <c r="AR37" i="15"/>
  <c r="AQ37" i="15"/>
  <c r="AP37" i="15"/>
  <c r="AO37" i="15"/>
  <c r="BE36" i="15"/>
  <c r="BD36" i="15"/>
  <c r="BB36" i="15"/>
  <c r="BA36" i="15"/>
  <c r="AY36" i="15"/>
  <c r="AU36" i="15"/>
  <c r="AT36" i="15"/>
  <c r="AS36" i="15"/>
  <c r="AR36" i="15"/>
  <c r="AQ36" i="15"/>
  <c r="AP36" i="15"/>
  <c r="AO36" i="15"/>
  <c r="AV36" i="15" s="1"/>
  <c r="AZ36" i="15" s="1"/>
  <c r="BE35" i="15"/>
  <c r="BD35" i="15"/>
  <c r="BA35" i="15"/>
  <c r="BB35" i="15" s="1"/>
  <c r="AY35" i="15"/>
  <c r="AU35" i="15"/>
  <c r="AT35" i="15"/>
  <c r="AS35" i="15"/>
  <c r="AR35" i="15"/>
  <c r="AQ35" i="15"/>
  <c r="AP35" i="15"/>
  <c r="AO35" i="15"/>
  <c r="AV35" i="15" s="1"/>
  <c r="AZ35" i="15" s="1"/>
  <c r="BE34" i="15"/>
  <c r="BD34" i="15"/>
  <c r="BA34" i="15"/>
  <c r="BB34" i="15" s="1"/>
  <c r="AY34" i="15"/>
  <c r="AU34" i="15"/>
  <c r="AT34" i="15"/>
  <c r="AS34" i="15"/>
  <c r="AR34" i="15"/>
  <c r="AV34" i="15" s="1"/>
  <c r="AZ34" i="15" s="1"/>
  <c r="AQ34" i="15"/>
  <c r="AP34" i="15"/>
  <c r="AO34" i="15"/>
  <c r="BE33" i="15"/>
  <c r="BD33" i="15"/>
  <c r="BA33" i="15"/>
  <c r="BB33" i="15" s="1"/>
  <c r="AY33" i="15"/>
  <c r="AU33" i="15"/>
  <c r="AT33" i="15"/>
  <c r="AS33" i="15"/>
  <c r="AR33" i="15"/>
  <c r="AQ33" i="15"/>
  <c r="AP33" i="15"/>
  <c r="AO33" i="15"/>
  <c r="BE32" i="15"/>
  <c r="BD32" i="15"/>
  <c r="BB32" i="15"/>
  <c r="BA32" i="15"/>
  <c r="AY32" i="15"/>
  <c r="AU32" i="15"/>
  <c r="AT32" i="15"/>
  <c r="AS32" i="15"/>
  <c r="AR32" i="15"/>
  <c r="AQ32" i="15"/>
  <c r="AP32" i="15"/>
  <c r="AO32" i="15"/>
  <c r="AV32" i="15" s="1"/>
  <c r="AZ32" i="15" s="1"/>
  <c r="BE31" i="15"/>
  <c r="BD31" i="15"/>
  <c r="BA31" i="15"/>
  <c r="BB31" i="15" s="1"/>
  <c r="AY31" i="15"/>
  <c r="AU31" i="15"/>
  <c r="AT31" i="15"/>
  <c r="AS31" i="15"/>
  <c r="AR31" i="15"/>
  <c r="AQ31" i="15"/>
  <c r="AP31" i="15"/>
  <c r="AO31" i="15"/>
  <c r="BE30" i="15"/>
  <c r="BD30" i="15"/>
  <c r="BA30" i="15"/>
  <c r="BB30" i="15" s="1"/>
  <c r="AY30" i="15"/>
  <c r="AU30" i="15"/>
  <c r="AT30" i="15"/>
  <c r="AS30" i="15"/>
  <c r="AR30" i="15"/>
  <c r="AV30" i="15" s="1"/>
  <c r="AZ30" i="15" s="1"/>
  <c r="AQ30" i="15"/>
  <c r="AP30" i="15"/>
  <c r="AO30" i="15"/>
  <c r="BE29" i="15"/>
  <c r="BD29" i="15"/>
  <c r="BA29" i="15"/>
  <c r="BB29" i="15" s="1"/>
  <c r="AY29" i="15"/>
  <c r="AU29" i="15"/>
  <c r="AT29" i="15"/>
  <c r="AS29" i="15"/>
  <c r="AR29" i="15"/>
  <c r="AQ29" i="15"/>
  <c r="AP29" i="15"/>
  <c r="AO29" i="15"/>
  <c r="BE28" i="15"/>
  <c r="BD28" i="15"/>
  <c r="BB28" i="15"/>
  <c r="BA28" i="15"/>
  <c r="AY28" i="15"/>
  <c r="AU28" i="15"/>
  <c r="AT28" i="15"/>
  <c r="AS28" i="15"/>
  <c r="AR28" i="15"/>
  <c r="AQ28" i="15"/>
  <c r="AP28" i="15"/>
  <c r="AO28" i="15"/>
  <c r="AV28" i="15" s="1"/>
  <c r="AZ28" i="15" s="1"/>
  <c r="BE27" i="15"/>
  <c r="BD27" i="15"/>
  <c r="BA27" i="15"/>
  <c r="BB27" i="15" s="1"/>
  <c r="AY27" i="15"/>
  <c r="AU27" i="15"/>
  <c r="AT27" i="15"/>
  <c r="AS27" i="15"/>
  <c r="AR27" i="15"/>
  <c r="AQ27" i="15"/>
  <c r="AP27" i="15"/>
  <c r="AO27" i="15"/>
  <c r="AV27" i="15" s="1"/>
  <c r="AZ27" i="15" s="1"/>
  <c r="BE26" i="15"/>
  <c r="BD26" i="15"/>
  <c r="BA26" i="15"/>
  <c r="BB26" i="15" s="1"/>
  <c r="AY26" i="15"/>
  <c r="AU26" i="15"/>
  <c r="AT26" i="15"/>
  <c r="AS26" i="15"/>
  <c r="AR26" i="15"/>
  <c r="AV26" i="15" s="1"/>
  <c r="AZ26" i="15" s="1"/>
  <c r="AQ26" i="15"/>
  <c r="AP26" i="15"/>
  <c r="AO26" i="15"/>
  <c r="BE25" i="15"/>
  <c r="BD25" i="15"/>
  <c r="BA25" i="15"/>
  <c r="BB25" i="15" s="1"/>
  <c r="AY25" i="15"/>
  <c r="AU25" i="15"/>
  <c r="AT25" i="15"/>
  <c r="AS25" i="15"/>
  <c r="AR25" i="15"/>
  <c r="AQ25" i="15"/>
  <c r="AP25" i="15"/>
  <c r="AO25" i="15"/>
  <c r="BE24" i="15"/>
  <c r="BD24" i="15"/>
  <c r="BB24" i="15"/>
  <c r="BA24" i="15"/>
  <c r="AY24" i="15"/>
  <c r="AU24" i="15"/>
  <c r="AT24" i="15"/>
  <c r="AS24" i="15"/>
  <c r="AR24" i="15"/>
  <c r="AQ24" i="15"/>
  <c r="AP24" i="15"/>
  <c r="AO24" i="15"/>
  <c r="AV24" i="15" s="1"/>
  <c r="AZ24" i="15" s="1"/>
  <c r="BE23" i="15"/>
  <c r="BD23" i="15"/>
  <c r="BA23" i="15"/>
  <c r="BB23" i="15" s="1"/>
  <c r="AY23" i="15"/>
  <c r="AU23" i="15"/>
  <c r="AT23" i="15"/>
  <c r="AS23" i="15"/>
  <c r="AR23" i="15"/>
  <c r="AQ23" i="15"/>
  <c r="AP23" i="15"/>
  <c r="AO23" i="15"/>
  <c r="BE22" i="15"/>
  <c r="BD22" i="15"/>
  <c r="BA22" i="15"/>
  <c r="BB22" i="15" s="1"/>
  <c r="AY22" i="15"/>
  <c r="AU22" i="15"/>
  <c r="AT22" i="15"/>
  <c r="AS22" i="15"/>
  <c r="AR22" i="15"/>
  <c r="AV22" i="15" s="1"/>
  <c r="AZ22" i="15" s="1"/>
  <c r="AQ22" i="15"/>
  <c r="AP22" i="15"/>
  <c r="AO22" i="15"/>
  <c r="BE21" i="15"/>
  <c r="BD21" i="15"/>
  <c r="BA21" i="15"/>
  <c r="BB21" i="15" s="1"/>
  <c r="AY21" i="15"/>
  <c r="AU21" i="15"/>
  <c r="AT21" i="15"/>
  <c r="AS21" i="15"/>
  <c r="AR21" i="15"/>
  <c r="AQ21" i="15"/>
  <c r="AP21" i="15"/>
  <c r="AO21" i="15"/>
  <c r="BE20" i="15"/>
  <c r="BD20" i="15"/>
  <c r="BB20" i="15"/>
  <c r="BA20" i="15"/>
  <c r="AY20" i="15"/>
  <c r="AU20" i="15"/>
  <c r="AT20" i="15"/>
  <c r="AS20" i="15"/>
  <c r="AR20" i="15"/>
  <c r="AQ20" i="15"/>
  <c r="AP20" i="15"/>
  <c r="AO20" i="15"/>
  <c r="AV20" i="15" s="1"/>
  <c r="AZ20" i="15" s="1"/>
  <c r="BE19" i="15"/>
  <c r="BD19" i="15"/>
  <c r="BA19" i="15"/>
  <c r="BB19" i="15" s="1"/>
  <c r="AY19" i="15"/>
  <c r="AU19" i="15"/>
  <c r="AT19" i="15"/>
  <c r="AS19" i="15"/>
  <c r="AR19" i="15"/>
  <c r="AQ19" i="15"/>
  <c r="AP19" i="15"/>
  <c r="AO19" i="15"/>
  <c r="AV19" i="15" s="1"/>
  <c r="AZ19" i="15" s="1"/>
  <c r="BE18" i="15"/>
  <c r="BD18" i="15"/>
  <c r="BA18" i="15"/>
  <c r="BB18" i="15" s="1"/>
  <c r="AY18" i="15"/>
  <c r="AU18" i="15"/>
  <c r="AT18" i="15"/>
  <c r="AS18" i="15"/>
  <c r="AR18" i="15"/>
  <c r="AV18" i="15" s="1"/>
  <c r="AZ18" i="15" s="1"/>
  <c r="AQ18" i="15"/>
  <c r="AP18" i="15"/>
  <c r="AO18" i="15"/>
  <c r="BE17" i="15"/>
  <c r="BD17" i="15"/>
  <c r="BA17" i="15"/>
  <c r="BB17" i="15" s="1"/>
  <c r="AY17" i="15"/>
  <c r="AU17" i="15"/>
  <c r="AT17" i="15"/>
  <c r="AS17" i="15"/>
  <c r="AR17" i="15"/>
  <c r="AQ17" i="15"/>
  <c r="AP17" i="15"/>
  <c r="AO17" i="15"/>
  <c r="BE16" i="15"/>
  <c r="BD16" i="15"/>
  <c r="BB16" i="15"/>
  <c r="BA16" i="15"/>
  <c r="AY16" i="15"/>
  <c r="AU16" i="15"/>
  <c r="AT16" i="15"/>
  <c r="AS16" i="15"/>
  <c r="AR16" i="15"/>
  <c r="AV16" i="15" s="1"/>
  <c r="AZ16" i="15" s="1"/>
  <c r="AQ16" i="15"/>
  <c r="AP16" i="15"/>
  <c r="AO16" i="15"/>
  <c r="BE15" i="15"/>
  <c r="BD15" i="15"/>
  <c r="BB15" i="15"/>
  <c r="BA15" i="15"/>
  <c r="AY15" i="15"/>
  <c r="AU15" i="15"/>
  <c r="AT15" i="15"/>
  <c r="AS15" i="15"/>
  <c r="AR15" i="15"/>
  <c r="AQ15" i="15"/>
  <c r="AP15" i="15"/>
  <c r="AV15" i="15" s="1"/>
  <c r="AZ15" i="15" s="1"/>
  <c r="AO15" i="15"/>
  <c r="BE14" i="15"/>
  <c r="BD14" i="15"/>
  <c r="BB14" i="15"/>
  <c r="BA14" i="15"/>
  <c r="AY14" i="15"/>
  <c r="AU14" i="15"/>
  <c r="AT14" i="15"/>
  <c r="AS14" i="15"/>
  <c r="AR14" i="15"/>
  <c r="AV14" i="15" s="1"/>
  <c r="AZ14" i="15" s="1"/>
  <c r="AQ14" i="15"/>
  <c r="AP14" i="15"/>
  <c r="AO14" i="15"/>
  <c r="BE13" i="15"/>
  <c r="BD13" i="15"/>
  <c r="BB13" i="15"/>
  <c r="BA13" i="15"/>
  <c r="AY13" i="15"/>
  <c r="AU13" i="15"/>
  <c r="AT13" i="15"/>
  <c r="AS13" i="15"/>
  <c r="AR13" i="15"/>
  <c r="AQ13" i="15"/>
  <c r="AP13" i="15"/>
  <c r="AV13" i="15" s="1"/>
  <c r="AZ13" i="15" s="1"/>
  <c r="AO13" i="15"/>
  <c r="BE12" i="15"/>
  <c r="BD12" i="15"/>
  <c r="BB12" i="15"/>
  <c r="BA12" i="15"/>
  <c r="AY12" i="15"/>
  <c r="AU12" i="15"/>
  <c r="AT12" i="15"/>
  <c r="AS12" i="15"/>
  <c r="AR12" i="15"/>
  <c r="AV12" i="15" s="1"/>
  <c r="AZ12" i="15" s="1"/>
  <c r="AQ12" i="15"/>
  <c r="AP12" i="15"/>
  <c r="AO12" i="15"/>
  <c r="BE11" i="15"/>
  <c r="BD11" i="15"/>
  <c r="BB11" i="15"/>
  <c r="BA11" i="15"/>
  <c r="AY11" i="15"/>
  <c r="AU11" i="15"/>
  <c r="AT11" i="15"/>
  <c r="AS11" i="15"/>
  <c r="AR11" i="15"/>
  <c r="AQ11" i="15"/>
  <c r="AP11" i="15"/>
  <c r="AV11" i="15" s="1"/>
  <c r="AZ11" i="15" s="1"/>
  <c r="AO11" i="15"/>
  <c r="BE10" i="15"/>
  <c r="BD10" i="15"/>
  <c r="BB10" i="15"/>
  <c r="BA10" i="15"/>
  <c r="AY10" i="15"/>
  <c r="AU10" i="15"/>
  <c r="AT10" i="15"/>
  <c r="AS10" i="15"/>
  <c r="AR10" i="15"/>
  <c r="AV10" i="15" s="1"/>
  <c r="AZ10" i="15" s="1"/>
  <c r="AQ10" i="15"/>
  <c r="AP10" i="15"/>
  <c r="AO10" i="15"/>
  <c r="BE9" i="15"/>
  <c r="BD9" i="15"/>
  <c r="BB9" i="15"/>
  <c r="BA9" i="15"/>
  <c r="AY9" i="15"/>
  <c r="AU9" i="15"/>
  <c r="AT9" i="15"/>
  <c r="AS9" i="15"/>
  <c r="AR9" i="15"/>
  <c r="AQ9" i="15"/>
  <c r="AP9" i="15"/>
  <c r="AV9" i="15" s="1"/>
  <c r="AZ9" i="15" s="1"/>
  <c r="AO9" i="15"/>
  <c r="BE8" i="15"/>
  <c r="BD8" i="15"/>
  <c r="BB8" i="15"/>
  <c r="BA8" i="15"/>
  <c r="AY8" i="15"/>
  <c r="AU8" i="15"/>
  <c r="AT8" i="15"/>
  <c r="AS8" i="15"/>
  <c r="AR8" i="15"/>
  <c r="AV8" i="15" s="1"/>
  <c r="AZ8" i="15" s="1"/>
  <c r="AQ8" i="15"/>
  <c r="AP8" i="15"/>
  <c r="AO8" i="15"/>
  <c r="BE7" i="15"/>
  <c r="BD7" i="15"/>
  <c r="BB7" i="15"/>
  <c r="BA7" i="15"/>
  <c r="AY7" i="15"/>
  <c r="AU7" i="15"/>
  <c r="AT7" i="15"/>
  <c r="AS7" i="15"/>
  <c r="AR7" i="15"/>
  <c r="AQ7" i="15"/>
  <c r="AP7" i="15"/>
  <c r="AV7" i="15" s="1"/>
  <c r="AZ7" i="15" s="1"/>
  <c r="AO7" i="15"/>
  <c r="BE6" i="15"/>
  <c r="BD6" i="15"/>
  <c r="BB6" i="15"/>
  <c r="BA6" i="15"/>
  <c r="AY6" i="15"/>
  <c r="AU6" i="15"/>
  <c r="AT6" i="15"/>
  <c r="AS6" i="15"/>
  <c r="AR6" i="15"/>
  <c r="AV6" i="15" s="1"/>
  <c r="AZ6" i="15" s="1"/>
  <c r="AQ6" i="15"/>
  <c r="AP6" i="15"/>
  <c r="AO6" i="15"/>
  <c r="BE5" i="15"/>
  <c r="BD5" i="15"/>
  <c r="BB5" i="15"/>
  <c r="BA5" i="15"/>
  <c r="AY5" i="15"/>
  <c r="AU5" i="15"/>
  <c r="AT5" i="15"/>
  <c r="AS5" i="15"/>
  <c r="AR5" i="15"/>
  <c r="AQ5" i="15"/>
  <c r="AP5" i="15"/>
  <c r="AV5" i="15" s="1"/>
  <c r="AZ5" i="15" s="1"/>
  <c r="AO5" i="15"/>
  <c r="BE4" i="15"/>
  <c r="BD4" i="15"/>
  <c r="BB4" i="15"/>
  <c r="BA4" i="15"/>
  <c r="AY4" i="15"/>
  <c r="AU4" i="15"/>
  <c r="AT4" i="15"/>
  <c r="AS4" i="15"/>
  <c r="AR4" i="15"/>
  <c r="AV4" i="15" s="1"/>
  <c r="AQ4" i="15"/>
  <c r="AP4" i="15"/>
  <c r="AO4" i="15"/>
  <c r="BB257" i="15" l="1"/>
  <c r="AZ4" i="15"/>
  <c r="AY255" i="15"/>
  <c r="AY257" i="15"/>
  <c r="BD257" i="15"/>
  <c r="BD255" i="15"/>
  <c r="BD256" i="15" s="1"/>
  <c r="AV21" i="15"/>
  <c r="AZ21" i="15" s="1"/>
  <c r="AV29" i="15"/>
  <c r="AZ29" i="15" s="1"/>
  <c r="AV37" i="15"/>
  <c r="AZ37" i="15" s="1"/>
  <c r="AV45" i="15"/>
  <c r="AZ45" i="15" s="1"/>
  <c r="AV53" i="15"/>
  <c r="AZ53" i="15" s="1"/>
  <c r="AV61" i="15"/>
  <c r="AZ61" i="15" s="1"/>
  <c r="AV69" i="15"/>
  <c r="AZ69" i="15" s="1"/>
  <c r="AV77" i="15"/>
  <c r="AZ77" i="15" s="1"/>
  <c r="AV85" i="15"/>
  <c r="AZ85" i="15" s="1"/>
  <c r="AZ143" i="15"/>
  <c r="AZ151" i="15"/>
  <c r="AZ159" i="15"/>
  <c r="BE255" i="15"/>
  <c r="BE257" i="15"/>
  <c r="AV23" i="15"/>
  <c r="AZ23" i="15" s="1"/>
  <c r="AV31" i="15"/>
  <c r="AZ31" i="15" s="1"/>
  <c r="AV47" i="15"/>
  <c r="AZ47" i="15" s="1"/>
  <c r="AV63" i="15"/>
  <c r="AZ63" i="15" s="1"/>
  <c r="AV71" i="15"/>
  <c r="AZ71" i="15" s="1"/>
  <c r="AV79" i="15"/>
  <c r="AZ79" i="15" s="1"/>
  <c r="E271" i="15"/>
  <c r="E295" i="15" s="1"/>
  <c r="C261" i="15"/>
  <c r="E288" i="15"/>
  <c r="U271" i="15"/>
  <c r="U295" i="15" s="1"/>
  <c r="AM261" i="15"/>
  <c r="AM288" i="15" s="1"/>
  <c r="U288" i="15"/>
  <c r="AL261" i="15"/>
  <c r="AL288" i="15" s="1"/>
  <c r="AV39" i="15"/>
  <c r="AZ39" i="15" s="1"/>
  <c r="AV55" i="15"/>
  <c r="AZ55" i="15" s="1"/>
  <c r="BA257" i="15"/>
  <c r="BA255" i="15"/>
  <c r="BB255" i="15" s="1"/>
  <c r="AV17" i="15"/>
  <c r="AZ17" i="15" s="1"/>
  <c r="AV25" i="15"/>
  <c r="AZ25" i="15" s="1"/>
  <c r="AV33" i="15"/>
  <c r="AZ33" i="15" s="1"/>
  <c r="AV41" i="15"/>
  <c r="AZ41" i="15" s="1"/>
  <c r="AV49" i="15"/>
  <c r="AZ49" i="15" s="1"/>
  <c r="AV57" i="15"/>
  <c r="AZ57" i="15" s="1"/>
  <c r="AV65" i="15"/>
  <c r="AZ65" i="15" s="1"/>
  <c r="AV73" i="15"/>
  <c r="AZ73" i="15" s="1"/>
  <c r="AV81" i="15"/>
  <c r="AZ81" i="15" s="1"/>
  <c r="AV89" i="15"/>
  <c r="AZ89" i="15" s="1"/>
  <c r="AZ175" i="15"/>
  <c r="AZ190" i="15"/>
  <c r="AZ206" i="15"/>
  <c r="AV95" i="15"/>
  <c r="AZ95" i="15" s="1"/>
  <c r="AV103" i="15"/>
  <c r="AZ103" i="15" s="1"/>
  <c r="AV111" i="15"/>
  <c r="AZ111" i="15" s="1"/>
  <c r="AV119" i="15"/>
  <c r="AZ119" i="15" s="1"/>
  <c r="AV127" i="15"/>
  <c r="AZ127" i="15" s="1"/>
  <c r="AV135" i="15"/>
  <c r="AZ135" i="15" s="1"/>
  <c r="H284" i="15"/>
  <c r="H264" i="15"/>
  <c r="H267" i="15"/>
  <c r="H291" i="15" s="1"/>
  <c r="L284" i="15"/>
  <c r="L264" i="15"/>
  <c r="P284" i="15"/>
  <c r="P264" i="15"/>
  <c r="P267" i="15"/>
  <c r="P291" i="15" s="1"/>
  <c r="T284" i="15"/>
  <c r="T264" i="15"/>
  <c r="X284" i="15"/>
  <c r="X267" i="15"/>
  <c r="X291" i="15" s="1"/>
  <c r="X264" i="15"/>
  <c r="AB284" i="15"/>
  <c r="AB264" i="15"/>
  <c r="AF284" i="15"/>
  <c r="AF267" i="15"/>
  <c r="AF291" i="15" s="1"/>
  <c r="AF264" i="15"/>
  <c r="AJ284" i="15"/>
  <c r="AJ264" i="15"/>
  <c r="AV97" i="15"/>
  <c r="AZ97" i="15" s="1"/>
  <c r="AV105" i="15"/>
  <c r="AZ105" i="15" s="1"/>
  <c r="AV113" i="15"/>
  <c r="AZ113" i="15" s="1"/>
  <c r="AV121" i="15"/>
  <c r="AZ121" i="15" s="1"/>
  <c r="AV129" i="15"/>
  <c r="AZ129" i="15" s="1"/>
  <c r="AV137" i="15"/>
  <c r="AZ137" i="15" s="1"/>
  <c r="AV145" i="15"/>
  <c r="AZ145" i="15" s="1"/>
  <c r="AV153" i="15"/>
  <c r="AZ153" i="15" s="1"/>
  <c r="AZ189" i="15"/>
  <c r="AZ205" i="15"/>
  <c r="AZ213" i="15"/>
  <c r="AZ217" i="15"/>
  <c r="AZ221" i="15"/>
  <c r="AZ225" i="15"/>
  <c r="AZ229" i="15"/>
  <c r="AZ233" i="15"/>
  <c r="AZ237" i="15"/>
  <c r="AZ241" i="15"/>
  <c r="AZ245" i="15"/>
  <c r="AZ249" i="15"/>
  <c r="AM257" i="15"/>
  <c r="AM284" i="15" s="1"/>
  <c r="AV107" i="15"/>
  <c r="AZ107" i="15" s="1"/>
  <c r="AV115" i="15"/>
  <c r="AZ115" i="15" s="1"/>
  <c r="AV123" i="15"/>
  <c r="AZ123" i="15" s="1"/>
  <c r="AV131" i="15"/>
  <c r="AZ131" i="15" s="1"/>
  <c r="AV139" i="15"/>
  <c r="AZ139" i="15" s="1"/>
  <c r="AV147" i="15"/>
  <c r="AZ147" i="15" s="1"/>
  <c r="AV155" i="15"/>
  <c r="AZ155" i="15" s="1"/>
  <c r="AV163" i="15"/>
  <c r="AZ163" i="15" s="1"/>
  <c r="AV171" i="15"/>
  <c r="AZ171" i="15" s="1"/>
  <c r="AV179" i="15"/>
  <c r="AZ179" i="15" s="1"/>
  <c r="AV184" i="15"/>
  <c r="AZ184" i="15" s="1"/>
  <c r="AV192" i="15"/>
  <c r="AZ192" i="15" s="1"/>
  <c r="AV200" i="15"/>
  <c r="AZ200" i="15" s="1"/>
  <c r="AV208" i="15"/>
  <c r="AZ208" i="15" s="1"/>
  <c r="AV212" i="15"/>
  <c r="AZ212" i="15" s="1"/>
  <c r="AV216" i="15"/>
  <c r="AZ216" i="15" s="1"/>
  <c r="AV220" i="15"/>
  <c r="AZ220" i="15" s="1"/>
  <c r="AV224" i="15"/>
  <c r="AZ224" i="15" s="1"/>
  <c r="AV228" i="15"/>
  <c r="AZ228" i="15" s="1"/>
  <c r="AV232" i="15"/>
  <c r="AZ232" i="15" s="1"/>
  <c r="AV236" i="15"/>
  <c r="AZ236" i="15" s="1"/>
  <c r="AV240" i="15"/>
  <c r="AZ240" i="15" s="1"/>
  <c r="AV244" i="15"/>
  <c r="AZ244" i="15" s="1"/>
  <c r="AV248" i="15"/>
  <c r="AZ248" i="15" s="1"/>
  <c r="F264" i="15"/>
  <c r="F284" i="15"/>
  <c r="J284" i="15"/>
  <c r="J264" i="15"/>
  <c r="J267" i="15"/>
  <c r="J291" i="15" s="1"/>
  <c r="N264" i="15"/>
  <c r="N284" i="15"/>
  <c r="R284" i="15"/>
  <c r="R264" i="15"/>
  <c r="R267" i="15"/>
  <c r="R291" i="15" s="1"/>
  <c r="V264" i="15"/>
  <c r="V284" i="15"/>
  <c r="Z284" i="15"/>
  <c r="Z264" i="15"/>
  <c r="AD264" i="15"/>
  <c r="AD284" i="15"/>
  <c r="AH284" i="15"/>
  <c r="AH264" i="15"/>
  <c r="AH267" i="15"/>
  <c r="AH291" i="15" s="1"/>
  <c r="H286" i="15"/>
  <c r="H269" i="15"/>
  <c r="H293" i="15" s="1"/>
  <c r="P286" i="15"/>
  <c r="P269" i="15"/>
  <c r="P293" i="15" s="1"/>
  <c r="J289" i="15"/>
  <c r="J272" i="15"/>
  <c r="J296" i="15" s="1"/>
  <c r="AV186" i="15"/>
  <c r="AZ186" i="15" s="1"/>
  <c r="AV194" i="15"/>
  <c r="AZ194" i="15" s="1"/>
  <c r="AV202" i="15"/>
  <c r="AZ202" i="15" s="1"/>
  <c r="AV210" i="15"/>
  <c r="AZ210" i="15" s="1"/>
  <c r="AV211" i="15"/>
  <c r="AZ211" i="15" s="1"/>
  <c r="AV215" i="15"/>
  <c r="AZ215" i="15" s="1"/>
  <c r="AV219" i="15"/>
  <c r="AZ219" i="15" s="1"/>
  <c r="AV223" i="15"/>
  <c r="AZ223" i="15" s="1"/>
  <c r="AV227" i="15"/>
  <c r="AZ227" i="15" s="1"/>
  <c r="AV231" i="15"/>
  <c r="AZ231" i="15" s="1"/>
  <c r="AV235" i="15"/>
  <c r="AZ235" i="15" s="1"/>
  <c r="AV239" i="15"/>
  <c r="AZ239" i="15" s="1"/>
  <c r="AV243" i="15"/>
  <c r="AZ243" i="15" s="1"/>
  <c r="AV247" i="15"/>
  <c r="AZ247" i="15" s="1"/>
  <c r="AV253" i="15"/>
  <c r="AZ253" i="15" s="1"/>
  <c r="AV254" i="15"/>
  <c r="AZ254" i="15" s="1"/>
  <c r="J285" i="15"/>
  <c r="J268" i="15"/>
  <c r="J292" i="15" s="1"/>
  <c r="R285" i="15"/>
  <c r="R268" i="15"/>
  <c r="R292" i="15" s="1"/>
  <c r="Z285" i="15"/>
  <c r="Z268" i="15"/>
  <c r="Z292" i="15" s="1"/>
  <c r="AH285" i="15"/>
  <c r="AH268" i="15"/>
  <c r="AH292" i="15" s="1"/>
  <c r="AV251" i="15"/>
  <c r="AZ251" i="15" s="1"/>
  <c r="E274" i="15"/>
  <c r="E277" i="15" s="1"/>
  <c r="E267" i="15"/>
  <c r="E291" i="15" s="1"/>
  <c r="E264" i="15"/>
  <c r="I284" i="15"/>
  <c r="I264" i="15"/>
  <c r="M264" i="15"/>
  <c r="Q284" i="15"/>
  <c r="Q264" i="15"/>
  <c r="U274" i="15"/>
  <c r="U277" i="15" s="1"/>
  <c r="U267" i="15"/>
  <c r="U291" i="15" s="1"/>
  <c r="U264" i="15"/>
  <c r="Y284" i="15"/>
  <c r="Y264" i="15"/>
  <c r="AC264" i="15"/>
  <c r="AG284" i="15"/>
  <c r="AG264" i="15"/>
  <c r="AL257" i="15"/>
  <c r="AL284" i="15" s="1"/>
  <c r="E285" i="15"/>
  <c r="AL258" i="15"/>
  <c r="AL285" i="15" s="1"/>
  <c r="C258" i="15"/>
  <c r="C264" i="15" s="1"/>
  <c r="E268" i="15"/>
  <c r="E292" i="15" s="1"/>
  <c r="AM258" i="15"/>
  <c r="AM285" i="15" s="1"/>
  <c r="K286" i="15"/>
  <c r="K269" i="15"/>
  <c r="K293" i="15" s="1"/>
  <c r="O286" i="15"/>
  <c r="O269" i="15"/>
  <c r="O293" i="15" s="1"/>
  <c r="AE286" i="15"/>
  <c r="AE269" i="15"/>
  <c r="AE293" i="15" s="1"/>
  <c r="AM262" i="15"/>
  <c r="AM289" i="15" s="1"/>
  <c r="S264" i="15"/>
  <c r="M284" i="15"/>
  <c r="K285" i="15"/>
  <c r="R289" i="15"/>
  <c r="R272" i="15"/>
  <c r="R296" i="15" s="1"/>
  <c r="Z289" i="15"/>
  <c r="Z272" i="15"/>
  <c r="Z296" i="15" s="1"/>
  <c r="AH289" i="15"/>
  <c r="AH272" i="15"/>
  <c r="AH296" i="15" s="1"/>
  <c r="G264" i="15"/>
  <c r="W264" i="15"/>
  <c r="K268" i="15"/>
  <c r="K292" i="15" s="1"/>
  <c r="R295" i="15"/>
  <c r="U284" i="15"/>
  <c r="O285" i="15"/>
  <c r="O268" i="15"/>
  <c r="O292" i="15" s="1"/>
  <c r="AA292" i="15"/>
  <c r="H270" i="15"/>
  <c r="H294" i="15" s="1"/>
  <c r="H287" i="15"/>
  <c r="P287" i="15"/>
  <c r="P270" i="15"/>
  <c r="P294" i="15" s="1"/>
  <c r="X270" i="15"/>
  <c r="X294" i="15" s="1"/>
  <c r="X287" i="15"/>
  <c r="AA296" i="15"/>
  <c r="AA264" i="15"/>
  <c r="U268" i="15"/>
  <c r="U292" i="15" s="1"/>
  <c r="AA269" i="15"/>
  <c r="AA293" i="15" s="1"/>
  <c r="AC284" i="15"/>
  <c r="AA285" i="15"/>
  <c r="AF286" i="15"/>
  <c r="AF269" i="15"/>
  <c r="AF293" i="15" s="1"/>
  <c r="U270" i="15"/>
  <c r="U294" i="15" s="1"/>
  <c r="U287" i="15"/>
  <c r="AL260" i="15"/>
  <c r="AL287" i="15" s="1"/>
  <c r="AA267" i="15"/>
  <c r="AA291" i="15" s="1"/>
  <c r="X268" i="15"/>
  <c r="X292" i="15" s="1"/>
  <c r="AF268" i="15"/>
  <c r="AF292" i="15" s="1"/>
  <c r="J269" i="15"/>
  <c r="J293" i="15" s="1"/>
  <c r="R269" i="15"/>
  <c r="R293" i="15" s="1"/>
  <c r="AH270" i="15"/>
  <c r="AH294" i="15" s="1"/>
  <c r="H272" i="15"/>
  <c r="H296" i="15" s="1"/>
  <c r="Z286" i="15"/>
  <c r="AH286" i="15"/>
  <c r="AL259" i="15"/>
  <c r="AL286" i="15" s="1"/>
  <c r="J287" i="15"/>
  <c r="J270" i="15"/>
  <c r="J294" i="15" s="1"/>
  <c r="R287" i="15"/>
  <c r="R270" i="15"/>
  <c r="R294" i="15" s="1"/>
  <c r="AM260" i="15"/>
  <c r="AM287" i="15" s="1"/>
  <c r="O288" i="15"/>
  <c r="O271" i="15"/>
  <c r="O295" i="15" s="1"/>
  <c r="C262" i="15"/>
  <c r="K267" i="15"/>
  <c r="K291" i="15" s="1"/>
  <c r="AE267" i="15"/>
  <c r="AE291" i="15" s="1"/>
  <c r="H268" i="15"/>
  <c r="H292" i="15" s="1"/>
  <c r="P268" i="15"/>
  <c r="P292" i="15" s="1"/>
  <c r="U269" i="15"/>
  <c r="U293" i="15" s="1"/>
  <c r="E270" i="15"/>
  <c r="E294" i="15" s="1"/>
  <c r="J271" i="15"/>
  <c r="J295" i="15" s="1"/>
  <c r="AA271" i="15"/>
  <c r="AA295" i="15" s="1"/>
  <c r="O272" i="15"/>
  <c r="O296" i="15" s="1"/>
  <c r="AF272" i="15"/>
  <c r="AF296" i="15" s="1"/>
  <c r="E286" i="15"/>
  <c r="K287" i="15"/>
  <c r="AA287" i="15"/>
  <c r="AE289" i="15"/>
  <c r="AM259" i="15"/>
  <c r="AM286" i="15" s="1"/>
  <c r="H288" i="15"/>
  <c r="H271" i="15"/>
  <c r="H295" i="15" s="1"/>
  <c r="P288" i="15"/>
  <c r="P271" i="15"/>
  <c r="P295" i="15" s="1"/>
  <c r="X288" i="15"/>
  <c r="X271" i="15"/>
  <c r="X295" i="15" s="1"/>
  <c r="AF288" i="15"/>
  <c r="AF271" i="15"/>
  <c r="AF295" i="15" s="1"/>
  <c r="U272" i="15"/>
  <c r="U296" i="15" s="1"/>
  <c r="U289" i="15"/>
  <c r="AL262" i="15"/>
  <c r="AL289" i="15" s="1"/>
  <c r="O267" i="15"/>
  <c r="O291" i="15" s="1"/>
  <c r="X269" i="15"/>
  <c r="X293" i="15" s="1"/>
  <c r="Z270" i="15"/>
  <c r="Z294" i="15" s="1"/>
  <c r="K271" i="15"/>
  <c r="K295" i="15" s="1"/>
  <c r="AE271" i="15"/>
  <c r="AE295" i="15" s="1"/>
  <c r="P272" i="15"/>
  <c r="P296" i="15" s="1"/>
  <c r="Z288" i="15"/>
  <c r="AH288" i="15"/>
  <c r="C265" i="15" l="1"/>
  <c r="K265" i="15"/>
  <c r="AE265" i="15"/>
  <c r="AI265" i="15"/>
  <c r="O265" i="15"/>
  <c r="AC265" i="15"/>
  <c r="R265" i="15"/>
  <c r="AZ257" i="15"/>
  <c r="Y265" i="15"/>
  <c r="I265" i="15"/>
  <c r="J265" i="15"/>
  <c r="AF265" i="15"/>
  <c r="T265" i="15"/>
  <c r="H265" i="15"/>
  <c r="AV255" i="15"/>
  <c r="AZ255" i="15" s="1"/>
  <c r="AA265" i="15"/>
  <c r="W265" i="15"/>
  <c r="AG265" i="15"/>
  <c r="Q265" i="15"/>
  <c r="AD265" i="15"/>
  <c r="V265" i="15"/>
  <c r="X265" i="15"/>
  <c r="L265" i="15"/>
  <c r="AV257" i="15"/>
  <c r="S265" i="15"/>
  <c r="M265" i="15"/>
  <c r="F265" i="15"/>
  <c r="AB265" i="15"/>
  <c r="P265" i="15"/>
  <c r="G265" i="15"/>
  <c r="U265" i="15"/>
  <c r="E265" i="15"/>
  <c r="AH265" i="15"/>
  <c r="Z265" i="15"/>
  <c r="N265" i="15"/>
  <c r="AJ265" i="15"/>
  <c r="O283" i="14" l="1"/>
  <c r="S281" i="14"/>
  <c r="AH276" i="14"/>
  <c r="AF276" i="14"/>
  <c r="AE276" i="14"/>
  <c r="AA276" i="14"/>
  <c r="Z276" i="14"/>
  <c r="X276" i="14"/>
  <c r="U276" i="14"/>
  <c r="R276" i="14"/>
  <c r="P276" i="14"/>
  <c r="O276" i="14"/>
  <c r="K276" i="14"/>
  <c r="J276" i="14"/>
  <c r="H276" i="14"/>
  <c r="E276" i="14"/>
  <c r="R271" i="14"/>
  <c r="R291" i="14" s="1"/>
  <c r="AE268" i="14"/>
  <c r="AE288" i="14" s="1"/>
  <c r="H267" i="14"/>
  <c r="H287" i="14" s="1"/>
  <c r="K264" i="14"/>
  <c r="AJ262" i="14"/>
  <c r="AJ285" i="14" s="1"/>
  <c r="AI262" i="14"/>
  <c r="AI285" i="14" s="1"/>
  <c r="AH262" i="14"/>
  <c r="AG262" i="14"/>
  <c r="AG285" i="14" s="1"/>
  <c r="AF262" i="14"/>
  <c r="AF285" i="14" s="1"/>
  <c r="AE262" i="14"/>
  <c r="AE272" i="14" s="1"/>
  <c r="AE292" i="14" s="1"/>
  <c r="AD262" i="14"/>
  <c r="AD285" i="14" s="1"/>
  <c r="AC262" i="14"/>
  <c r="AC285" i="14" s="1"/>
  <c r="AB262" i="14"/>
  <c r="AB285" i="14" s="1"/>
  <c r="AA262" i="14"/>
  <c r="AA285" i="14" s="1"/>
  <c r="Z262" i="14"/>
  <c r="Y262" i="14"/>
  <c r="Y285" i="14" s="1"/>
  <c r="X262" i="14"/>
  <c r="X285" i="14" s="1"/>
  <c r="W262" i="14"/>
  <c r="W285" i="14" s="1"/>
  <c r="V262" i="14"/>
  <c r="V285" i="14" s="1"/>
  <c r="U262" i="14"/>
  <c r="T262" i="14"/>
  <c r="T285" i="14" s="1"/>
  <c r="S262" i="14"/>
  <c r="S285" i="14" s="1"/>
  <c r="R262" i="14"/>
  <c r="Q262" i="14"/>
  <c r="Q285" i="14" s="1"/>
  <c r="P262" i="14"/>
  <c r="O262" i="14"/>
  <c r="O272" i="14" s="1"/>
  <c r="O292" i="14" s="1"/>
  <c r="N262" i="14"/>
  <c r="N285" i="14" s="1"/>
  <c r="M262" i="14"/>
  <c r="M285" i="14" s="1"/>
  <c r="L262" i="14"/>
  <c r="L285" i="14" s="1"/>
  <c r="K262" i="14"/>
  <c r="K285" i="14" s="1"/>
  <c r="J262" i="14"/>
  <c r="I262" i="14"/>
  <c r="I285" i="14" s="1"/>
  <c r="H262" i="14"/>
  <c r="G262" i="14"/>
  <c r="G285" i="14" s="1"/>
  <c r="F262" i="14"/>
  <c r="F285" i="14" s="1"/>
  <c r="E262" i="14"/>
  <c r="E285" i="14" s="1"/>
  <c r="AJ261" i="14"/>
  <c r="AJ284" i="14" s="1"/>
  <c r="AI261" i="14"/>
  <c r="AI284" i="14" s="1"/>
  <c r="AH261" i="14"/>
  <c r="AG261" i="14"/>
  <c r="AG284" i="14" s="1"/>
  <c r="AF261" i="14"/>
  <c r="AE261" i="14"/>
  <c r="AD261" i="14"/>
  <c r="AD284" i="14" s="1"/>
  <c r="AC261" i="14"/>
  <c r="AC284" i="14" s="1"/>
  <c r="AB261" i="14"/>
  <c r="AB284" i="14" s="1"/>
  <c r="AA261" i="14"/>
  <c r="AA284" i="14" s="1"/>
  <c r="Z261" i="14"/>
  <c r="Y261" i="14"/>
  <c r="Y284" i="14" s="1"/>
  <c r="X261" i="14"/>
  <c r="W261" i="14"/>
  <c r="W284" i="14" s="1"/>
  <c r="V261" i="14"/>
  <c r="V284" i="14" s="1"/>
  <c r="U261" i="14"/>
  <c r="T261" i="14"/>
  <c r="T284" i="14" s="1"/>
  <c r="S261" i="14"/>
  <c r="S284" i="14" s="1"/>
  <c r="R261" i="14"/>
  <c r="R284" i="14" s="1"/>
  <c r="Q261" i="14"/>
  <c r="Q284" i="14" s="1"/>
  <c r="P261" i="14"/>
  <c r="O261" i="14"/>
  <c r="N261" i="14"/>
  <c r="N284" i="14" s="1"/>
  <c r="M261" i="14"/>
  <c r="M284" i="14" s="1"/>
  <c r="L261" i="14"/>
  <c r="L284" i="14" s="1"/>
  <c r="K261" i="14"/>
  <c r="J261" i="14"/>
  <c r="J284" i="14" s="1"/>
  <c r="I261" i="14"/>
  <c r="I284" i="14" s="1"/>
  <c r="H261" i="14"/>
  <c r="G261" i="14"/>
  <c r="G284" i="14" s="1"/>
  <c r="F261" i="14"/>
  <c r="F284" i="14" s="1"/>
  <c r="E261" i="14"/>
  <c r="AJ260" i="14"/>
  <c r="AJ283" i="14" s="1"/>
  <c r="AI260" i="14"/>
  <c r="AI283" i="14" s="1"/>
  <c r="AH260" i="14"/>
  <c r="AG260" i="14"/>
  <c r="AG283" i="14" s="1"/>
  <c r="AF260" i="14"/>
  <c r="AE260" i="14"/>
  <c r="AE270" i="14" s="1"/>
  <c r="AE290" i="14" s="1"/>
  <c r="AD260" i="14"/>
  <c r="AD283" i="14" s="1"/>
  <c r="AC260" i="14"/>
  <c r="AC283" i="14" s="1"/>
  <c r="AB260" i="14"/>
  <c r="AB283" i="14" s="1"/>
  <c r="AA260" i="14"/>
  <c r="Z260" i="14"/>
  <c r="Y260" i="14"/>
  <c r="Y283" i="14" s="1"/>
  <c r="X260" i="14"/>
  <c r="W260" i="14"/>
  <c r="W283" i="14" s="1"/>
  <c r="V260" i="14"/>
  <c r="V283" i="14" s="1"/>
  <c r="U260" i="14"/>
  <c r="T260" i="14"/>
  <c r="T283" i="14" s="1"/>
  <c r="S260" i="14"/>
  <c r="S283" i="14" s="1"/>
  <c r="R260" i="14"/>
  <c r="Q260" i="14"/>
  <c r="Q283" i="14" s="1"/>
  <c r="P260" i="14"/>
  <c r="O260" i="14"/>
  <c r="O270" i="14" s="1"/>
  <c r="O290" i="14" s="1"/>
  <c r="N260" i="14"/>
  <c r="N283" i="14" s="1"/>
  <c r="M260" i="14"/>
  <c r="M283" i="14" s="1"/>
  <c r="L260" i="14"/>
  <c r="L283" i="14" s="1"/>
  <c r="K260" i="14"/>
  <c r="J260" i="14"/>
  <c r="I260" i="14"/>
  <c r="I283" i="14" s="1"/>
  <c r="H260" i="14"/>
  <c r="G260" i="14"/>
  <c r="G283" i="14" s="1"/>
  <c r="F260" i="14"/>
  <c r="F283" i="14" s="1"/>
  <c r="E260" i="14"/>
  <c r="AJ259" i="14"/>
  <c r="AJ282" i="14" s="1"/>
  <c r="AI259" i="14"/>
  <c r="AI282" i="14" s="1"/>
  <c r="AH259" i="14"/>
  <c r="AG259" i="14"/>
  <c r="AG282" i="14" s="1"/>
  <c r="AF259" i="14"/>
  <c r="AE259" i="14"/>
  <c r="AD259" i="14"/>
  <c r="AD282" i="14" s="1"/>
  <c r="AC259" i="14"/>
  <c r="AC282" i="14" s="1"/>
  <c r="AB259" i="14"/>
  <c r="AB282" i="14" s="1"/>
  <c r="AA259" i="14"/>
  <c r="Z259" i="14"/>
  <c r="Y259" i="14"/>
  <c r="Y282" i="14" s="1"/>
  <c r="X259" i="14"/>
  <c r="X282" i="14" s="1"/>
  <c r="W259" i="14"/>
  <c r="W282" i="14" s="1"/>
  <c r="V259" i="14"/>
  <c r="V282" i="14" s="1"/>
  <c r="U259" i="14"/>
  <c r="U282" i="14" s="1"/>
  <c r="T259" i="14"/>
  <c r="T282" i="14" s="1"/>
  <c r="S259" i="14"/>
  <c r="S282" i="14" s="1"/>
  <c r="R259" i="14"/>
  <c r="Q259" i="14"/>
  <c r="Q282" i="14" s="1"/>
  <c r="P259" i="14"/>
  <c r="O259" i="14"/>
  <c r="N259" i="14"/>
  <c r="N282" i="14" s="1"/>
  <c r="M259" i="14"/>
  <c r="M282" i="14" s="1"/>
  <c r="L259" i="14"/>
  <c r="L282" i="14" s="1"/>
  <c r="K259" i="14"/>
  <c r="J259" i="14"/>
  <c r="J282" i="14" s="1"/>
  <c r="I259" i="14"/>
  <c r="I282" i="14" s="1"/>
  <c r="H259" i="14"/>
  <c r="H282" i="14" s="1"/>
  <c r="G259" i="14"/>
  <c r="G282" i="14" s="1"/>
  <c r="F259" i="14"/>
  <c r="F282" i="14" s="1"/>
  <c r="E259" i="14"/>
  <c r="AJ258" i="14"/>
  <c r="AJ281" i="14" s="1"/>
  <c r="AI258" i="14"/>
  <c r="AI281" i="14" s="1"/>
  <c r="AH258" i="14"/>
  <c r="AG258" i="14"/>
  <c r="AG281" i="14" s="1"/>
  <c r="AF258" i="14"/>
  <c r="AF281" i="14" s="1"/>
  <c r="AE258" i="14"/>
  <c r="AE281" i="14" s="1"/>
  <c r="AD258" i="14"/>
  <c r="AD281" i="14" s="1"/>
  <c r="AC258" i="14"/>
  <c r="AC281" i="14" s="1"/>
  <c r="AB258" i="14"/>
  <c r="AB281" i="14" s="1"/>
  <c r="AA258" i="14"/>
  <c r="Z258" i="14"/>
  <c r="Y258" i="14"/>
  <c r="Y281" i="14" s="1"/>
  <c r="X258" i="14"/>
  <c r="X281" i="14" s="1"/>
  <c r="W258" i="14"/>
  <c r="W281" i="14" s="1"/>
  <c r="V258" i="14"/>
  <c r="U258" i="14"/>
  <c r="U281" i="14" s="1"/>
  <c r="T258" i="14"/>
  <c r="T281" i="14" s="1"/>
  <c r="S258" i="14"/>
  <c r="R258" i="14"/>
  <c r="Q258" i="14"/>
  <c r="Q281" i="14" s="1"/>
  <c r="P258" i="14"/>
  <c r="P281" i="14" s="1"/>
  <c r="O258" i="14"/>
  <c r="O281" i="14" s="1"/>
  <c r="N258" i="14"/>
  <c r="N281" i="14" s="1"/>
  <c r="M258" i="14"/>
  <c r="M281" i="14" s="1"/>
  <c r="L258" i="14"/>
  <c r="L281" i="14" s="1"/>
  <c r="K258" i="14"/>
  <c r="K281" i="14" s="1"/>
  <c r="J258" i="14"/>
  <c r="I258" i="14"/>
  <c r="I281" i="14" s="1"/>
  <c r="H258" i="14"/>
  <c r="H281" i="14" s="1"/>
  <c r="G258" i="14"/>
  <c r="G281" i="14" s="1"/>
  <c r="F258" i="14"/>
  <c r="F281" i="14" s="1"/>
  <c r="E258" i="14"/>
  <c r="E281" i="14" s="1"/>
  <c r="AW257" i="14"/>
  <c r="AJ257" i="14"/>
  <c r="AJ280" i="14" s="1"/>
  <c r="AI257" i="14"/>
  <c r="AI280" i="14" s="1"/>
  <c r="AH257" i="14"/>
  <c r="AH280" i="14" s="1"/>
  <c r="AG257" i="14"/>
  <c r="AF257" i="14"/>
  <c r="AF280" i="14" s="1"/>
  <c r="AE257" i="14"/>
  <c r="AD257" i="14"/>
  <c r="AD280" i="14" s="1"/>
  <c r="AC257" i="14"/>
  <c r="AB257" i="14"/>
  <c r="AB280" i="14" s="1"/>
  <c r="AA257" i="14"/>
  <c r="Z257" i="14"/>
  <c r="Z280" i="14" s="1"/>
  <c r="Y257" i="14"/>
  <c r="X257" i="14"/>
  <c r="X280" i="14" s="1"/>
  <c r="W257" i="14"/>
  <c r="W280" i="14" s="1"/>
  <c r="V257" i="14"/>
  <c r="V280" i="14" s="1"/>
  <c r="U257" i="14"/>
  <c r="T257" i="14"/>
  <c r="T280" i="14" s="1"/>
  <c r="S257" i="14"/>
  <c r="S280" i="14" s="1"/>
  <c r="R257" i="14"/>
  <c r="R280" i="14" s="1"/>
  <c r="Q257" i="14"/>
  <c r="P257" i="14"/>
  <c r="P280" i="14" s="1"/>
  <c r="O257" i="14"/>
  <c r="N257" i="14"/>
  <c r="N280" i="14" s="1"/>
  <c r="M257" i="14"/>
  <c r="L257" i="14"/>
  <c r="L280" i="14" s="1"/>
  <c r="K257" i="14"/>
  <c r="K280" i="14" s="1"/>
  <c r="J257" i="14"/>
  <c r="J280" i="14" s="1"/>
  <c r="I257" i="14"/>
  <c r="H257" i="14"/>
  <c r="H280" i="14" s="1"/>
  <c r="G257" i="14"/>
  <c r="G280" i="14" s="1"/>
  <c r="F257" i="14"/>
  <c r="F280" i="14" s="1"/>
  <c r="E257" i="14"/>
  <c r="E280" i="14" s="1"/>
  <c r="AW255" i="14"/>
  <c r="AM255" i="14"/>
  <c r="AL255" i="14"/>
  <c r="BD254" i="14"/>
  <c r="BC254" i="14"/>
  <c r="BA254" i="14"/>
  <c r="AZ254" i="14"/>
  <c r="AX254" i="14"/>
  <c r="AT254" i="14"/>
  <c r="AS254" i="14"/>
  <c r="AR254" i="14"/>
  <c r="AQ254" i="14"/>
  <c r="AP254" i="14"/>
  <c r="AO254" i="14"/>
  <c r="BD253" i="14"/>
  <c r="BC253" i="14"/>
  <c r="AZ253" i="14"/>
  <c r="BA253" i="14" s="1"/>
  <c r="AX253" i="14"/>
  <c r="AT253" i="14"/>
  <c r="AS253" i="14"/>
  <c r="AR253" i="14"/>
  <c r="AQ253" i="14"/>
  <c r="AP253" i="14"/>
  <c r="AO253" i="14"/>
  <c r="BD252" i="14"/>
  <c r="BC252" i="14"/>
  <c r="AZ252" i="14"/>
  <c r="BA252" i="14" s="1"/>
  <c r="AX252" i="14"/>
  <c r="AT252" i="14"/>
  <c r="AS252" i="14"/>
  <c r="AR252" i="14"/>
  <c r="AQ252" i="14"/>
  <c r="AP252" i="14"/>
  <c r="AU252" i="14" s="1"/>
  <c r="AY252" i="14" s="1"/>
  <c r="AO252" i="14"/>
  <c r="BD251" i="14"/>
  <c r="BC251" i="14"/>
  <c r="BA251" i="14"/>
  <c r="AZ251" i="14"/>
  <c r="AX251" i="14"/>
  <c r="AT251" i="14"/>
  <c r="AS251" i="14"/>
  <c r="AR251" i="14"/>
  <c r="AQ251" i="14"/>
  <c r="AP251" i="14"/>
  <c r="AO251" i="14"/>
  <c r="BD250" i="14"/>
  <c r="BC250" i="14"/>
  <c r="AZ250" i="14"/>
  <c r="BA250" i="14" s="1"/>
  <c r="AX250" i="14"/>
  <c r="AT250" i="14"/>
  <c r="AS250" i="14"/>
  <c r="AR250" i="14"/>
  <c r="AQ250" i="14"/>
  <c r="AP250" i="14"/>
  <c r="AO250" i="14"/>
  <c r="BD249" i="14"/>
  <c r="BC249" i="14"/>
  <c r="AZ249" i="14"/>
  <c r="BA249" i="14" s="1"/>
  <c r="AX249" i="14"/>
  <c r="AT249" i="14"/>
  <c r="AS249" i="14"/>
  <c r="AR249" i="14"/>
  <c r="AQ249" i="14"/>
  <c r="AP249" i="14"/>
  <c r="AO249" i="14"/>
  <c r="BD248" i="14"/>
  <c r="BC248" i="14"/>
  <c r="AZ248" i="14"/>
  <c r="BA248" i="14" s="1"/>
  <c r="AX248" i="14"/>
  <c r="AT248" i="14"/>
  <c r="AS248" i="14"/>
  <c r="AR248" i="14"/>
  <c r="AQ248" i="14"/>
  <c r="AP248" i="14"/>
  <c r="AO248" i="14"/>
  <c r="BD247" i="14"/>
  <c r="BC247" i="14"/>
  <c r="AZ247" i="14"/>
  <c r="BA247" i="14" s="1"/>
  <c r="AX247" i="14"/>
  <c r="AT247" i="14"/>
  <c r="AS247" i="14"/>
  <c r="AR247" i="14"/>
  <c r="AQ247" i="14"/>
  <c r="AP247" i="14"/>
  <c r="AO247" i="14"/>
  <c r="BD246" i="14"/>
  <c r="BC246" i="14"/>
  <c r="AZ246" i="14"/>
  <c r="BA246" i="14" s="1"/>
  <c r="AX246" i="14"/>
  <c r="AT246" i="14"/>
  <c r="AS246" i="14"/>
  <c r="AR246" i="14"/>
  <c r="AQ246" i="14"/>
  <c r="AP246" i="14"/>
  <c r="AO246" i="14"/>
  <c r="BD245" i="14"/>
  <c r="BC245" i="14"/>
  <c r="AZ245" i="14"/>
  <c r="BA245" i="14" s="1"/>
  <c r="AX245" i="14"/>
  <c r="AT245" i="14"/>
  <c r="AS245" i="14"/>
  <c r="AR245" i="14"/>
  <c r="AQ245" i="14"/>
  <c r="AP245" i="14"/>
  <c r="AO245" i="14"/>
  <c r="BD244" i="14"/>
  <c r="BC244" i="14"/>
  <c r="AZ244" i="14"/>
  <c r="BA244" i="14" s="1"/>
  <c r="AX244" i="14"/>
  <c r="AT244" i="14"/>
  <c r="AS244" i="14"/>
  <c r="AR244" i="14"/>
  <c r="AQ244" i="14"/>
  <c r="AP244" i="14"/>
  <c r="AO244" i="14"/>
  <c r="BD243" i="14"/>
  <c r="BC243" i="14"/>
  <c r="AZ243" i="14"/>
  <c r="BA243" i="14" s="1"/>
  <c r="AX243" i="14"/>
  <c r="AT243" i="14"/>
  <c r="AS243" i="14"/>
  <c r="AR243" i="14"/>
  <c r="AQ243" i="14"/>
  <c r="AU243" i="14" s="1"/>
  <c r="AY243" i="14" s="1"/>
  <c r="AP243" i="14"/>
  <c r="AO243" i="14"/>
  <c r="BD242" i="14"/>
  <c r="BC242" i="14"/>
  <c r="BA242" i="14"/>
  <c r="AZ242" i="14"/>
  <c r="AX242" i="14"/>
  <c r="AT242" i="14"/>
  <c r="AS242" i="14"/>
  <c r="AR242" i="14"/>
  <c r="AQ242" i="14"/>
  <c r="AP242" i="14"/>
  <c r="AO242" i="14"/>
  <c r="BD241" i="14"/>
  <c r="BC241" i="14"/>
  <c r="AZ241" i="14"/>
  <c r="BA241" i="14" s="1"/>
  <c r="AX241" i="14"/>
  <c r="AT241" i="14"/>
  <c r="AS241" i="14"/>
  <c r="AR241" i="14"/>
  <c r="AQ241" i="14"/>
  <c r="AP241" i="14"/>
  <c r="AO241" i="14"/>
  <c r="AU241" i="14" s="1"/>
  <c r="AY241" i="14" s="1"/>
  <c r="BD240" i="14"/>
  <c r="BC240" i="14"/>
  <c r="AZ240" i="14"/>
  <c r="BA240" i="14" s="1"/>
  <c r="AX240" i="14"/>
  <c r="AT240" i="14"/>
  <c r="AS240" i="14"/>
  <c r="AR240" i="14"/>
  <c r="AQ240" i="14"/>
  <c r="AP240" i="14"/>
  <c r="AO240" i="14"/>
  <c r="BD239" i="14"/>
  <c r="BC239" i="14"/>
  <c r="BA239" i="14"/>
  <c r="AZ239" i="14"/>
  <c r="AX239" i="14"/>
  <c r="AT239" i="14"/>
  <c r="AS239" i="14"/>
  <c r="AR239" i="14"/>
  <c r="AQ239" i="14"/>
  <c r="AP239" i="14"/>
  <c r="AO239" i="14"/>
  <c r="BD238" i="14"/>
  <c r="BC238" i="14"/>
  <c r="BA238" i="14"/>
  <c r="AZ238" i="14"/>
  <c r="AX238" i="14"/>
  <c r="AT238" i="14"/>
  <c r="AS238" i="14"/>
  <c r="AR238" i="14"/>
  <c r="AQ238" i="14"/>
  <c r="AP238" i="14"/>
  <c r="AO238" i="14"/>
  <c r="BD237" i="14"/>
  <c r="BC237" i="14"/>
  <c r="AZ237" i="14"/>
  <c r="BA237" i="14" s="1"/>
  <c r="AX237" i="14"/>
  <c r="AT237" i="14"/>
  <c r="AS237" i="14"/>
  <c r="AR237" i="14"/>
  <c r="AQ237" i="14"/>
  <c r="AP237" i="14"/>
  <c r="AO237" i="14"/>
  <c r="BD236" i="14"/>
  <c r="BC236" i="14"/>
  <c r="AZ236" i="14"/>
  <c r="BA236" i="14" s="1"/>
  <c r="AX236" i="14"/>
  <c r="AT236" i="14"/>
  <c r="AS236" i="14"/>
  <c r="AR236" i="14"/>
  <c r="AQ236" i="14"/>
  <c r="AP236" i="14"/>
  <c r="AO236" i="14"/>
  <c r="BD235" i="14"/>
  <c r="BC235" i="14"/>
  <c r="BA235" i="14"/>
  <c r="AZ235" i="14"/>
  <c r="AX235" i="14"/>
  <c r="AT235" i="14"/>
  <c r="AS235" i="14"/>
  <c r="AR235" i="14"/>
  <c r="AQ235" i="14"/>
  <c r="AP235" i="14"/>
  <c r="AO235" i="14"/>
  <c r="BD234" i="14"/>
  <c r="BC234" i="14"/>
  <c r="AZ234" i="14"/>
  <c r="BA234" i="14" s="1"/>
  <c r="AX234" i="14"/>
  <c r="AT234" i="14"/>
  <c r="AS234" i="14"/>
  <c r="AR234" i="14"/>
  <c r="AQ234" i="14"/>
  <c r="AP234" i="14"/>
  <c r="AO234" i="14"/>
  <c r="BD233" i="14"/>
  <c r="BC233" i="14"/>
  <c r="AZ233" i="14"/>
  <c r="BA233" i="14" s="1"/>
  <c r="AX233" i="14"/>
  <c r="AT233" i="14"/>
  <c r="AS233" i="14"/>
  <c r="AR233" i="14"/>
  <c r="AQ233" i="14"/>
  <c r="AP233" i="14"/>
  <c r="AO233" i="14"/>
  <c r="BD232" i="14"/>
  <c r="BC232" i="14"/>
  <c r="AZ232" i="14"/>
  <c r="BA232" i="14" s="1"/>
  <c r="AX232" i="14"/>
  <c r="AT232" i="14"/>
  <c r="AS232" i="14"/>
  <c r="AR232" i="14"/>
  <c r="AQ232" i="14"/>
  <c r="AP232" i="14"/>
  <c r="AO232" i="14"/>
  <c r="BD231" i="14"/>
  <c r="BC231" i="14"/>
  <c r="AZ231" i="14"/>
  <c r="BA231" i="14" s="1"/>
  <c r="AX231" i="14"/>
  <c r="AT231" i="14"/>
  <c r="AS231" i="14"/>
  <c r="AR231" i="14"/>
  <c r="AQ231" i="14"/>
  <c r="AP231" i="14"/>
  <c r="AO231" i="14"/>
  <c r="BD230" i="14"/>
  <c r="BC230" i="14"/>
  <c r="AZ230" i="14"/>
  <c r="BA230" i="14" s="1"/>
  <c r="AX230" i="14"/>
  <c r="AT230" i="14"/>
  <c r="AS230" i="14"/>
  <c r="AR230" i="14"/>
  <c r="AQ230" i="14"/>
  <c r="AP230" i="14"/>
  <c r="AO230" i="14"/>
  <c r="BD229" i="14"/>
  <c r="BC229" i="14"/>
  <c r="AZ229" i="14"/>
  <c r="BA229" i="14" s="1"/>
  <c r="AX229" i="14"/>
  <c r="AT229" i="14"/>
  <c r="AS229" i="14"/>
  <c r="AR229" i="14"/>
  <c r="AQ229" i="14"/>
  <c r="AP229" i="14"/>
  <c r="AO229" i="14"/>
  <c r="BD228" i="14"/>
  <c r="BC228" i="14"/>
  <c r="AZ228" i="14"/>
  <c r="BA228" i="14" s="1"/>
  <c r="AX228" i="14"/>
  <c r="AT228" i="14"/>
  <c r="AS228" i="14"/>
  <c r="AR228" i="14"/>
  <c r="AQ228" i="14"/>
  <c r="AP228" i="14"/>
  <c r="AO228" i="14"/>
  <c r="BD227" i="14"/>
  <c r="BC227" i="14"/>
  <c r="AZ227" i="14"/>
  <c r="BA227" i="14" s="1"/>
  <c r="AX227" i="14"/>
  <c r="AT227" i="14"/>
  <c r="AS227" i="14"/>
  <c r="AR227" i="14"/>
  <c r="AQ227" i="14"/>
  <c r="AP227" i="14"/>
  <c r="AO227" i="14"/>
  <c r="BD226" i="14"/>
  <c r="BC226" i="14"/>
  <c r="BA226" i="14"/>
  <c r="AZ226" i="14"/>
  <c r="AX226" i="14"/>
  <c r="AT226" i="14"/>
  <c r="AS226" i="14"/>
  <c r="AR226" i="14"/>
  <c r="AQ226" i="14"/>
  <c r="AP226" i="14"/>
  <c r="AO226" i="14"/>
  <c r="BD225" i="14"/>
  <c r="BC225" i="14"/>
  <c r="AZ225" i="14"/>
  <c r="BA225" i="14" s="1"/>
  <c r="AX225" i="14"/>
  <c r="AT225" i="14"/>
  <c r="AS225" i="14"/>
  <c r="AR225" i="14"/>
  <c r="AQ225" i="14"/>
  <c r="AP225" i="14"/>
  <c r="AO225" i="14"/>
  <c r="BD224" i="14"/>
  <c r="BC224" i="14"/>
  <c r="AZ224" i="14"/>
  <c r="BA224" i="14" s="1"/>
  <c r="AX224" i="14"/>
  <c r="AT224" i="14"/>
  <c r="AS224" i="14"/>
  <c r="AR224" i="14"/>
  <c r="AQ224" i="14"/>
  <c r="AU224" i="14" s="1"/>
  <c r="AY224" i="14" s="1"/>
  <c r="AP224" i="14"/>
  <c r="AO224" i="14"/>
  <c r="BD223" i="14"/>
  <c r="BC223" i="14"/>
  <c r="AZ223" i="14"/>
  <c r="BA223" i="14" s="1"/>
  <c r="AX223" i="14"/>
  <c r="AT223" i="14"/>
  <c r="AS223" i="14"/>
  <c r="AR223" i="14"/>
  <c r="AQ223" i="14"/>
  <c r="AP223" i="14"/>
  <c r="AO223" i="14"/>
  <c r="BD222" i="14"/>
  <c r="BC222" i="14"/>
  <c r="AZ222" i="14"/>
  <c r="BA222" i="14" s="1"/>
  <c r="AX222" i="14"/>
  <c r="AT222" i="14"/>
  <c r="AS222" i="14"/>
  <c r="AR222" i="14"/>
  <c r="AQ222" i="14"/>
  <c r="AP222" i="14"/>
  <c r="AO222" i="14"/>
  <c r="BD221" i="14"/>
  <c r="BC221" i="14"/>
  <c r="AZ221" i="14"/>
  <c r="BA221" i="14" s="1"/>
  <c r="AX221" i="14"/>
  <c r="AT221" i="14"/>
  <c r="AS221" i="14"/>
  <c r="AR221" i="14"/>
  <c r="AQ221" i="14"/>
  <c r="AP221" i="14"/>
  <c r="AO221" i="14"/>
  <c r="BD220" i="14"/>
  <c r="BC220" i="14"/>
  <c r="AZ220" i="14"/>
  <c r="BA220" i="14" s="1"/>
  <c r="AX220" i="14"/>
  <c r="AT220" i="14"/>
  <c r="AS220" i="14"/>
  <c r="AR220" i="14"/>
  <c r="AQ220" i="14"/>
  <c r="AP220" i="14"/>
  <c r="AO220" i="14"/>
  <c r="BD219" i="14"/>
  <c r="BC219" i="14"/>
  <c r="AZ219" i="14"/>
  <c r="BA219" i="14" s="1"/>
  <c r="AX219" i="14"/>
  <c r="AT219" i="14"/>
  <c r="AS219" i="14"/>
  <c r="AR219" i="14"/>
  <c r="AQ219" i="14"/>
  <c r="AU219" i="14" s="1"/>
  <c r="AY219" i="14" s="1"/>
  <c r="AP219" i="14"/>
  <c r="AO219" i="14"/>
  <c r="BD218" i="14"/>
  <c r="BC218" i="14"/>
  <c r="AZ218" i="14"/>
  <c r="BA218" i="14" s="1"/>
  <c r="AX218" i="14"/>
  <c r="AT218" i="14"/>
  <c r="AS218" i="14"/>
  <c r="AR218" i="14"/>
  <c r="AQ218" i="14"/>
  <c r="AP218" i="14"/>
  <c r="AO218" i="14"/>
  <c r="BD217" i="14"/>
  <c r="BC217" i="14"/>
  <c r="AZ217" i="14"/>
  <c r="BA217" i="14" s="1"/>
  <c r="AX217" i="14"/>
  <c r="AT217" i="14"/>
  <c r="AS217" i="14"/>
  <c r="AR217" i="14"/>
  <c r="AQ217" i="14"/>
  <c r="AP217" i="14"/>
  <c r="AO217" i="14"/>
  <c r="BD216" i="14"/>
  <c r="BC216" i="14"/>
  <c r="BA216" i="14"/>
  <c r="AZ216" i="14"/>
  <c r="AX216" i="14"/>
  <c r="AT216" i="14"/>
  <c r="AS216" i="14"/>
  <c r="AR216" i="14"/>
  <c r="AQ216" i="14"/>
  <c r="AP216" i="14"/>
  <c r="AU216" i="14" s="1"/>
  <c r="AY216" i="14" s="1"/>
  <c r="AO216" i="14"/>
  <c r="BD215" i="14"/>
  <c r="BC215" i="14"/>
  <c r="BA215" i="14"/>
  <c r="AZ215" i="14"/>
  <c r="AX215" i="14"/>
  <c r="AT215" i="14"/>
  <c r="AS215" i="14"/>
  <c r="AR215" i="14"/>
  <c r="AQ215" i="14"/>
  <c r="AP215" i="14"/>
  <c r="AO215" i="14"/>
  <c r="BD214" i="14"/>
  <c r="BC214" i="14"/>
  <c r="AZ214" i="14"/>
  <c r="BA214" i="14" s="1"/>
  <c r="AX214" i="14"/>
  <c r="AT214" i="14"/>
  <c r="AS214" i="14"/>
  <c r="AR214" i="14"/>
  <c r="AQ214" i="14"/>
  <c r="AP214" i="14"/>
  <c r="AO214" i="14"/>
  <c r="BD213" i="14"/>
  <c r="BC213" i="14"/>
  <c r="AZ213" i="14"/>
  <c r="BA213" i="14" s="1"/>
  <c r="AX213" i="14"/>
  <c r="AT213" i="14"/>
  <c r="AS213" i="14"/>
  <c r="AR213" i="14"/>
  <c r="AQ213" i="14"/>
  <c r="AP213" i="14"/>
  <c r="AO213" i="14"/>
  <c r="BD212" i="14"/>
  <c r="BC212" i="14"/>
  <c r="AZ212" i="14"/>
  <c r="BA212" i="14" s="1"/>
  <c r="AX212" i="14"/>
  <c r="AT212" i="14"/>
  <c r="AS212" i="14"/>
  <c r="AR212" i="14"/>
  <c r="AQ212" i="14"/>
  <c r="AP212" i="14"/>
  <c r="AO212" i="14"/>
  <c r="BD211" i="14"/>
  <c r="BC211" i="14"/>
  <c r="AZ211" i="14"/>
  <c r="BA211" i="14" s="1"/>
  <c r="AX211" i="14"/>
  <c r="AT211" i="14"/>
  <c r="AS211" i="14"/>
  <c r="AR211" i="14"/>
  <c r="AQ211" i="14"/>
  <c r="AU211" i="14" s="1"/>
  <c r="AY211" i="14" s="1"/>
  <c r="AP211" i="14"/>
  <c r="AO211" i="14"/>
  <c r="BD210" i="14"/>
  <c r="BC210" i="14"/>
  <c r="AZ210" i="14"/>
  <c r="BA210" i="14" s="1"/>
  <c r="AX210" i="14"/>
  <c r="AT210" i="14"/>
  <c r="AS210" i="14"/>
  <c r="AR210" i="14"/>
  <c r="AQ210" i="14"/>
  <c r="AP210" i="14"/>
  <c r="AO210" i="14"/>
  <c r="BD209" i="14"/>
  <c r="BC209" i="14"/>
  <c r="AZ209" i="14"/>
  <c r="BA209" i="14" s="1"/>
  <c r="AX209" i="14"/>
  <c r="AT209" i="14"/>
  <c r="AS209" i="14"/>
  <c r="AR209" i="14"/>
  <c r="AQ209" i="14"/>
  <c r="AP209" i="14"/>
  <c r="AO209" i="14"/>
  <c r="BD208" i="14"/>
  <c r="BC208" i="14"/>
  <c r="BA208" i="14"/>
  <c r="AZ208" i="14"/>
  <c r="AX208" i="14"/>
  <c r="AT208" i="14"/>
  <c r="AS208" i="14"/>
  <c r="AR208" i="14"/>
  <c r="AQ208" i="14"/>
  <c r="AP208" i="14"/>
  <c r="AU208" i="14" s="1"/>
  <c r="AY208" i="14" s="1"/>
  <c r="AO208" i="14"/>
  <c r="BD207" i="14"/>
  <c r="BC207" i="14"/>
  <c r="BA207" i="14"/>
  <c r="AZ207" i="14"/>
  <c r="AX207" i="14"/>
  <c r="AT207" i="14"/>
  <c r="AS207" i="14"/>
  <c r="AR207" i="14"/>
  <c r="AQ207" i="14"/>
  <c r="AP207" i="14"/>
  <c r="AO207" i="14"/>
  <c r="BD206" i="14"/>
  <c r="BC206" i="14"/>
  <c r="AZ206" i="14"/>
  <c r="BA206" i="14" s="1"/>
  <c r="AX206" i="14"/>
  <c r="AT206" i="14"/>
  <c r="AS206" i="14"/>
  <c r="AR206" i="14"/>
  <c r="AQ206" i="14"/>
  <c r="AP206" i="14"/>
  <c r="AO206" i="14"/>
  <c r="BD205" i="14"/>
  <c r="BC205" i="14"/>
  <c r="AZ205" i="14"/>
  <c r="BA205" i="14" s="1"/>
  <c r="AX205" i="14"/>
  <c r="AT205" i="14"/>
  <c r="AS205" i="14"/>
  <c r="AR205" i="14"/>
  <c r="AQ205" i="14"/>
  <c r="AP205" i="14"/>
  <c r="AO205" i="14"/>
  <c r="BD204" i="14"/>
  <c r="BC204" i="14"/>
  <c r="AZ204" i="14"/>
  <c r="BA204" i="14" s="1"/>
  <c r="AX204" i="14"/>
  <c r="AT204" i="14"/>
  <c r="AS204" i="14"/>
  <c r="AR204" i="14"/>
  <c r="AQ204" i="14"/>
  <c r="AP204" i="14"/>
  <c r="AO204" i="14"/>
  <c r="BD203" i="14"/>
  <c r="BC203" i="14"/>
  <c r="BA203" i="14"/>
  <c r="AZ203" i="14"/>
  <c r="AX203" i="14"/>
  <c r="AT203" i="14"/>
  <c r="AS203" i="14"/>
  <c r="AR203" i="14"/>
  <c r="AQ203" i="14"/>
  <c r="AP203" i="14"/>
  <c r="AO203" i="14"/>
  <c r="BD202" i="14"/>
  <c r="BC202" i="14"/>
  <c r="AZ202" i="14"/>
  <c r="BA202" i="14" s="1"/>
  <c r="AX202" i="14"/>
  <c r="AT202" i="14"/>
  <c r="AS202" i="14"/>
  <c r="AR202" i="14"/>
  <c r="AQ202" i="14"/>
  <c r="AP202" i="14"/>
  <c r="AO202" i="14"/>
  <c r="BD201" i="14"/>
  <c r="BC201" i="14"/>
  <c r="AZ201" i="14"/>
  <c r="BA201" i="14" s="1"/>
  <c r="AX201" i="14"/>
  <c r="AT201" i="14"/>
  <c r="AS201" i="14"/>
  <c r="AR201" i="14"/>
  <c r="AQ201" i="14"/>
  <c r="AP201" i="14"/>
  <c r="AO201" i="14"/>
  <c r="BD200" i="14"/>
  <c r="BC200" i="14"/>
  <c r="BA200" i="14"/>
  <c r="AZ200" i="14"/>
  <c r="AX200" i="14"/>
  <c r="AT200" i="14"/>
  <c r="AS200" i="14"/>
  <c r="AR200" i="14"/>
  <c r="AQ200" i="14"/>
  <c r="AP200" i="14"/>
  <c r="AO200" i="14"/>
  <c r="BD199" i="14"/>
  <c r="BC199" i="14"/>
  <c r="AZ199" i="14"/>
  <c r="BA199" i="14" s="1"/>
  <c r="AX199" i="14"/>
  <c r="AT199" i="14"/>
  <c r="AS199" i="14"/>
  <c r="AR199" i="14"/>
  <c r="AQ199" i="14"/>
  <c r="AP199" i="14"/>
  <c r="AO199" i="14"/>
  <c r="BD198" i="14"/>
  <c r="BC198" i="14"/>
  <c r="AZ198" i="14"/>
  <c r="BA198" i="14" s="1"/>
  <c r="AX198" i="14"/>
  <c r="AT198" i="14"/>
  <c r="AS198" i="14"/>
  <c r="AR198" i="14"/>
  <c r="AQ198" i="14"/>
  <c r="AP198" i="14"/>
  <c r="AO198" i="14"/>
  <c r="BD197" i="14"/>
  <c r="BC197" i="14"/>
  <c r="AZ197" i="14"/>
  <c r="BA197" i="14" s="1"/>
  <c r="AX197" i="14"/>
  <c r="AT197" i="14"/>
  <c r="AS197" i="14"/>
  <c r="AR197" i="14"/>
  <c r="AQ197" i="14"/>
  <c r="AP197" i="14"/>
  <c r="AO197" i="14"/>
  <c r="AU197" i="14" s="1"/>
  <c r="AY197" i="14" s="1"/>
  <c r="BD196" i="14"/>
  <c r="BC196" i="14"/>
  <c r="AZ196" i="14"/>
  <c r="BA196" i="14" s="1"/>
  <c r="AX196" i="14"/>
  <c r="AT196" i="14"/>
  <c r="AS196" i="14"/>
  <c r="AR196" i="14"/>
  <c r="AQ196" i="14"/>
  <c r="AP196" i="14"/>
  <c r="AO196" i="14"/>
  <c r="BD195" i="14"/>
  <c r="BC195" i="14"/>
  <c r="BA195" i="14"/>
  <c r="AZ195" i="14"/>
  <c r="AX195" i="14"/>
  <c r="AT195" i="14"/>
  <c r="AS195" i="14"/>
  <c r="AR195" i="14"/>
  <c r="AQ195" i="14"/>
  <c r="AP195" i="14"/>
  <c r="AO195" i="14"/>
  <c r="BD194" i="14"/>
  <c r="BC194" i="14"/>
  <c r="AZ194" i="14"/>
  <c r="BA194" i="14" s="1"/>
  <c r="AX194" i="14"/>
  <c r="AT194" i="14"/>
  <c r="AS194" i="14"/>
  <c r="AR194" i="14"/>
  <c r="AQ194" i="14"/>
  <c r="AP194" i="14"/>
  <c r="AO194" i="14"/>
  <c r="BD193" i="14"/>
  <c r="BC193" i="14"/>
  <c r="AZ193" i="14"/>
  <c r="BA193" i="14" s="1"/>
  <c r="AX193" i="14"/>
  <c r="AT193" i="14"/>
  <c r="AS193" i="14"/>
  <c r="AR193" i="14"/>
  <c r="AQ193" i="14"/>
  <c r="AP193" i="14"/>
  <c r="AO193" i="14"/>
  <c r="BD192" i="14"/>
  <c r="BC192" i="14"/>
  <c r="BA192" i="14"/>
  <c r="AZ192" i="14"/>
  <c r="AX192" i="14"/>
  <c r="AT192" i="14"/>
  <c r="AS192" i="14"/>
  <c r="AR192" i="14"/>
  <c r="AQ192" i="14"/>
  <c r="AP192" i="14"/>
  <c r="AO192" i="14"/>
  <c r="BD191" i="14"/>
  <c r="BC191" i="14"/>
  <c r="AZ191" i="14"/>
  <c r="BA191" i="14" s="1"/>
  <c r="AX191" i="14"/>
  <c r="AT191" i="14"/>
  <c r="AS191" i="14"/>
  <c r="AR191" i="14"/>
  <c r="AQ191" i="14"/>
  <c r="AP191" i="14"/>
  <c r="AO191" i="14"/>
  <c r="BD190" i="14"/>
  <c r="BC190" i="14"/>
  <c r="AZ190" i="14"/>
  <c r="BA190" i="14" s="1"/>
  <c r="AX190" i="14"/>
  <c r="AT190" i="14"/>
  <c r="AS190" i="14"/>
  <c r="AR190" i="14"/>
  <c r="AQ190" i="14"/>
  <c r="AP190" i="14"/>
  <c r="AO190" i="14"/>
  <c r="BD189" i="14"/>
  <c r="BC189" i="14"/>
  <c r="AZ189" i="14"/>
  <c r="BA189" i="14" s="1"/>
  <c r="AX189" i="14"/>
  <c r="AT189" i="14"/>
  <c r="AS189" i="14"/>
  <c r="AR189" i="14"/>
  <c r="AQ189" i="14"/>
  <c r="AP189" i="14"/>
  <c r="AO189" i="14"/>
  <c r="BD188" i="14"/>
  <c r="BC188" i="14"/>
  <c r="AZ188" i="14"/>
  <c r="BA188" i="14" s="1"/>
  <c r="AX188" i="14"/>
  <c r="AT188" i="14"/>
  <c r="AS188" i="14"/>
  <c r="AR188" i="14"/>
  <c r="AQ188" i="14"/>
  <c r="AP188" i="14"/>
  <c r="AU188" i="14" s="1"/>
  <c r="AY188" i="14" s="1"/>
  <c r="AO188" i="14"/>
  <c r="BD187" i="14"/>
  <c r="BC187" i="14"/>
  <c r="BA187" i="14"/>
  <c r="AZ187" i="14"/>
  <c r="AX187" i="14"/>
  <c r="AT187" i="14"/>
  <c r="AS187" i="14"/>
  <c r="AR187" i="14"/>
  <c r="AQ187" i="14"/>
  <c r="AP187" i="14"/>
  <c r="AO187" i="14"/>
  <c r="BD186" i="14"/>
  <c r="BC186" i="14"/>
  <c r="AZ186" i="14"/>
  <c r="BA186" i="14" s="1"/>
  <c r="AX186" i="14"/>
  <c r="AT186" i="14"/>
  <c r="AS186" i="14"/>
  <c r="AR186" i="14"/>
  <c r="AQ186" i="14"/>
  <c r="AP186" i="14"/>
  <c r="AO186" i="14"/>
  <c r="BD185" i="14"/>
  <c r="BC185" i="14"/>
  <c r="AZ185" i="14"/>
  <c r="BA185" i="14" s="1"/>
  <c r="AX185" i="14"/>
  <c r="AT185" i="14"/>
  <c r="AS185" i="14"/>
  <c r="AR185" i="14"/>
  <c r="AQ185" i="14"/>
  <c r="AP185" i="14"/>
  <c r="AO185" i="14"/>
  <c r="BD184" i="14"/>
  <c r="BC184" i="14"/>
  <c r="AZ184" i="14"/>
  <c r="BA184" i="14" s="1"/>
  <c r="AX184" i="14"/>
  <c r="AT184" i="14"/>
  <c r="AS184" i="14"/>
  <c r="AR184" i="14"/>
  <c r="AQ184" i="14"/>
  <c r="AP184" i="14"/>
  <c r="AO184" i="14"/>
  <c r="BD183" i="14"/>
  <c r="BC183" i="14"/>
  <c r="AZ183" i="14"/>
  <c r="BA183" i="14" s="1"/>
  <c r="AX183" i="14"/>
  <c r="AT183" i="14"/>
  <c r="AS183" i="14"/>
  <c r="AR183" i="14"/>
  <c r="AQ183" i="14"/>
  <c r="AU183" i="14" s="1"/>
  <c r="AY183" i="14" s="1"/>
  <c r="AP183" i="14"/>
  <c r="AO183" i="14"/>
  <c r="BD182" i="14"/>
  <c r="BC182" i="14"/>
  <c r="AZ182" i="14"/>
  <c r="BA182" i="14" s="1"/>
  <c r="AX182" i="14"/>
  <c r="AT182" i="14"/>
  <c r="AS182" i="14"/>
  <c r="AR182" i="14"/>
  <c r="AQ182" i="14"/>
  <c r="AP182" i="14"/>
  <c r="AO182" i="14"/>
  <c r="AU182" i="14" s="1"/>
  <c r="AY182" i="14" s="1"/>
  <c r="BD181" i="14"/>
  <c r="BC181" i="14"/>
  <c r="AZ181" i="14"/>
  <c r="BA181" i="14" s="1"/>
  <c r="AX181" i="14"/>
  <c r="AT181" i="14"/>
  <c r="AS181" i="14"/>
  <c r="AR181" i="14"/>
  <c r="AQ181" i="14"/>
  <c r="AP181" i="14"/>
  <c r="AO181" i="14"/>
  <c r="BD180" i="14"/>
  <c r="BC180" i="14"/>
  <c r="AZ180" i="14"/>
  <c r="BA180" i="14" s="1"/>
  <c r="AX180" i="14"/>
  <c r="AT180" i="14"/>
  <c r="AS180" i="14"/>
  <c r="AR180" i="14"/>
  <c r="AQ180" i="14"/>
  <c r="AP180" i="14"/>
  <c r="AU180" i="14" s="1"/>
  <c r="AY180" i="14" s="1"/>
  <c r="AO180" i="14"/>
  <c r="BD179" i="14"/>
  <c r="BC179" i="14"/>
  <c r="BA179" i="14"/>
  <c r="AZ179" i="14"/>
  <c r="AX179" i="14"/>
  <c r="AT179" i="14"/>
  <c r="AS179" i="14"/>
  <c r="AR179" i="14"/>
  <c r="AQ179" i="14"/>
  <c r="AP179" i="14"/>
  <c r="AO179" i="14"/>
  <c r="BD178" i="14"/>
  <c r="BC178" i="14"/>
  <c r="AZ178" i="14"/>
  <c r="BA178" i="14" s="1"/>
  <c r="AX178" i="14"/>
  <c r="AT178" i="14"/>
  <c r="AS178" i="14"/>
  <c r="AR178" i="14"/>
  <c r="AQ178" i="14"/>
  <c r="AP178" i="14"/>
  <c r="AO178" i="14"/>
  <c r="BD177" i="14"/>
  <c r="BC177" i="14"/>
  <c r="AZ177" i="14"/>
  <c r="BA177" i="14" s="1"/>
  <c r="AX177" i="14"/>
  <c r="AT177" i="14"/>
  <c r="AS177" i="14"/>
  <c r="AR177" i="14"/>
  <c r="AQ177" i="14"/>
  <c r="AP177" i="14"/>
  <c r="AO177" i="14"/>
  <c r="BD176" i="14"/>
  <c r="BC176" i="14"/>
  <c r="AZ176" i="14"/>
  <c r="BA176" i="14" s="1"/>
  <c r="AX176" i="14"/>
  <c r="AT176" i="14"/>
  <c r="AS176" i="14"/>
  <c r="AR176" i="14"/>
  <c r="AQ176" i="14"/>
  <c r="AP176" i="14"/>
  <c r="AO176" i="14"/>
  <c r="BD175" i="14"/>
  <c r="BC175" i="14"/>
  <c r="AZ175" i="14"/>
  <c r="BA175" i="14" s="1"/>
  <c r="AX175" i="14"/>
  <c r="AT175" i="14"/>
  <c r="AS175" i="14"/>
  <c r="AR175" i="14"/>
  <c r="AQ175" i="14"/>
  <c r="AU175" i="14" s="1"/>
  <c r="AY175" i="14" s="1"/>
  <c r="AP175" i="14"/>
  <c r="AO175" i="14"/>
  <c r="BD174" i="14"/>
  <c r="BC174" i="14"/>
  <c r="AZ174" i="14"/>
  <c r="BA174" i="14" s="1"/>
  <c r="AX174" i="14"/>
  <c r="AT174" i="14"/>
  <c r="AS174" i="14"/>
  <c r="AR174" i="14"/>
  <c r="AQ174" i="14"/>
  <c r="AP174" i="14"/>
  <c r="AO174" i="14"/>
  <c r="AU174" i="14" s="1"/>
  <c r="AY174" i="14" s="1"/>
  <c r="BD173" i="14"/>
  <c r="BC173" i="14"/>
  <c r="AZ173" i="14"/>
  <c r="BA173" i="14" s="1"/>
  <c r="AX173" i="14"/>
  <c r="AT173" i="14"/>
  <c r="AS173" i="14"/>
  <c r="AR173" i="14"/>
  <c r="AQ173" i="14"/>
  <c r="AP173" i="14"/>
  <c r="AO173" i="14"/>
  <c r="BD172" i="14"/>
  <c r="BC172" i="14"/>
  <c r="AZ172" i="14"/>
  <c r="BA172" i="14" s="1"/>
  <c r="AX172" i="14"/>
  <c r="AT172" i="14"/>
  <c r="AS172" i="14"/>
  <c r="AR172" i="14"/>
  <c r="AQ172" i="14"/>
  <c r="AP172" i="14"/>
  <c r="AU172" i="14" s="1"/>
  <c r="AY172" i="14" s="1"/>
  <c r="AO172" i="14"/>
  <c r="BD171" i="14"/>
  <c r="BC171" i="14"/>
  <c r="BA171" i="14"/>
  <c r="AZ171" i="14"/>
  <c r="AX171" i="14"/>
  <c r="AT171" i="14"/>
  <c r="AS171" i="14"/>
  <c r="AR171" i="14"/>
  <c r="AQ171" i="14"/>
  <c r="AP171" i="14"/>
  <c r="AO171" i="14"/>
  <c r="BD170" i="14"/>
  <c r="BC170" i="14"/>
  <c r="AZ170" i="14"/>
  <c r="BA170" i="14" s="1"/>
  <c r="AX170" i="14"/>
  <c r="AT170" i="14"/>
  <c r="AS170" i="14"/>
  <c r="AR170" i="14"/>
  <c r="AQ170" i="14"/>
  <c r="AP170" i="14"/>
  <c r="AO170" i="14"/>
  <c r="BD169" i="14"/>
  <c r="BC169" i="14"/>
  <c r="AZ169" i="14"/>
  <c r="BA169" i="14" s="1"/>
  <c r="AX169" i="14"/>
  <c r="AT169" i="14"/>
  <c r="AS169" i="14"/>
  <c r="AR169" i="14"/>
  <c r="AQ169" i="14"/>
  <c r="AP169" i="14"/>
  <c r="AO169" i="14"/>
  <c r="BD168" i="14"/>
  <c r="BC168" i="14"/>
  <c r="AZ168" i="14"/>
  <c r="BA168" i="14" s="1"/>
  <c r="AX168" i="14"/>
  <c r="AT168" i="14"/>
  <c r="AS168" i="14"/>
  <c r="AR168" i="14"/>
  <c r="AQ168" i="14"/>
  <c r="AP168" i="14"/>
  <c r="AO168" i="14"/>
  <c r="BD167" i="14"/>
  <c r="BC167" i="14"/>
  <c r="AZ167" i="14"/>
  <c r="BA167" i="14" s="1"/>
  <c r="AX167" i="14"/>
  <c r="AT167" i="14"/>
  <c r="AS167" i="14"/>
  <c r="AR167" i="14"/>
  <c r="AQ167" i="14"/>
  <c r="AU167" i="14" s="1"/>
  <c r="AY167" i="14" s="1"/>
  <c r="AP167" i="14"/>
  <c r="AO167" i="14"/>
  <c r="BD166" i="14"/>
  <c r="BC166" i="14"/>
  <c r="AZ166" i="14"/>
  <c r="BA166" i="14" s="1"/>
  <c r="AX166" i="14"/>
  <c r="AT166" i="14"/>
  <c r="AS166" i="14"/>
  <c r="AR166" i="14"/>
  <c r="AQ166" i="14"/>
  <c r="AP166" i="14"/>
  <c r="AO166" i="14"/>
  <c r="BD165" i="14"/>
  <c r="BC165" i="14"/>
  <c r="AZ165" i="14"/>
  <c r="BA165" i="14" s="1"/>
  <c r="AX165" i="14"/>
  <c r="AT165" i="14"/>
  <c r="AS165" i="14"/>
  <c r="AR165" i="14"/>
  <c r="AQ165" i="14"/>
  <c r="AP165" i="14"/>
  <c r="AO165" i="14"/>
  <c r="BD164" i="14"/>
  <c r="BC164" i="14"/>
  <c r="AZ164" i="14"/>
  <c r="BA164" i="14" s="1"/>
  <c r="AX164" i="14"/>
  <c r="AT164" i="14"/>
  <c r="AS164" i="14"/>
  <c r="AR164" i="14"/>
  <c r="AQ164" i="14"/>
  <c r="AP164" i="14"/>
  <c r="AO164" i="14"/>
  <c r="BD163" i="14"/>
  <c r="BC163" i="14"/>
  <c r="BA163" i="14"/>
  <c r="AZ163" i="14"/>
  <c r="AX163" i="14"/>
  <c r="AT163" i="14"/>
  <c r="AS163" i="14"/>
  <c r="AR163" i="14"/>
  <c r="AQ163" i="14"/>
  <c r="AP163" i="14"/>
  <c r="AO163" i="14"/>
  <c r="AU163" i="14" s="1"/>
  <c r="AY163" i="14" s="1"/>
  <c r="BD162" i="14"/>
  <c r="BC162" i="14"/>
  <c r="AZ162" i="14"/>
  <c r="BA162" i="14" s="1"/>
  <c r="AX162" i="14"/>
  <c r="AT162" i="14"/>
  <c r="AS162" i="14"/>
  <c r="AR162" i="14"/>
  <c r="AQ162" i="14"/>
  <c r="AP162" i="14"/>
  <c r="AO162" i="14"/>
  <c r="BD161" i="14"/>
  <c r="BC161" i="14"/>
  <c r="BA161" i="14"/>
  <c r="AZ161" i="14"/>
  <c r="AX161" i="14"/>
  <c r="AT161" i="14"/>
  <c r="AS161" i="14"/>
  <c r="AR161" i="14"/>
  <c r="AQ161" i="14"/>
  <c r="AP161" i="14"/>
  <c r="AO161" i="14"/>
  <c r="BD160" i="14"/>
  <c r="BC160" i="14"/>
  <c r="AZ160" i="14"/>
  <c r="BA160" i="14" s="1"/>
  <c r="AX160" i="14"/>
  <c r="AT160" i="14"/>
  <c r="AS160" i="14"/>
  <c r="AR160" i="14"/>
  <c r="AQ160" i="14"/>
  <c r="AP160" i="14"/>
  <c r="AO160" i="14"/>
  <c r="BD159" i="14"/>
  <c r="BC159" i="14"/>
  <c r="AZ159" i="14"/>
  <c r="BA159" i="14" s="1"/>
  <c r="AX159" i="14"/>
  <c r="AT159" i="14"/>
  <c r="AS159" i="14"/>
  <c r="AR159" i="14"/>
  <c r="AQ159" i="14"/>
  <c r="AP159" i="14"/>
  <c r="AO159" i="14"/>
  <c r="BD158" i="14"/>
  <c r="BC158" i="14"/>
  <c r="AZ158" i="14"/>
  <c r="BA158" i="14" s="1"/>
  <c r="AX158" i="14"/>
  <c r="AT158" i="14"/>
  <c r="AS158" i="14"/>
  <c r="AR158" i="14"/>
  <c r="AQ158" i="14"/>
  <c r="AP158" i="14"/>
  <c r="AO158" i="14"/>
  <c r="BD157" i="14"/>
  <c r="BC157" i="14"/>
  <c r="AZ157" i="14"/>
  <c r="BA157" i="14" s="1"/>
  <c r="AX157" i="14"/>
  <c r="AT157" i="14"/>
  <c r="AS157" i="14"/>
  <c r="AR157" i="14"/>
  <c r="AQ157" i="14"/>
  <c r="AP157" i="14"/>
  <c r="AO157" i="14"/>
  <c r="BD156" i="14"/>
  <c r="BC156" i="14"/>
  <c r="AZ156" i="14"/>
  <c r="BA156" i="14" s="1"/>
  <c r="AX156" i="14"/>
  <c r="AT156" i="14"/>
  <c r="AS156" i="14"/>
  <c r="AR156" i="14"/>
  <c r="AQ156" i="14"/>
  <c r="AP156" i="14"/>
  <c r="AU156" i="14" s="1"/>
  <c r="AY156" i="14" s="1"/>
  <c r="AO156" i="14"/>
  <c r="BD155" i="14"/>
  <c r="BC155" i="14"/>
  <c r="BA155" i="14"/>
  <c r="AZ155" i="14"/>
  <c r="AX155" i="14"/>
  <c r="AT155" i="14"/>
  <c r="AS155" i="14"/>
  <c r="AR155" i="14"/>
  <c r="AQ155" i="14"/>
  <c r="AP155" i="14"/>
  <c r="AO155" i="14"/>
  <c r="BD154" i="14"/>
  <c r="BC154" i="14"/>
  <c r="AZ154" i="14"/>
  <c r="BA154" i="14" s="1"/>
  <c r="AX154" i="14"/>
  <c r="AT154" i="14"/>
  <c r="AS154" i="14"/>
  <c r="AR154" i="14"/>
  <c r="AQ154" i="14"/>
  <c r="AP154" i="14"/>
  <c r="AO154" i="14"/>
  <c r="BD153" i="14"/>
  <c r="BC153" i="14"/>
  <c r="AZ153" i="14"/>
  <c r="BA153" i="14" s="1"/>
  <c r="AX153" i="14"/>
  <c r="AT153" i="14"/>
  <c r="AS153" i="14"/>
  <c r="AR153" i="14"/>
  <c r="AQ153" i="14"/>
  <c r="AP153" i="14"/>
  <c r="AO153" i="14"/>
  <c r="BD152" i="14"/>
  <c r="BC152" i="14"/>
  <c r="AZ152" i="14"/>
  <c r="BA152" i="14" s="1"/>
  <c r="AX152" i="14"/>
  <c r="AT152" i="14"/>
  <c r="AS152" i="14"/>
  <c r="AR152" i="14"/>
  <c r="AQ152" i="14"/>
  <c r="AP152" i="14"/>
  <c r="AO152" i="14"/>
  <c r="BD151" i="14"/>
  <c r="BC151" i="14"/>
  <c r="AZ151" i="14"/>
  <c r="BA151" i="14" s="1"/>
  <c r="AX151" i="14"/>
  <c r="AT151" i="14"/>
  <c r="AS151" i="14"/>
  <c r="AR151" i="14"/>
  <c r="AQ151" i="14"/>
  <c r="AU151" i="14" s="1"/>
  <c r="AY151" i="14" s="1"/>
  <c r="AP151" i="14"/>
  <c r="AO151" i="14"/>
  <c r="BD150" i="14"/>
  <c r="BC150" i="14"/>
  <c r="AZ150" i="14"/>
  <c r="BA150" i="14" s="1"/>
  <c r="AX150" i="14"/>
  <c r="AT150" i="14"/>
  <c r="AS150" i="14"/>
  <c r="AR150" i="14"/>
  <c r="AQ150" i="14"/>
  <c r="AP150" i="14"/>
  <c r="AO150" i="14"/>
  <c r="BD149" i="14"/>
  <c r="BC149" i="14"/>
  <c r="AZ149" i="14"/>
  <c r="BA149" i="14" s="1"/>
  <c r="AX149" i="14"/>
  <c r="AT149" i="14"/>
  <c r="AS149" i="14"/>
  <c r="AR149" i="14"/>
  <c r="AQ149" i="14"/>
  <c r="AP149" i="14"/>
  <c r="AO149" i="14"/>
  <c r="BD148" i="14"/>
  <c r="BC148" i="14"/>
  <c r="AZ148" i="14"/>
  <c r="BA148" i="14" s="1"/>
  <c r="AX148" i="14"/>
  <c r="AT148" i="14"/>
  <c r="AS148" i="14"/>
  <c r="AR148" i="14"/>
  <c r="AQ148" i="14"/>
  <c r="AU148" i="14" s="1"/>
  <c r="AY148" i="14" s="1"/>
  <c r="AP148" i="14"/>
  <c r="AO148" i="14"/>
  <c r="BD147" i="14"/>
  <c r="BC147" i="14"/>
  <c r="BA147" i="14"/>
  <c r="AZ147" i="14"/>
  <c r="AX147" i="14"/>
  <c r="AT147" i="14"/>
  <c r="AS147" i="14"/>
  <c r="AR147" i="14"/>
  <c r="AQ147" i="14"/>
  <c r="AP147" i="14"/>
  <c r="AO147" i="14"/>
  <c r="BD146" i="14"/>
  <c r="BC146" i="14"/>
  <c r="AZ146" i="14"/>
  <c r="BA146" i="14" s="1"/>
  <c r="AX146" i="14"/>
  <c r="AT146" i="14"/>
  <c r="AS146" i="14"/>
  <c r="AR146" i="14"/>
  <c r="AQ146" i="14"/>
  <c r="AP146" i="14"/>
  <c r="AO146" i="14"/>
  <c r="BD145" i="14"/>
  <c r="BC145" i="14"/>
  <c r="AZ145" i="14"/>
  <c r="BA145" i="14" s="1"/>
  <c r="AX145" i="14"/>
  <c r="AT145" i="14"/>
  <c r="AS145" i="14"/>
  <c r="AR145" i="14"/>
  <c r="AQ145" i="14"/>
  <c r="AP145" i="14"/>
  <c r="AO145" i="14"/>
  <c r="BD144" i="14"/>
  <c r="BC144" i="14"/>
  <c r="AZ144" i="14"/>
  <c r="BA144" i="14" s="1"/>
  <c r="AX144" i="14"/>
  <c r="AT144" i="14"/>
  <c r="AS144" i="14"/>
  <c r="AR144" i="14"/>
  <c r="AQ144" i="14"/>
  <c r="AP144" i="14"/>
  <c r="AO144" i="14"/>
  <c r="BD143" i="14"/>
  <c r="BC143" i="14"/>
  <c r="AZ143" i="14"/>
  <c r="BA143" i="14" s="1"/>
  <c r="AX143" i="14"/>
  <c r="AT143" i="14"/>
  <c r="AS143" i="14"/>
  <c r="AR143" i="14"/>
  <c r="AQ143" i="14"/>
  <c r="AP143" i="14"/>
  <c r="AO143" i="14"/>
  <c r="BD142" i="14"/>
  <c r="BC142" i="14"/>
  <c r="AZ142" i="14"/>
  <c r="BA142" i="14" s="1"/>
  <c r="AX142" i="14"/>
  <c r="AT142" i="14"/>
  <c r="AS142" i="14"/>
  <c r="AR142" i="14"/>
  <c r="AQ142" i="14"/>
  <c r="AP142" i="14"/>
  <c r="AO142" i="14"/>
  <c r="BD141" i="14"/>
  <c r="BC141" i="14"/>
  <c r="AZ141" i="14"/>
  <c r="BA141" i="14" s="1"/>
  <c r="AX141" i="14"/>
  <c r="AT141" i="14"/>
  <c r="AS141" i="14"/>
  <c r="AR141" i="14"/>
  <c r="AQ141" i="14"/>
  <c r="AP141" i="14"/>
  <c r="AO141" i="14"/>
  <c r="AU141" i="14" s="1"/>
  <c r="AY141" i="14" s="1"/>
  <c r="BD140" i="14"/>
  <c r="BC140" i="14"/>
  <c r="AZ140" i="14"/>
  <c r="BA140" i="14" s="1"/>
  <c r="AX140" i="14"/>
  <c r="AT140" i="14"/>
  <c r="AS140" i="14"/>
  <c r="AR140" i="14"/>
  <c r="AQ140" i="14"/>
  <c r="AP140" i="14"/>
  <c r="AO140" i="14"/>
  <c r="BD139" i="14"/>
  <c r="BC139" i="14"/>
  <c r="BA139" i="14"/>
  <c r="AZ139" i="14"/>
  <c r="AX139" i="14"/>
  <c r="AT139" i="14"/>
  <c r="AS139" i="14"/>
  <c r="AR139" i="14"/>
  <c r="AQ139" i="14"/>
  <c r="AP139" i="14"/>
  <c r="AO139" i="14"/>
  <c r="BD138" i="14"/>
  <c r="BC138" i="14"/>
  <c r="AZ138" i="14"/>
  <c r="BA138" i="14" s="1"/>
  <c r="AX138" i="14"/>
  <c r="AT138" i="14"/>
  <c r="AS138" i="14"/>
  <c r="AR138" i="14"/>
  <c r="AQ138" i="14"/>
  <c r="AP138" i="14"/>
  <c r="AO138" i="14"/>
  <c r="BD137" i="14"/>
  <c r="BC137" i="14"/>
  <c r="AZ137" i="14"/>
  <c r="BA137" i="14" s="1"/>
  <c r="AX137" i="14"/>
  <c r="AT137" i="14"/>
  <c r="AS137" i="14"/>
  <c r="AR137" i="14"/>
  <c r="AQ137" i="14"/>
  <c r="AP137" i="14"/>
  <c r="AU137" i="14" s="1"/>
  <c r="AY137" i="14" s="1"/>
  <c r="AO137" i="14"/>
  <c r="BD136" i="14"/>
  <c r="BC136" i="14"/>
  <c r="BA136" i="14"/>
  <c r="AZ136" i="14"/>
  <c r="AX136" i="14"/>
  <c r="AT136" i="14"/>
  <c r="AS136" i="14"/>
  <c r="AR136" i="14"/>
  <c r="AQ136" i="14"/>
  <c r="AP136" i="14"/>
  <c r="AO136" i="14"/>
  <c r="BD135" i="14"/>
  <c r="BC135" i="14"/>
  <c r="AZ135" i="14"/>
  <c r="BA135" i="14" s="1"/>
  <c r="AX135" i="14"/>
  <c r="AT135" i="14"/>
  <c r="AS135" i="14"/>
  <c r="AR135" i="14"/>
  <c r="AQ135" i="14"/>
  <c r="AP135" i="14"/>
  <c r="AO135" i="14"/>
  <c r="BD134" i="14"/>
  <c r="BC134" i="14"/>
  <c r="AZ134" i="14"/>
  <c r="BA134" i="14" s="1"/>
  <c r="AX134" i="14"/>
  <c r="AT134" i="14"/>
  <c r="AS134" i="14"/>
  <c r="AR134" i="14"/>
  <c r="AQ134" i="14"/>
  <c r="AP134" i="14"/>
  <c r="AO134" i="14"/>
  <c r="BD133" i="14"/>
  <c r="BC133" i="14"/>
  <c r="AZ133" i="14"/>
  <c r="BA133" i="14" s="1"/>
  <c r="AX133" i="14"/>
  <c r="AT133" i="14"/>
  <c r="AS133" i="14"/>
  <c r="AR133" i="14"/>
  <c r="AQ133" i="14"/>
  <c r="AP133" i="14"/>
  <c r="AO133" i="14"/>
  <c r="AU133" i="14" s="1"/>
  <c r="AY133" i="14" s="1"/>
  <c r="BD132" i="14"/>
  <c r="BC132" i="14"/>
  <c r="AZ132" i="14"/>
  <c r="BA132" i="14" s="1"/>
  <c r="AX132" i="14"/>
  <c r="AT132" i="14"/>
  <c r="AS132" i="14"/>
  <c r="AR132" i="14"/>
  <c r="AQ132" i="14"/>
  <c r="AP132" i="14"/>
  <c r="AO132" i="14"/>
  <c r="BD131" i="14"/>
  <c r="BC131" i="14"/>
  <c r="BA131" i="14"/>
  <c r="AZ131" i="14"/>
  <c r="AX131" i="14"/>
  <c r="AT131" i="14"/>
  <c r="AS131" i="14"/>
  <c r="AR131" i="14"/>
  <c r="AQ131" i="14"/>
  <c r="AP131" i="14"/>
  <c r="AO131" i="14"/>
  <c r="BD130" i="14"/>
  <c r="BC130" i="14"/>
  <c r="BA130" i="14"/>
  <c r="AZ130" i="14"/>
  <c r="AX130" i="14"/>
  <c r="AT130" i="14"/>
  <c r="AS130" i="14"/>
  <c r="AR130" i="14"/>
  <c r="AQ130" i="14"/>
  <c r="AP130" i="14"/>
  <c r="AO130" i="14"/>
  <c r="BD129" i="14"/>
  <c r="BC129" i="14"/>
  <c r="AZ129" i="14"/>
  <c r="BA129" i="14" s="1"/>
  <c r="AX129" i="14"/>
  <c r="AT129" i="14"/>
  <c r="AS129" i="14"/>
  <c r="AR129" i="14"/>
  <c r="AQ129" i="14"/>
  <c r="AP129" i="14"/>
  <c r="AO129" i="14"/>
  <c r="BD128" i="14"/>
  <c r="BC128" i="14"/>
  <c r="AZ128" i="14"/>
  <c r="BA128" i="14" s="1"/>
  <c r="AX128" i="14"/>
  <c r="AT128" i="14"/>
  <c r="AS128" i="14"/>
  <c r="AR128" i="14"/>
  <c r="AQ128" i="14"/>
  <c r="AP128" i="14"/>
  <c r="AO128" i="14"/>
  <c r="BD127" i="14"/>
  <c r="BC127" i="14"/>
  <c r="AZ127" i="14"/>
  <c r="BA127" i="14" s="1"/>
  <c r="AX127" i="14"/>
  <c r="AT127" i="14"/>
  <c r="AS127" i="14"/>
  <c r="AR127" i="14"/>
  <c r="AQ127" i="14"/>
  <c r="AP127" i="14"/>
  <c r="AO127" i="14"/>
  <c r="BD126" i="14"/>
  <c r="BC126" i="14"/>
  <c r="AZ126" i="14"/>
  <c r="BA126" i="14" s="1"/>
  <c r="AX126" i="14"/>
  <c r="AT126" i="14"/>
  <c r="AS126" i="14"/>
  <c r="AR126" i="14"/>
  <c r="AQ126" i="14"/>
  <c r="AP126" i="14"/>
  <c r="AO126" i="14"/>
  <c r="BD125" i="14"/>
  <c r="BC125" i="14"/>
  <c r="AZ125" i="14"/>
  <c r="BA125" i="14" s="1"/>
  <c r="AX125" i="14"/>
  <c r="AT125" i="14"/>
  <c r="AS125" i="14"/>
  <c r="AR125" i="14"/>
  <c r="AQ125" i="14"/>
  <c r="AP125" i="14"/>
  <c r="AO125" i="14"/>
  <c r="AU125" i="14" s="1"/>
  <c r="AY125" i="14" s="1"/>
  <c r="BD124" i="14"/>
  <c r="BC124" i="14"/>
  <c r="AZ124" i="14"/>
  <c r="BA124" i="14" s="1"/>
  <c r="AX124" i="14"/>
  <c r="AT124" i="14"/>
  <c r="AS124" i="14"/>
  <c r="AR124" i="14"/>
  <c r="AQ124" i="14"/>
  <c r="AP124" i="14"/>
  <c r="AO124" i="14"/>
  <c r="BD123" i="14"/>
  <c r="BC123" i="14"/>
  <c r="BA123" i="14"/>
  <c r="AZ123" i="14"/>
  <c r="AX123" i="14"/>
  <c r="AT123" i="14"/>
  <c r="AS123" i="14"/>
  <c r="AR123" i="14"/>
  <c r="AQ123" i="14"/>
  <c r="AP123" i="14"/>
  <c r="AO123" i="14"/>
  <c r="BD122" i="14"/>
  <c r="BC122" i="14"/>
  <c r="BA122" i="14"/>
  <c r="AZ122" i="14"/>
  <c r="AX122" i="14"/>
  <c r="AT122" i="14"/>
  <c r="AS122" i="14"/>
  <c r="AR122" i="14"/>
  <c r="AQ122" i="14"/>
  <c r="AP122" i="14"/>
  <c r="AO122" i="14"/>
  <c r="BD121" i="14"/>
  <c r="BC121" i="14"/>
  <c r="AZ121" i="14"/>
  <c r="BA121" i="14" s="1"/>
  <c r="AX121" i="14"/>
  <c r="AT121" i="14"/>
  <c r="AS121" i="14"/>
  <c r="AR121" i="14"/>
  <c r="AQ121" i="14"/>
  <c r="AP121" i="14"/>
  <c r="AO121" i="14"/>
  <c r="BD120" i="14"/>
  <c r="BC120" i="14"/>
  <c r="AZ120" i="14"/>
  <c r="BA120" i="14" s="1"/>
  <c r="AX120" i="14"/>
  <c r="AT120" i="14"/>
  <c r="AS120" i="14"/>
  <c r="AR120" i="14"/>
  <c r="AQ120" i="14"/>
  <c r="AP120" i="14"/>
  <c r="AO120" i="14"/>
  <c r="BD119" i="14"/>
  <c r="BC119" i="14"/>
  <c r="AZ119" i="14"/>
  <c r="BA119" i="14" s="1"/>
  <c r="AX119" i="14"/>
  <c r="AT119" i="14"/>
  <c r="AS119" i="14"/>
  <c r="AR119" i="14"/>
  <c r="AQ119" i="14"/>
  <c r="AP119" i="14"/>
  <c r="AO119" i="14"/>
  <c r="BD118" i="14"/>
  <c r="BC118" i="14"/>
  <c r="AZ118" i="14"/>
  <c r="BA118" i="14" s="1"/>
  <c r="AX118" i="14"/>
  <c r="AT118" i="14"/>
  <c r="AS118" i="14"/>
  <c r="AR118" i="14"/>
  <c r="AQ118" i="14"/>
  <c r="AP118" i="14"/>
  <c r="AO118" i="14"/>
  <c r="BD117" i="14"/>
  <c r="BC117" i="14"/>
  <c r="AZ117" i="14"/>
  <c r="BA117" i="14" s="1"/>
  <c r="AX117" i="14"/>
  <c r="AT117" i="14"/>
  <c r="AS117" i="14"/>
  <c r="AR117" i="14"/>
  <c r="AQ117" i="14"/>
  <c r="AP117" i="14"/>
  <c r="AO117" i="14"/>
  <c r="AU117" i="14" s="1"/>
  <c r="AY117" i="14" s="1"/>
  <c r="BD116" i="14"/>
  <c r="BC116" i="14"/>
  <c r="AZ116" i="14"/>
  <c r="BA116" i="14" s="1"/>
  <c r="AX116" i="14"/>
  <c r="AT116" i="14"/>
  <c r="AS116" i="14"/>
  <c r="AR116" i="14"/>
  <c r="AQ116" i="14"/>
  <c r="AP116" i="14"/>
  <c r="AO116" i="14"/>
  <c r="BD115" i="14"/>
  <c r="BC115" i="14"/>
  <c r="BA115" i="14"/>
  <c r="AZ115" i="14"/>
  <c r="AX115" i="14"/>
  <c r="AT115" i="14"/>
  <c r="AS115" i="14"/>
  <c r="AR115" i="14"/>
  <c r="AQ115" i="14"/>
  <c r="AU115" i="14" s="1"/>
  <c r="AY115" i="14" s="1"/>
  <c r="AP115" i="14"/>
  <c r="AO115" i="14"/>
  <c r="BD114" i="14"/>
  <c r="BC114" i="14"/>
  <c r="BA114" i="14"/>
  <c r="AZ114" i="14"/>
  <c r="AX114" i="14"/>
  <c r="AT114" i="14"/>
  <c r="AS114" i="14"/>
  <c r="AR114" i="14"/>
  <c r="AQ114" i="14"/>
  <c r="AP114" i="14"/>
  <c r="AO114" i="14"/>
  <c r="BD113" i="14"/>
  <c r="BC113" i="14"/>
  <c r="AZ113" i="14"/>
  <c r="BA113" i="14" s="1"/>
  <c r="AX113" i="14"/>
  <c r="AT113" i="14"/>
  <c r="AS113" i="14"/>
  <c r="AR113" i="14"/>
  <c r="AQ113" i="14"/>
  <c r="AP113" i="14"/>
  <c r="AO113" i="14"/>
  <c r="BD112" i="14"/>
  <c r="BC112" i="14"/>
  <c r="AZ112" i="14"/>
  <c r="BA112" i="14" s="1"/>
  <c r="AX112" i="14"/>
  <c r="AT112" i="14"/>
  <c r="AS112" i="14"/>
  <c r="AR112" i="14"/>
  <c r="AQ112" i="14"/>
  <c r="AP112" i="14"/>
  <c r="AO112" i="14"/>
  <c r="BD111" i="14"/>
  <c r="BC111" i="14"/>
  <c r="BA111" i="14"/>
  <c r="AZ111" i="14"/>
  <c r="AX111" i="14"/>
  <c r="AT111" i="14"/>
  <c r="AS111" i="14"/>
  <c r="AR111" i="14"/>
  <c r="AQ111" i="14"/>
  <c r="AP111" i="14"/>
  <c r="AO111" i="14"/>
  <c r="BD110" i="14"/>
  <c r="BC110" i="14"/>
  <c r="AZ110" i="14"/>
  <c r="BA110" i="14" s="1"/>
  <c r="AX110" i="14"/>
  <c r="AT110" i="14"/>
  <c r="AS110" i="14"/>
  <c r="AR110" i="14"/>
  <c r="AQ110" i="14"/>
  <c r="AP110" i="14"/>
  <c r="AO110" i="14"/>
  <c r="BD109" i="14"/>
  <c r="BC109" i="14"/>
  <c r="AZ109" i="14"/>
  <c r="BA109" i="14" s="1"/>
  <c r="AX109" i="14"/>
  <c r="AT109" i="14"/>
  <c r="AS109" i="14"/>
  <c r="AR109" i="14"/>
  <c r="AQ109" i="14"/>
  <c r="AP109" i="14"/>
  <c r="AO109" i="14"/>
  <c r="AU109" i="14" s="1"/>
  <c r="AY109" i="14" s="1"/>
  <c r="BD108" i="14"/>
  <c r="BC108" i="14"/>
  <c r="AZ108" i="14"/>
  <c r="BA108" i="14" s="1"/>
  <c r="AX108" i="14"/>
  <c r="AT108" i="14"/>
  <c r="AS108" i="14"/>
  <c r="AR108" i="14"/>
  <c r="AQ108" i="14"/>
  <c r="AP108" i="14"/>
  <c r="AO108" i="14"/>
  <c r="BD107" i="14"/>
  <c r="BC107" i="14"/>
  <c r="BA107" i="14"/>
  <c r="AZ107" i="14"/>
  <c r="AX107" i="14"/>
  <c r="AT107" i="14"/>
  <c r="AS107" i="14"/>
  <c r="AR107" i="14"/>
  <c r="AQ107" i="14"/>
  <c r="AP107" i="14"/>
  <c r="AO107" i="14"/>
  <c r="BD106" i="14"/>
  <c r="BC106" i="14"/>
  <c r="BA106" i="14"/>
  <c r="AZ106" i="14"/>
  <c r="AX106" i="14"/>
  <c r="AT106" i="14"/>
  <c r="AS106" i="14"/>
  <c r="AR106" i="14"/>
  <c r="AQ106" i="14"/>
  <c r="AP106" i="14"/>
  <c r="AO106" i="14"/>
  <c r="BD105" i="14"/>
  <c r="BC105" i="14"/>
  <c r="AZ105" i="14"/>
  <c r="BA105" i="14" s="1"/>
  <c r="AX105" i="14"/>
  <c r="AT105" i="14"/>
  <c r="AS105" i="14"/>
  <c r="AR105" i="14"/>
  <c r="AQ105" i="14"/>
  <c r="AP105" i="14"/>
  <c r="AO105" i="14"/>
  <c r="BD104" i="14"/>
  <c r="BC104" i="14"/>
  <c r="AZ104" i="14"/>
  <c r="BA104" i="14" s="1"/>
  <c r="AX104" i="14"/>
  <c r="AT104" i="14"/>
  <c r="AS104" i="14"/>
  <c r="AR104" i="14"/>
  <c r="AQ104" i="14"/>
  <c r="AP104" i="14"/>
  <c r="AO104" i="14"/>
  <c r="BD103" i="14"/>
  <c r="BC103" i="14"/>
  <c r="AZ103" i="14"/>
  <c r="BA103" i="14" s="1"/>
  <c r="AX103" i="14"/>
  <c r="AT103" i="14"/>
  <c r="AS103" i="14"/>
  <c r="AR103" i="14"/>
  <c r="AQ103" i="14"/>
  <c r="AP103" i="14"/>
  <c r="AO103" i="14"/>
  <c r="BD102" i="14"/>
  <c r="BC102" i="14"/>
  <c r="AZ102" i="14"/>
  <c r="BA102" i="14" s="1"/>
  <c r="AX102" i="14"/>
  <c r="AT102" i="14"/>
  <c r="AS102" i="14"/>
  <c r="AR102" i="14"/>
  <c r="AQ102" i="14"/>
  <c r="AP102" i="14"/>
  <c r="AO102" i="14"/>
  <c r="BD101" i="14"/>
  <c r="BC101" i="14"/>
  <c r="AZ101" i="14"/>
  <c r="BA101" i="14" s="1"/>
  <c r="AX101" i="14"/>
  <c r="AT101" i="14"/>
  <c r="AS101" i="14"/>
  <c r="AR101" i="14"/>
  <c r="AQ101" i="14"/>
  <c r="AP101" i="14"/>
  <c r="AO101" i="14"/>
  <c r="AU101" i="14" s="1"/>
  <c r="AY101" i="14" s="1"/>
  <c r="BD100" i="14"/>
  <c r="BC100" i="14"/>
  <c r="AZ100" i="14"/>
  <c r="BA100" i="14" s="1"/>
  <c r="AX100" i="14"/>
  <c r="AT100" i="14"/>
  <c r="AS100" i="14"/>
  <c r="AR100" i="14"/>
  <c r="AQ100" i="14"/>
  <c r="AP100" i="14"/>
  <c r="AO100" i="14"/>
  <c r="BD99" i="14"/>
  <c r="BC99" i="14"/>
  <c r="BA99" i="14"/>
  <c r="AZ99" i="14"/>
  <c r="AX99" i="14"/>
  <c r="AT99" i="14"/>
  <c r="AS99" i="14"/>
  <c r="AR99" i="14"/>
  <c r="AQ99" i="14"/>
  <c r="AP99" i="14"/>
  <c r="AO99" i="14"/>
  <c r="BD98" i="14"/>
  <c r="BC98" i="14"/>
  <c r="BA98" i="14"/>
  <c r="AZ98" i="14"/>
  <c r="AX98" i="14"/>
  <c r="AT98" i="14"/>
  <c r="AS98" i="14"/>
  <c r="AR98" i="14"/>
  <c r="AQ98" i="14"/>
  <c r="AP98" i="14"/>
  <c r="AO98" i="14"/>
  <c r="BD97" i="14"/>
  <c r="BC97" i="14"/>
  <c r="AZ97" i="14"/>
  <c r="BA97" i="14" s="1"/>
  <c r="AX97" i="14"/>
  <c r="AT97" i="14"/>
  <c r="AS97" i="14"/>
  <c r="AR97" i="14"/>
  <c r="AQ97" i="14"/>
  <c r="AP97" i="14"/>
  <c r="AO97" i="14"/>
  <c r="BD96" i="14"/>
  <c r="BC96" i="14"/>
  <c r="AZ96" i="14"/>
  <c r="BA96" i="14" s="1"/>
  <c r="AX96" i="14"/>
  <c r="AT96" i="14"/>
  <c r="AS96" i="14"/>
  <c r="AR96" i="14"/>
  <c r="AQ96" i="14"/>
  <c r="AP96" i="14"/>
  <c r="AO96" i="14"/>
  <c r="BD95" i="14"/>
  <c r="BC95" i="14"/>
  <c r="AZ95" i="14"/>
  <c r="BA95" i="14" s="1"/>
  <c r="AX95" i="14"/>
  <c r="AT95" i="14"/>
  <c r="AS95" i="14"/>
  <c r="AR95" i="14"/>
  <c r="AQ95" i="14"/>
  <c r="AP95" i="14"/>
  <c r="AO95" i="14"/>
  <c r="BD94" i="14"/>
  <c r="BC94" i="14"/>
  <c r="AZ94" i="14"/>
  <c r="BA94" i="14" s="1"/>
  <c r="AX94" i="14"/>
  <c r="AT94" i="14"/>
  <c r="AS94" i="14"/>
  <c r="AR94" i="14"/>
  <c r="AQ94" i="14"/>
  <c r="AP94" i="14"/>
  <c r="AO94" i="14"/>
  <c r="BD93" i="14"/>
  <c r="BC93" i="14"/>
  <c r="AZ93" i="14"/>
  <c r="BA93" i="14" s="1"/>
  <c r="AX93" i="14"/>
  <c r="AT93" i="14"/>
  <c r="AS93" i="14"/>
  <c r="AR93" i="14"/>
  <c r="AQ93" i="14"/>
  <c r="AP93" i="14"/>
  <c r="AO93" i="14"/>
  <c r="AU93" i="14" s="1"/>
  <c r="AY93" i="14" s="1"/>
  <c r="BD92" i="14"/>
  <c r="BC92" i="14"/>
  <c r="AZ92" i="14"/>
  <c r="BA92" i="14" s="1"/>
  <c r="AX92" i="14"/>
  <c r="AT92" i="14"/>
  <c r="AS92" i="14"/>
  <c r="AR92" i="14"/>
  <c r="AQ92" i="14"/>
  <c r="AP92" i="14"/>
  <c r="AO92" i="14"/>
  <c r="BD91" i="14"/>
  <c r="BC91" i="14"/>
  <c r="BA91" i="14"/>
  <c r="AZ91" i="14"/>
  <c r="AX91" i="14"/>
  <c r="AT91" i="14"/>
  <c r="AS91" i="14"/>
  <c r="AR91" i="14"/>
  <c r="AQ91" i="14"/>
  <c r="AP91" i="14"/>
  <c r="AO91" i="14"/>
  <c r="BD90" i="14"/>
  <c r="BC90" i="14"/>
  <c r="BA90" i="14"/>
  <c r="AZ90" i="14"/>
  <c r="AX90" i="14"/>
  <c r="AT90" i="14"/>
  <c r="AS90" i="14"/>
  <c r="AR90" i="14"/>
  <c r="AQ90" i="14"/>
  <c r="AP90" i="14"/>
  <c r="AO90" i="14"/>
  <c r="BD89" i="14"/>
  <c r="BC89" i="14"/>
  <c r="AZ89" i="14"/>
  <c r="BA89" i="14" s="1"/>
  <c r="AX89" i="14"/>
  <c r="AT89" i="14"/>
  <c r="AS89" i="14"/>
  <c r="AR89" i="14"/>
  <c r="AQ89" i="14"/>
  <c r="AP89" i="14"/>
  <c r="AO89" i="14"/>
  <c r="BD88" i="14"/>
  <c r="BC88" i="14"/>
  <c r="AZ88" i="14"/>
  <c r="BA88" i="14" s="1"/>
  <c r="AX88" i="14"/>
  <c r="AT88" i="14"/>
  <c r="AS88" i="14"/>
  <c r="AR88" i="14"/>
  <c r="AQ88" i="14"/>
  <c r="AP88" i="14"/>
  <c r="AO88" i="14"/>
  <c r="BD87" i="14"/>
  <c r="BC87" i="14"/>
  <c r="BA87" i="14"/>
  <c r="AZ87" i="14"/>
  <c r="AX87" i="14"/>
  <c r="AT87" i="14"/>
  <c r="AS87" i="14"/>
  <c r="AR87" i="14"/>
  <c r="AQ87" i="14"/>
  <c r="AP87" i="14"/>
  <c r="AO87" i="14"/>
  <c r="BD86" i="14"/>
  <c r="BC86" i="14"/>
  <c r="AZ86" i="14"/>
  <c r="BA86" i="14" s="1"/>
  <c r="AX86" i="14"/>
  <c r="AT86" i="14"/>
  <c r="AS86" i="14"/>
  <c r="AR86" i="14"/>
  <c r="AQ86" i="14"/>
  <c r="AP86" i="14"/>
  <c r="AO86" i="14"/>
  <c r="BD85" i="14"/>
  <c r="BC85" i="14"/>
  <c r="AZ85" i="14"/>
  <c r="BA85" i="14" s="1"/>
  <c r="AX85" i="14"/>
  <c r="AT85" i="14"/>
  <c r="AS85" i="14"/>
  <c r="AR85" i="14"/>
  <c r="AQ85" i="14"/>
  <c r="AP85" i="14"/>
  <c r="AO85" i="14"/>
  <c r="BD84" i="14"/>
  <c r="BC84" i="14"/>
  <c r="BA84" i="14"/>
  <c r="AZ84" i="14"/>
  <c r="AX84" i="14"/>
  <c r="AT84" i="14"/>
  <c r="AS84" i="14"/>
  <c r="AR84" i="14"/>
  <c r="AQ84" i="14"/>
  <c r="AP84" i="14"/>
  <c r="AO84" i="14"/>
  <c r="BD83" i="14"/>
  <c r="BC83" i="14"/>
  <c r="AZ83" i="14"/>
  <c r="BA83" i="14" s="1"/>
  <c r="AX83" i="14"/>
  <c r="AT83" i="14"/>
  <c r="AS83" i="14"/>
  <c r="AR83" i="14"/>
  <c r="AQ83" i="14"/>
  <c r="AP83" i="14"/>
  <c r="AO83" i="14"/>
  <c r="BD82" i="14"/>
  <c r="BC82" i="14"/>
  <c r="AZ82" i="14"/>
  <c r="BA82" i="14" s="1"/>
  <c r="AX82" i="14"/>
  <c r="AT82" i="14"/>
  <c r="AS82" i="14"/>
  <c r="AR82" i="14"/>
  <c r="AQ82" i="14"/>
  <c r="AP82" i="14"/>
  <c r="AO82" i="14"/>
  <c r="BD81" i="14"/>
  <c r="BC81" i="14"/>
  <c r="AZ81" i="14"/>
  <c r="BA81" i="14" s="1"/>
  <c r="AX81" i="14"/>
  <c r="AT81" i="14"/>
  <c r="AS81" i="14"/>
  <c r="AR81" i="14"/>
  <c r="AQ81" i="14"/>
  <c r="AP81" i="14"/>
  <c r="AO81" i="14"/>
  <c r="BD80" i="14"/>
  <c r="BC80" i="14"/>
  <c r="BA80" i="14"/>
  <c r="AZ80" i="14"/>
  <c r="AX80" i="14"/>
  <c r="AT80" i="14"/>
  <c r="AS80" i="14"/>
  <c r="AR80" i="14"/>
  <c r="AQ80" i="14"/>
  <c r="AP80" i="14"/>
  <c r="AO80" i="14"/>
  <c r="BD79" i="14"/>
  <c r="BC79" i="14"/>
  <c r="AZ79" i="14"/>
  <c r="BA79" i="14" s="1"/>
  <c r="AX79" i="14"/>
  <c r="AT79" i="14"/>
  <c r="AS79" i="14"/>
  <c r="AR79" i="14"/>
  <c r="AQ79" i="14"/>
  <c r="AU79" i="14" s="1"/>
  <c r="AY79" i="14" s="1"/>
  <c r="AP79" i="14"/>
  <c r="AO79" i="14"/>
  <c r="BD78" i="14"/>
  <c r="BC78" i="14"/>
  <c r="BA78" i="14"/>
  <c r="AZ78" i="14"/>
  <c r="AX78" i="14"/>
  <c r="AT78" i="14"/>
  <c r="AS78" i="14"/>
  <c r="AR78" i="14"/>
  <c r="AQ78" i="14"/>
  <c r="AP78" i="14"/>
  <c r="AO78" i="14"/>
  <c r="BD77" i="14"/>
  <c r="BC77" i="14"/>
  <c r="AZ77" i="14"/>
  <c r="BA77" i="14" s="1"/>
  <c r="AX77" i="14"/>
  <c r="AT77" i="14"/>
  <c r="AS77" i="14"/>
  <c r="AR77" i="14"/>
  <c r="AQ77" i="14"/>
  <c r="AP77" i="14"/>
  <c r="AO77" i="14"/>
  <c r="BD76" i="14"/>
  <c r="BC76" i="14"/>
  <c r="AZ76" i="14"/>
  <c r="BA76" i="14" s="1"/>
  <c r="AX76" i="14"/>
  <c r="AT76" i="14"/>
  <c r="AS76" i="14"/>
  <c r="AR76" i="14"/>
  <c r="AQ76" i="14"/>
  <c r="AP76" i="14"/>
  <c r="AU76" i="14" s="1"/>
  <c r="AY76" i="14" s="1"/>
  <c r="AO76" i="14"/>
  <c r="BD75" i="14"/>
  <c r="BC75" i="14"/>
  <c r="BA75" i="14"/>
  <c r="AZ75" i="14"/>
  <c r="AX75" i="14"/>
  <c r="AT75" i="14"/>
  <c r="AS75" i="14"/>
  <c r="AR75" i="14"/>
  <c r="AQ75" i="14"/>
  <c r="AP75" i="14"/>
  <c r="AO75" i="14"/>
  <c r="BD74" i="14"/>
  <c r="BC74" i="14"/>
  <c r="AZ74" i="14"/>
  <c r="BA74" i="14" s="1"/>
  <c r="AX74" i="14"/>
  <c r="AT74" i="14"/>
  <c r="AS74" i="14"/>
  <c r="AR74" i="14"/>
  <c r="AQ74" i="14"/>
  <c r="AP74" i="14"/>
  <c r="AO74" i="14"/>
  <c r="BD73" i="14"/>
  <c r="BC73" i="14"/>
  <c r="AZ73" i="14"/>
  <c r="BA73" i="14" s="1"/>
  <c r="AX73" i="14"/>
  <c r="AT73" i="14"/>
  <c r="AS73" i="14"/>
  <c r="AR73" i="14"/>
  <c r="AQ73" i="14"/>
  <c r="AP73" i="14"/>
  <c r="AO73" i="14"/>
  <c r="BD72" i="14"/>
  <c r="BC72" i="14"/>
  <c r="AZ72" i="14"/>
  <c r="BA72" i="14" s="1"/>
  <c r="AX72" i="14"/>
  <c r="AT72" i="14"/>
  <c r="AS72" i="14"/>
  <c r="AR72" i="14"/>
  <c r="AQ72" i="14"/>
  <c r="AP72" i="14"/>
  <c r="AO72" i="14"/>
  <c r="BD71" i="14"/>
  <c r="BC71" i="14"/>
  <c r="AZ71" i="14"/>
  <c r="BA71" i="14" s="1"/>
  <c r="AX71" i="14"/>
  <c r="AT71" i="14"/>
  <c r="AS71" i="14"/>
  <c r="AR71" i="14"/>
  <c r="AQ71" i="14"/>
  <c r="AP71" i="14"/>
  <c r="AO71" i="14"/>
  <c r="BD70" i="14"/>
  <c r="BC70" i="14"/>
  <c r="AZ70" i="14"/>
  <c r="BA70" i="14" s="1"/>
  <c r="AX70" i="14"/>
  <c r="AT70" i="14"/>
  <c r="AS70" i="14"/>
  <c r="AR70" i="14"/>
  <c r="AQ70" i="14"/>
  <c r="AP70" i="14"/>
  <c r="AO70" i="14"/>
  <c r="BD69" i="14"/>
  <c r="BC69" i="14"/>
  <c r="AZ69" i="14"/>
  <c r="BA69" i="14" s="1"/>
  <c r="AX69" i="14"/>
  <c r="AT69" i="14"/>
  <c r="AS69" i="14"/>
  <c r="AR69" i="14"/>
  <c r="AQ69" i="14"/>
  <c r="AP69" i="14"/>
  <c r="AO69" i="14"/>
  <c r="BD68" i="14"/>
  <c r="BC68" i="14"/>
  <c r="AZ68" i="14"/>
  <c r="BA68" i="14" s="1"/>
  <c r="AX68" i="14"/>
  <c r="AT68" i="14"/>
  <c r="AS68" i="14"/>
  <c r="AR68" i="14"/>
  <c r="AQ68" i="14"/>
  <c r="AP68" i="14"/>
  <c r="AO68" i="14"/>
  <c r="BD67" i="14"/>
  <c r="BC67" i="14"/>
  <c r="AZ67" i="14"/>
  <c r="BA67" i="14" s="1"/>
  <c r="AX67" i="14"/>
  <c r="AT67" i="14"/>
  <c r="AS67" i="14"/>
  <c r="AR67" i="14"/>
  <c r="AQ67" i="14"/>
  <c r="AU67" i="14" s="1"/>
  <c r="AY67" i="14" s="1"/>
  <c r="AP67" i="14"/>
  <c r="AO67" i="14"/>
  <c r="BD66" i="14"/>
  <c r="BC66" i="14"/>
  <c r="AZ66" i="14"/>
  <c r="BA66" i="14" s="1"/>
  <c r="AX66" i="14"/>
  <c r="AT66" i="14"/>
  <c r="AS66" i="14"/>
  <c r="AR66" i="14"/>
  <c r="AQ66" i="14"/>
  <c r="AP66" i="14"/>
  <c r="AO66" i="14"/>
  <c r="AU66" i="14" s="1"/>
  <c r="AY66" i="14" s="1"/>
  <c r="BD65" i="14"/>
  <c r="BC65" i="14"/>
  <c r="AZ65" i="14"/>
  <c r="BA65" i="14" s="1"/>
  <c r="AX65" i="14"/>
  <c r="AT65" i="14"/>
  <c r="AS65" i="14"/>
  <c r="AR65" i="14"/>
  <c r="AQ65" i="14"/>
  <c r="AP65" i="14"/>
  <c r="AO65" i="14"/>
  <c r="BD64" i="14"/>
  <c r="BC64" i="14"/>
  <c r="AZ64" i="14"/>
  <c r="BA64" i="14" s="1"/>
  <c r="AX64" i="14"/>
  <c r="AT64" i="14"/>
  <c r="AS64" i="14"/>
  <c r="AR64" i="14"/>
  <c r="AQ64" i="14"/>
  <c r="AP64" i="14"/>
  <c r="AO64" i="14"/>
  <c r="BD63" i="14"/>
  <c r="BC63" i="14"/>
  <c r="AZ63" i="14"/>
  <c r="BA63" i="14" s="1"/>
  <c r="AX63" i="14"/>
  <c r="AT63" i="14"/>
  <c r="AS63" i="14"/>
  <c r="AR63" i="14"/>
  <c r="AQ63" i="14"/>
  <c r="AP63" i="14"/>
  <c r="AO63" i="14"/>
  <c r="BD62" i="14"/>
  <c r="BC62" i="14"/>
  <c r="AZ62" i="14"/>
  <c r="BA62" i="14" s="1"/>
  <c r="AX62" i="14"/>
  <c r="AT62" i="14"/>
  <c r="AS62" i="14"/>
  <c r="AR62" i="14"/>
  <c r="AQ62" i="14"/>
  <c r="AP62" i="14"/>
  <c r="AO62" i="14"/>
  <c r="BD61" i="14"/>
  <c r="BC61" i="14"/>
  <c r="AZ61" i="14"/>
  <c r="BA61" i="14" s="1"/>
  <c r="AX61" i="14"/>
  <c r="AT61" i="14"/>
  <c r="AS61" i="14"/>
  <c r="AR61" i="14"/>
  <c r="AQ61" i="14"/>
  <c r="AP61" i="14"/>
  <c r="AO61" i="14"/>
  <c r="BD60" i="14"/>
  <c r="BC60" i="14"/>
  <c r="AZ60" i="14"/>
  <c r="BA60" i="14" s="1"/>
  <c r="AX60" i="14"/>
  <c r="AT60" i="14"/>
  <c r="AS60" i="14"/>
  <c r="AR60" i="14"/>
  <c r="AQ60" i="14"/>
  <c r="AP60" i="14"/>
  <c r="AO60" i="14"/>
  <c r="BD59" i="14"/>
  <c r="BC59" i="14"/>
  <c r="AZ59" i="14"/>
  <c r="BA59" i="14" s="1"/>
  <c r="AX59" i="14"/>
  <c r="AT59" i="14"/>
  <c r="AS59" i="14"/>
  <c r="AR59" i="14"/>
  <c r="AQ59" i="14"/>
  <c r="AU59" i="14" s="1"/>
  <c r="AY59" i="14" s="1"/>
  <c r="AP59" i="14"/>
  <c r="AO59" i="14"/>
  <c r="BD58" i="14"/>
  <c r="BC58" i="14"/>
  <c r="BA58" i="14"/>
  <c r="AZ58" i="14"/>
  <c r="AX58" i="14"/>
  <c r="AT58" i="14"/>
  <c r="AS58" i="14"/>
  <c r="AR58" i="14"/>
  <c r="AQ58" i="14"/>
  <c r="AP58" i="14"/>
  <c r="AO58" i="14"/>
  <c r="BD57" i="14"/>
  <c r="BC57" i="14"/>
  <c r="AZ57" i="14"/>
  <c r="BA57" i="14" s="1"/>
  <c r="AX57" i="14"/>
  <c r="AT57" i="14"/>
  <c r="AS57" i="14"/>
  <c r="AR57" i="14"/>
  <c r="AQ57" i="14"/>
  <c r="AP57" i="14"/>
  <c r="AO57" i="14"/>
  <c r="BD56" i="14"/>
  <c r="BC56" i="14"/>
  <c r="AZ56" i="14"/>
  <c r="BA56" i="14" s="1"/>
  <c r="AX56" i="14"/>
  <c r="AT56" i="14"/>
  <c r="AS56" i="14"/>
  <c r="AR56" i="14"/>
  <c r="AQ56" i="14"/>
  <c r="AU56" i="14" s="1"/>
  <c r="AY56" i="14" s="1"/>
  <c r="AP56" i="14"/>
  <c r="AO56" i="14"/>
  <c r="BD55" i="14"/>
  <c r="BC55" i="14"/>
  <c r="BA55" i="14"/>
  <c r="AZ55" i="14"/>
  <c r="AX55" i="14"/>
  <c r="AT55" i="14"/>
  <c r="AS55" i="14"/>
  <c r="AR55" i="14"/>
  <c r="AQ55" i="14"/>
  <c r="AP55" i="14"/>
  <c r="AO55" i="14"/>
  <c r="BD54" i="14"/>
  <c r="BC54" i="14"/>
  <c r="BA54" i="14"/>
  <c r="AZ54" i="14"/>
  <c r="AX54" i="14"/>
  <c r="AT54" i="14"/>
  <c r="AS54" i="14"/>
  <c r="AR54" i="14"/>
  <c r="AQ54" i="14"/>
  <c r="AP54" i="14"/>
  <c r="AO54" i="14"/>
  <c r="BD53" i="14"/>
  <c r="BC53" i="14"/>
  <c r="AZ53" i="14"/>
  <c r="BA53" i="14" s="1"/>
  <c r="AX53" i="14"/>
  <c r="AT53" i="14"/>
  <c r="AS53" i="14"/>
  <c r="AR53" i="14"/>
  <c r="AQ53" i="14"/>
  <c r="AP53" i="14"/>
  <c r="AO53" i="14"/>
  <c r="BD52" i="14"/>
  <c r="BC52" i="14"/>
  <c r="BA52" i="14"/>
  <c r="AZ52" i="14"/>
  <c r="AX52" i="14"/>
  <c r="AT52" i="14"/>
  <c r="AS52" i="14"/>
  <c r="AR52" i="14"/>
  <c r="AQ52" i="14"/>
  <c r="AP52" i="14"/>
  <c r="AU52" i="14" s="1"/>
  <c r="AY52" i="14" s="1"/>
  <c r="AO52" i="14"/>
  <c r="BD51" i="14"/>
  <c r="BC51" i="14"/>
  <c r="BA51" i="14"/>
  <c r="AZ51" i="14"/>
  <c r="AX51" i="14"/>
  <c r="AT51" i="14"/>
  <c r="AS51" i="14"/>
  <c r="AR51" i="14"/>
  <c r="AQ51" i="14"/>
  <c r="AP51" i="14"/>
  <c r="AO51" i="14"/>
  <c r="BD50" i="14"/>
  <c r="BC50" i="14"/>
  <c r="AZ50" i="14"/>
  <c r="BA50" i="14" s="1"/>
  <c r="AX50" i="14"/>
  <c r="AT50" i="14"/>
  <c r="AS50" i="14"/>
  <c r="AR50" i="14"/>
  <c r="AQ50" i="14"/>
  <c r="AP50" i="14"/>
  <c r="AO50" i="14"/>
  <c r="BD49" i="14"/>
  <c r="BC49" i="14"/>
  <c r="AZ49" i="14"/>
  <c r="BA49" i="14" s="1"/>
  <c r="AX49" i="14"/>
  <c r="AT49" i="14"/>
  <c r="AS49" i="14"/>
  <c r="AR49" i="14"/>
  <c r="AQ49" i="14"/>
  <c r="AP49" i="14"/>
  <c r="AO49" i="14"/>
  <c r="BD48" i="14"/>
  <c r="BC48" i="14"/>
  <c r="AZ48" i="14"/>
  <c r="BA48" i="14" s="1"/>
  <c r="AX48" i="14"/>
  <c r="AT48" i="14"/>
  <c r="AS48" i="14"/>
  <c r="AR48" i="14"/>
  <c r="AQ48" i="14"/>
  <c r="AP48" i="14"/>
  <c r="AO48" i="14"/>
  <c r="BD47" i="14"/>
  <c r="BC47" i="14"/>
  <c r="AZ47" i="14"/>
  <c r="BA47" i="14" s="1"/>
  <c r="AX47" i="14"/>
  <c r="AT47" i="14"/>
  <c r="AS47" i="14"/>
  <c r="AR47" i="14"/>
  <c r="AQ47" i="14"/>
  <c r="AP47" i="14"/>
  <c r="AO47" i="14"/>
  <c r="BD46" i="14"/>
  <c r="BC46" i="14"/>
  <c r="BA46" i="14"/>
  <c r="AZ46" i="14"/>
  <c r="AX46" i="14"/>
  <c r="AT46" i="14"/>
  <c r="AS46" i="14"/>
  <c r="AR46" i="14"/>
  <c r="AQ46" i="14"/>
  <c r="AP46" i="14"/>
  <c r="AO46" i="14"/>
  <c r="BD45" i="14"/>
  <c r="BC45" i="14"/>
  <c r="AZ45" i="14"/>
  <c r="BA45" i="14" s="1"/>
  <c r="AX45" i="14"/>
  <c r="AT45" i="14"/>
  <c r="AS45" i="14"/>
  <c r="AR45" i="14"/>
  <c r="AQ45" i="14"/>
  <c r="AP45" i="14"/>
  <c r="AO45" i="14"/>
  <c r="AU45" i="14" s="1"/>
  <c r="AY45" i="14" s="1"/>
  <c r="BD44" i="14"/>
  <c r="BC44" i="14"/>
  <c r="AZ44" i="14"/>
  <c r="BA44" i="14" s="1"/>
  <c r="AX44" i="14"/>
  <c r="AT44" i="14"/>
  <c r="AS44" i="14"/>
  <c r="AR44" i="14"/>
  <c r="AQ44" i="14"/>
  <c r="AU44" i="14" s="1"/>
  <c r="AY44" i="14" s="1"/>
  <c r="AP44" i="14"/>
  <c r="AO44" i="14"/>
  <c r="BD43" i="14"/>
  <c r="BC43" i="14"/>
  <c r="BA43" i="14"/>
  <c r="AZ43" i="14"/>
  <c r="AX43" i="14"/>
  <c r="AT43" i="14"/>
  <c r="AS43" i="14"/>
  <c r="AR43" i="14"/>
  <c r="AQ43" i="14"/>
  <c r="AP43" i="14"/>
  <c r="AO43" i="14"/>
  <c r="BD42" i="14"/>
  <c r="BC42" i="14"/>
  <c r="BA42" i="14"/>
  <c r="AZ42" i="14"/>
  <c r="AX42" i="14"/>
  <c r="AT42" i="14"/>
  <c r="AS42" i="14"/>
  <c r="AR42" i="14"/>
  <c r="AQ42" i="14"/>
  <c r="AP42" i="14"/>
  <c r="AO42" i="14"/>
  <c r="BD41" i="14"/>
  <c r="BC41" i="14"/>
  <c r="AZ41" i="14"/>
  <c r="BA41" i="14" s="1"/>
  <c r="AX41" i="14"/>
  <c r="AT41" i="14"/>
  <c r="AS41" i="14"/>
  <c r="AR41" i="14"/>
  <c r="AQ41" i="14"/>
  <c r="AP41" i="14"/>
  <c r="AO41" i="14"/>
  <c r="BD40" i="14"/>
  <c r="BC40" i="14"/>
  <c r="BA40" i="14"/>
  <c r="AZ40" i="14"/>
  <c r="AX40" i="14"/>
  <c r="AT40" i="14"/>
  <c r="AS40" i="14"/>
  <c r="AR40" i="14"/>
  <c r="AQ40" i="14"/>
  <c r="AP40" i="14"/>
  <c r="AO40" i="14"/>
  <c r="BD39" i="14"/>
  <c r="BC39" i="14"/>
  <c r="BA39" i="14"/>
  <c r="AZ39" i="14"/>
  <c r="AX39" i="14"/>
  <c r="AT39" i="14"/>
  <c r="AS39" i="14"/>
  <c r="AR39" i="14"/>
  <c r="AQ39" i="14"/>
  <c r="AP39" i="14"/>
  <c r="AO39" i="14"/>
  <c r="BD38" i="14"/>
  <c r="BC38" i="14"/>
  <c r="AZ38" i="14"/>
  <c r="BA38" i="14" s="1"/>
  <c r="AX38" i="14"/>
  <c r="AT38" i="14"/>
  <c r="AS38" i="14"/>
  <c r="AR38" i="14"/>
  <c r="AQ38" i="14"/>
  <c r="AP38" i="14"/>
  <c r="AO38" i="14"/>
  <c r="BD37" i="14"/>
  <c r="BC37" i="14"/>
  <c r="AZ37" i="14"/>
  <c r="BA37" i="14" s="1"/>
  <c r="AX37" i="14"/>
  <c r="AT37" i="14"/>
  <c r="AS37" i="14"/>
  <c r="AR37" i="14"/>
  <c r="AQ37" i="14"/>
  <c r="AP37" i="14"/>
  <c r="AO37" i="14"/>
  <c r="BD36" i="14"/>
  <c r="BC36" i="14"/>
  <c r="BA36" i="14"/>
  <c r="AZ36" i="14"/>
  <c r="AX36" i="14"/>
  <c r="AT36" i="14"/>
  <c r="AS36" i="14"/>
  <c r="AR36" i="14"/>
  <c r="AQ36" i="14"/>
  <c r="AP36" i="14"/>
  <c r="AO36" i="14"/>
  <c r="BD35" i="14"/>
  <c r="BC35" i="14"/>
  <c r="AZ35" i="14"/>
  <c r="BA35" i="14" s="1"/>
  <c r="AX35" i="14"/>
  <c r="AT35" i="14"/>
  <c r="AS35" i="14"/>
  <c r="AR35" i="14"/>
  <c r="AQ35" i="14"/>
  <c r="AP35" i="14"/>
  <c r="AO35" i="14"/>
  <c r="BD34" i="14"/>
  <c r="BC34" i="14"/>
  <c r="AZ34" i="14"/>
  <c r="BA34" i="14" s="1"/>
  <c r="AX34" i="14"/>
  <c r="AT34" i="14"/>
  <c r="AS34" i="14"/>
  <c r="AR34" i="14"/>
  <c r="AQ34" i="14"/>
  <c r="AP34" i="14"/>
  <c r="AO34" i="14"/>
  <c r="BD33" i="14"/>
  <c r="BC33" i="14"/>
  <c r="AZ33" i="14"/>
  <c r="BA33" i="14" s="1"/>
  <c r="AX33" i="14"/>
  <c r="AT33" i="14"/>
  <c r="AS33" i="14"/>
  <c r="AR33" i="14"/>
  <c r="AQ33" i="14"/>
  <c r="AP33" i="14"/>
  <c r="AO33" i="14"/>
  <c r="BD32" i="14"/>
  <c r="BC32" i="14"/>
  <c r="AZ32" i="14"/>
  <c r="BA32" i="14" s="1"/>
  <c r="AX32" i="14"/>
  <c r="AT32" i="14"/>
  <c r="AS32" i="14"/>
  <c r="AR32" i="14"/>
  <c r="AQ32" i="14"/>
  <c r="AP32" i="14"/>
  <c r="AU32" i="14" s="1"/>
  <c r="AY32" i="14" s="1"/>
  <c r="AO32" i="14"/>
  <c r="BD31" i="14"/>
  <c r="BC31" i="14"/>
  <c r="BA31" i="14"/>
  <c r="AZ31" i="14"/>
  <c r="AX31" i="14"/>
  <c r="AT31" i="14"/>
  <c r="AS31" i="14"/>
  <c r="AR31" i="14"/>
  <c r="AQ31" i="14"/>
  <c r="AP31" i="14"/>
  <c r="AO31" i="14"/>
  <c r="BD30" i="14"/>
  <c r="BC30" i="14"/>
  <c r="AZ30" i="14"/>
  <c r="BA30" i="14" s="1"/>
  <c r="AX30" i="14"/>
  <c r="AT30" i="14"/>
  <c r="AS30" i="14"/>
  <c r="AR30" i="14"/>
  <c r="AQ30" i="14"/>
  <c r="AP30" i="14"/>
  <c r="AO30" i="14"/>
  <c r="BD29" i="14"/>
  <c r="BC29" i="14"/>
  <c r="AZ29" i="14"/>
  <c r="BA29" i="14" s="1"/>
  <c r="AX29" i="14"/>
  <c r="AT29" i="14"/>
  <c r="AS29" i="14"/>
  <c r="AR29" i="14"/>
  <c r="AQ29" i="14"/>
  <c r="AP29" i="14"/>
  <c r="AO29" i="14"/>
  <c r="BD28" i="14"/>
  <c r="BC28" i="14"/>
  <c r="AZ28" i="14"/>
  <c r="BA28" i="14" s="1"/>
  <c r="AX28" i="14"/>
  <c r="AT28" i="14"/>
  <c r="AS28" i="14"/>
  <c r="AR28" i="14"/>
  <c r="AQ28" i="14"/>
  <c r="AP28" i="14"/>
  <c r="AO28" i="14"/>
  <c r="BD27" i="14"/>
  <c r="BC27" i="14"/>
  <c r="AZ27" i="14"/>
  <c r="BA27" i="14" s="1"/>
  <c r="AX27" i="14"/>
  <c r="AT27" i="14"/>
  <c r="AS27" i="14"/>
  <c r="AR27" i="14"/>
  <c r="AQ27" i="14"/>
  <c r="AP27" i="14"/>
  <c r="AO27" i="14"/>
  <c r="BD26" i="14"/>
  <c r="BC26" i="14"/>
  <c r="AZ26" i="14"/>
  <c r="BA26" i="14" s="1"/>
  <c r="AX26" i="14"/>
  <c r="AT26" i="14"/>
  <c r="AS26" i="14"/>
  <c r="AR26" i="14"/>
  <c r="AQ26" i="14"/>
  <c r="AP26" i="14"/>
  <c r="AO26" i="14"/>
  <c r="BD25" i="14"/>
  <c r="BC25" i="14"/>
  <c r="AZ25" i="14"/>
  <c r="BA25" i="14" s="1"/>
  <c r="AX25" i="14"/>
  <c r="AT25" i="14"/>
  <c r="AS25" i="14"/>
  <c r="AR25" i="14"/>
  <c r="AQ25" i="14"/>
  <c r="AP25" i="14"/>
  <c r="AO25" i="14"/>
  <c r="BD24" i="14"/>
  <c r="BC24" i="14"/>
  <c r="AZ24" i="14"/>
  <c r="BA24" i="14" s="1"/>
  <c r="AX24" i="14"/>
  <c r="AT24" i="14"/>
  <c r="AS24" i="14"/>
  <c r="AR24" i="14"/>
  <c r="AQ24" i="14"/>
  <c r="AP24" i="14"/>
  <c r="AO24" i="14"/>
  <c r="BD23" i="14"/>
  <c r="BC23" i="14"/>
  <c r="AZ23" i="14"/>
  <c r="BA23" i="14" s="1"/>
  <c r="AX23" i="14"/>
  <c r="AT23" i="14"/>
  <c r="AS23" i="14"/>
  <c r="AR23" i="14"/>
  <c r="AQ23" i="14"/>
  <c r="AP23" i="14"/>
  <c r="AO23" i="14"/>
  <c r="BD22" i="14"/>
  <c r="BC22" i="14"/>
  <c r="BA22" i="14"/>
  <c r="AZ22" i="14"/>
  <c r="AX22" i="14"/>
  <c r="AT22" i="14"/>
  <c r="AS22" i="14"/>
  <c r="AR22" i="14"/>
  <c r="AQ22" i="14"/>
  <c r="AP22" i="14"/>
  <c r="AO22" i="14"/>
  <c r="AU22" i="14" s="1"/>
  <c r="AY22" i="14" s="1"/>
  <c r="BD21" i="14"/>
  <c r="BC21" i="14"/>
  <c r="AZ21" i="14"/>
  <c r="BA21" i="14" s="1"/>
  <c r="AX21" i="14"/>
  <c r="AT21" i="14"/>
  <c r="AS21" i="14"/>
  <c r="AR21" i="14"/>
  <c r="AQ21" i="14"/>
  <c r="AP21" i="14"/>
  <c r="AO21" i="14"/>
  <c r="BD20" i="14"/>
  <c r="BC20" i="14"/>
  <c r="AZ20" i="14"/>
  <c r="BA20" i="14" s="1"/>
  <c r="AX20" i="14"/>
  <c r="AT20" i="14"/>
  <c r="AS20" i="14"/>
  <c r="AR20" i="14"/>
  <c r="AQ20" i="14"/>
  <c r="AP20" i="14"/>
  <c r="AO20" i="14"/>
  <c r="BD19" i="14"/>
  <c r="BC19" i="14"/>
  <c r="AZ19" i="14"/>
  <c r="BA19" i="14" s="1"/>
  <c r="AX19" i="14"/>
  <c r="AT19" i="14"/>
  <c r="AS19" i="14"/>
  <c r="AR19" i="14"/>
  <c r="AQ19" i="14"/>
  <c r="AP19" i="14"/>
  <c r="AO19" i="14"/>
  <c r="BD18" i="14"/>
  <c r="BC18" i="14"/>
  <c r="AZ18" i="14"/>
  <c r="BA18" i="14" s="1"/>
  <c r="AX18" i="14"/>
  <c r="AT18" i="14"/>
  <c r="AS18" i="14"/>
  <c r="AR18" i="14"/>
  <c r="AQ18" i="14"/>
  <c r="AP18" i="14"/>
  <c r="AO18" i="14"/>
  <c r="BD17" i="14"/>
  <c r="BC17" i="14"/>
  <c r="AZ17" i="14"/>
  <c r="BA17" i="14" s="1"/>
  <c r="AX17" i="14"/>
  <c r="AT17" i="14"/>
  <c r="AS17" i="14"/>
  <c r="AR17" i="14"/>
  <c r="AQ17" i="14"/>
  <c r="AP17" i="14"/>
  <c r="AO17" i="14"/>
  <c r="AU17" i="14" s="1"/>
  <c r="AY17" i="14" s="1"/>
  <c r="BD16" i="14"/>
  <c r="BC16" i="14"/>
  <c r="AZ16" i="14"/>
  <c r="BA16" i="14" s="1"/>
  <c r="AX16" i="14"/>
  <c r="AT16" i="14"/>
  <c r="AS16" i="14"/>
  <c r="AR16" i="14"/>
  <c r="AQ16" i="14"/>
  <c r="AU16" i="14" s="1"/>
  <c r="AY16" i="14" s="1"/>
  <c r="AP16" i="14"/>
  <c r="AO16" i="14"/>
  <c r="BD15" i="14"/>
  <c r="BC15" i="14"/>
  <c r="AZ15" i="14"/>
  <c r="BA15" i="14" s="1"/>
  <c r="AX15" i="14"/>
  <c r="AT15" i="14"/>
  <c r="AS15" i="14"/>
  <c r="AR15" i="14"/>
  <c r="AQ15" i="14"/>
  <c r="AP15" i="14"/>
  <c r="AO15" i="14"/>
  <c r="BD14" i="14"/>
  <c r="BC14" i="14"/>
  <c r="AZ14" i="14"/>
  <c r="BA14" i="14" s="1"/>
  <c r="AX14" i="14"/>
  <c r="AT14" i="14"/>
  <c r="AS14" i="14"/>
  <c r="AR14" i="14"/>
  <c r="AQ14" i="14"/>
  <c r="AP14" i="14"/>
  <c r="AO14" i="14"/>
  <c r="BD13" i="14"/>
  <c r="BC13" i="14"/>
  <c r="AZ13" i="14"/>
  <c r="BA13" i="14" s="1"/>
  <c r="AX13" i="14"/>
  <c r="AT13" i="14"/>
  <c r="AS13" i="14"/>
  <c r="AR13" i="14"/>
  <c r="AQ13" i="14"/>
  <c r="AP13" i="14"/>
  <c r="AO13" i="14"/>
  <c r="BD12" i="14"/>
  <c r="BC12" i="14"/>
  <c r="BA12" i="14"/>
  <c r="AZ12" i="14"/>
  <c r="AX12" i="14"/>
  <c r="AT12" i="14"/>
  <c r="AS12" i="14"/>
  <c r="AR12" i="14"/>
  <c r="AQ12" i="14"/>
  <c r="AP12" i="14"/>
  <c r="AO12" i="14"/>
  <c r="BD11" i="14"/>
  <c r="BC11" i="14"/>
  <c r="AZ11" i="14"/>
  <c r="BA11" i="14" s="1"/>
  <c r="AX11" i="14"/>
  <c r="AT11" i="14"/>
  <c r="AS11" i="14"/>
  <c r="AR11" i="14"/>
  <c r="AQ11" i="14"/>
  <c r="AP11" i="14"/>
  <c r="AO11" i="14"/>
  <c r="BD10" i="14"/>
  <c r="BC10" i="14"/>
  <c r="AZ10" i="14"/>
  <c r="BA10" i="14" s="1"/>
  <c r="AX10" i="14"/>
  <c r="AT10" i="14"/>
  <c r="AS10" i="14"/>
  <c r="AR10" i="14"/>
  <c r="AQ10" i="14"/>
  <c r="AP10" i="14"/>
  <c r="AO10" i="14"/>
  <c r="BD9" i="14"/>
  <c r="BC9" i="14"/>
  <c r="AZ9" i="14"/>
  <c r="BA9" i="14" s="1"/>
  <c r="AX9" i="14"/>
  <c r="AT9" i="14"/>
  <c r="AS9" i="14"/>
  <c r="AR9" i="14"/>
  <c r="AQ9" i="14"/>
  <c r="AP9" i="14"/>
  <c r="AO9" i="14"/>
  <c r="AU9" i="14" s="1"/>
  <c r="AY9" i="14" s="1"/>
  <c r="BD8" i="14"/>
  <c r="BC8" i="14"/>
  <c r="AZ8" i="14"/>
  <c r="BA8" i="14" s="1"/>
  <c r="AX8" i="14"/>
  <c r="AT8" i="14"/>
  <c r="AS8" i="14"/>
  <c r="AR8" i="14"/>
  <c r="AQ8" i="14"/>
  <c r="AU8" i="14" s="1"/>
  <c r="AY8" i="14" s="1"/>
  <c r="AP8" i="14"/>
  <c r="AO8" i="14"/>
  <c r="BD7" i="14"/>
  <c r="BC7" i="14"/>
  <c r="AZ7" i="14"/>
  <c r="BA7" i="14" s="1"/>
  <c r="AX7" i="14"/>
  <c r="AT7" i="14"/>
  <c r="AS7" i="14"/>
  <c r="AR7" i="14"/>
  <c r="AQ7" i="14"/>
  <c r="AP7" i="14"/>
  <c r="AO7" i="14"/>
  <c r="BD6" i="14"/>
  <c r="BC6" i="14"/>
  <c r="BA6" i="14"/>
  <c r="AZ6" i="14"/>
  <c r="AX6" i="14"/>
  <c r="AT6" i="14"/>
  <c r="AS6" i="14"/>
  <c r="AR6" i="14"/>
  <c r="AQ6" i="14"/>
  <c r="AP6" i="14"/>
  <c r="AO6" i="14"/>
  <c r="BD5" i="14"/>
  <c r="BC5" i="14"/>
  <c r="AZ5" i="14"/>
  <c r="BA5" i="14" s="1"/>
  <c r="AX5" i="14"/>
  <c r="AT5" i="14"/>
  <c r="AS5" i="14"/>
  <c r="AR5" i="14"/>
  <c r="AQ5" i="14"/>
  <c r="AP5" i="14"/>
  <c r="AO5" i="14"/>
  <c r="BD4" i="14"/>
  <c r="BC4" i="14"/>
  <c r="AZ4" i="14"/>
  <c r="BA4" i="14" s="1"/>
  <c r="AX4" i="14"/>
  <c r="AT4" i="14"/>
  <c r="AS4" i="14"/>
  <c r="AR4" i="14"/>
  <c r="AQ4" i="14"/>
  <c r="AP4" i="14"/>
  <c r="AO4" i="14"/>
  <c r="AU7" i="14" l="1"/>
  <c r="AY7" i="14" s="1"/>
  <c r="AU77" i="14"/>
  <c r="AY77" i="14" s="1"/>
  <c r="AU104" i="14"/>
  <c r="AY104" i="14" s="1"/>
  <c r="AU107" i="14"/>
  <c r="AY107" i="14" s="1"/>
  <c r="O280" i="14"/>
  <c r="O264" i="14"/>
  <c r="AA280" i="14"/>
  <c r="AA264" i="14"/>
  <c r="AE280" i="14"/>
  <c r="AE264" i="14"/>
  <c r="R282" i="14"/>
  <c r="R269" i="14"/>
  <c r="R289" i="14" s="1"/>
  <c r="AQ255" i="14"/>
  <c r="AU15" i="14"/>
  <c r="AY15" i="14" s="1"/>
  <c r="AU30" i="14"/>
  <c r="AY30" i="14" s="1"/>
  <c r="AU36" i="14"/>
  <c r="AY36" i="14" s="1"/>
  <c r="AU20" i="14"/>
  <c r="AY20" i="14" s="1"/>
  <c r="AU28" i="14"/>
  <c r="AY28" i="14" s="1"/>
  <c r="AU96" i="14"/>
  <c r="AY96" i="14" s="1"/>
  <c r="AU99" i="14"/>
  <c r="AY99" i="14" s="1"/>
  <c r="AU112" i="14"/>
  <c r="AY112" i="14" s="1"/>
  <c r="E283" i="14"/>
  <c r="C260" i="14"/>
  <c r="AU12" i="14"/>
  <c r="AY12" i="14" s="1"/>
  <c r="AU33" i="14"/>
  <c r="AY33" i="14" s="1"/>
  <c r="AU40" i="14"/>
  <c r="AY40" i="14" s="1"/>
  <c r="AU43" i="14"/>
  <c r="AY43" i="14" s="1"/>
  <c r="AU74" i="14"/>
  <c r="AY74" i="14" s="1"/>
  <c r="AU23" i="14"/>
  <c r="AY23" i="14" s="1"/>
  <c r="AU29" i="14"/>
  <c r="AY29" i="14" s="1"/>
  <c r="AU31" i="14"/>
  <c r="AY31" i="14" s="1"/>
  <c r="AU10" i="14"/>
  <c r="AY10" i="14" s="1"/>
  <c r="AU11" i="14"/>
  <c r="AY11" i="14" s="1"/>
  <c r="AU18" i="14"/>
  <c r="AY18" i="14" s="1"/>
  <c r="AU21" i="14"/>
  <c r="AY21" i="14" s="1"/>
  <c r="AU47" i="14"/>
  <c r="AY47" i="14" s="1"/>
  <c r="AU50" i="14"/>
  <c r="AY50" i="14" s="1"/>
  <c r="AU55" i="14"/>
  <c r="AY55" i="14" s="1"/>
  <c r="AU64" i="14"/>
  <c r="AY64" i="14" s="1"/>
  <c r="AU88" i="14"/>
  <c r="AY88" i="14" s="1"/>
  <c r="AU89" i="14"/>
  <c r="AY89" i="14" s="1"/>
  <c r="AU91" i="14"/>
  <c r="AY91" i="14" s="1"/>
  <c r="AU120" i="14"/>
  <c r="AY120" i="14" s="1"/>
  <c r="AU123" i="14"/>
  <c r="AY123" i="14" s="1"/>
  <c r="AU128" i="14"/>
  <c r="AY128" i="14" s="1"/>
  <c r="AU131" i="14"/>
  <c r="AY131" i="14" s="1"/>
  <c r="AU136" i="14"/>
  <c r="AY136" i="14" s="1"/>
  <c r="AU138" i="14"/>
  <c r="AY138" i="14" s="1"/>
  <c r="AU139" i="14"/>
  <c r="AY139" i="14" s="1"/>
  <c r="AU143" i="14"/>
  <c r="AY143" i="14" s="1"/>
  <c r="AU153" i="14"/>
  <c r="AY153" i="14" s="1"/>
  <c r="AU157" i="14"/>
  <c r="AY157" i="14" s="1"/>
  <c r="AU159" i="14"/>
  <c r="AY159" i="14" s="1"/>
  <c r="AU164" i="14"/>
  <c r="AY164" i="14" s="1"/>
  <c r="AU173" i="14"/>
  <c r="AY173" i="14" s="1"/>
  <c r="AU181" i="14"/>
  <c r="AY181" i="14" s="1"/>
  <c r="AU192" i="14"/>
  <c r="AY192" i="14" s="1"/>
  <c r="AU195" i="14"/>
  <c r="AY195" i="14" s="1"/>
  <c r="AU200" i="14"/>
  <c r="AY200" i="14" s="1"/>
  <c r="AU203" i="14"/>
  <c r="AY203" i="14" s="1"/>
  <c r="AU226" i="14"/>
  <c r="AY226" i="14" s="1"/>
  <c r="AU234" i="14"/>
  <c r="AY234" i="14" s="1"/>
  <c r="AU237" i="14"/>
  <c r="AY237" i="14" s="1"/>
  <c r="AU239" i="14"/>
  <c r="AY239" i="14" s="1"/>
  <c r="AU250" i="14"/>
  <c r="AY250" i="14" s="1"/>
  <c r="AU253" i="14"/>
  <c r="AY253" i="14" s="1"/>
  <c r="P267" i="14"/>
  <c r="P287" i="14" s="1"/>
  <c r="H269" i="14"/>
  <c r="H289" i="14" s="1"/>
  <c r="X272" i="14"/>
  <c r="X292" i="14" s="1"/>
  <c r="AE283" i="14"/>
  <c r="AU19" i="14"/>
  <c r="AY19" i="14" s="1"/>
  <c r="AU24" i="14"/>
  <c r="AY24" i="14" s="1"/>
  <c r="AU27" i="14"/>
  <c r="AY27" i="14" s="1"/>
  <c r="AU34" i="14"/>
  <c r="AY34" i="14" s="1"/>
  <c r="AU39" i="14"/>
  <c r="AY39" i="14" s="1"/>
  <c r="AU48" i="14"/>
  <c r="AY48" i="14" s="1"/>
  <c r="AU51" i="14"/>
  <c r="AY51" i="14" s="1"/>
  <c r="AU62" i="14"/>
  <c r="AY62" i="14" s="1"/>
  <c r="AU65" i="14"/>
  <c r="AY65" i="14" s="1"/>
  <c r="AU72" i="14"/>
  <c r="AY72" i="14" s="1"/>
  <c r="AU73" i="14"/>
  <c r="AY73" i="14" s="1"/>
  <c r="AU75" i="14"/>
  <c r="AY75" i="14" s="1"/>
  <c r="AU80" i="14"/>
  <c r="AY80" i="14" s="1"/>
  <c r="AU84" i="14"/>
  <c r="AY84" i="14" s="1"/>
  <c r="AU87" i="14"/>
  <c r="AY87" i="14" s="1"/>
  <c r="AU97" i="14"/>
  <c r="AY97" i="14" s="1"/>
  <c r="AU105" i="14"/>
  <c r="AY105" i="14" s="1"/>
  <c r="AU113" i="14"/>
  <c r="AY113" i="14" s="1"/>
  <c r="AU121" i="14"/>
  <c r="AY121" i="14" s="1"/>
  <c r="AU129" i="14"/>
  <c r="AY129" i="14" s="1"/>
  <c r="AU144" i="14"/>
  <c r="AY144" i="14" s="1"/>
  <c r="AU145" i="14"/>
  <c r="AY145" i="14" s="1"/>
  <c r="AU152" i="14"/>
  <c r="AY152" i="14" s="1"/>
  <c r="AU154" i="14"/>
  <c r="AY154" i="14" s="1"/>
  <c r="AU155" i="14"/>
  <c r="AY155" i="14" s="1"/>
  <c r="AU168" i="14"/>
  <c r="AY168" i="14" s="1"/>
  <c r="AU171" i="14"/>
  <c r="AY171" i="14" s="1"/>
  <c r="AU176" i="14"/>
  <c r="AY176" i="14" s="1"/>
  <c r="AU179" i="14"/>
  <c r="AY179" i="14" s="1"/>
  <c r="AU184" i="14"/>
  <c r="AY184" i="14" s="1"/>
  <c r="AU187" i="14"/>
  <c r="AY187" i="14" s="1"/>
  <c r="AU206" i="14"/>
  <c r="AY206" i="14" s="1"/>
  <c r="AU207" i="14"/>
  <c r="AY207" i="14" s="1"/>
  <c r="AU212" i="14"/>
  <c r="AY212" i="14" s="1"/>
  <c r="AU214" i="14"/>
  <c r="AY214" i="14" s="1"/>
  <c r="AU215" i="14"/>
  <c r="AY215" i="14" s="1"/>
  <c r="AU220" i="14"/>
  <c r="AY220" i="14" s="1"/>
  <c r="AU222" i="14"/>
  <c r="AY222" i="14" s="1"/>
  <c r="AU223" i="14"/>
  <c r="AY223" i="14" s="1"/>
  <c r="AU233" i="14"/>
  <c r="AY233" i="14" s="1"/>
  <c r="AU235" i="14"/>
  <c r="AY235" i="14" s="1"/>
  <c r="AU240" i="14"/>
  <c r="AY240" i="14" s="1"/>
  <c r="AU244" i="14"/>
  <c r="AY244" i="14" s="1"/>
  <c r="AU249" i="14"/>
  <c r="AY249" i="14" s="1"/>
  <c r="AU251" i="14"/>
  <c r="AY251" i="14" s="1"/>
  <c r="Z267" i="14"/>
  <c r="Z287" i="14" s="1"/>
  <c r="AU35" i="14"/>
  <c r="AY35" i="14" s="1"/>
  <c r="AU46" i="14"/>
  <c r="AY46" i="14" s="1"/>
  <c r="AU49" i="14"/>
  <c r="AY49" i="14" s="1"/>
  <c r="AU60" i="14"/>
  <c r="AY60" i="14" s="1"/>
  <c r="AU61" i="14"/>
  <c r="AY61" i="14" s="1"/>
  <c r="AU63" i="14"/>
  <c r="AY63" i="14" s="1"/>
  <c r="AU68" i="14"/>
  <c r="AY68" i="14" s="1"/>
  <c r="AU71" i="14"/>
  <c r="AY71" i="14" s="1"/>
  <c r="AU78" i="14"/>
  <c r="AY78" i="14" s="1"/>
  <c r="AU83" i="14"/>
  <c r="AY83" i="14" s="1"/>
  <c r="AU92" i="14"/>
  <c r="AY92" i="14" s="1"/>
  <c r="AU95" i="14"/>
  <c r="AY95" i="14" s="1"/>
  <c r="AU100" i="14"/>
  <c r="AY100" i="14" s="1"/>
  <c r="AU103" i="14"/>
  <c r="AY103" i="14" s="1"/>
  <c r="AU108" i="14"/>
  <c r="AY108" i="14" s="1"/>
  <c r="AU111" i="14"/>
  <c r="AY111" i="14" s="1"/>
  <c r="AU116" i="14"/>
  <c r="AY116" i="14" s="1"/>
  <c r="AU119" i="14"/>
  <c r="AY119" i="14" s="1"/>
  <c r="AU124" i="14"/>
  <c r="AY124" i="14" s="1"/>
  <c r="AU127" i="14"/>
  <c r="AY127" i="14" s="1"/>
  <c r="AU132" i="14"/>
  <c r="AY132" i="14" s="1"/>
  <c r="AU135" i="14"/>
  <c r="AY135" i="14" s="1"/>
  <c r="AU140" i="14"/>
  <c r="AY140" i="14" s="1"/>
  <c r="AU149" i="14"/>
  <c r="AY149" i="14" s="1"/>
  <c r="AU161" i="14"/>
  <c r="AY161" i="14" s="1"/>
  <c r="AU165" i="14"/>
  <c r="AY165" i="14" s="1"/>
  <c r="AU190" i="14"/>
  <c r="AY190" i="14" s="1"/>
  <c r="AU191" i="14"/>
  <c r="AY191" i="14" s="1"/>
  <c r="AU196" i="14"/>
  <c r="AY196" i="14" s="1"/>
  <c r="AU198" i="14"/>
  <c r="AY198" i="14" s="1"/>
  <c r="AU199" i="14"/>
  <c r="AY199" i="14" s="1"/>
  <c r="AU204" i="14"/>
  <c r="AY204" i="14" s="1"/>
  <c r="AU213" i="14"/>
  <c r="AY213" i="14" s="1"/>
  <c r="AU221" i="14"/>
  <c r="AY221" i="14" s="1"/>
  <c r="AU227" i="14"/>
  <c r="AY227" i="14" s="1"/>
  <c r="AU229" i="14"/>
  <c r="AY229" i="14" s="1"/>
  <c r="AU231" i="14"/>
  <c r="AY231" i="14" s="1"/>
  <c r="AU236" i="14"/>
  <c r="AY236" i="14" s="1"/>
  <c r="AU245" i="14"/>
  <c r="AY245" i="14" s="1"/>
  <c r="AU247" i="14"/>
  <c r="AY247" i="14" s="1"/>
  <c r="E269" i="14"/>
  <c r="E289" i="14" s="1"/>
  <c r="AH267" i="14"/>
  <c r="AH287" i="14" s="1"/>
  <c r="AU4" i="14"/>
  <c r="AU58" i="14"/>
  <c r="AY58" i="14" s="1"/>
  <c r="AU70" i="14"/>
  <c r="AY70" i="14" s="1"/>
  <c r="AU86" i="14"/>
  <c r="AY86" i="14" s="1"/>
  <c r="H283" i="14"/>
  <c r="H270" i="14"/>
  <c r="H290" i="14" s="1"/>
  <c r="P283" i="14"/>
  <c r="P270" i="14"/>
  <c r="P290" i="14" s="1"/>
  <c r="X283" i="14"/>
  <c r="X270" i="14"/>
  <c r="X290" i="14" s="1"/>
  <c r="AF283" i="14"/>
  <c r="AF270" i="14"/>
  <c r="AF290" i="14" s="1"/>
  <c r="AX257" i="14"/>
  <c r="AU42" i="14"/>
  <c r="AY42" i="14" s="1"/>
  <c r="AZ257" i="14"/>
  <c r="AZ255" i="14"/>
  <c r="BA255" i="14" s="1"/>
  <c r="AU5" i="14"/>
  <c r="AY5" i="14" s="1"/>
  <c r="AU14" i="14"/>
  <c r="AY14" i="14" s="1"/>
  <c r="AU26" i="14"/>
  <c r="AY26" i="14" s="1"/>
  <c r="AU38" i="14"/>
  <c r="AY38" i="14" s="1"/>
  <c r="AU41" i="14"/>
  <c r="AY41" i="14" s="1"/>
  <c r="AU54" i="14"/>
  <c r="AY54" i="14" s="1"/>
  <c r="AU57" i="14"/>
  <c r="AY57" i="14" s="1"/>
  <c r="AU69" i="14"/>
  <c r="AY69" i="14" s="1"/>
  <c r="AU82" i="14"/>
  <c r="AY82" i="14" s="1"/>
  <c r="AU85" i="14"/>
  <c r="AY85" i="14" s="1"/>
  <c r="AU94" i="14"/>
  <c r="AY94" i="14" s="1"/>
  <c r="AU98" i="14"/>
  <c r="AY98" i="14" s="1"/>
  <c r="AU102" i="14"/>
  <c r="AY102" i="14" s="1"/>
  <c r="AU106" i="14"/>
  <c r="AY106" i="14" s="1"/>
  <c r="AU110" i="14"/>
  <c r="AY110" i="14" s="1"/>
  <c r="AU114" i="14"/>
  <c r="AY114" i="14" s="1"/>
  <c r="AU118" i="14"/>
  <c r="AY118" i="14" s="1"/>
  <c r="AU122" i="14"/>
  <c r="AY122" i="14" s="1"/>
  <c r="AU126" i="14"/>
  <c r="AY126" i="14" s="1"/>
  <c r="AU130" i="14"/>
  <c r="AY130" i="14" s="1"/>
  <c r="AU134" i="14"/>
  <c r="AY134" i="14" s="1"/>
  <c r="AU147" i="14"/>
  <c r="AY147" i="14" s="1"/>
  <c r="AU90" i="14"/>
  <c r="AY90" i="14" s="1"/>
  <c r="AU6" i="14"/>
  <c r="AY6" i="14" s="1"/>
  <c r="AP255" i="14"/>
  <c r="AT255" i="14"/>
  <c r="BA257" i="14"/>
  <c r="AX255" i="14"/>
  <c r="AU13" i="14"/>
  <c r="AY13" i="14" s="1"/>
  <c r="AU25" i="14"/>
  <c r="AY25" i="14" s="1"/>
  <c r="AU37" i="14"/>
  <c r="AY37" i="14" s="1"/>
  <c r="AU53" i="14"/>
  <c r="AY53" i="14" s="1"/>
  <c r="AU81" i="14"/>
  <c r="AY81" i="14" s="1"/>
  <c r="AU160" i="14"/>
  <c r="AY160" i="14" s="1"/>
  <c r="AU142" i="14"/>
  <c r="AY142" i="14" s="1"/>
  <c r="AU158" i="14"/>
  <c r="AY158" i="14" s="1"/>
  <c r="AU230" i="14"/>
  <c r="AY230" i="14" s="1"/>
  <c r="J281" i="14"/>
  <c r="J268" i="14"/>
  <c r="J288" i="14" s="1"/>
  <c r="AH281" i="14"/>
  <c r="AH268" i="14"/>
  <c r="AH288" i="14" s="1"/>
  <c r="AU189" i="14"/>
  <c r="AY189" i="14" s="1"/>
  <c r="AU205" i="14"/>
  <c r="AY205" i="14" s="1"/>
  <c r="V281" i="14"/>
  <c r="AM258" i="14"/>
  <c r="AM281" i="14" s="1"/>
  <c r="U271" i="14"/>
  <c r="U291" i="14" s="1"/>
  <c r="U284" i="14"/>
  <c r="AM261" i="14"/>
  <c r="AM284" i="14" s="1"/>
  <c r="AR255" i="14"/>
  <c r="BC257" i="14"/>
  <c r="BC255" i="14"/>
  <c r="AU146" i="14"/>
  <c r="AY146" i="14" s="1"/>
  <c r="AU162" i="14"/>
  <c r="AY162" i="14" s="1"/>
  <c r="AU170" i="14"/>
  <c r="AY170" i="14" s="1"/>
  <c r="AU178" i="14"/>
  <c r="AY178" i="14" s="1"/>
  <c r="AU186" i="14"/>
  <c r="AY186" i="14" s="1"/>
  <c r="AU194" i="14"/>
  <c r="AY194" i="14" s="1"/>
  <c r="AU202" i="14"/>
  <c r="AY202" i="14" s="1"/>
  <c r="AU210" i="14"/>
  <c r="AY210" i="14" s="1"/>
  <c r="AU218" i="14"/>
  <c r="AY218" i="14" s="1"/>
  <c r="AU242" i="14"/>
  <c r="AY242" i="14" s="1"/>
  <c r="AA268" i="14"/>
  <c r="AA288" i="14" s="1"/>
  <c r="K268" i="14"/>
  <c r="K288" i="14" s="1"/>
  <c r="AU246" i="14"/>
  <c r="AY246" i="14" s="1"/>
  <c r="R281" i="14"/>
  <c r="R268" i="14"/>
  <c r="R288" i="14" s="1"/>
  <c r="Z281" i="14"/>
  <c r="Z268" i="14"/>
  <c r="Z288" i="14" s="1"/>
  <c r="E271" i="14"/>
  <c r="E291" i="14" s="1"/>
  <c r="C261" i="14"/>
  <c r="E284" i="14"/>
  <c r="AL261" i="14"/>
  <c r="AL284" i="14" s="1"/>
  <c r="AO255" i="14"/>
  <c r="AS255" i="14"/>
  <c r="BD257" i="14"/>
  <c r="BD255" i="14"/>
  <c r="AU150" i="14"/>
  <c r="AY150" i="14" s="1"/>
  <c r="AU166" i="14"/>
  <c r="AY166" i="14" s="1"/>
  <c r="AU169" i="14"/>
  <c r="AY169" i="14" s="1"/>
  <c r="AU177" i="14"/>
  <c r="AY177" i="14" s="1"/>
  <c r="AU185" i="14"/>
  <c r="AY185" i="14" s="1"/>
  <c r="AU193" i="14"/>
  <c r="AY193" i="14" s="1"/>
  <c r="AU201" i="14"/>
  <c r="AY201" i="14" s="1"/>
  <c r="AU209" i="14"/>
  <c r="AY209" i="14" s="1"/>
  <c r="AU217" i="14"/>
  <c r="AY217" i="14" s="1"/>
  <c r="AU232" i="14"/>
  <c r="AY232" i="14" s="1"/>
  <c r="AU238" i="14"/>
  <c r="AY238" i="14" s="1"/>
  <c r="AU248" i="14"/>
  <c r="AY248" i="14" s="1"/>
  <c r="AU254" i="14"/>
  <c r="AY254" i="14" s="1"/>
  <c r="U268" i="14"/>
  <c r="U288" i="14" s="1"/>
  <c r="K282" i="14"/>
  <c r="K269" i="14"/>
  <c r="K289" i="14" s="1"/>
  <c r="O282" i="14"/>
  <c r="O269" i="14"/>
  <c r="O289" i="14" s="1"/>
  <c r="AA282" i="14"/>
  <c r="AA269" i="14"/>
  <c r="AA289" i="14" s="1"/>
  <c r="AE282" i="14"/>
  <c r="AE269" i="14"/>
  <c r="AE289" i="14" s="1"/>
  <c r="AM262" i="14"/>
  <c r="AM285" i="14" s="1"/>
  <c r="S264" i="14"/>
  <c r="AI264" i="14"/>
  <c r="AU225" i="14"/>
  <c r="AY225" i="14" s="1"/>
  <c r="AU228" i="14"/>
  <c r="AY228" i="14" s="1"/>
  <c r="E267" i="14"/>
  <c r="E287" i="14" s="1"/>
  <c r="C257" i="14"/>
  <c r="E264" i="14"/>
  <c r="I264" i="14"/>
  <c r="I280" i="14"/>
  <c r="M280" i="14"/>
  <c r="M264" i="14"/>
  <c r="Q280" i="14"/>
  <c r="Q264" i="14"/>
  <c r="U267" i="14"/>
  <c r="U287" i="14" s="1"/>
  <c r="U264" i="14"/>
  <c r="AM257" i="14"/>
  <c r="Y264" i="14"/>
  <c r="Y280" i="14"/>
  <c r="AC280" i="14"/>
  <c r="AC264" i="14"/>
  <c r="AG280" i="14"/>
  <c r="AG264" i="14"/>
  <c r="AL257" i="14"/>
  <c r="J285" i="14"/>
  <c r="J272" i="14"/>
  <c r="J292" i="14" s="1"/>
  <c r="R285" i="14"/>
  <c r="R272" i="14"/>
  <c r="R292" i="14" s="1"/>
  <c r="Z285" i="14"/>
  <c r="Z272" i="14"/>
  <c r="Z292" i="14" s="1"/>
  <c r="AH285" i="14"/>
  <c r="AH272" i="14"/>
  <c r="AH292" i="14" s="1"/>
  <c r="G264" i="14"/>
  <c r="W264" i="14"/>
  <c r="U280" i="14"/>
  <c r="C259" i="14"/>
  <c r="P282" i="14"/>
  <c r="P269" i="14"/>
  <c r="P289" i="14" s="1"/>
  <c r="AF282" i="14"/>
  <c r="AF269" i="14"/>
  <c r="AF289" i="14" s="1"/>
  <c r="U270" i="14"/>
  <c r="U290" i="14" s="1"/>
  <c r="U283" i="14"/>
  <c r="AL260" i="14"/>
  <c r="AL283" i="14" s="1"/>
  <c r="Z271" i="14"/>
  <c r="Z291" i="14" s="1"/>
  <c r="Z284" i="14"/>
  <c r="AH271" i="14"/>
  <c r="AH291" i="14" s="1"/>
  <c r="AH284" i="14"/>
  <c r="K272" i="14"/>
  <c r="K292" i="14" s="1"/>
  <c r="AA272" i="14"/>
  <c r="AA292" i="14" s="1"/>
  <c r="H264" i="14"/>
  <c r="L264" i="14"/>
  <c r="P264" i="14"/>
  <c r="T264" i="14"/>
  <c r="X264" i="14"/>
  <c r="AB264" i="14"/>
  <c r="AF264" i="14"/>
  <c r="AJ264" i="14"/>
  <c r="J267" i="14"/>
  <c r="J287" i="14" s="1"/>
  <c r="R267" i="14"/>
  <c r="R287" i="14" s="1"/>
  <c r="AA267" i="14"/>
  <c r="AA287" i="14" s="1"/>
  <c r="E268" i="14"/>
  <c r="E288" i="14" s="1"/>
  <c r="O268" i="14"/>
  <c r="O288" i="14" s="1"/>
  <c r="X268" i="14"/>
  <c r="X288" i="14" s="1"/>
  <c r="AF268" i="14"/>
  <c r="AF288" i="14" s="1"/>
  <c r="J269" i="14"/>
  <c r="J289" i="14" s="1"/>
  <c r="X269" i="14"/>
  <c r="X289" i="14" s="1"/>
  <c r="AA271" i="14"/>
  <c r="AA291" i="14" s="1"/>
  <c r="AF272" i="14"/>
  <c r="AF292" i="14" s="1"/>
  <c r="E282" i="14"/>
  <c r="O285" i="14"/>
  <c r="AE285" i="14"/>
  <c r="C258" i="14"/>
  <c r="U269" i="14"/>
  <c r="U289" i="14" s="1"/>
  <c r="AL259" i="14"/>
  <c r="AL282" i="14" s="1"/>
  <c r="J283" i="14"/>
  <c r="J270" i="14"/>
  <c r="J290" i="14" s="1"/>
  <c r="R283" i="14"/>
  <c r="R270" i="14"/>
  <c r="R290" i="14" s="1"/>
  <c r="Z283" i="14"/>
  <c r="Z270" i="14"/>
  <c r="Z290" i="14" s="1"/>
  <c r="AH283" i="14"/>
  <c r="AH270" i="14"/>
  <c r="AH290" i="14" s="1"/>
  <c r="AM260" i="14"/>
  <c r="AM283" i="14" s="1"/>
  <c r="K284" i="14"/>
  <c r="K271" i="14"/>
  <c r="K291" i="14" s="1"/>
  <c r="O284" i="14"/>
  <c r="O271" i="14"/>
  <c r="O291" i="14" s="1"/>
  <c r="AE284" i="14"/>
  <c r="AE271" i="14"/>
  <c r="AE291" i="14" s="1"/>
  <c r="C262" i="14"/>
  <c r="H285" i="14"/>
  <c r="H272" i="14"/>
  <c r="H292" i="14" s="1"/>
  <c r="P285" i="14"/>
  <c r="P272" i="14"/>
  <c r="P292" i="14" s="1"/>
  <c r="K267" i="14"/>
  <c r="K287" i="14" s="1"/>
  <c r="AE267" i="14"/>
  <c r="AE287" i="14" s="1"/>
  <c r="H268" i="14"/>
  <c r="H288" i="14" s="1"/>
  <c r="P268" i="14"/>
  <c r="P288" i="14" s="1"/>
  <c r="E272" i="14"/>
  <c r="E292" i="14" s="1"/>
  <c r="AA281" i="14"/>
  <c r="AL258" i="14"/>
  <c r="AL281" i="14" s="1"/>
  <c r="Z269" i="14"/>
  <c r="Z289" i="14" s="1"/>
  <c r="Z282" i="14"/>
  <c r="AH269" i="14"/>
  <c r="AH289" i="14" s="1"/>
  <c r="AH282" i="14"/>
  <c r="AM259" i="14"/>
  <c r="AM282" i="14" s="1"/>
  <c r="K270" i="14"/>
  <c r="K290" i="14" s="1"/>
  <c r="AA270" i="14"/>
  <c r="AA290" i="14" s="1"/>
  <c r="H284" i="14"/>
  <c r="H271" i="14"/>
  <c r="H291" i="14" s="1"/>
  <c r="P284" i="14"/>
  <c r="P271" i="14"/>
  <c r="P291" i="14" s="1"/>
  <c r="X284" i="14"/>
  <c r="X271" i="14"/>
  <c r="X291" i="14" s="1"/>
  <c r="AF284" i="14"/>
  <c r="AF271" i="14"/>
  <c r="AF291" i="14" s="1"/>
  <c r="U272" i="14"/>
  <c r="U292" i="14" s="1"/>
  <c r="U285" i="14"/>
  <c r="AL262" i="14"/>
  <c r="AL285" i="14" s="1"/>
  <c r="F264" i="14"/>
  <c r="J264" i="14"/>
  <c r="N264" i="14"/>
  <c r="R264" i="14"/>
  <c r="V264" i="14"/>
  <c r="Z264" i="14"/>
  <c r="AD264" i="14"/>
  <c r="AH264" i="14"/>
  <c r="O267" i="14"/>
  <c r="O287" i="14" s="1"/>
  <c r="X267" i="14"/>
  <c r="X287" i="14" s="1"/>
  <c r="AF267" i="14"/>
  <c r="AF287" i="14" s="1"/>
  <c r="E270" i="14"/>
  <c r="E290" i="14" s="1"/>
  <c r="J271" i="14"/>
  <c r="J291" i="14" s="1"/>
  <c r="K283" i="14"/>
  <c r="AA283" i="14"/>
  <c r="AM280" i="14" l="1"/>
  <c r="AM264" i="14"/>
  <c r="AM265" i="14" s="1"/>
  <c r="AD265" i="14"/>
  <c r="AL264" i="14"/>
  <c r="AL265" i="14" s="1"/>
  <c r="AL280" i="14"/>
  <c r="C264" i="14"/>
  <c r="BC256" i="14"/>
  <c r="AU257" i="14"/>
  <c r="AU255" i="14"/>
  <c r="AY255" i="14" s="1"/>
  <c r="AY4" i="14"/>
  <c r="AY257" i="14" s="1"/>
  <c r="C265" i="14" l="1"/>
  <c r="K265" i="14"/>
  <c r="O265" i="14"/>
  <c r="AA265" i="14"/>
  <c r="AE265" i="14"/>
  <c r="N265" i="14"/>
  <c r="F265" i="14"/>
  <c r="J265" i="14"/>
  <c r="AG265" i="14"/>
  <c r="AH265" i="14"/>
  <c r="E265" i="14"/>
  <c r="V265" i="14"/>
  <c r="I265" i="14"/>
  <c r="G265" i="14"/>
  <c r="Z265" i="14"/>
  <c r="R265" i="14"/>
  <c r="AC265" i="14"/>
  <c r="L265" i="14"/>
  <c r="Q265" i="14"/>
  <c r="M265" i="14"/>
  <c r="P265" i="14"/>
  <c r="W265" i="14"/>
  <c r="T265" i="14"/>
  <c r="S265" i="14"/>
  <c r="AI265" i="14"/>
  <c r="AB265" i="14"/>
  <c r="X265" i="14"/>
  <c r="U265" i="14"/>
  <c r="AF265" i="14"/>
  <c r="H265" i="14"/>
  <c r="AJ265" i="14"/>
  <c r="Y265" i="14"/>
  <c r="R60" i="13" l="1"/>
  <c r="B60" i="13"/>
  <c r="AE58" i="13"/>
  <c r="AC58" i="13"/>
  <c r="AB58" i="13"/>
  <c r="Z58" i="13"/>
  <c r="X58" i="13"/>
  <c r="X62" i="13" s="1"/>
  <c r="W58" i="13"/>
  <c r="U58" i="13"/>
  <c r="U62" i="13" s="1"/>
  <c r="R58" i="13"/>
  <c r="R62" i="13" s="1"/>
  <c r="O58" i="13"/>
  <c r="M58" i="13"/>
  <c r="L58" i="13"/>
  <c r="J58" i="13"/>
  <c r="H58" i="13"/>
  <c r="H62" i="13" s="1"/>
  <c r="G58" i="13"/>
  <c r="E58" i="13"/>
  <c r="E62" i="13" s="1"/>
  <c r="B58" i="13"/>
  <c r="B62" i="13" s="1"/>
  <c r="B53" i="13"/>
  <c r="AE49" i="13"/>
  <c r="AC49" i="13"/>
  <c r="AB49" i="13"/>
  <c r="Z49" i="13"/>
  <c r="X49" i="13"/>
  <c r="X53" i="13" s="1"/>
  <c r="W49" i="13"/>
  <c r="U49" i="13"/>
  <c r="U53" i="13" s="1"/>
  <c r="R49" i="13"/>
  <c r="R53" i="13" s="1"/>
  <c r="O49" i="13"/>
  <c r="M49" i="13"/>
  <c r="L49" i="13"/>
  <c r="J49" i="13"/>
  <c r="H49" i="13"/>
  <c r="H53" i="13" s="1"/>
  <c r="G49" i="13"/>
  <c r="E49" i="13"/>
  <c r="B49" i="13"/>
  <c r="B51" i="13" s="1"/>
  <c r="E44" i="13"/>
  <c r="E45" i="13" s="1"/>
  <c r="AB41" i="13"/>
  <c r="L41" i="13"/>
  <c r="AE40" i="13"/>
  <c r="AE41" i="13" s="1"/>
  <c r="AC40" i="13"/>
  <c r="AC41" i="13" s="1"/>
  <c r="AB40" i="13"/>
  <c r="Z40" i="13"/>
  <c r="Z41" i="13" s="1"/>
  <c r="X40" i="13"/>
  <c r="X44" i="13" s="1"/>
  <c r="W40" i="13"/>
  <c r="U40" i="13"/>
  <c r="U44" i="13" s="1"/>
  <c r="U45" i="13" s="1"/>
  <c r="R40" i="13"/>
  <c r="R42" i="13" s="1"/>
  <c r="O40" i="13"/>
  <c r="O41" i="13" s="1"/>
  <c r="M40" i="13"/>
  <c r="M41" i="13" s="1"/>
  <c r="L40" i="13"/>
  <c r="J40" i="13"/>
  <c r="J41" i="13" s="1"/>
  <c r="H40" i="13"/>
  <c r="H44" i="13" s="1"/>
  <c r="G40" i="13"/>
  <c r="E40" i="13"/>
  <c r="E41" i="13" s="1"/>
  <c r="B40" i="13"/>
  <c r="B44" i="13" s="1"/>
  <c r="B35" i="13"/>
  <c r="AE31" i="13"/>
  <c r="AE32" i="13" s="1"/>
  <c r="AC31" i="13"/>
  <c r="AC32" i="13" s="1"/>
  <c r="AB31" i="13"/>
  <c r="AB32" i="13" s="1"/>
  <c r="Z31" i="13"/>
  <c r="X31" i="13"/>
  <c r="X35" i="13" s="1"/>
  <c r="W31" i="13"/>
  <c r="U31" i="13"/>
  <c r="U35" i="13" s="1"/>
  <c r="U36" i="13" s="1"/>
  <c r="R31" i="13"/>
  <c r="R35" i="13" s="1"/>
  <c r="O31" i="13"/>
  <c r="O32" i="13" s="1"/>
  <c r="M31" i="13"/>
  <c r="M32" i="13" s="1"/>
  <c r="L31" i="13"/>
  <c r="L32" i="13" s="1"/>
  <c r="J31" i="13"/>
  <c r="H31" i="13"/>
  <c r="H35" i="13" s="1"/>
  <c r="G31" i="13"/>
  <c r="E31" i="13"/>
  <c r="E32" i="13" s="1"/>
  <c r="B31" i="13"/>
  <c r="B33" i="13" s="1"/>
  <c r="U22" i="13"/>
  <c r="AE21" i="13"/>
  <c r="AC21" i="13"/>
  <c r="AB21" i="13"/>
  <c r="Z21" i="13"/>
  <c r="Z32" i="13" s="1"/>
  <c r="X21" i="13"/>
  <c r="X22" i="13" s="1"/>
  <c r="W21" i="13"/>
  <c r="U21" i="13"/>
  <c r="R21" i="13"/>
  <c r="R22" i="13" s="1"/>
  <c r="O21" i="13"/>
  <c r="M21" i="13"/>
  <c r="L21" i="13"/>
  <c r="J21" i="13"/>
  <c r="J32" i="13" s="1"/>
  <c r="H21" i="13"/>
  <c r="H22" i="13" s="1"/>
  <c r="H24" i="13" s="1"/>
  <c r="G21" i="13"/>
  <c r="E21" i="13"/>
  <c r="E22" i="13" s="1"/>
  <c r="E24" i="13" s="1"/>
  <c r="B21" i="13"/>
  <c r="B22" i="13" s="1"/>
  <c r="B24" i="13" s="1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E18" i="13"/>
  <c r="Z18" i="13"/>
  <c r="W18" i="13"/>
  <c r="R18" i="13"/>
  <c r="O18" i="13"/>
  <c r="J18" i="13"/>
  <c r="G18" i="13"/>
  <c r="B18" i="13"/>
  <c r="AE17" i="13"/>
  <c r="Z17" i="13"/>
  <c r="W17" i="13"/>
  <c r="R17" i="13"/>
  <c r="O17" i="13"/>
  <c r="J17" i="13"/>
  <c r="G17" i="13"/>
  <c r="B17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I13" i="13"/>
  <c r="AI12" i="13"/>
  <c r="AI11" i="13"/>
  <c r="AI10" i="13"/>
  <c r="AI9" i="13"/>
  <c r="AE6" i="13"/>
  <c r="AD6" i="13"/>
  <c r="AD18" i="13" s="1"/>
  <c r="Z6" i="13"/>
  <c r="W6" i="13"/>
  <c r="W26" i="13" s="1"/>
  <c r="V6" i="13"/>
  <c r="V18" i="13" s="1"/>
  <c r="R6" i="13"/>
  <c r="O6" i="13"/>
  <c r="N6" i="13"/>
  <c r="N18" i="13" s="1"/>
  <c r="J6" i="13"/>
  <c r="G6" i="13"/>
  <c r="G26" i="13" s="1"/>
  <c r="F6" i="13"/>
  <c r="F18" i="13" s="1"/>
  <c r="B6" i="13"/>
  <c r="AG5" i="13"/>
  <c r="AG6" i="13" s="1"/>
  <c r="AF5" i="13"/>
  <c r="AF6" i="13" s="1"/>
  <c r="AE5" i="13"/>
  <c r="AD5" i="13"/>
  <c r="AC5" i="13"/>
  <c r="AC6" i="13" s="1"/>
  <c r="AB5" i="13"/>
  <c r="AB6" i="13" s="1"/>
  <c r="AA5" i="13"/>
  <c r="AA6" i="13" s="1"/>
  <c r="Z5" i="13"/>
  <c r="Y5" i="13"/>
  <c r="Y6" i="13" s="1"/>
  <c r="X5" i="13"/>
  <c r="X6" i="13" s="1"/>
  <c r="W5" i="13"/>
  <c r="V5" i="13"/>
  <c r="U5" i="13"/>
  <c r="U6" i="13" s="1"/>
  <c r="T5" i="13"/>
  <c r="T6" i="13" s="1"/>
  <c r="S5" i="13"/>
  <c r="S6" i="13" s="1"/>
  <c r="R5" i="13"/>
  <c r="Q5" i="13"/>
  <c r="Q6" i="13" s="1"/>
  <c r="P5" i="13"/>
  <c r="P6" i="13" s="1"/>
  <c r="O5" i="13"/>
  <c r="N5" i="13"/>
  <c r="M5" i="13"/>
  <c r="M6" i="13" s="1"/>
  <c r="L5" i="13"/>
  <c r="L6" i="13" s="1"/>
  <c r="K5" i="13"/>
  <c r="K6" i="13" s="1"/>
  <c r="J5" i="13"/>
  <c r="I5" i="13"/>
  <c r="I6" i="13" s="1"/>
  <c r="H5" i="13"/>
  <c r="H6" i="13" s="1"/>
  <c r="G5" i="13"/>
  <c r="F5" i="13"/>
  <c r="E5" i="13"/>
  <c r="E6" i="13" s="1"/>
  <c r="D5" i="13"/>
  <c r="D6" i="13" s="1"/>
  <c r="C5" i="13"/>
  <c r="C6" i="13" s="1"/>
  <c r="B5" i="13"/>
  <c r="AI4" i="13"/>
  <c r="K18" i="13" l="1"/>
  <c r="K17" i="13"/>
  <c r="AA18" i="13"/>
  <c r="AA17" i="13"/>
  <c r="R36" i="13"/>
  <c r="B36" i="13"/>
  <c r="B45" i="13"/>
  <c r="E50" i="13"/>
  <c r="B64" i="13"/>
  <c r="Z59" i="13"/>
  <c r="C17" i="13"/>
  <c r="C18" i="13"/>
  <c r="S17" i="13"/>
  <c r="S18" i="13"/>
  <c r="B55" i="13"/>
  <c r="AI6" i="13"/>
  <c r="H18" i="13"/>
  <c r="H17" i="13"/>
  <c r="P18" i="13"/>
  <c r="P17" i="13"/>
  <c r="X18" i="13"/>
  <c r="X17" i="13"/>
  <c r="AF18" i="13"/>
  <c r="AF17" i="13"/>
  <c r="AE26" i="13"/>
  <c r="R33" i="13"/>
  <c r="X45" i="13"/>
  <c r="E46" i="13"/>
  <c r="E47" i="13" s="1"/>
  <c r="R51" i="13"/>
  <c r="H64" i="13"/>
  <c r="I18" i="13"/>
  <c r="I17" i="13"/>
  <c r="Q18" i="13"/>
  <c r="Q17" i="13"/>
  <c r="Y18" i="13"/>
  <c r="Y17" i="13"/>
  <c r="AG18" i="13"/>
  <c r="AG17" i="13"/>
  <c r="B23" i="13"/>
  <c r="B34" i="13" s="1"/>
  <c r="G35" i="13"/>
  <c r="W35" i="13"/>
  <c r="B37" i="13"/>
  <c r="B38" i="13" s="1"/>
  <c r="R41" i="13"/>
  <c r="R44" i="13"/>
  <c r="R45" i="13" s="1"/>
  <c r="B59" i="13"/>
  <c r="J26" i="13"/>
  <c r="J50" i="13" s="1"/>
  <c r="Z26" i="13"/>
  <c r="Z50" i="13" s="1"/>
  <c r="R23" i="13"/>
  <c r="R43" i="13" s="1"/>
  <c r="H26" i="13"/>
  <c r="X26" i="13"/>
  <c r="H37" i="13"/>
  <c r="H38" i="13" s="1"/>
  <c r="H36" i="13"/>
  <c r="X36" i="13"/>
  <c r="E35" i="13"/>
  <c r="U41" i="13"/>
  <c r="H55" i="13"/>
  <c r="AE50" i="13"/>
  <c r="E53" i="13"/>
  <c r="E64" i="13"/>
  <c r="U59" i="13"/>
  <c r="D18" i="13"/>
  <c r="D17" i="13"/>
  <c r="L26" i="13"/>
  <c r="L59" i="13" s="1"/>
  <c r="L18" i="13"/>
  <c r="L17" i="13"/>
  <c r="T18" i="13"/>
  <c r="T17" i="13"/>
  <c r="AB26" i="13"/>
  <c r="W27" i="13" s="1"/>
  <c r="AB18" i="13"/>
  <c r="AB17" i="13"/>
  <c r="O26" i="13"/>
  <c r="O59" i="13" s="1"/>
  <c r="U32" i="13"/>
  <c r="H46" i="13"/>
  <c r="H47" i="13" s="1"/>
  <c r="H45" i="13"/>
  <c r="AE59" i="13"/>
  <c r="E26" i="13"/>
  <c r="E59" i="13" s="1"/>
  <c r="E18" i="13"/>
  <c r="E17" i="13"/>
  <c r="M18" i="13"/>
  <c r="M17" i="13"/>
  <c r="U26" i="13"/>
  <c r="U18" i="13"/>
  <c r="U17" i="13"/>
  <c r="AC18" i="13"/>
  <c r="AC17" i="13"/>
  <c r="B41" i="13"/>
  <c r="B42" i="13"/>
  <c r="B43" i="13" s="1"/>
  <c r="G53" i="13"/>
  <c r="W53" i="13"/>
  <c r="AI5" i="13"/>
  <c r="B26" i="13"/>
  <c r="R26" i="13"/>
  <c r="R7" i="13"/>
  <c r="B7" i="13"/>
  <c r="F17" i="13"/>
  <c r="N17" i="13"/>
  <c r="V17" i="13"/>
  <c r="AD17" i="13"/>
  <c r="G22" i="13"/>
  <c r="W22" i="13"/>
  <c r="M26" i="13"/>
  <c r="M50" i="13" s="1"/>
  <c r="AC26" i="13"/>
  <c r="AC50" i="13" s="1"/>
  <c r="B32" i="13"/>
  <c r="R32" i="13"/>
  <c r="G44" i="13"/>
  <c r="W44" i="13"/>
  <c r="W45" i="13" s="1"/>
  <c r="B50" i="13"/>
  <c r="R50" i="13"/>
  <c r="G62" i="13"/>
  <c r="M59" i="13"/>
  <c r="W62" i="13"/>
  <c r="G32" i="13"/>
  <c r="W32" i="13"/>
  <c r="G41" i="13"/>
  <c r="W41" i="13"/>
  <c r="G50" i="13"/>
  <c r="W50" i="13"/>
  <c r="G59" i="13"/>
  <c r="W59" i="13"/>
  <c r="H32" i="13"/>
  <c r="X32" i="13"/>
  <c r="H41" i="13"/>
  <c r="X41" i="13"/>
  <c r="H50" i="13"/>
  <c r="X50" i="13"/>
  <c r="H59" i="13"/>
  <c r="X59" i="13"/>
  <c r="G37" i="13" l="1"/>
  <c r="G36" i="13"/>
  <c r="G46" i="13"/>
  <c r="G47" i="13" s="1"/>
  <c r="G45" i="13"/>
  <c r="R34" i="13"/>
  <c r="AC59" i="13"/>
  <c r="R28" i="13"/>
  <c r="R61" i="13" s="1"/>
  <c r="R27" i="13"/>
  <c r="W54" i="13"/>
  <c r="U27" i="13"/>
  <c r="U50" i="13"/>
  <c r="O50" i="13"/>
  <c r="E37" i="13"/>
  <c r="E38" i="13" s="1"/>
  <c r="E36" i="13"/>
  <c r="X27" i="13"/>
  <c r="J59" i="13"/>
  <c r="G64" i="13"/>
  <c r="G65" i="13" s="1"/>
  <c r="AB50" i="13"/>
  <c r="W63" i="13"/>
  <c r="G24" i="13"/>
  <c r="B28" i="13"/>
  <c r="B27" i="13"/>
  <c r="G55" i="13"/>
  <c r="E27" i="13"/>
  <c r="E54" i="13" s="1"/>
  <c r="AB59" i="13"/>
  <c r="E55" i="13"/>
  <c r="H27" i="13"/>
  <c r="R59" i="13"/>
  <c r="W36" i="13"/>
  <c r="L50" i="13"/>
  <c r="B46" i="13"/>
  <c r="B47" i="13" s="1"/>
  <c r="G27" i="13"/>
  <c r="G29" i="13" s="1"/>
  <c r="B52" i="13" l="1"/>
  <c r="B61" i="13"/>
  <c r="G54" i="13"/>
  <c r="B29" i="13"/>
  <c r="B54" i="13"/>
  <c r="B63" i="13"/>
  <c r="X63" i="13"/>
  <c r="X54" i="13"/>
  <c r="H29" i="13"/>
  <c r="H54" i="13"/>
  <c r="H63" i="13"/>
  <c r="E29" i="13"/>
  <c r="E65" i="13" s="1"/>
  <c r="E63" i="13"/>
  <c r="U63" i="13"/>
  <c r="U54" i="13"/>
  <c r="G56" i="13"/>
  <c r="G63" i="13"/>
  <c r="R52" i="13"/>
  <c r="R54" i="13"/>
  <c r="R63" i="13"/>
  <c r="G38" i="13"/>
  <c r="E56" i="13" l="1"/>
  <c r="B56" i="13"/>
  <c r="B65" i="13"/>
  <c r="H56" i="13"/>
  <c r="H65" i="13"/>
  <c r="AJ134" i="12" l="1"/>
  <c r="AI134" i="12"/>
  <c r="AH134" i="12"/>
  <c r="AG134" i="12"/>
  <c r="AF134" i="12"/>
  <c r="AE134" i="12"/>
  <c r="AD134" i="12"/>
  <c r="AC134" i="12"/>
  <c r="AB134" i="12"/>
  <c r="AA134" i="12"/>
  <c r="Z134" i="12"/>
  <c r="Y134" i="12"/>
  <c r="X134" i="12"/>
  <c r="W134" i="12"/>
  <c r="V134" i="12"/>
  <c r="U134" i="12"/>
  <c r="T134" i="12"/>
  <c r="S134" i="12"/>
  <c r="R134" i="12"/>
  <c r="Q134" i="12"/>
  <c r="P134" i="12"/>
  <c r="O134" i="12"/>
  <c r="N134" i="12"/>
  <c r="M134" i="12"/>
  <c r="L134" i="12"/>
  <c r="K134" i="12"/>
  <c r="J134" i="12"/>
  <c r="I134" i="12"/>
  <c r="H134" i="12"/>
  <c r="G134" i="12"/>
  <c r="F134" i="12"/>
  <c r="E134" i="12"/>
  <c r="AJ133" i="12"/>
  <c r="AI133" i="12"/>
  <c r="AH133" i="12"/>
  <c r="AG133" i="12"/>
  <c r="AF133" i="12"/>
  <c r="AE133" i="12"/>
  <c r="AD133" i="12"/>
  <c r="AC133" i="12"/>
  <c r="AB133" i="12"/>
  <c r="AA133" i="12"/>
  <c r="Z133" i="12"/>
  <c r="Y133" i="12"/>
  <c r="X133" i="12"/>
  <c r="W133" i="12"/>
  <c r="V133" i="12"/>
  <c r="U133" i="12"/>
  <c r="T133" i="12"/>
  <c r="S133" i="12"/>
  <c r="R133" i="12"/>
  <c r="Q133" i="12"/>
  <c r="P133" i="12"/>
  <c r="O133" i="12"/>
  <c r="N133" i="12"/>
  <c r="M133" i="12"/>
  <c r="L133" i="12"/>
  <c r="K133" i="12"/>
  <c r="J133" i="12"/>
  <c r="I133" i="12"/>
  <c r="H133" i="12"/>
  <c r="G133" i="12"/>
  <c r="E138" i="12" s="1"/>
  <c r="F133" i="12"/>
  <c r="E133" i="12"/>
  <c r="AJ132" i="12"/>
  <c r="AI132" i="12"/>
  <c r="AH132" i="12"/>
  <c r="AG132" i="12"/>
  <c r="AF132" i="12"/>
  <c r="AE132" i="12"/>
  <c r="AD132" i="12"/>
  <c r="AC132" i="12"/>
  <c r="AB132" i="12"/>
  <c r="AA132" i="12"/>
  <c r="Z132" i="12"/>
  <c r="Y132" i="12"/>
  <c r="X132" i="12"/>
  <c r="W132" i="12"/>
  <c r="V132" i="12"/>
  <c r="U132" i="12"/>
  <c r="T132" i="12"/>
  <c r="S132" i="12"/>
  <c r="R132" i="12"/>
  <c r="Q132" i="12"/>
  <c r="P132" i="12"/>
  <c r="O132" i="12"/>
  <c r="N132" i="12"/>
  <c r="M132" i="12"/>
  <c r="L132" i="12"/>
  <c r="K132" i="12"/>
  <c r="J132" i="12"/>
  <c r="I132" i="12"/>
  <c r="H132" i="12"/>
  <c r="G132" i="12"/>
  <c r="F132" i="12"/>
  <c r="E132" i="12"/>
  <c r="AY129" i="12"/>
  <c r="AX129" i="12"/>
  <c r="AW129" i="12"/>
  <c r="AQ129" i="12"/>
  <c r="AP129" i="12"/>
  <c r="AO129" i="12"/>
  <c r="AN129" i="12"/>
  <c r="AY128" i="12"/>
  <c r="AX128" i="12"/>
  <c r="AW128" i="12"/>
  <c r="AP128" i="12"/>
  <c r="AO128" i="12"/>
  <c r="AN128" i="12"/>
  <c r="AY127" i="12"/>
  <c r="AX127" i="12"/>
  <c r="AW127" i="12"/>
  <c r="AQ127" i="12"/>
  <c r="AP127" i="12"/>
  <c r="AO127" i="12"/>
  <c r="AN127" i="12"/>
  <c r="AY126" i="12"/>
  <c r="AX126" i="12"/>
  <c r="AW126" i="12"/>
  <c r="AP126" i="12"/>
  <c r="AO126" i="12"/>
  <c r="AN126" i="12"/>
  <c r="AY125" i="12"/>
  <c r="AX125" i="12"/>
  <c r="AW125" i="12"/>
  <c r="AQ125" i="12"/>
  <c r="AP125" i="12"/>
  <c r="AO125" i="12"/>
  <c r="AN125" i="12"/>
  <c r="AY124" i="12"/>
  <c r="AX124" i="12"/>
  <c r="AW124" i="12"/>
  <c r="AP124" i="12"/>
  <c r="AO124" i="12"/>
  <c r="AN124" i="12"/>
  <c r="AY123" i="12"/>
  <c r="AX123" i="12"/>
  <c r="AW123" i="12"/>
  <c r="AQ123" i="12"/>
  <c r="AP123" i="12"/>
  <c r="AO123" i="12"/>
  <c r="AN123" i="12"/>
  <c r="AY122" i="12"/>
  <c r="AX122" i="12"/>
  <c r="AW122" i="12"/>
  <c r="AP122" i="12"/>
  <c r="AO122" i="12"/>
  <c r="AN122" i="12"/>
  <c r="AY121" i="12"/>
  <c r="AX121" i="12"/>
  <c r="AW121" i="12"/>
  <c r="AQ121" i="12"/>
  <c r="AP121" i="12"/>
  <c r="AO121" i="12"/>
  <c r="AN121" i="12"/>
  <c r="AY120" i="12"/>
  <c r="AX120" i="12"/>
  <c r="AW120" i="12"/>
  <c r="AP120" i="12"/>
  <c r="AO120" i="12"/>
  <c r="AN120" i="12"/>
  <c r="AY119" i="12"/>
  <c r="AX119" i="12"/>
  <c r="AW119" i="12"/>
  <c r="AQ119" i="12"/>
  <c r="AP119" i="12"/>
  <c r="AO119" i="12"/>
  <c r="AN119" i="12"/>
  <c r="AY118" i="12"/>
  <c r="AX118" i="12"/>
  <c r="AW118" i="12"/>
  <c r="AP118" i="12"/>
  <c r="AO118" i="12"/>
  <c r="AN118" i="12"/>
  <c r="AY117" i="12"/>
  <c r="AX117" i="12"/>
  <c r="AW117" i="12"/>
  <c r="AQ117" i="12"/>
  <c r="AP117" i="12"/>
  <c r="AO117" i="12"/>
  <c r="AN117" i="12"/>
  <c r="AY116" i="12"/>
  <c r="AX116" i="12"/>
  <c r="AW116" i="12"/>
  <c r="AP116" i="12"/>
  <c r="AO116" i="12"/>
  <c r="AN116" i="12"/>
  <c r="AY115" i="12"/>
  <c r="AX115" i="12"/>
  <c r="AW115" i="12"/>
  <c r="AQ115" i="12"/>
  <c r="AP115" i="12"/>
  <c r="AO115" i="12"/>
  <c r="AN115" i="12"/>
  <c r="AY114" i="12"/>
  <c r="AX114" i="12"/>
  <c r="AW114" i="12"/>
  <c r="AP114" i="12"/>
  <c r="AO114" i="12"/>
  <c r="AN114" i="12"/>
  <c r="AY113" i="12"/>
  <c r="AX113" i="12"/>
  <c r="AW113" i="12"/>
  <c r="AQ113" i="12"/>
  <c r="AP113" i="12"/>
  <c r="AO113" i="12"/>
  <c r="AN113" i="12"/>
  <c r="AS113" i="12" s="1"/>
  <c r="AY112" i="12"/>
  <c r="AX112" i="12"/>
  <c r="AW112" i="12"/>
  <c r="AP112" i="12"/>
  <c r="AO112" i="12"/>
  <c r="AN112" i="12"/>
  <c r="AQ112" i="12" s="1"/>
  <c r="AU112" i="12" s="1"/>
  <c r="AY111" i="12"/>
  <c r="AX111" i="12"/>
  <c r="AW111" i="12"/>
  <c r="AP111" i="12"/>
  <c r="AO111" i="12"/>
  <c r="AN111" i="12"/>
  <c r="AQ111" i="12" s="1"/>
  <c r="AU111" i="12" s="1"/>
  <c r="AY110" i="12"/>
  <c r="AX110" i="12"/>
  <c r="AW110" i="12"/>
  <c r="AP110" i="12"/>
  <c r="AO110" i="12"/>
  <c r="AN110" i="12"/>
  <c r="AY109" i="12"/>
  <c r="AX109" i="12"/>
  <c r="AW109" i="12"/>
  <c r="AP109" i="12"/>
  <c r="AO109" i="12"/>
  <c r="AN109" i="12"/>
  <c r="AQ109" i="12" s="1"/>
  <c r="AY108" i="12"/>
  <c r="AX108" i="12"/>
  <c r="AW108" i="12"/>
  <c r="AP108" i="12"/>
  <c r="AO108" i="12"/>
  <c r="AN108" i="12"/>
  <c r="AY107" i="12"/>
  <c r="AX107" i="12"/>
  <c r="AW107" i="12"/>
  <c r="AP107" i="12"/>
  <c r="AO107" i="12"/>
  <c r="AN107" i="12"/>
  <c r="AY106" i="12"/>
  <c r="AX106" i="12"/>
  <c r="AW106" i="12"/>
  <c r="AP106" i="12"/>
  <c r="AO106" i="12"/>
  <c r="AN106" i="12"/>
  <c r="AY105" i="12"/>
  <c r="AX105" i="12"/>
  <c r="AW105" i="12"/>
  <c r="AQ105" i="12"/>
  <c r="AP105" i="12"/>
  <c r="AO105" i="12"/>
  <c r="AN105" i="12"/>
  <c r="AS105" i="12" s="1"/>
  <c r="AY104" i="12"/>
  <c r="AX104" i="12"/>
  <c r="AW104" i="12"/>
  <c r="AP104" i="12"/>
  <c r="AO104" i="12"/>
  <c r="AN104" i="12"/>
  <c r="AQ104" i="12" s="1"/>
  <c r="AU104" i="12" s="1"/>
  <c r="AY103" i="12"/>
  <c r="AX103" i="12"/>
  <c r="AW103" i="12"/>
  <c r="AP103" i="12"/>
  <c r="AO103" i="12"/>
  <c r="AN103" i="12"/>
  <c r="AY102" i="12"/>
  <c r="AX102" i="12"/>
  <c r="AW102" i="12"/>
  <c r="AP102" i="12"/>
  <c r="AO102" i="12"/>
  <c r="AN102" i="12"/>
  <c r="AY101" i="12"/>
  <c r="AX101" i="12"/>
  <c r="AW101" i="12"/>
  <c r="AP101" i="12"/>
  <c r="AO101" i="12"/>
  <c r="AN101" i="12"/>
  <c r="AY100" i="12"/>
  <c r="AX100" i="12"/>
  <c r="AW100" i="12"/>
  <c r="AP100" i="12"/>
  <c r="AO100" i="12"/>
  <c r="AN100" i="12"/>
  <c r="AY99" i="12"/>
  <c r="AX99" i="12"/>
  <c r="AW99" i="12"/>
  <c r="AS99" i="12"/>
  <c r="AP99" i="12"/>
  <c r="AO99" i="12"/>
  <c r="AT99" i="12" s="1"/>
  <c r="AN99" i="12"/>
  <c r="AQ99" i="12" s="1"/>
  <c r="AU99" i="12" s="1"/>
  <c r="AY98" i="12"/>
  <c r="AX98" i="12"/>
  <c r="AW98" i="12"/>
  <c r="AP98" i="12"/>
  <c r="AO98" i="12"/>
  <c r="AN98" i="12"/>
  <c r="AY97" i="12"/>
  <c r="AX97" i="12"/>
  <c r="AW97" i="12"/>
  <c r="AQ97" i="12"/>
  <c r="AP97" i="12"/>
  <c r="AO97" i="12"/>
  <c r="AN97" i="12"/>
  <c r="AS97" i="12" s="1"/>
  <c r="AY96" i="12"/>
  <c r="AX96" i="12"/>
  <c r="AW96" i="12"/>
  <c r="AP96" i="12"/>
  <c r="AO96" i="12"/>
  <c r="AN96" i="12"/>
  <c r="AQ96" i="12" s="1"/>
  <c r="AU96" i="12" s="1"/>
  <c r="AY95" i="12"/>
  <c r="AX95" i="12"/>
  <c r="AW95" i="12"/>
  <c r="AP95" i="12"/>
  <c r="AO95" i="12"/>
  <c r="AN95" i="12"/>
  <c r="AQ95" i="12" s="1"/>
  <c r="AU95" i="12" s="1"/>
  <c r="AY94" i="12"/>
  <c r="AX94" i="12"/>
  <c r="AW94" i="12"/>
  <c r="AP94" i="12"/>
  <c r="AO94" i="12"/>
  <c r="AN94" i="12"/>
  <c r="AY93" i="12"/>
  <c r="AX93" i="12"/>
  <c r="AW93" i="12"/>
  <c r="AP93" i="12"/>
  <c r="AO93" i="12"/>
  <c r="AN93" i="12"/>
  <c r="AQ93" i="12" s="1"/>
  <c r="AY92" i="12"/>
  <c r="AX92" i="12"/>
  <c r="AW92" i="12"/>
  <c r="AP92" i="12"/>
  <c r="AO92" i="12"/>
  <c r="AN92" i="12"/>
  <c r="AY91" i="12"/>
  <c r="AX91" i="12"/>
  <c r="AW91" i="12"/>
  <c r="AP91" i="12"/>
  <c r="AO91" i="12"/>
  <c r="AN91" i="12"/>
  <c r="AY90" i="12"/>
  <c r="AX90" i="12"/>
  <c r="AW90" i="12"/>
  <c r="AP90" i="12"/>
  <c r="AO90" i="12"/>
  <c r="AN90" i="12"/>
  <c r="AY89" i="12"/>
  <c r="AX89" i="12"/>
  <c r="AW89" i="12"/>
  <c r="AP89" i="12"/>
  <c r="AO89" i="12"/>
  <c r="AN89" i="12"/>
  <c r="AY88" i="12"/>
  <c r="AX88" i="12"/>
  <c r="AW88" i="12"/>
  <c r="AP88" i="12"/>
  <c r="AO88" i="12"/>
  <c r="AN88" i="12"/>
  <c r="AQ88" i="12" s="1"/>
  <c r="AU88" i="12" s="1"/>
  <c r="AY87" i="12"/>
  <c r="AX87" i="12"/>
  <c r="AW87" i="12"/>
  <c r="AP87" i="12"/>
  <c r="AO87" i="12"/>
  <c r="AN87" i="12"/>
  <c r="AY86" i="12"/>
  <c r="AX86" i="12"/>
  <c r="AW86" i="12"/>
  <c r="AP86" i="12"/>
  <c r="AO86" i="12"/>
  <c r="AN86" i="12"/>
  <c r="AY85" i="12"/>
  <c r="AX85" i="12"/>
  <c r="AW85" i="12"/>
  <c r="AP85" i="12"/>
  <c r="AO85" i="12"/>
  <c r="AN85" i="12"/>
  <c r="AY84" i="12"/>
  <c r="AX84" i="12"/>
  <c r="AW84" i="12"/>
  <c r="AP84" i="12"/>
  <c r="AO84" i="12"/>
  <c r="AN84" i="12"/>
  <c r="AY83" i="12"/>
  <c r="AX83" i="12"/>
  <c r="AW83" i="12"/>
  <c r="AS83" i="12"/>
  <c r="AP83" i="12"/>
  <c r="AO83" i="12"/>
  <c r="AT83" i="12" s="1"/>
  <c r="AN83" i="12"/>
  <c r="AQ83" i="12" s="1"/>
  <c r="AU83" i="12" s="1"/>
  <c r="AY82" i="12"/>
  <c r="AX82" i="12"/>
  <c r="AW82" i="12"/>
  <c r="AP82" i="12"/>
  <c r="AO82" i="12"/>
  <c r="AN82" i="12"/>
  <c r="AY81" i="12"/>
  <c r="AX81" i="12"/>
  <c r="AW81" i="12"/>
  <c r="AQ81" i="12"/>
  <c r="AP81" i="12"/>
  <c r="AO81" i="12"/>
  <c r="AN81" i="12"/>
  <c r="AS81" i="12" s="1"/>
  <c r="AY80" i="12"/>
  <c r="AX80" i="12"/>
  <c r="AW80" i="12"/>
  <c r="AP80" i="12"/>
  <c r="AO80" i="12"/>
  <c r="AN80" i="12"/>
  <c r="AQ80" i="12" s="1"/>
  <c r="AU80" i="12" s="1"/>
  <c r="AY79" i="12"/>
  <c r="AX79" i="12"/>
  <c r="AW79" i="12"/>
  <c r="AP79" i="12"/>
  <c r="AO79" i="12"/>
  <c r="AN79" i="12"/>
  <c r="AQ79" i="12" s="1"/>
  <c r="AU79" i="12" s="1"/>
  <c r="AY78" i="12"/>
  <c r="AX78" i="12"/>
  <c r="AW78" i="12"/>
  <c r="AP78" i="12"/>
  <c r="AO78" i="12"/>
  <c r="AN78" i="12"/>
  <c r="AY77" i="12"/>
  <c r="AX77" i="12"/>
  <c r="AW77" i="12"/>
  <c r="AP77" i="12"/>
  <c r="AO77" i="12"/>
  <c r="AN77" i="12"/>
  <c r="AQ77" i="12" s="1"/>
  <c r="AY76" i="12"/>
  <c r="AX76" i="12"/>
  <c r="AW76" i="12"/>
  <c r="AP76" i="12"/>
  <c r="AO76" i="12"/>
  <c r="AN76" i="12"/>
  <c r="AY75" i="12"/>
  <c r="AX75" i="12"/>
  <c r="AW75" i="12"/>
  <c r="AP75" i="12"/>
  <c r="AO75" i="12"/>
  <c r="AN75" i="12"/>
  <c r="AY74" i="12"/>
  <c r="AX74" i="12"/>
  <c r="AW74" i="12"/>
  <c r="AP74" i="12"/>
  <c r="AO74" i="12"/>
  <c r="AN74" i="12"/>
  <c r="AY73" i="12"/>
  <c r="AX73" i="12"/>
  <c r="AW73" i="12"/>
  <c r="AP73" i="12"/>
  <c r="AO73" i="12"/>
  <c r="AN73" i="12"/>
  <c r="AY72" i="12"/>
  <c r="AX72" i="12"/>
  <c r="AW72" i="12"/>
  <c r="AS72" i="12"/>
  <c r="AP72" i="12"/>
  <c r="AO72" i="12"/>
  <c r="AN72" i="12"/>
  <c r="AQ72" i="12" s="1"/>
  <c r="AU72" i="12" s="1"/>
  <c r="AY71" i="12"/>
  <c r="AX71" i="12"/>
  <c r="AW71" i="12"/>
  <c r="AP71" i="12"/>
  <c r="AO71" i="12"/>
  <c r="AN71" i="12"/>
  <c r="AY70" i="12"/>
  <c r="AX70" i="12"/>
  <c r="AW70" i="12"/>
  <c r="AP70" i="12"/>
  <c r="AO70" i="12"/>
  <c r="AN70" i="12"/>
  <c r="AY69" i="12"/>
  <c r="AX69" i="12"/>
  <c r="AW69" i="12"/>
  <c r="AP69" i="12"/>
  <c r="AO69" i="12"/>
  <c r="AN69" i="12"/>
  <c r="AY68" i="12"/>
  <c r="AX68" i="12"/>
  <c r="AW68" i="12"/>
  <c r="AP68" i="12"/>
  <c r="AO68" i="12"/>
  <c r="AN68" i="12"/>
  <c r="AY67" i="12"/>
  <c r="AX67" i="12"/>
  <c r="AW67" i="12"/>
  <c r="AS67" i="12"/>
  <c r="AP67" i="12"/>
  <c r="AO67" i="12"/>
  <c r="AT67" i="12" s="1"/>
  <c r="AN67" i="12"/>
  <c r="AQ67" i="12" s="1"/>
  <c r="AU67" i="12" s="1"/>
  <c r="AY66" i="12"/>
  <c r="AX66" i="12"/>
  <c r="AW66" i="12"/>
  <c r="AP66" i="12"/>
  <c r="AO66" i="12"/>
  <c r="AN66" i="12"/>
  <c r="AY65" i="12"/>
  <c r="AX65" i="12"/>
  <c r="AW65" i="12"/>
  <c r="AQ65" i="12"/>
  <c r="AP65" i="12"/>
  <c r="AO65" i="12"/>
  <c r="AN65" i="12"/>
  <c r="AS65" i="12" s="1"/>
  <c r="AY64" i="12"/>
  <c r="AX64" i="12"/>
  <c r="AW64" i="12"/>
  <c r="AP64" i="12"/>
  <c r="AO64" i="12"/>
  <c r="AN64" i="12"/>
  <c r="AQ64" i="12" s="1"/>
  <c r="AU64" i="12" s="1"/>
  <c r="AY63" i="12"/>
  <c r="AX63" i="12"/>
  <c r="AW63" i="12"/>
  <c r="AP63" i="12"/>
  <c r="AO63" i="12"/>
  <c r="AN63" i="12"/>
  <c r="AQ63" i="12" s="1"/>
  <c r="AU63" i="12" s="1"/>
  <c r="AY62" i="12"/>
  <c r="AX62" i="12"/>
  <c r="AW62" i="12"/>
  <c r="AP62" i="12"/>
  <c r="AO62" i="12"/>
  <c r="AN62" i="12"/>
  <c r="AY61" i="12"/>
  <c r="AX61" i="12"/>
  <c r="AW61" i="12"/>
  <c r="AP61" i="12"/>
  <c r="AO61" i="12"/>
  <c r="AN61" i="12"/>
  <c r="AQ61" i="12" s="1"/>
  <c r="AY60" i="12"/>
  <c r="AX60" i="12"/>
  <c r="AW60" i="12"/>
  <c r="AP60" i="12"/>
  <c r="AO60" i="12"/>
  <c r="AN60" i="12"/>
  <c r="AY59" i="12"/>
  <c r="AX59" i="12"/>
  <c r="AW59" i="12"/>
  <c r="AP59" i="12"/>
  <c r="AO59" i="12"/>
  <c r="AN59" i="12"/>
  <c r="AY58" i="12"/>
  <c r="AX58" i="12"/>
  <c r="AW58" i="12"/>
  <c r="AP58" i="12"/>
  <c r="AO58" i="12"/>
  <c r="AN58" i="12"/>
  <c r="AY57" i="12"/>
  <c r="AX57" i="12"/>
  <c r="AW57" i="12"/>
  <c r="AP57" i="12"/>
  <c r="AO57" i="12"/>
  <c r="AN57" i="12"/>
  <c r="AY56" i="12"/>
  <c r="AX56" i="12"/>
  <c r="AW56" i="12"/>
  <c r="AP56" i="12"/>
  <c r="AO56" i="12"/>
  <c r="AN56" i="12"/>
  <c r="AY55" i="12"/>
  <c r="AX55" i="12"/>
  <c r="AW55" i="12"/>
  <c r="AQ55" i="12"/>
  <c r="AU55" i="12" s="1"/>
  <c r="AP55" i="12"/>
  <c r="AO55" i="12"/>
  <c r="AN55" i="12"/>
  <c r="AS55" i="12" s="1"/>
  <c r="AY54" i="12"/>
  <c r="AX54" i="12"/>
  <c r="AW54" i="12"/>
  <c r="AP54" i="12"/>
  <c r="AO54" i="12"/>
  <c r="AN54" i="12"/>
  <c r="AQ54" i="12" s="1"/>
  <c r="AU54" i="12" s="1"/>
  <c r="AY53" i="12"/>
  <c r="AX53" i="12"/>
  <c r="AW53" i="12"/>
  <c r="AP53" i="12"/>
  <c r="AQ53" i="12" s="1"/>
  <c r="AU53" i="12" s="1"/>
  <c r="AO53" i="12"/>
  <c r="AN53" i="12"/>
  <c r="AS53" i="12" s="1"/>
  <c r="AY52" i="12"/>
  <c r="AX52" i="12"/>
  <c r="AW52" i="12"/>
  <c r="AP52" i="12"/>
  <c r="AO52" i="12"/>
  <c r="AN52" i="12"/>
  <c r="AY51" i="12"/>
  <c r="AX51" i="12"/>
  <c r="AW51" i="12"/>
  <c r="AQ51" i="12"/>
  <c r="AU51" i="12" s="1"/>
  <c r="AP51" i="12"/>
  <c r="AO51" i="12"/>
  <c r="AN51" i="12"/>
  <c r="AS51" i="12" s="1"/>
  <c r="AY50" i="12"/>
  <c r="AX50" i="12"/>
  <c r="AW50" i="12"/>
  <c r="AP50" i="12"/>
  <c r="AO50" i="12"/>
  <c r="AN50" i="12"/>
  <c r="AQ50" i="12" s="1"/>
  <c r="AU50" i="12" s="1"/>
  <c r="AY49" i="12"/>
  <c r="AX49" i="12"/>
  <c r="AW49" i="12"/>
  <c r="AP49" i="12"/>
  <c r="AO49" i="12"/>
  <c r="AN49" i="12"/>
  <c r="AY48" i="12"/>
  <c r="AX48" i="12"/>
  <c r="AW48" i="12"/>
  <c r="AP48" i="12"/>
  <c r="AO48" i="12"/>
  <c r="AN48" i="12"/>
  <c r="AY47" i="12"/>
  <c r="AX47" i="12"/>
  <c r="AW47" i="12"/>
  <c r="AS47" i="12"/>
  <c r="AP47" i="12"/>
  <c r="AU47" i="12" s="1"/>
  <c r="AO47" i="12"/>
  <c r="AN47" i="12"/>
  <c r="AQ47" i="12" s="1"/>
  <c r="AY46" i="12"/>
  <c r="AX46" i="12"/>
  <c r="AW46" i="12"/>
  <c r="AP46" i="12"/>
  <c r="AQ46" i="12" s="1"/>
  <c r="AO46" i="12"/>
  <c r="AT46" i="12" s="1"/>
  <c r="AN46" i="12"/>
  <c r="AY45" i="12"/>
  <c r="AX45" i="12"/>
  <c r="AW45" i="12"/>
  <c r="AP45" i="12"/>
  <c r="AO45" i="12"/>
  <c r="AN45" i="12"/>
  <c r="AQ45" i="12" s="1"/>
  <c r="AY44" i="12"/>
  <c r="AX44" i="12"/>
  <c r="AW44" i="12"/>
  <c r="AP44" i="12"/>
  <c r="AQ44" i="12" s="1"/>
  <c r="AU44" i="12" s="1"/>
  <c r="AO44" i="12"/>
  <c r="AN44" i="12"/>
  <c r="AY43" i="12"/>
  <c r="AX43" i="12"/>
  <c r="AW43" i="12"/>
  <c r="AP43" i="12"/>
  <c r="AO43" i="12"/>
  <c r="AN43" i="12"/>
  <c r="AQ43" i="12" s="1"/>
  <c r="AT43" i="12" s="1"/>
  <c r="AY42" i="12"/>
  <c r="AX42" i="12"/>
  <c r="AW42" i="12"/>
  <c r="AP42" i="12"/>
  <c r="AQ42" i="12" s="1"/>
  <c r="AU42" i="12" s="1"/>
  <c r="AO42" i="12"/>
  <c r="AN42" i="12"/>
  <c r="AY41" i="12"/>
  <c r="AX41" i="12"/>
  <c r="AW41" i="12"/>
  <c r="AP41" i="12"/>
  <c r="AO41" i="12"/>
  <c r="AN41" i="12"/>
  <c r="AQ41" i="12" s="1"/>
  <c r="AT41" i="12" s="1"/>
  <c r="AY40" i="12"/>
  <c r="AX40" i="12"/>
  <c r="AW40" i="12"/>
  <c r="AP40" i="12"/>
  <c r="AQ40" i="12" s="1"/>
  <c r="AU40" i="12" s="1"/>
  <c r="AO40" i="12"/>
  <c r="AN40" i="12"/>
  <c r="AY39" i="12"/>
  <c r="AX39" i="12"/>
  <c r="AW39" i="12"/>
  <c r="AP39" i="12"/>
  <c r="AO39" i="12"/>
  <c r="AN39" i="12"/>
  <c r="AQ39" i="12" s="1"/>
  <c r="AT39" i="12" s="1"/>
  <c r="AY38" i="12"/>
  <c r="AX38" i="12"/>
  <c r="AW38" i="12"/>
  <c r="AP38" i="12"/>
  <c r="AQ38" i="12" s="1"/>
  <c r="AU38" i="12" s="1"/>
  <c r="AO38" i="12"/>
  <c r="AN38" i="12"/>
  <c r="AY37" i="12"/>
  <c r="AX37" i="12"/>
  <c r="AW37" i="12"/>
  <c r="AP37" i="12"/>
  <c r="AO37" i="12"/>
  <c r="AN37" i="12"/>
  <c r="AQ37" i="12" s="1"/>
  <c r="AT37" i="12" s="1"/>
  <c r="AY36" i="12"/>
  <c r="AX36" i="12"/>
  <c r="AW36" i="12"/>
  <c r="AP36" i="12"/>
  <c r="AQ36" i="12" s="1"/>
  <c r="AU36" i="12" s="1"/>
  <c r="AO36" i="12"/>
  <c r="AN36" i="12"/>
  <c r="AY35" i="12"/>
  <c r="AX35" i="12"/>
  <c r="AW35" i="12"/>
  <c r="AP35" i="12"/>
  <c r="AO35" i="12"/>
  <c r="AN35" i="12"/>
  <c r="AQ35" i="12" s="1"/>
  <c r="AT35" i="12" s="1"/>
  <c r="AY34" i="12"/>
  <c r="AX34" i="12"/>
  <c r="AW34" i="12"/>
  <c r="AP34" i="12"/>
  <c r="AQ34" i="12" s="1"/>
  <c r="AU34" i="12" s="1"/>
  <c r="AO34" i="12"/>
  <c r="AN34" i="12"/>
  <c r="AY33" i="12"/>
  <c r="AX33" i="12"/>
  <c r="AW33" i="12"/>
  <c r="AP33" i="12"/>
  <c r="AO33" i="12"/>
  <c r="AN33" i="12"/>
  <c r="AQ33" i="12" s="1"/>
  <c r="AT33" i="12" s="1"/>
  <c r="AY32" i="12"/>
  <c r="AX32" i="12"/>
  <c r="AW32" i="12"/>
  <c r="AP32" i="12"/>
  <c r="AQ32" i="12" s="1"/>
  <c r="AU32" i="12" s="1"/>
  <c r="AO32" i="12"/>
  <c r="AN32" i="12"/>
  <c r="AY31" i="12"/>
  <c r="AX31" i="12"/>
  <c r="AW31" i="12"/>
  <c r="AP31" i="12"/>
  <c r="AO31" i="12"/>
  <c r="AN31" i="12"/>
  <c r="AQ31" i="12" s="1"/>
  <c r="AT31" i="12" s="1"/>
  <c r="AY30" i="12"/>
  <c r="AX30" i="12"/>
  <c r="AW30" i="12"/>
  <c r="AP30" i="12"/>
  <c r="AQ30" i="12" s="1"/>
  <c r="AU30" i="12" s="1"/>
  <c r="AO30" i="12"/>
  <c r="AN30" i="12"/>
  <c r="AY29" i="12"/>
  <c r="AX29" i="12"/>
  <c r="AW29" i="12"/>
  <c r="AP29" i="12"/>
  <c r="AO29" i="12"/>
  <c r="AN29" i="12"/>
  <c r="AQ29" i="12" s="1"/>
  <c r="AT29" i="12" s="1"/>
  <c r="AY28" i="12"/>
  <c r="AX28" i="12"/>
  <c r="AW28" i="12"/>
  <c r="AP28" i="12"/>
  <c r="AQ28" i="12" s="1"/>
  <c r="AU28" i="12" s="1"/>
  <c r="AO28" i="12"/>
  <c r="AN28" i="12"/>
  <c r="AY27" i="12"/>
  <c r="AX27" i="12"/>
  <c r="AW27" i="12"/>
  <c r="AP27" i="12"/>
  <c r="AO27" i="12"/>
  <c r="AN27" i="12"/>
  <c r="AQ27" i="12" s="1"/>
  <c r="AT27" i="12" s="1"/>
  <c r="AY26" i="12"/>
  <c r="AX26" i="12"/>
  <c r="AW26" i="12"/>
  <c r="AP26" i="12"/>
  <c r="AO26" i="12"/>
  <c r="AN26" i="12"/>
  <c r="AY25" i="12"/>
  <c r="AX25" i="12"/>
  <c r="AW25" i="12"/>
  <c r="AP25" i="12"/>
  <c r="AO25" i="12"/>
  <c r="AN25" i="12"/>
  <c r="AY24" i="12"/>
  <c r="AX24" i="12"/>
  <c r="AW24" i="12"/>
  <c r="AP24" i="12"/>
  <c r="AO24" i="12"/>
  <c r="AN24" i="12"/>
  <c r="AY23" i="12"/>
  <c r="AX23" i="12"/>
  <c r="AW23" i="12"/>
  <c r="AP23" i="12"/>
  <c r="AU23" i="12" s="1"/>
  <c r="AO23" i="12"/>
  <c r="AN23" i="12"/>
  <c r="AQ23" i="12" s="1"/>
  <c r="AY22" i="12"/>
  <c r="AX22" i="12"/>
  <c r="AW22" i="12"/>
  <c r="AP22" i="12"/>
  <c r="AQ22" i="12" s="1"/>
  <c r="AO22" i="12"/>
  <c r="AN22" i="12"/>
  <c r="AS22" i="12" s="1"/>
  <c r="AY21" i="12"/>
  <c r="AX21" i="12"/>
  <c r="AW21" i="12"/>
  <c r="AP21" i="12"/>
  <c r="AU21" i="12" s="1"/>
  <c r="AO21" i="12"/>
  <c r="AN21" i="12"/>
  <c r="AQ21" i="12" s="1"/>
  <c r="AY20" i="12"/>
  <c r="AX20" i="12"/>
  <c r="AW20" i="12"/>
  <c r="AP20" i="12"/>
  <c r="AO20" i="12"/>
  <c r="AN20" i="12"/>
  <c r="AY19" i="12"/>
  <c r="AX19" i="12"/>
  <c r="AW19" i="12"/>
  <c r="AP19" i="12"/>
  <c r="AU19" i="12" s="1"/>
  <c r="AO19" i="12"/>
  <c r="AN19" i="12"/>
  <c r="AQ19" i="12" s="1"/>
  <c r="AY18" i="12"/>
  <c r="AX18" i="12"/>
  <c r="AW18" i="12"/>
  <c r="AP18" i="12"/>
  <c r="AQ18" i="12" s="1"/>
  <c r="AO18" i="12"/>
  <c r="AN18" i="12"/>
  <c r="AS18" i="12" s="1"/>
  <c r="AY17" i="12"/>
  <c r="AX17" i="12"/>
  <c r="AW17" i="12"/>
  <c r="AP17" i="12"/>
  <c r="AU17" i="12" s="1"/>
  <c r="AO17" i="12"/>
  <c r="AN17" i="12"/>
  <c r="AQ17" i="12" s="1"/>
  <c r="AY16" i="12"/>
  <c r="AX16" i="12"/>
  <c r="AW16" i="12"/>
  <c r="AP16" i="12"/>
  <c r="AO16" i="12"/>
  <c r="AN16" i="12"/>
  <c r="AY15" i="12"/>
  <c r="AX15" i="12"/>
  <c r="AW15" i="12"/>
  <c r="AP15" i="12"/>
  <c r="AU15" i="12" s="1"/>
  <c r="AO15" i="12"/>
  <c r="AN15" i="12"/>
  <c r="AQ15" i="12" s="1"/>
  <c r="AY14" i="12"/>
  <c r="AX14" i="12"/>
  <c r="AW14" i="12"/>
  <c r="AP14" i="12"/>
  <c r="AQ14" i="12" s="1"/>
  <c r="AO14" i="12"/>
  <c r="AN14" i="12"/>
  <c r="AS14" i="12" s="1"/>
  <c r="AY13" i="12"/>
  <c r="AX13" i="12"/>
  <c r="AW13" i="12"/>
  <c r="AP13" i="12"/>
  <c r="AU13" i="12" s="1"/>
  <c r="AO13" i="12"/>
  <c r="AN13" i="12"/>
  <c r="AQ13" i="12" s="1"/>
  <c r="AY12" i="12"/>
  <c r="AX12" i="12"/>
  <c r="AW12" i="12"/>
  <c r="AP12" i="12"/>
  <c r="AQ12" i="12" s="1"/>
  <c r="AO12" i="12"/>
  <c r="AN12" i="12"/>
  <c r="AS12" i="12" s="1"/>
  <c r="AY11" i="12"/>
  <c r="AX11" i="12"/>
  <c r="AW11" i="12"/>
  <c r="AP11" i="12"/>
  <c r="AU11" i="12" s="1"/>
  <c r="AO11" i="12"/>
  <c r="AN11" i="12"/>
  <c r="AQ11" i="12" s="1"/>
  <c r="AY10" i="12"/>
  <c r="AX10" i="12"/>
  <c r="AW10" i="12"/>
  <c r="AP10" i="12"/>
  <c r="AQ10" i="12" s="1"/>
  <c r="AO10" i="12"/>
  <c r="AN10" i="12"/>
  <c r="AS10" i="12" s="1"/>
  <c r="AY9" i="12"/>
  <c r="AX9" i="12"/>
  <c r="AW9" i="12"/>
  <c r="AP9" i="12"/>
  <c r="AU9" i="12" s="1"/>
  <c r="AO9" i="12"/>
  <c r="AN9" i="12"/>
  <c r="AQ9" i="12" s="1"/>
  <c r="AY8" i="12"/>
  <c r="AX8" i="12"/>
  <c r="AW8" i="12"/>
  <c r="AP8" i="12"/>
  <c r="AQ8" i="12" s="1"/>
  <c r="AO8" i="12"/>
  <c r="AN8" i="12"/>
  <c r="AS8" i="12" s="1"/>
  <c r="AY7" i="12"/>
  <c r="AX7" i="12"/>
  <c r="AW7" i="12"/>
  <c r="AP7" i="12"/>
  <c r="AU7" i="12" s="1"/>
  <c r="AO7" i="12"/>
  <c r="AN7" i="12"/>
  <c r="AQ7" i="12" s="1"/>
  <c r="AY6" i="12"/>
  <c r="AX6" i="12"/>
  <c r="AW6" i="12"/>
  <c r="AP6" i="12"/>
  <c r="AQ6" i="12" s="1"/>
  <c r="AO6" i="12"/>
  <c r="AN6" i="12"/>
  <c r="AS6" i="12" s="1"/>
  <c r="AY5" i="12"/>
  <c r="AX5" i="12"/>
  <c r="AW5" i="12"/>
  <c r="AP5" i="12"/>
  <c r="AU5" i="12" s="1"/>
  <c r="AO5" i="12"/>
  <c r="AN5" i="12"/>
  <c r="AQ5" i="12" s="1"/>
  <c r="AY4" i="12"/>
  <c r="AX4" i="12"/>
  <c r="AW4" i="12"/>
  <c r="AP4" i="12"/>
  <c r="AP130" i="12" s="1"/>
  <c r="AO4" i="12"/>
  <c r="AN4" i="12"/>
  <c r="AT6" i="12" l="1"/>
  <c r="AT8" i="12"/>
  <c r="AT10" i="12"/>
  <c r="AT12" i="12"/>
  <c r="AT14" i="12"/>
  <c r="AT16" i="12"/>
  <c r="AT18" i="12"/>
  <c r="AT22" i="12"/>
  <c r="AS16" i="12"/>
  <c r="AT5" i="12"/>
  <c r="AT7" i="12"/>
  <c r="AT9" i="12"/>
  <c r="AT11" i="12"/>
  <c r="AT13" i="12"/>
  <c r="AT15" i="12"/>
  <c r="AT17" i="12"/>
  <c r="AT19" i="12"/>
  <c r="AT21" i="12"/>
  <c r="AT23" i="12"/>
  <c r="AS5" i="12"/>
  <c r="AS7" i="12"/>
  <c r="AU8" i="12"/>
  <c r="AU10" i="12"/>
  <c r="AS13" i="12"/>
  <c r="AU14" i="12"/>
  <c r="AS17" i="12"/>
  <c r="AU18" i="12"/>
  <c r="AS19" i="12"/>
  <c r="AS21" i="12"/>
  <c r="AU22" i="12"/>
  <c r="AS28" i="12"/>
  <c r="AS32" i="12"/>
  <c r="AS36" i="12"/>
  <c r="AS38" i="12"/>
  <c r="AS42" i="12"/>
  <c r="AS101" i="12"/>
  <c r="AQ16" i="12"/>
  <c r="AU16" i="12" s="1"/>
  <c r="AQ20" i="12"/>
  <c r="AS20" i="12" s="1"/>
  <c r="AT28" i="12"/>
  <c r="AT30" i="12"/>
  <c r="AT32" i="12"/>
  <c r="AT34" i="12"/>
  <c r="AT36" i="12"/>
  <c r="AT38" i="12"/>
  <c r="AT40" i="12"/>
  <c r="AT42" i="12"/>
  <c r="AT44" i="12"/>
  <c r="AT45" i="12"/>
  <c r="AU58" i="12"/>
  <c r="AU106" i="12"/>
  <c r="AU27" i="12"/>
  <c r="AU29" i="12"/>
  <c r="AU31" i="12"/>
  <c r="AU33" i="12"/>
  <c r="AU35" i="12"/>
  <c r="AU37" i="12"/>
  <c r="AU39" i="12"/>
  <c r="AU41" i="12"/>
  <c r="AU43" i="12"/>
  <c r="AU45" i="12"/>
  <c r="AU46" i="12"/>
  <c r="AU86" i="12"/>
  <c r="AU103" i="12"/>
  <c r="AU6" i="12"/>
  <c r="AS9" i="12"/>
  <c r="AS11" i="12"/>
  <c r="AU12" i="12"/>
  <c r="AS15" i="12"/>
  <c r="AS23" i="12"/>
  <c r="AS30" i="12"/>
  <c r="AS34" i="12"/>
  <c r="AS40" i="12"/>
  <c r="AS44" i="12"/>
  <c r="AU74" i="12"/>
  <c r="AS103" i="12"/>
  <c r="AQ4" i="12"/>
  <c r="AW130" i="12"/>
  <c r="AQ24" i="12"/>
  <c r="AS24" i="12" s="1"/>
  <c r="AN130" i="12"/>
  <c r="AS4" i="12"/>
  <c r="AX130" i="12"/>
  <c r="AO130" i="12"/>
  <c r="AT4" i="12"/>
  <c r="AY130" i="12"/>
  <c r="AT24" i="12"/>
  <c r="AQ25" i="12"/>
  <c r="AT25" i="12" s="1"/>
  <c r="AQ26" i="12"/>
  <c r="AU26" i="12" s="1"/>
  <c r="AS27" i="12"/>
  <c r="AS29" i="12"/>
  <c r="AS31" i="12"/>
  <c r="AS33" i="12"/>
  <c r="AS35" i="12"/>
  <c r="AS37" i="12"/>
  <c r="AS39" i="12"/>
  <c r="AS41" i="12"/>
  <c r="AS43" i="12"/>
  <c r="AS45" i="12"/>
  <c r="AS46" i="12"/>
  <c r="AT47" i="12"/>
  <c r="AQ48" i="12"/>
  <c r="AS48" i="12" s="1"/>
  <c r="AT50" i="12"/>
  <c r="AT53" i="12"/>
  <c r="AT54" i="12"/>
  <c r="AS61" i="12"/>
  <c r="AT64" i="12"/>
  <c r="AS77" i="12"/>
  <c r="AT80" i="12"/>
  <c r="AT91" i="12"/>
  <c r="AS93" i="12"/>
  <c r="AT96" i="12"/>
  <c r="AU101" i="12"/>
  <c r="AT106" i="12"/>
  <c r="AS109" i="12"/>
  <c r="AT112" i="12"/>
  <c r="AU118" i="12"/>
  <c r="AU57" i="12"/>
  <c r="AT62" i="12"/>
  <c r="AT63" i="12"/>
  <c r="AQ68" i="12"/>
  <c r="AQ69" i="12"/>
  <c r="AU69" i="12" s="1"/>
  <c r="AU73" i="12"/>
  <c r="AT79" i="12"/>
  <c r="AQ84" i="12"/>
  <c r="AQ85" i="12"/>
  <c r="AU85" i="12" s="1"/>
  <c r="AS88" i="12"/>
  <c r="AT95" i="12"/>
  <c r="AQ100" i="12"/>
  <c r="AT100" i="12" s="1"/>
  <c r="AQ101" i="12"/>
  <c r="AS104" i="12"/>
  <c r="AU105" i="12"/>
  <c r="AT111" i="12"/>
  <c r="AS115" i="12"/>
  <c r="AU117" i="12"/>
  <c r="AS119" i="12"/>
  <c r="AU121" i="12"/>
  <c r="AS123" i="12"/>
  <c r="AU125" i="12"/>
  <c r="AS127" i="12"/>
  <c r="AU129" i="12"/>
  <c r="AQ49" i="12"/>
  <c r="AU49" i="12" s="1"/>
  <c r="AT51" i="12"/>
  <c r="AQ52" i="12"/>
  <c r="AT55" i="12"/>
  <c r="AQ56" i="12"/>
  <c r="AQ57" i="12"/>
  <c r="AS57" i="12" s="1"/>
  <c r="AU61" i="12"/>
  <c r="AT66" i="12"/>
  <c r="AQ71" i="12"/>
  <c r="AU71" i="12" s="1"/>
  <c r="AT72" i="12"/>
  <c r="AQ73" i="12"/>
  <c r="AS73" i="12" s="1"/>
  <c r="AU77" i="12"/>
  <c r="AT82" i="12"/>
  <c r="AQ87" i="12"/>
  <c r="AS87" i="12" s="1"/>
  <c r="AT88" i="12"/>
  <c r="AQ89" i="12"/>
  <c r="AS89" i="12" s="1"/>
  <c r="AU93" i="12"/>
  <c r="AQ103" i="12"/>
  <c r="AT104" i="12"/>
  <c r="AU109" i="12"/>
  <c r="AU128" i="12"/>
  <c r="AS50" i="12"/>
  <c r="AS54" i="12"/>
  <c r="AQ59" i="12"/>
  <c r="AS59" i="12" s="1"/>
  <c r="AQ60" i="12"/>
  <c r="AS63" i="12"/>
  <c r="AS64" i="12"/>
  <c r="AU65" i="12"/>
  <c r="AT70" i="12"/>
  <c r="AQ75" i="12"/>
  <c r="AS75" i="12" s="1"/>
  <c r="AQ76" i="12"/>
  <c r="AS79" i="12"/>
  <c r="AS80" i="12"/>
  <c r="AU81" i="12"/>
  <c r="AT87" i="12"/>
  <c r="AQ91" i="12"/>
  <c r="AS91" i="12" s="1"/>
  <c r="AQ92" i="12"/>
  <c r="AT92" i="12" s="1"/>
  <c r="AS95" i="12"/>
  <c r="AS96" i="12"/>
  <c r="AU97" i="12"/>
  <c r="AT103" i="12"/>
  <c r="AQ107" i="12"/>
  <c r="AS107" i="12" s="1"/>
  <c r="AQ108" i="12"/>
  <c r="AS111" i="12"/>
  <c r="AS112" i="12"/>
  <c r="AU113" i="12"/>
  <c r="AU115" i="12"/>
  <c r="AS117" i="12"/>
  <c r="AU119" i="12"/>
  <c r="AS121" i="12"/>
  <c r="AU123" i="12"/>
  <c r="AS125" i="12"/>
  <c r="AU127" i="12"/>
  <c r="AS129" i="12"/>
  <c r="AS120" i="12"/>
  <c r="AS122" i="12"/>
  <c r="AS128" i="12"/>
  <c r="AT57" i="12"/>
  <c r="AQ58" i="12"/>
  <c r="AS58" i="12" s="1"/>
  <c r="AT61" i="12"/>
  <c r="AQ62" i="12"/>
  <c r="AT65" i="12"/>
  <c r="AQ66" i="12"/>
  <c r="AT69" i="12"/>
  <c r="AQ70" i="12"/>
  <c r="AS70" i="12" s="1"/>
  <c r="AT73" i="12"/>
  <c r="AQ74" i="12"/>
  <c r="AS74" i="12" s="1"/>
  <c r="AT77" i="12"/>
  <c r="AQ78" i="12"/>
  <c r="AT81" i="12"/>
  <c r="AQ82" i="12"/>
  <c r="AQ86" i="12"/>
  <c r="AS86" i="12" s="1"/>
  <c r="AT89" i="12"/>
  <c r="AQ90" i="12"/>
  <c r="AS90" i="12" s="1"/>
  <c r="AT93" i="12"/>
  <c r="AQ94" i="12"/>
  <c r="AT97" i="12"/>
  <c r="AQ98" i="12"/>
  <c r="AT101" i="12"/>
  <c r="AQ102" i="12"/>
  <c r="AS102" i="12" s="1"/>
  <c r="AT105" i="12"/>
  <c r="AQ106" i="12"/>
  <c r="AS106" i="12" s="1"/>
  <c r="AT109" i="12"/>
  <c r="AQ110" i="12"/>
  <c r="AT113" i="12"/>
  <c r="AT115" i="12"/>
  <c r="AT117" i="12"/>
  <c r="AT119" i="12"/>
  <c r="AT121" i="12"/>
  <c r="AT123" i="12"/>
  <c r="AT125" i="12"/>
  <c r="AT127" i="12"/>
  <c r="AT129" i="12"/>
  <c r="E137" i="12"/>
  <c r="AK132" i="12"/>
  <c r="U137" i="12"/>
  <c r="U138" i="12"/>
  <c r="E139" i="12"/>
  <c r="U139" i="12"/>
  <c r="AQ114" i="12"/>
  <c r="AQ116" i="12"/>
  <c r="AT116" i="12" s="1"/>
  <c r="AQ118" i="12"/>
  <c r="AT118" i="12" s="1"/>
  <c r="AQ120" i="12"/>
  <c r="AT120" i="12" s="1"/>
  <c r="AQ122" i="12"/>
  <c r="AT122" i="12" s="1"/>
  <c r="AQ124" i="12"/>
  <c r="AT124" i="12" s="1"/>
  <c r="AQ126" i="12"/>
  <c r="AT126" i="12" s="1"/>
  <c r="AQ128" i="12"/>
  <c r="AT128" i="12" s="1"/>
  <c r="AS60" i="12" l="1"/>
  <c r="AU60" i="12"/>
  <c r="AU114" i="12"/>
  <c r="AT114" i="12"/>
  <c r="AS94" i="12"/>
  <c r="AU94" i="12"/>
  <c r="AS62" i="12"/>
  <c r="AU62" i="12"/>
  <c r="AT86" i="12"/>
  <c r="AS76" i="12"/>
  <c r="AU76" i="12"/>
  <c r="AU124" i="12"/>
  <c r="AS114" i="12"/>
  <c r="AT94" i="12"/>
  <c r="AU84" i="12"/>
  <c r="AS84" i="12"/>
  <c r="AT90" i="12"/>
  <c r="AT75" i="12"/>
  <c r="AU107" i="12"/>
  <c r="AU70" i="12"/>
  <c r="AU48" i="12"/>
  <c r="AU102" i="12"/>
  <c r="AT60" i="12"/>
  <c r="AU90" i="12"/>
  <c r="AS85" i="12"/>
  <c r="AU24" i="12"/>
  <c r="AT56" i="12"/>
  <c r="AS56" i="12"/>
  <c r="AS71" i="12"/>
  <c r="AT48" i="12"/>
  <c r="AS110" i="12"/>
  <c r="AU110" i="12"/>
  <c r="AT85" i="12"/>
  <c r="AS126" i="12"/>
  <c r="AS118" i="12"/>
  <c r="AT102" i="12"/>
  <c r="AS92" i="12"/>
  <c r="AU92" i="12"/>
  <c r="AU120" i="12"/>
  <c r="AT52" i="12"/>
  <c r="AS52" i="12"/>
  <c r="AU89" i="12"/>
  <c r="AU68" i="12"/>
  <c r="AS68" i="12"/>
  <c r="AU126" i="12"/>
  <c r="AT74" i="12"/>
  <c r="AT59" i="12"/>
  <c r="AS69" i="12"/>
  <c r="AQ130" i="12"/>
  <c r="AU130" i="12" s="1"/>
  <c r="AU91" i="12"/>
  <c r="AU52" i="12"/>
  <c r="AU4" i="12"/>
  <c r="AU75" i="12"/>
  <c r="AT84" i="12"/>
  <c r="AU56" i="12"/>
  <c r="AU20" i="12"/>
  <c r="AT20" i="12"/>
  <c r="AS49" i="12"/>
  <c r="AS78" i="12"/>
  <c r="AU78" i="12"/>
  <c r="AU98" i="12"/>
  <c r="AS98" i="12"/>
  <c r="AU82" i="12"/>
  <c r="AS82" i="12"/>
  <c r="AU66" i="12"/>
  <c r="AS66" i="12"/>
  <c r="AS124" i="12"/>
  <c r="AS116" i="12"/>
  <c r="AS108" i="12"/>
  <c r="AU108" i="12"/>
  <c r="AT71" i="12"/>
  <c r="AU116" i="12"/>
  <c r="AT98" i="12"/>
  <c r="AT110" i="12"/>
  <c r="AU100" i="12"/>
  <c r="AS100" i="12"/>
  <c r="AT78" i="12"/>
  <c r="AU122" i="12"/>
  <c r="AT107" i="12"/>
  <c r="AT58" i="12"/>
  <c r="AT49" i="12"/>
  <c r="AT76" i="12"/>
  <c r="AU59" i="12"/>
  <c r="AS25" i="12"/>
  <c r="AU25" i="12"/>
  <c r="AT130" i="12"/>
  <c r="AT26" i="12"/>
  <c r="AT108" i="12"/>
  <c r="AU87" i="12"/>
  <c r="AS26" i="12"/>
  <c r="AT68" i="12"/>
  <c r="AS130" i="12" l="1"/>
  <c r="AR5" i="9" l="1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3" i="9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47" i="9"/>
  <c r="AR48" i="9"/>
  <c r="AR49" i="9"/>
  <c r="AR50" i="9"/>
  <c r="AR51" i="9"/>
  <c r="AR52" i="9"/>
  <c r="AR53" i="9"/>
  <c r="AR54" i="9"/>
  <c r="AR55" i="9"/>
  <c r="AR56" i="9"/>
  <c r="AR57" i="9"/>
  <c r="AR58" i="9"/>
  <c r="AR59" i="9"/>
  <c r="AR60" i="9"/>
  <c r="AR61" i="9"/>
  <c r="AR62" i="9"/>
  <c r="AR63" i="9"/>
  <c r="AR64" i="9"/>
  <c r="AR65" i="9"/>
  <c r="AR66" i="9"/>
  <c r="AR67" i="9"/>
  <c r="AR68" i="9"/>
  <c r="AR69" i="9"/>
  <c r="AR70" i="9"/>
  <c r="AR71" i="9"/>
  <c r="AR72" i="9"/>
  <c r="AR73" i="9"/>
  <c r="AR74" i="9"/>
  <c r="AR75" i="9"/>
  <c r="AR76" i="9"/>
  <c r="AR77" i="9"/>
  <c r="AR78" i="9"/>
  <c r="AR79" i="9"/>
  <c r="AR80" i="9"/>
  <c r="AR81" i="9"/>
  <c r="AR82" i="9"/>
  <c r="AR83" i="9"/>
  <c r="AR84" i="9"/>
  <c r="AR85" i="9"/>
  <c r="AR86" i="9"/>
  <c r="AR87" i="9"/>
  <c r="AR88" i="9"/>
  <c r="AR89" i="9"/>
  <c r="AR90" i="9"/>
  <c r="AR91" i="9"/>
  <c r="AR92" i="9"/>
  <c r="AR93" i="9"/>
  <c r="AR94" i="9"/>
  <c r="AR95" i="9"/>
  <c r="AR96" i="9"/>
  <c r="AR97" i="9"/>
  <c r="AR98" i="9"/>
  <c r="AR99" i="9"/>
  <c r="AR100" i="9"/>
  <c r="AR101" i="9"/>
  <c r="AR102" i="9"/>
  <c r="AR103" i="9"/>
  <c r="AR104" i="9"/>
  <c r="AR105" i="9"/>
  <c r="AR106" i="9"/>
  <c r="AR107" i="9"/>
  <c r="AR108" i="9"/>
  <c r="AR109" i="9"/>
  <c r="AR110" i="9"/>
  <c r="AR111" i="9"/>
  <c r="AR112" i="9"/>
  <c r="AR113" i="9"/>
  <c r="AR114" i="9"/>
  <c r="AR115" i="9"/>
  <c r="AR116" i="9"/>
  <c r="AR117" i="9"/>
  <c r="AR118" i="9"/>
  <c r="AR119" i="9"/>
  <c r="AR120" i="9"/>
  <c r="AR121" i="9"/>
  <c r="AR122" i="9"/>
  <c r="AR123" i="9"/>
  <c r="AR124" i="9"/>
  <c r="AR125" i="9"/>
  <c r="AR126" i="9"/>
  <c r="AR127" i="9"/>
  <c r="AR128" i="9"/>
  <c r="AR129" i="9"/>
  <c r="AR130" i="9"/>
  <c r="AR131" i="9"/>
  <c r="AR132" i="9"/>
  <c r="AR133" i="9"/>
  <c r="AR134" i="9"/>
  <c r="AR135" i="9"/>
  <c r="AR136" i="9"/>
  <c r="AR137" i="9"/>
  <c r="AR138" i="9"/>
  <c r="AR139" i="9"/>
  <c r="AR140" i="9"/>
  <c r="AR141" i="9"/>
  <c r="AR142" i="9"/>
  <c r="AR143" i="9"/>
  <c r="AR144" i="9"/>
  <c r="AR145" i="9"/>
  <c r="AR146" i="9"/>
  <c r="AR147" i="9"/>
  <c r="AR148" i="9"/>
  <c r="AR149" i="9"/>
  <c r="AR150" i="9"/>
  <c r="AR151" i="9"/>
  <c r="AR152" i="9"/>
  <c r="AR153" i="9"/>
  <c r="AR154" i="9"/>
  <c r="AR155" i="9"/>
  <c r="AR156" i="9"/>
  <c r="AR157" i="9"/>
  <c r="AR158" i="9"/>
  <c r="AR159" i="9"/>
  <c r="AR160" i="9"/>
  <c r="AR161" i="9"/>
  <c r="AR162" i="9"/>
  <c r="AR163" i="9"/>
  <c r="AR164" i="9"/>
  <c r="AR165" i="9"/>
  <c r="AR166" i="9"/>
  <c r="AR167" i="9"/>
  <c r="AR168" i="9"/>
  <c r="AR169" i="9"/>
  <c r="AR170" i="9"/>
  <c r="AR171" i="9"/>
  <c r="AR172" i="9"/>
  <c r="AR173" i="9"/>
  <c r="AR174" i="9"/>
  <c r="AR175" i="9"/>
  <c r="AR176" i="9"/>
  <c r="AR177" i="9"/>
  <c r="AR178" i="9"/>
  <c r="AR179" i="9"/>
  <c r="AR180" i="9"/>
  <c r="AR181" i="9"/>
  <c r="AR182" i="9"/>
  <c r="AR183" i="9"/>
  <c r="AR184" i="9"/>
  <c r="AR185" i="9"/>
  <c r="AR186" i="9"/>
  <c r="AR187" i="9"/>
  <c r="AR188" i="9"/>
  <c r="AR189" i="9"/>
  <c r="AR190" i="9"/>
  <c r="AR191" i="9"/>
  <c r="AR192" i="9"/>
  <c r="AR193" i="9"/>
  <c r="AR194" i="9"/>
  <c r="AR195" i="9"/>
  <c r="AR196" i="9"/>
  <c r="AR197" i="9"/>
  <c r="AR198" i="9"/>
  <c r="AR199" i="9"/>
  <c r="AR200" i="9"/>
  <c r="AR201" i="9"/>
  <c r="AR202" i="9"/>
  <c r="AR203" i="9"/>
  <c r="AR204" i="9"/>
  <c r="AR205" i="9"/>
  <c r="AR206" i="9"/>
  <c r="AR207" i="9"/>
  <c r="AR208" i="9"/>
  <c r="AR209" i="9"/>
  <c r="AR210" i="9"/>
  <c r="AR211" i="9"/>
  <c r="AR212" i="9"/>
  <c r="AR213" i="9"/>
  <c r="AR214" i="9"/>
  <c r="AR215" i="9"/>
  <c r="AR216" i="9"/>
  <c r="AR217" i="9"/>
  <c r="AR218" i="9"/>
  <c r="AR219" i="9"/>
  <c r="AR220" i="9"/>
  <c r="AR221" i="9"/>
  <c r="AR222" i="9"/>
  <c r="AR223" i="9"/>
  <c r="AR224" i="9"/>
  <c r="AR225" i="9"/>
  <c r="AR226" i="9"/>
  <c r="AR227" i="9"/>
  <c r="AR228" i="9"/>
  <c r="AR229" i="9"/>
  <c r="AR230" i="9"/>
  <c r="AR231" i="9"/>
  <c r="AR232" i="9"/>
  <c r="AR233" i="9"/>
  <c r="AR234" i="9"/>
  <c r="AR235" i="9"/>
  <c r="AR236" i="9"/>
  <c r="AR237" i="9"/>
  <c r="AR238" i="9"/>
  <c r="AR239" i="9"/>
  <c r="AR240" i="9"/>
  <c r="AR241" i="9"/>
  <c r="AR242" i="9"/>
  <c r="AR243" i="9"/>
  <c r="AR244" i="9"/>
  <c r="AR245" i="9"/>
  <c r="AR246" i="9"/>
  <c r="AR247" i="9"/>
  <c r="AR248" i="9"/>
  <c r="AR249" i="9"/>
  <c r="AR250" i="9"/>
  <c r="AR251" i="9"/>
  <c r="AR252" i="9"/>
  <c r="AR253" i="9"/>
  <c r="AR254" i="9"/>
  <c r="AR4" i="9"/>
  <c r="L260" i="7"/>
  <c r="K260" i="7"/>
  <c r="I260" i="7"/>
  <c r="F260" i="7"/>
  <c r="L260" i="6"/>
  <c r="K260" i="6"/>
  <c r="I260" i="6"/>
  <c r="F260" i="6"/>
  <c r="K260" i="3"/>
  <c r="J260" i="3"/>
  <c r="H260" i="3"/>
  <c r="E260" i="3"/>
  <c r="Q652" i="1"/>
  <c r="Y652" i="1"/>
  <c r="AG652" i="1"/>
  <c r="O654" i="1"/>
  <c r="N654" i="1"/>
  <c r="L654" i="1"/>
  <c r="I654" i="1"/>
  <c r="AG653" i="1"/>
  <c r="AE653" i="1"/>
  <c r="AI653" i="1"/>
  <c r="AD653" i="1"/>
  <c r="AJ653" i="1"/>
  <c r="AB653" i="1"/>
  <c r="AL653" i="1"/>
  <c r="Y653" i="1"/>
  <c r="V653" i="1"/>
  <c r="T653" i="1"/>
  <c r="S653" i="1"/>
  <c r="Q653" i="1"/>
  <c r="O653" i="1"/>
  <c r="N653" i="1"/>
  <c r="L653" i="1"/>
  <c r="I653" i="1"/>
  <c r="I652" i="1"/>
  <c r="AP651" i="1"/>
  <c r="J651" i="1"/>
  <c r="K651" i="1"/>
  <c r="L651" i="1"/>
  <c r="M651" i="1"/>
  <c r="N651" i="1"/>
  <c r="O651" i="1"/>
  <c r="P651" i="1"/>
  <c r="Q651" i="1"/>
  <c r="R651" i="1"/>
  <c r="S651" i="1"/>
  <c r="T651" i="1"/>
  <c r="U651" i="1"/>
  <c r="V651" i="1"/>
  <c r="W651" i="1"/>
  <c r="X651" i="1"/>
  <c r="Y651" i="1"/>
  <c r="Z651" i="1"/>
  <c r="AA651" i="1"/>
  <c r="AB651" i="1"/>
  <c r="AC651" i="1"/>
  <c r="AD651" i="1"/>
  <c r="AE651" i="1"/>
  <c r="AF651" i="1"/>
  <c r="AG651" i="1"/>
  <c r="AH651" i="1"/>
  <c r="AI651" i="1"/>
  <c r="AJ651" i="1"/>
  <c r="AK651" i="1"/>
  <c r="AL651" i="1"/>
  <c r="AM651" i="1"/>
  <c r="AN651" i="1"/>
  <c r="I651" i="1"/>
  <c r="L647" i="1"/>
  <c r="N647" i="1"/>
  <c r="O647" i="1"/>
  <c r="I647" i="1"/>
  <c r="AG646" i="1"/>
  <c r="AE646" i="1"/>
  <c r="Q646" i="1"/>
  <c r="AI646" i="1"/>
  <c r="AD646" i="1"/>
  <c r="S646" i="1"/>
  <c r="AJ646" i="1"/>
  <c r="AB646" i="1"/>
  <c r="T646" i="1"/>
  <c r="AL646" i="1"/>
  <c r="Y646" i="1"/>
  <c r="V646" i="1"/>
  <c r="O646" i="1"/>
  <c r="N646" i="1"/>
  <c r="L646" i="1"/>
  <c r="I646" i="1"/>
  <c r="Q645" i="1"/>
  <c r="Y645" i="1"/>
  <c r="AG645" i="1"/>
  <c r="I645" i="1"/>
  <c r="O640" i="1"/>
  <c r="N640" i="1"/>
  <c r="L640" i="1"/>
  <c r="I640" i="1"/>
  <c r="AG639" i="1"/>
  <c r="AE639" i="1"/>
  <c r="Q639" i="1"/>
  <c r="O639" i="1"/>
  <c r="AI639" i="1"/>
  <c r="AD639" i="1"/>
  <c r="S639" i="1"/>
  <c r="N639" i="1"/>
  <c r="AJ639" i="1"/>
  <c r="AB639" i="1"/>
  <c r="T639" i="1"/>
  <c r="L639" i="1"/>
  <c r="AL639" i="1"/>
  <c r="Y639" i="1"/>
  <c r="V639" i="1"/>
  <c r="I639" i="1"/>
  <c r="Q638" i="1"/>
  <c r="Y638" i="1"/>
  <c r="AG638" i="1"/>
  <c r="I638" i="1"/>
  <c r="AP622" i="1"/>
  <c r="Q632" i="1"/>
  <c r="Y632" i="1"/>
  <c r="AG632" i="1"/>
  <c r="I632" i="1"/>
  <c r="AG633" i="1"/>
  <c r="AE633" i="1"/>
  <c r="Q633" i="1"/>
  <c r="O633" i="1"/>
  <c r="AI633" i="1"/>
  <c r="AD633" i="1"/>
  <c r="S633" i="1"/>
  <c r="N633" i="1"/>
  <c r="AJ633" i="1"/>
  <c r="AB633" i="1"/>
  <c r="T633" i="1"/>
  <c r="L633" i="1"/>
  <c r="AL633" i="1"/>
  <c r="Y633" i="1"/>
  <c r="V633" i="1"/>
  <c r="I633" i="1"/>
  <c r="D626" i="1"/>
  <c r="AR255" i="9" l="1"/>
  <c r="AR255" i="6"/>
  <c r="AQ255" i="6"/>
  <c r="AQ125" i="6"/>
  <c r="AP255" i="3"/>
  <c r="AQ255" i="5"/>
  <c r="AR255" i="7" l="1"/>
  <c r="AQ577" i="1"/>
  <c r="AQ391" i="1"/>
  <c r="AU5" i="7"/>
  <c r="AU6" i="7"/>
  <c r="AU7" i="7"/>
  <c r="AQ7" i="7" s="1"/>
  <c r="AU8" i="7"/>
  <c r="AU9" i="7"/>
  <c r="AU10" i="7"/>
  <c r="AU11" i="7"/>
  <c r="AQ11" i="7" s="1"/>
  <c r="AU12" i="7"/>
  <c r="AU13" i="7"/>
  <c r="AU14" i="7"/>
  <c r="AU15" i="7"/>
  <c r="AU16" i="7"/>
  <c r="AU17" i="7"/>
  <c r="AU18" i="7"/>
  <c r="AU19" i="7"/>
  <c r="AU20" i="7"/>
  <c r="AU21" i="7"/>
  <c r="AU22" i="7"/>
  <c r="AU23" i="7"/>
  <c r="AQ23" i="7" s="1"/>
  <c r="AU24" i="7"/>
  <c r="AU25" i="7"/>
  <c r="AU26" i="7"/>
  <c r="AU27" i="7"/>
  <c r="AQ27" i="7" s="1"/>
  <c r="AU28" i="7"/>
  <c r="AU29" i="7"/>
  <c r="AU30" i="7"/>
  <c r="AU31" i="7"/>
  <c r="AU32" i="7"/>
  <c r="AU33" i="7"/>
  <c r="AU34" i="7"/>
  <c r="AU35" i="7"/>
  <c r="AU36" i="7"/>
  <c r="AU37" i="7"/>
  <c r="AU38" i="7"/>
  <c r="AU39" i="7"/>
  <c r="AQ39" i="7" s="1"/>
  <c r="AU40" i="7"/>
  <c r="AU41" i="7"/>
  <c r="AU42" i="7"/>
  <c r="AU43" i="7"/>
  <c r="AU44" i="7"/>
  <c r="AU45" i="7"/>
  <c r="AU46" i="7"/>
  <c r="AU47" i="7"/>
  <c r="AQ47" i="7" s="1"/>
  <c r="AU48" i="7"/>
  <c r="AU49" i="7"/>
  <c r="AU50" i="7"/>
  <c r="AU51" i="7"/>
  <c r="AU52" i="7"/>
  <c r="AU53" i="7"/>
  <c r="AU54" i="7"/>
  <c r="AU55" i="7"/>
  <c r="AQ55" i="7" s="1"/>
  <c r="AU56" i="7"/>
  <c r="AU57" i="7"/>
  <c r="AU58" i="7"/>
  <c r="AU59" i="7"/>
  <c r="AU60" i="7"/>
  <c r="AU61" i="7"/>
  <c r="AU62" i="7"/>
  <c r="AU63" i="7"/>
  <c r="AU64" i="7"/>
  <c r="AU65" i="7"/>
  <c r="AU66" i="7"/>
  <c r="AU67" i="7"/>
  <c r="AU68" i="7"/>
  <c r="AU69" i="7"/>
  <c r="AU70" i="7"/>
  <c r="AU71" i="7"/>
  <c r="AQ71" i="7" s="1"/>
  <c r="AU72" i="7"/>
  <c r="AU73" i="7"/>
  <c r="AU74" i="7"/>
  <c r="AU75" i="7"/>
  <c r="AQ75" i="7" s="1"/>
  <c r="AU76" i="7"/>
  <c r="AU77" i="7"/>
  <c r="AU78" i="7"/>
  <c r="AU79" i="7"/>
  <c r="AU80" i="7"/>
  <c r="AU81" i="7"/>
  <c r="AU82" i="7"/>
  <c r="AU83" i="7"/>
  <c r="AQ83" i="7" s="1"/>
  <c r="AU84" i="7"/>
  <c r="AU85" i="7"/>
  <c r="AU86" i="7"/>
  <c r="AU87" i="7"/>
  <c r="AQ87" i="7" s="1"/>
  <c r="AU88" i="7"/>
  <c r="AU89" i="7"/>
  <c r="AU90" i="7"/>
  <c r="AU91" i="7"/>
  <c r="AQ91" i="7" s="1"/>
  <c r="AU92" i="7"/>
  <c r="AU93" i="7"/>
  <c r="AU94" i="7"/>
  <c r="AU95" i="7"/>
  <c r="AU96" i="7"/>
  <c r="AU97" i="7"/>
  <c r="AU98" i="7"/>
  <c r="AU99" i="7"/>
  <c r="AQ99" i="7" s="1"/>
  <c r="AU100" i="7"/>
  <c r="AU101" i="7"/>
  <c r="AU102" i="7"/>
  <c r="AU103" i="7"/>
  <c r="AQ103" i="7" s="1"/>
  <c r="AU104" i="7"/>
  <c r="AU105" i="7"/>
  <c r="AU106" i="7"/>
  <c r="AU107" i="7"/>
  <c r="AU108" i="7"/>
  <c r="AU109" i="7"/>
  <c r="AU110" i="7"/>
  <c r="AU111" i="7"/>
  <c r="AU112" i="7"/>
  <c r="AU113" i="7"/>
  <c r="AU114" i="7"/>
  <c r="AU115" i="7"/>
  <c r="AQ115" i="7" s="1"/>
  <c r="AU116" i="7"/>
  <c r="AU117" i="7"/>
  <c r="AU118" i="7"/>
  <c r="AU119" i="7"/>
  <c r="AQ119" i="7" s="1"/>
  <c r="AU120" i="7"/>
  <c r="AU121" i="7"/>
  <c r="AU122" i="7"/>
  <c r="AU123" i="7"/>
  <c r="AU124" i="7"/>
  <c r="AU125" i="7"/>
  <c r="AU126" i="7"/>
  <c r="AU127" i="7"/>
  <c r="AU128" i="7"/>
  <c r="AU129" i="7"/>
  <c r="AU130" i="7"/>
  <c r="AU131" i="7"/>
  <c r="AQ131" i="7" s="1"/>
  <c r="AU132" i="7"/>
  <c r="AU133" i="7"/>
  <c r="AU134" i="7"/>
  <c r="AU135" i="7"/>
  <c r="AU136" i="7"/>
  <c r="AU137" i="7"/>
  <c r="AU138" i="7"/>
  <c r="AU139" i="7"/>
  <c r="AQ139" i="7" s="1"/>
  <c r="AU140" i="7"/>
  <c r="AU141" i="7"/>
  <c r="AU142" i="7"/>
  <c r="AU143" i="7"/>
  <c r="AU144" i="7"/>
  <c r="AU145" i="7"/>
  <c r="AU146" i="7"/>
  <c r="AU147" i="7"/>
  <c r="AU148" i="7"/>
  <c r="AU149" i="7"/>
  <c r="AU150" i="7"/>
  <c r="AU151" i="7"/>
  <c r="AU152" i="7"/>
  <c r="AU153" i="7"/>
  <c r="AU154" i="7"/>
  <c r="AU155" i="7"/>
  <c r="AU156" i="7"/>
  <c r="AU157" i="7"/>
  <c r="AU158" i="7"/>
  <c r="AU159" i="7"/>
  <c r="AQ159" i="7" s="1"/>
  <c r="AU160" i="7"/>
  <c r="AU161" i="7"/>
  <c r="AU162" i="7"/>
  <c r="AU163" i="7"/>
  <c r="AU164" i="7"/>
  <c r="AU165" i="7"/>
  <c r="AU166" i="7"/>
  <c r="AU167" i="7"/>
  <c r="AU168" i="7"/>
  <c r="AU169" i="7"/>
  <c r="AU170" i="7"/>
  <c r="AU171" i="7"/>
  <c r="AU172" i="7"/>
  <c r="AU173" i="7"/>
  <c r="AU174" i="7"/>
  <c r="AU175" i="7"/>
  <c r="AQ175" i="7" s="1"/>
  <c r="AU176" i="7"/>
  <c r="AU177" i="7"/>
  <c r="AU178" i="7"/>
  <c r="AU179" i="7"/>
  <c r="AU180" i="7"/>
  <c r="AU181" i="7"/>
  <c r="AU182" i="7"/>
  <c r="AU183" i="7"/>
  <c r="AU184" i="7"/>
  <c r="AU185" i="7"/>
  <c r="AU186" i="7"/>
  <c r="AU187" i="7"/>
  <c r="AU188" i="7"/>
  <c r="AU189" i="7"/>
  <c r="AU190" i="7"/>
  <c r="AU191" i="7"/>
  <c r="AQ191" i="7" s="1"/>
  <c r="AU192" i="7"/>
  <c r="AU193" i="7"/>
  <c r="AU194" i="7"/>
  <c r="AU195" i="7"/>
  <c r="AU196" i="7"/>
  <c r="AU197" i="7"/>
  <c r="AU198" i="7"/>
  <c r="AU199" i="7"/>
  <c r="AU200" i="7"/>
  <c r="AU201" i="7"/>
  <c r="AU202" i="7"/>
  <c r="AU203" i="7"/>
  <c r="AU204" i="7"/>
  <c r="AU205" i="7"/>
  <c r="AU206" i="7"/>
  <c r="AU207" i="7"/>
  <c r="AQ207" i="7" s="1"/>
  <c r="AU208" i="7"/>
  <c r="AU209" i="7"/>
  <c r="AU210" i="7"/>
  <c r="AU211" i="7"/>
  <c r="AQ211" i="7" s="1"/>
  <c r="AU212" i="7"/>
  <c r="AU213" i="7"/>
  <c r="AU214" i="7"/>
  <c r="AU215" i="7"/>
  <c r="AU216" i="7"/>
  <c r="AU217" i="7"/>
  <c r="AU218" i="7"/>
  <c r="AU219" i="7"/>
  <c r="AU220" i="7"/>
  <c r="AU221" i="7"/>
  <c r="AU222" i="7"/>
  <c r="AU223" i="7"/>
  <c r="AQ223" i="7" s="1"/>
  <c r="AU224" i="7"/>
  <c r="AU225" i="7"/>
  <c r="AU226" i="7"/>
  <c r="AU227" i="7"/>
  <c r="AU228" i="7"/>
  <c r="AU229" i="7"/>
  <c r="AU230" i="7"/>
  <c r="AU231" i="7"/>
  <c r="AU232" i="7"/>
  <c r="AU233" i="7"/>
  <c r="AU234" i="7"/>
  <c r="AU235" i="7"/>
  <c r="AU236" i="7"/>
  <c r="AU237" i="7"/>
  <c r="AU238" i="7"/>
  <c r="AU239" i="7"/>
  <c r="AU240" i="7"/>
  <c r="AU241" i="7"/>
  <c r="AU242" i="7"/>
  <c r="AU243" i="7"/>
  <c r="AU244" i="7"/>
  <c r="AU245" i="7"/>
  <c r="AU246" i="7"/>
  <c r="AU247" i="7"/>
  <c r="AU248" i="7"/>
  <c r="AU249" i="7"/>
  <c r="AU250" i="7"/>
  <c r="AU251" i="7"/>
  <c r="AU252" i="7"/>
  <c r="AU253" i="7"/>
  <c r="AU254" i="7"/>
  <c r="AU4" i="7"/>
  <c r="AQ4" i="7" s="1"/>
  <c r="AS255" i="7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5" i="1"/>
  <c r="Z626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U248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U31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2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U488" i="1"/>
  <c r="AU489" i="1"/>
  <c r="AU490" i="1"/>
  <c r="AU491" i="1"/>
  <c r="AU492" i="1"/>
  <c r="AU493" i="1"/>
  <c r="AU494" i="1"/>
  <c r="AU495" i="1"/>
  <c r="AU496" i="1"/>
  <c r="AU497" i="1"/>
  <c r="AU498" i="1"/>
  <c r="AU499" i="1"/>
  <c r="AU500" i="1"/>
  <c r="AU501" i="1"/>
  <c r="AU502" i="1"/>
  <c r="AU503" i="1"/>
  <c r="AU504" i="1"/>
  <c r="AU505" i="1"/>
  <c r="AU506" i="1"/>
  <c r="AU507" i="1"/>
  <c r="AU508" i="1"/>
  <c r="AU509" i="1"/>
  <c r="AU510" i="1"/>
  <c r="AU511" i="1"/>
  <c r="AU512" i="1"/>
  <c r="AU513" i="1"/>
  <c r="AU514" i="1"/>
  <c r="AU515" i="1"/>
  <c r="AU516" i="1"/>
  <c r="AU517" i="1"/>
  <c r="AU518" i="1"/>
  <c r="AU519" i="1"/>
  <c r="AU520" i="1"/>
  <c r="AU521" i="1"/>
  <c r="AU522" i="1"/>
  <c r="AU523" i="1"/>
  <c r="AU524" i="1"/>
  <c r="AU525" i="1"/>
  <c r="AU526" i="1"/>
  <c r="AU527" i="1"/>
  <c r="AU528" i="1"/>
  <c r="AU529" i="1"/>
  <c r="AU530" i="1"/>
  <c r="AU531" i="1"/>
  <c r="AU532" i="1"/>
  <c r="AU533" i="1"/>
  <c r="AU534" i="1"/>
  <c r="AU535" i="1"/>
  <c r="AU536" i="1"/>
  <c r="AU537" i="1"/>
  <c r="AU538" i="1"/>
  <c r="AU539" i="1"/>
  <c r="AU540" i="1"/>
  <c r="AU541" i="1"/>
  <c r="AU542" i="1"/>
  <c r="AU543" i="1"/>
  <c r="AU544" i="1"/>
  <c r="AU545" i="1"/>
  <c r="AU546" i="1"/>
  <c r="AU547" i="1"/>
  <c r="AU548" i="1"/>
  <c r="AU549" i="1"/>
  <c r="AU550" i="1"/>
  <c r="AU551" i="1"/>
  <c r="AU552" i="1"/>
  <c r="AU553" i="1"/>
  <c r="AU554" i="1"/>
  <c r="AU555" i="1"/>
  <c r="AU556" i="1"/>
  <c r="AU557" i="1"/>
  <c r="AU558" i="1"/>
  <c r="AU559" i="1"/>
  <c r="AU560" i="1"/>
  <c r="AU561" i="1"/>
  <c r="AU562" i="1"/>
  <c r="AU563" i="1"/>
  <c r="AU564" i="1"/>
  <c r="AU565" i="1"/>
  <c r="AU566" i="1"/>
  <c r="AU567" i="1"/>
  <c r="AU568" i="1"/>
  <c r="AU569" i="1"/>
  <c r="AU570" i="1"/>
  <c r="AU571" i="1"/>
  <c r="AU572" i="1"/>
  <c r="AU573" i="1"/>
  <c r="AU574" i="1"/>
  <c r="AU575" i="1"/>
  <c r="AU576" i="1"/>
  <c r="AU577" i="1"/>
  <c r="AU578" i="1"/>
  <c r="AU579" i="1"/>
  <c r="AU580" i="1"/>
  <c r="AU581" i="1"/>
  <c r="AU582" i="1"/>
  <c r="AU583" i="1"/>
  <c r="AU584" i="1"/>
  <c r="AU585" i="1"/>
  <c r="AU586" i="1"/>
  <c r="AU587" i="1"/>
  <c r="AU588" i="1"/>
  <c r="AU589" i="1"/>
  <c r="AU590" i="1"/>
  <c r="AU591" i="1"/>
  <c r="AU592" i="1"/>
  <c r="AU593" i="1"/>
  <c r="AU594" i="1"/>
  <c r="AU596" i="1"/>
  <c r="AU597" i="1"/>
  <c r="AU598" i="1"/>
  <c r="AU599" i="1"/>
  <c r="AU600" i="1"/>
  <c r="AU601" i="1"/>
  <c r="AU602" i="1"/>
  <c r="AU603" i="1"/>
  <c r="AU604" i="1"/>
  <c r="AU605" i="1"/>
  <c r="AU606" i="1"/>
  <c r="AU607" i="1"/>
  <c r="AU608" i="1"/>
  <c r="AU609" i="1"/>
  <c r="AU610" i="1"/>
  <c r="AU611" i="1"/>
  <c r="AU612" i="1"/>
  <c r="AU613" i="1"/>
  <c r="AU614" i="1"/>
  <c r="AU615" i="1"/>
  <c r="AU5" i="1"/>
  <c r="AT255" i="7"/>
  <c r="AP5" i="7"/>
  <c r="AQ5" i="7" s="1"/>
  <c r="AP6" i="7"/>
  <c r="AQ6" i="7" s="1"/>
  <c r="AP7" i="7"/>
  <c r="AP8" i="7"/>
  <c r="AP9" i="7"/>
  <c r="AQ9" i="7" s="1"/>
  <c r="AP10" i="7"/>
  <c r="AQ10" i="7" s="1"/>
  <c r="AP11" i="7"/>
  <c r="AP12" i="7"/>
  <c r="AQ12" i="7" s="1"/>
  <c r="AP13" i="7"/>
  <c r="AQ13" i="7" s="1"/>
  <c r="AP14" i="7"/>
  <c r="AP15" i="7"/>
  <c r="AP16" i="7"/>
  <c r="AQ16" i="7" s="1"/>
  <c r="AP17" i="7"/>
  <c r="AP18" i="7"/>
  <c r="AQ18" i="7"/>
  <c r="AP19" i="7"/>
  <c r="AP20" i="7"/>
  <c r="AP21" i="7"/>
  <c r="AQ21" i="7" s="1"/>
  <c r="AP22" i="7"/>
  <c r="AP23" i="7"/>
  <c r="AP24" i="7"/>
  <c r="AP25" i="7"/>
  <c r="AQ25" i="7"/>
  <c r="AP26" i="7"/>
  <c r="AQ26" i="7" s="1"/>
  <c r="AP27" i="7"/>
  <c r="AP28" i="7"/>
  <c r="AQ28" i="7" s="1"/>
  <c r="AP29" i="7"/>
  <c r="AQ29" i="7" s="1"/>
  <c r="AP30" i="7"/>
  <c r="AQ30" i="7" s="1"/>
  <c r="AP31" i="7"/>
  <c r="AP32" i="7"/>
  <c r="AP33" i="7"/>
  <c r="AQ33" i="7" s="1"/>
  <c r="AP34" i="7"/>
  <c r="AQ34" i="7"/>
  <c r="AP35" i="7"/>
  <c r="AP36" i="7"/>
  <c r="AP37" i="7"/>
  <c r="AQ37" i="7"/>
  <c r="AP38" i="7"/>
  <c r="AP39" i="7"/>
  <c r="AP40" i="7"/>
  <c r="AQ40" i="7" s="1"/>
  <c r="AP41" i="7"/>
  <c r="AQ41" i="7" s="1"/>
  <c r="AP42" i="7"/>
  <c r="AQ42" i="7" s="1"/>
  <c r="AP43" i="7"/>
  <c r="AP44" i="7"/>
  <c r="AP45" i="7"/>
  <c r="AQ45" i="7"/>
  <c r="AP46" i="7"/>
  <c r="AP47" i="7"/>
  <c r="AP48" i="7"/>
  <c r="AQ48" i="7" s="1"/>
  <c r="AP49" i="7"/>
  <c r="AQ49" i="7" s="1"/>
  <c r="AP50" i="7"/>
  <c r="AP51" i="7"/>
  <c r="AP52" i="7"/>
  <c r="AP53" i="7"/>
  <c r="AQ53" i="7" s="1"/>
  <c r="AP54" i="7"/>
  <c r="AP55" i="7"/>
  <c r="AP56" i="7"/>
  <c r="AQ56" i="7" s="1"/>
  <c r="AP57" i="7"/>
  <c r="AQ57" i="7" s="1"/>
  <c r="AP58" i="7"/>
  <c r="AQ58" i="7" s="1"/>
  <c r="AP59" i="7"/>
  <c r="AP60" i="7"/>
  <c r="AQ60" i="7" s="1"/>
  <c r="AP61" i="7"/>
  <c r="AQ61" i="7" s="1"/>
  <c r="AP62" i="7"/>
  <c r="AP63" i="7"/>
  <c r="AP64" i="7"/>
  <c r="AQ64" i="7" s="1"/>
  <c r="AP65" i="7"/>
  <c r="AQ65" i="7" s="1"/>
  <c r="AP66" i="7"/>
  <c r="AP67" i="7"/>
  <c r="AP68" i="7"/>
  <c r="AP69" i="7"/>
  <c r="AQ69" i="7"/>
  <c r="AP70" i="7"/>
  <c r="AQ70" i="7" s="1"/>
  <c r="AP71" i="7"/>
  <c r="AP72" i="7"/>
  <c r="AP73" i="7"/>
  <c r="AQ73" i="7" s="1"/>
  <c r="AP74" i="7"/>
  <c r="AQ74" i="7" s="1"/>
  <c r="AP75" i="7"/>
  <c r="AP76" i="7"/>
  <c r="AQ76" i="7" s="1"/>
  <c r="AP77" i="7"/>
  <c r="AQ77" i="7" s="1"/>
  <c r="AP78" i="7"/>
  <c r="AQ78" i="7"/>
  <c r="AP79" i="7"/>
  <c r="AQ79" i="7" s="1"/>
  <c r="AP80" i="7"/>
  <c r="AP81" i="7"/>
  <c r="AQ81" i="7"/>
  <c r="AP82" i="7"/>
  <c r="AQ82" i="7" s="1"/>
  <c r="AP83" i="7"/>
  <c r="AP84" i="7"/>
  <c r="AP85" i="7"/>
  <c r="AQ85" i="7"/>
  <c r="AP86" i="7"/>
  <c r="AP87" i="7"/>
  <c r="AP88" i="7"/>
  <c r="AQ88" i="7" s="1"/>
  <c r="AP89" i="7"/>
  <c r="AQ89" i="7" s="1"/>
  <c r="AP90" i="7"/>
  <c r="AQ90" i="7" s="1"/>
  <c r="AP91" i="7"/>
  <c r="AP92" i="7"/>
  <c r="AP93" i="7"/>
  <c r="AQ93" i="7" s="1"/>
  <c r="AP94" i="7"/>
  <c r="AQ94" i="7" s="1"/>
  <c r="AP95" i="7"/>
  <c r="AP96" i="7"/>
  <c r="AQ96" i="7" s="1"/>
  <c r="AP97" i="7"/>
  <c r="AQ97" i="7"/>
  <c r="AP98" i="7"/>
  <c r="AQ98" i="7" s="1"/>
  <c r="AP99" i="7"/>
  <c r="AP100" i="7"/>
  <c r="AQ100" i="7" s="1"/>
  <c r="AP101" i="7"/>
  <c r="AQ101" i="7" s="1"/>
  <c r="AP102" i="7"/>
  <c r="AQ102" i="7" s="1"/>
  <c r="AP103" i="7"/>
  <c r="AP104" i="7"/>
  <c r="AP105" i="7"/>
  <c r="AQ105" i="7" s="1"/>
  <c r="AP106" i="7"/>
  <c r="AQ106" i="7" s="1"/>
  <c r="AP107" i="7"/>
  <c r="AP108" i="7"/>
  <c r="AQ108" i="7" s="1"/>
  <c r="AP109" i="7"/>
  <c r="AQ109" i="7" s="1"/>
  <c r="AP110" i="7"/>
  <c r="AQ110" i="7"/>
  <c r="AP111" i="7"/>
  <c r="AP112" i="7"/>
  <c r="AP113" i="7"/>
  <c r="AQ113" i="7" s="1"/>
  <c r="AP114" i="7"/>
  <c r="AQ114" i="7" s="1"/>
  <c r="AP115" i="7"/>
  <c r="AP116" i="7"/>
  <c r="AQ116" i="7" s="1"/>
  <c r="AP117" i="7"/>
  <c r="AQ117" i="7" s="1"/>
  <c r="AP118" i="7"/>
  <c r="AQ118" i="7" s="1"/>
  <c r="AP119" i="7"/>
  <c r="AP120" i="7"/>
  <c r="AP121" i="7"/>
  <c r="AQ121" i="7" s="1"/>
  <c r="AP122" i="7"/>
  <c r="AQ122" i="7" s="1"/>
  <c r="AP123" i="7"/>
  <c r="AP124" i="7"/>
  <c r="AQ124" i="7" s="1"/>
  <c r="AP125" i="7"/>
  <c r="AP126" i="7"/>
  <c r="AQ126" i="7" s="1"/>
  <c r="AP127" i="7"/>
  <c r="AP128" i="7"/>
  <c r="AP129" i="7"/>
  <c r="AQ129" i="7" s="1"/>
  <c r="AP130" i="7"/>
  <c r="AQ130" i="7" s="1"/>
  <c r="AP131" i="7"/>
  <c r="AP132" i="7"/>
  <c r="AQ132" i="7" s="1"/>
  <c r="AP133" i="7"/>
  <c r="AQ133" i="7" s="1"/>
  <c r="AP134" i="7"/>
  <c r="AQ134" i="7" s="1"/>
  <c r="AP135" i="7"/>
  <c r="AP136" i="7"/>
  <c r="AP137" i="7"/>
  <c r="AQ137" i="7" s="1"/>
  <c r="AP138" i="7"/>
  <c r="AQ138" i="7" s="1"/>
  <c r="AP139" i="7"/>
  <c r="AP140" i="7"/>
  <c r="AQ140" i="7" s="1"/>
  <c r="AP141" i="7"/>
  <c r="AQ141" i="7"/>
  <c r="AP142" i="7"/>
  <c r="AQ142" i="7" s="1"/>
  <c r="AP143" i="7"/>
  <c r="AP144" i="7"/>
  <c r="AQ144" i="7" s="1"/>
  <c r="AP145" i="7"/>
  <c r="AQ145" i="7" s="1"/>
  <c r="AP146" i="7"/>
  <c r="AQ146" i="7"/>
  <c r="AP147" i="7"/>
  <c r="AP148" i="7"/>
  <c r="AQ148" i="7" s="1"/>
  <c r="AP149" i="7"/>
  <c r="AQ149" i="7" s="1"/>
  <c r="AP150" i="7"/>
  <c r="AQ150" i="7" s="1"/>
  <c r="AP151" i="7"/>
  <c r="AP152" i="7"/>
  <c r="AP153" i="7"/>
  <c r="AQ153" i="7" s="1"/>
  <c r="AP154" i="7"/>
  <c r="AQ154" i="7" s="1"/>
  <c r="AP155" i="7"/>
  <c r="AQ155" i="7"/>
  <c r="AP156" i="7"/>
  <c r="AP157" i="7"/>
  <c r="AQ157" i="7" s="1"/>
  <c r="AP158" i="7"/>
  <c r="AQ158" i="7" s="1"/>
  <c r="AP159" i="7"/>
  <c r="AP160" i="7"/>
  <c r="AQ160" i="7" s="1"/>
  <c r="AP161" i="7"/>
  <c r="AQ161" i="7" s="1"/>
  <c r="AP162" i="7"/>
  <c r="AQ162" i="7" s="1"/>
  <c r="AP163" i="7"/>
  <c r="AP164" i="7"/>
  <c r="AQ164" i="7" s="1"/>
  <c r="AP165" i="7"/>
  <c r="AQ165" i="7" s="1"/>
  <c r="AP166" i="7"/>
  <c r="AQ166" i="7"/>
  <c r="AP167" i="7"/>
  <c r="AP168" i="7"/>
  <c r="AP169" i="7"/>
  <c r="AQ169" i="7"/>
  <c r="AP170" i="7"/>
  <c r="AQ170" i="7" s="1"/>
  <c r="AP171" i="7"/>
  <c r="AP172" i="7"/>
  <c r="AP173" i="7"/>
  <c r="AQ173" i="7"/>
  <c r="AP174" i="7"/>
  <c r="AQ174" i="7" s="1"/>
  <c r="AP175" i="7"/>
  <c r="AP176" i="7"/>
  <c r="AP177" i="7"/>
  <c r="AQ177" i="7" s="1"/>
  <c r="AP178" i="7"/>
  <c r="AQ178" i="7" s="1"/>
  <c r="AP179" i="7"/>
  <c r="AP180" i="7"/>
  <c r="AP181" i="7"/>
  <c r="AQ181" i="7" s="1"/>
  <c r="AP182" i="7"/>
  <c r="AQ182" i="7"/>
  <c r="AP183" i="7"/>
  <c r="AP184" i="7"/>
  <c r="AP185" i="7"/>
  <c r="AQ185" i="7" s="1"/>
  <c r="AP186" i="7"/>
  <c r="AQ186" i="7" s="1"/>
  <c r="AP187" i="7"/>
  <c r="AP188" i="7"/>
  <c r="AP189" i="7"/>
  <c r="AQ189" i="7"/>
  <c r="AP190" i="7"/>
  <c r="AQ190" i="7" s="1"/>
  <c r="AP191" i="7"/>
  <c r="AP192" i="7"/>
  <c r="AP193" i="7"/>
  <c r="AQ193" i="7" s="1"/>
  <c r="AP194" i="7"/>
  <c r="AQ194" i="7" s="1"/>
  <c r="AP195" i="7"/>
  <c r="AP196" i="7"/>
  <c r="AP197" i="7"/>
  <c r="AQ197" i="7" s="1"/>
  <c r="AP198" i="7"/>
  <c r="AQ198" i="7" s="1"/>
  <c r="AP199" i="7"/>
  <c r="AP200" i="7"/>
  <c r="AQ200" i="7" s="1"/>
  <c r="AP201" i="7"/>
  <c r="AQ201" i="7" s="1"/>
  <c r="AP202" i="7"/>
  <c r="AQ202" i="7" s="1"/>
  <c r="AP203" i="7"/>
  <c r="AP204" i="7"/>
  <c r="AQ204" i="7" s="1"/>
  <c r="AP205" i="7"/>
  <c r="AQ205" i="7"/>
  <c r="AP206" i="7"/>
  <c r="AQ206" i="7" s="1"/>
  <c r="AP207" i="7"/>
  <c r="AP208" i="7"/>
  <c r="AQ208" i="7"/>
  <c r="AP209" i="7"/>
  <c r="AQ209" i="7" s="1"/>
  <c r="AP210" i="7"/>
  <c r="AQ210" i="7" s="1"/>
  <c r="AP211" i="7"/>
  <c r="AP212" i="7"/>
  <c r="AQ212" i="7" s="1"/>
  <c r="AP213" i="7"/>
  <c r="AQ213" i="7" s="1"/>
  <c r="AP214" i="7"/>
  <c r="AP215" i="7"/>
  <c r="AQ215" i="7" s="1"/>
  <c r="AP216" i="7"/>
  <c r="AQ216" i="7" s="1"/>
  <c r="AP217" i="7"/>
  <c r="AQ217" i="7"/>
  <c r="AP218" i="7"/>
  <c r="AQ218" i="7" s="1"/>
  <c r="AP219" i="7"/>
  <c r="AP220" i="7"/>
  <c r="AQ220" i="7"/>
  <c r="AP221" i="7"/>
  <c r="AQ221" i="7" s="1"/>
  <c r="AP222" i="7"/>
  <c r="AQ222" i="7" s="1"/>
  <c r="AP223" i="7"/>
  <c r="AP224" i="7"/>
  <c r="AQ224" i="7" s="1"/>
  <c r="AP225" i="7"/>
  <c r="AQ225" i="7" s="1"/>
  <c r="AP226" i="7"/>
  <c r="AQ226" i="7"/>
  <c r="AP227" i="7"/>
  <c r="AP228" i="7"/>
  <c r="AQ228" i="7"/>
  <c r="AP229" i="7"/>
  <c r="AQ229" i="7" s="1"/>
  <c r="AP230" i="7"/>
  <c r="AQ230" i="7" s="1"/>
  <c r="AP231" i="7"/>
  <c r="AP232" i="7"/>
  <c r="AQ232" i="7" s="1"/>
  <c r="AP233" i="7"/>
  <c r="AQ233" i="7" s="1"/>
  <c r="AP234" i="7"/>
  <c r="AQ234" i="7"/>
  <c r="AP235" i="7"/>
  <c r="AP236" i="7"/>
  <c r="AQ236" i="7"/>
  <c r="AP237" i="7"/>
  <c r="AQ237" i="7" s="1"/>
  <c r="AP238" i="7"/>
  <c r="AQ238" i="7" s="1"/>
  <c r="AP239" i="7"/>
  <c r="AP240" i="7"/>
  <c r="AQ240" i="7" s="1"/>
  <c r="AP241" i="7"/>
  <c r="AQ241" i="7" s="1"/>
  <c r="AP242" i="7"/>
  <c r="AQ242" i="7"/>
  <c r="AP243" i="7"/>
  <c r="AP244" i="7"/>
  <c r="AQ244" i="7"/>
  <c r="AP245" i="7"/>
  <c r="AQ245" i="7" s="1"/>
  <c r="AP246" i="7"/>
  <c r="AQ246" i="7" s="1"/>
  <c r="AP247" i="7"/>
  <c r="AP248" i="7"/>
  <c r="AQ248" i="7" s="1"/>
  <c r="AP249" i="7"/>
  <c r="AQ249" i="7" s="1"/>
  <c r="AP250" i="7"/>
  <c r="AQ250" i="7"/>
  <c r="AP251" i="7"/>
  <c r="AP252" i="7"/>
  <c r="AQ252" i="7"/>
  <c r="AP253" i="7"/>
  <c r="AQ253" i="7" s="1"/>
  <c r="AP254" i="7"/>
  <c r="AQ254" i="7" s="1"/>
  <c r="AP4" i="7"/>
  <c r="D631" i="1"/>
  <c r="Q631" i="1"/>
  <c r="R631" i="1"/>
  <c r="S631" i="1"/>
  <c r="T631" i="1"/>
  <c r="U631" i="1"/>
  <c r="V631" i="1"/>
  <c r="W631" i="1"/>
  <c r="X631" i="1"/>
  <c r="Y631" i="1"/>
  <c r="Z631" i="1"/>
  <c r="AA631" i="1"/>
  <c r="AB631" i="1"/>
  <c r="AC631" i="1"/>
  <c r="AD631" i="1"/>
  <c r="AE631" i="1"/>
  <c r="AF631" i="1"/>
  <c r="AG631" i="1"/>
  <c r="AH631" i="1"/>
  <c r="AI631" i="1"/>
  <c r="AJ631" i="1"/>
  <c r="AK631" i="1"/>
  <c r="AL631" i="1"/>
  <c r="AM631" i="1"/>
  <c r="AN631" i="1"/>
  <c r="I631" i="1"/>
  <c r="J631" i="1"/>
  <c r="K631" i="1"/>
  <c r="L631" i="1"/>
  <c r="M631" i="1"/>
  <c r="N631" i="1"/>
  <c r="O631" i="1"/>
  <c r="P631" i="1"/>
  <c r="Q616" i="1"/>
  <c r="R616" i="1"/>
  <c r="R622" i="1" s="1"/>
  <c r="S616" i="1"/>
  <c r="S617" i="1" s="1"/>
  <c r="T616" i="1"/>
  <c r="U616" i="1"/>
  <c r="U622" i="1" s="1"/>
  <c r="V616" i="1"/>
  <c r="W616" i="1"/>
  <c r="W622" i="1" s="1"/>
  <c r="X616" i="1"/>
  <c r="X622" i="1" s="1"/>
  <c r="Y616" i="1"/>
  <c r="Z616" i="1"/>
  <c r="Z622" i="1" s="1"/>
  <c r="AA616" i="1"/>
  <c r="AB616" i="1"/>
  <c r="AC616" i="1"/>
  <c r="AC622" i="1" s="1"/>
  <c r="AD616" i="1"/>
  <c r="AD617" i="1" s="1"/>
  <c r="AE616" i="1"/>
  <c r="AF616" i="1"/>
  <c r="AF622" i="1" s="1"/>
  <c r="AG616" i="1"/>
  <c r="AH616" i="1"/>
  <c r="AH622" i="1" s="1"/>
  <c r="AI616" i="1"/>
  <c r="AJ616" i="1"/>
  <c r="AK616" i="1"/>
  <c r="AK622" i="1" s="1"/>
  <c r="AL616" i="1"/>
  <c r="AM616" i="1"/>
  <c r="AM622" i="1" s="1"/>
  <c r="AN616" i="1"/>
  <c r="AN622" i="1" s="1"/>
  <c r="J616" i="1"/>
  <c r="J622" i="1" s="1"/>
  <c r="K616" i="1"/>
  <c r="K622" i="1" s="1"/>
  <c r="L616" i="1"/>
  <c r="M616" i="1"/>
  <c r="M622" i="1" s="1"/>
  <c r="N616" i="1"/>
  <c r="O616" i="1"/>
  <c r="P616" i="1"/>
  <c r="P622" i="1" s="1"/>
  <c r="I616" i="1"/>
  <c r="AQ375" i="1"/>
  <c r="AQ338" i="1"/>
  <c r="AQ331" i="1"/>
  <c r="AQ297" i="1"/>
  <c r="AQ94" i="1"/>
  <c r="AO4" i="3"/>
  <c r="AO5" i="3"/>
  <c r="AQ5" i="3" s="1"/>
  <c r="AO6" i="3"/>
  <c r="AQ6" i="3" s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2" i="1"/>
  <c r="AQ333" i="1"/>
  <c r="AQ334" i="1"/>
  <c r="AQ335" i="1"/>
  <c r="AQ336" i="1"/>
  <c r="AQ337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5" i="1"/>
  <c r="AP18" i="5"/>
  <c r="AR18" i="5" s="1"/>
  <c r="AP19" i="5"/>
  <c r="AR19" i="5" s="1"/>
  <c r="AP20" i="5"/>
  <c r="AR20" i="5" s="1"/>
  <c r="AP21" i="5"/>
  <c r="AR21" i="5" s="1"/>
  <c r="AP22" i="5"/>
  <c r="AR22" i="5" s="1"/>
  <c r="AP23" i="5"/>
  <c r="AR23" i="5" s="1"/>
  <c r="AP24" i="5"/>
  <c r="AR24" i="5" s="1"/>
  <c r="AP25" i="5"/>
  <c r="AR25" i="5" s="1"/>
  <c r="AP26" i="5"/>
  <c r="AR26" i="5" s="1"/>
  <c r="AP27" i="5"/>
  <c r="AR27" i="5" s="1"/>
  <c r="AP28" i="5"/>
  <c r="AR28" i="5" s="1"/>
  <c r="AP29" i="5"/>
  <c r="AR29" i="5" s="1"/>
  <c r="AP30" i="5"/>
  <c r="AR30" i="5" s="1"/>
  <c r="AP31" i="5"/>
  <c r="AR31" i="5" s="1"/>
  <c r="AP32" i="5"/>
  <c r="AR32" i="5" s="1"/>
  <c r="AP33" i="5"/>
  <c r="AR33" i="5" s="1"/>
  <c r="AP34" i="5"/>
  <c r="AR34" i="5" s="1"/>
  <c r="AP35" i="5"/>
  <c r="AR35" i="5" s="1"/>
  <c r="AP36" i="5"/>
  <c r="AR36" i="5" s="1"/>
  <c r="AP37" i="5"/>
  <c r="AR37" i="5" s="1"/>
  <c r="AP38" i="5"/>
  <c r="AR38" i="5" s="1"/>
  <c r="AP39" i="5"/>
  <c r="AR39" i="5" s="1"/>
  <c r="AP40" i="5"/>
  <c r="AR40" i="5" s="1"/>
  <c r="AP41" i="5"/>
  <c r="AR41" i="5" s="1"/>
  <c r="AP42" i="5"/>
  <c r="AR42" i="5" s="1"/>
  <c r="AP43" i="5"/>
  <c r="AR43" i="5" s="1"/>
  <c r="AP44" i="5"/>
  <c r="AR44" i="5" s="1"/>
  <c r="AP45" i="5"/>
  <c r="AR45" i="5" s="1"/>
  <c r="AP46" i="5"/>
  <c r="AR46" i="5" s="1"/>
  <c r="AP47" i="5"/>
  <c r="AR47" i="5" s="1"/>
  <c r="AP48" i="5"/>
  <c r="AR48" i="5" s="1"/>
  <c r="AP49" i="5"/>
  <c r="AR49" i="5" s="1"/>
  <c r="AP50" i="5"/>
  <c r="AR50" i="5" s="1"/>
  <c r="AP51" i="5"/>
  <c r="AR51" i="5" s="1"/>
  <c r="AP52" i="5"/>
  <c r="AR52" i="5" s="1"/>
  <c r="AP53" i="5"/>
  <c r="AR53" i="5" s="1"/>
  <c r="AP54" i="5"/>
  <c r="AR54" i="5" s="1"/>
  <c r="AP55" i="5"/>
  <c r="AR55" i="5" s="1"/>
  <c r="AP56" i="5"/>
  <c r="AR56" i="5" s="1"/>
  <c r="AP57" i="5"/>
  <c r="AR57" i="5" s="1"/>
  <c r="AP58" i="5"/>
  <c r="AR58" i="5" s="1"/>
  <c r="AP59" i="5"/>
  <c r="AR59" i="5" s="1"/>
  <c r="AP60" i="5"/>
  <c r="AR60" i="5" s="1"/>
  <c r="AP61" i="5"/>
  <c r="AR61" i="5" s="1"/>
  <c r="AP62" i="5"/>
  <c r="AR62" i="5" s="1"/>
  <c r="AP63" i="5"/>
  <c r="AR63" i="5" s="1"/>
  <c r="AP64" i="5"/>
  <c r="AR64" i="5" s="1"/>
  <c r="AP65" i="5"/>
  <c r="AR65" i="5" s="1"/>
  <c r="AP66" i="5"/>
  <c r="AR66" i="5" s="1"/>
  <c r="AP67" i="5"/>
  <c r="AR67" i="5" s="1"/>
  <c r="AP68" i="5"/>
  <c r="AR68" i="5" s="1"/>
  <c r="AP69" i="5"/>
  <c r="AR69" i="5" s="1"/>
  <c r="AP70" i="5"/>
  <c r="AR70" i="5" s="1"/>
  <c r="AP71" i="5"/>
  <c r="AR71" i="5" s="1"/>
  <c r="AP72" i="5"/>
  <c r="AR72" i="5" s="1"/>
  <c r="AP73" i="5"/>
  <c r="AR73" i="5" s="1"/>
  <c r="AP74" i="5"/>
  <c r="AR74" i="5" s="1"/>
  <c r="AP75" i="5"/>
  <c r="AR75" i="5" s="1"/>
  <c r="AP76" i="5"/>
  <c r="AR76" i="5" s="1"/>
  <c r="AP77" i="5"/>
  <c r="AR77" i="5" s="1"/>
  <c r="AP78" i="5"/>
  <c r="AR78" i="5" s="1"/>
  <c r="AP79" i="5"/>
  <c r="AR79" i="5" s="1"/>
  <c r="AP80" i="5"/>
  <c r="AR80" i="5" s="1"/>
  <c r="AP81" i="5"/>
  <c r="AR81" i="5" s="1"/>
  <c r="AP82" i="5"/>
  <c r="AR82" i="5" s="1"/>
  <c r="AP83" i="5"/>
  <c r="AR83" i="5" s="1"/>
  <c r="AP84" i="5"/>
  <c r="AR84" i="5" s="1"/>
  <c r="AP85" i="5"/>
  <c r="AR85" i="5" s="1"/>
  <c r="AP86" i="5"/>
  <c r="AR86" i="5" s="1"/>
  <c r="AP87" i="5"/>
  <c r="AR87" i="5" s="1"/>
  <c r="AP88" i="5"/>
  <c r="AR88" i="5" s="1"/>
  <c r="AP89" i="5"/>
  <c r="AR89" i="5" s="1"/>
  <c r="AP90" i="5"/>
  <c r="AR90" i="5" s="1"/>
  <c r="AP91" i="5"/>
  <c r="AR91" i="5" s="1"/>
  <c r="AP92" i="5"/>
  <c r="AR92" i="5" s="1"/>
  <c r="AP93" i="5"/>
  <c r="AR93" i="5" s="1"/>
  <c r="AP94" i="5"/>
  <c r="AR94" i="5" s="1"/>
  <c r="AP95" i="5"/>
  <c r="AR95" i="5" s="1"/>
  <c r="AP96" i="5"/>
  <c r="AR96" i="5" s="1"/>
  <c r="AP97" i="5"/>
  <c r="AR97" i="5" s="1"/>
  <c r="AP98" i="5"/>
  <c r="AR98" i="5" s="1"/>
  <c r="AP99" i="5"/>
  <c r="AR99" i="5" s="1"/>
  <c r="AP100" i="5"/>
  <c r="AR100" i="5" s="1"/>
  <c r="AP101" i="5"/>
  <c r="AR101" i="5" s="1"/>
  <c r="AP102" i="5"/>
  <c r="AR102" i="5" s="1"/>
  <c r="AP103" i="5"/>
  <c r="AR103" i="5" s="1"/>
  <c r="AP104" i="5"/>
  <c r="AR104" i="5" s="1"/>
  <c r="AP105" i="5"/>
  <c r="AR105" i="5" s="1"/>
  <c r="AP106" i="5"/>
  <c r="AR106" i="5" s="1"/>
  <c r="AP107" i="5"/>
  <c r="AR107" i="5" s="1"/>
  <c r="AP108" i="5"/>
  <c r="AR108" i="5" s="1"/>
  <c r="AP109" i="5"/>
  <c r="AR109" i="5" s="1"/>
  <c r="AP110" i="5"/>
  <c r="AR110" i="5" s="1"/>
  <c r="AP111" i="5"/>
  <c r="AR111" i="5" s="1"/>
  <c r="AP112" i="5"/>
  <c r="AR112" i="5" s="1"/>
  <c r="AP113" i="5"/>
  <c r="AR113" i="5" s="1"/>
  <c r="AP114" i="5"/>
  <c r="AR114" i="5" s="1"/>
  <c r="AP115" i="5"/>
  <c r="AR115" i="5" s="1"/>
  <c r="AP116" i="5"/>
  <c r="AR116" i="5" s="1"/>
  <c r="AP117" i="5"/>
  <c r="AR117" i="5" s="1"/>
  <c r="AP118" i="5"/>
  <c r="AR118" i="5" s="1"/>
  <c r="AP119" i="5"/>
  <c r="AR119" i="5" s="1"/>
  <c r="AP120" i="5"/>
  <c r="AR120" i="5" s="1"/>
  <c r="AP121" i="5"/>
  <c r="AR121" i="5" s="1"/>
  <c r="AP122" i="5"/>
  <c r="AR122" i="5" s="1"/>
  <c r="AP123" i="5"/>
  <c r="AR123" i="5" s="1"/>
  <c r="AP124" i="5"/>
  <c r="AR124" i="5" s="1"/>
  <c r="AP125" i="5"/>
  <c r="AR125" i="5" s="1"/>
  <c r="AP126" i="5"/>
  <c r="AR126" i="5" s="1"/>
  <c r="AP127" i="5"/>
  <c r="AR127" i="5" s="1"/>
  <c r="AP128" i="5"/>
  <c r="AR128" i="5" s="1"/>
  <c r="AP129" i="5"/>
  <c r="AR129" i="5" s="1"/>
  <c r="AP130" i="5"/>
  <c r="AR130" i="5" s="1"/>
  <c r="AP131" i="5"/>
  <c r="AR131" i="5" s="1"/>
  <c r="AP132" i="5"/>
  <c r="AR132" i="5" s="1"/>
  <c r="AP133" i="5"/>
  <c r="AR133" i="5" s="1"/>
  <c r="AP134" i="5"/>
  <c r="AR134" i="5" s="1"/>
  <c r="AP135" i="5"/>
  <c r="AR135" i="5" s="1"/>
  <c r="AP136" i="5"/>
  <c r="AR136" i="5" s="1"/>
  <c r="AP137" i="5"/>
  <c r="AR137" i="5" s="1"/>
  <c r="AP138" i="5"/>
  <c r="AR138" i="5" s="1"/>
  <c r="AP139" i="5"/>
  <c r="AR139" i="5" s="1"/>
  <c r="AP140" i="5"/>
  <c r="AR140" i="5" s="1"/>
  <c r="AP141" i="5"/>
  <c r="AR141" i="5" s="1"/>
  <c r="AP142" i="5"/>
  <c r="AR142" i="5" s="1"/>
  <c r="AP143" i="5"/>
  <c r="AR143" i="5" s="1"/>
  <c r="AP144" i="5"/>
  <c r="AR144" i="5" s="1"/>
  <c r="AP145" i="5"/>
  <c r="AR145" i="5" s="1"/>
  <c r="AP146" i="5"/>
  <c r="AR146" i="5" s="1"/>
  <c r="AP147" i="5"/>
  <c r="AR147" i="5" s="1"/>
  <c r="AP148" i="5"/>
  <c r="AR148" i="5" s="1"/>
  <c r="AP149" i="5"/>
  <c r="AR149" i="5" s="1"/>
  <c r="AP150" i="5"/>
  <c r="AR150" i="5" s="1"/>
  <c r="AP151" i="5"/>
  <c r="AR151" i="5" s="1"/>
  <c r="AP152" i="5"/>
  <c r="AR152" i="5" s="1"/>
  <c r="AP153" i="5"/>
  <c r="AR153" i="5" s="1"/>
  <c r="AP154" i="5"/>
  <c r="AR154" i="5" s="1"/>
  <c r="AP155" i="5"/>
  <c r="AR155" i="5" s="1"/>
  <c r="AP156" i="5"/>
  <c r="AR156" i="5" s="1"/>
  <c r="AP157" i="5"/>
  <c r="AR157" i="5" s="1"/>
  <c r="AP158" i="5"/>
  <c r="AR158" i="5" s="1"/>
  <c r="AP159" i="5"/>
  <c r="AR159" i="5" s="1"/>
  <c r="AP160" i="5"/>
  <c r="AR160" i="5" s="1"/>
  <c r="AP161" i="5"/>
  <c r="AR161" i="5" s="1"/>
  <c r="AP162" i="5"/>
  <c r="AR162" i="5" s="1"/>
  <c r="AP163" i="5"/>
  <c r="AR163" i="5" s="1"/>
  <c r="AP164" i="5"/>
  <c r="AR164" i="5" s="1"/>
  <c r="AP165" i="5"/>
  <c r="AR165" i="5" s="1"/>
  <c r="AP166" i="5"/>
  <c r="AR166" i="5" s="1"/>
  <c r="AP167" i="5"/>
  <c r="AR167" i="5" s="1"/>
  <c r="AP168" i="5"/>
  <c r="AR168" i="5" s="1"/>
  <c r="AP169" i="5"/>
  <c r="AR169" i="5" s="1"/>
  <c r="AP170" i="5"/>
  <c r="AR170" i="5" s="1"/>
  <c r="AP171" i="5"/>
  <c r="AR171" i="5" s="1"/>
  <c r="AP172" i="5"/>
  <c r="AR172" i="5" s="1"/>
  <c r="AP173" i="5"/>
  <c r="AR173" i="5" s="1"/>
  <c r="AP174" i="5"/>
  <c r="AR174" i="5" s="1"/>
  <c r="AP175" i="5"/>
  <c r="AR175" i="5" s="1"/>
  <c r="AP176" i="5"/>
  <c r="AR176" i="5" s="1"/>
  <c r="AP177" i="5"/>
  <c r="AR177" i="5" s="1"/>
  <c r="AP178" i="5"/>
  <c r="AR178" i="5" s="1"/>
  <c r="AP179" i="5"/>
  <c r="AR179" i="5" s="1"/>
  <c r="AP180" i="5"/>
  <c r="AR180" i="5" s="1"/>
  <c r="AP181" i="5"/>
  <c r="AR181" i="5" s="1"/>
  <c r="AP182" i="5"/>
  <c r="AR182" i="5" s="1"/>
  <c r="AP183" i="5"/>
  <c r="AR183" i="5" s="1"/>
  <c r="AP184" i="5"/>
  <c r="AR184" i="5" s="1"/>
  <c r="AP185" i="5"/>
  <c r="AR185" i="5" s="1"/>
  <c r="AP186" i="5"/>
  <c r="AR186" i="5" s="1"/>
  <c r="AP187" i="5"/>
  <c r="AR187" i="5" s="1"/>
  <c r="AP188" i="5"/>
  <c r="AR188" i="5" s="1"/>
  <c r="AP189" i="5"/>
  <c r="AR189" i="5" s="1"/>
  <c r="AP190" i="5"/>
  <c r="AR190" i="5" s="1"/>
  <c r="AP191" i="5"/>
  <c r="AR191" i="5" s="1"/>
  <c r="AP192" i="5"/>
  <c r="AR192" i="5" s="1"/>
  <c r="AP193" i="5"/>
  <c r="AR193" i="5" s="1"/>
  <c r="AP194" i="5"/>
  <c r="AR194" i="5" s="1"/>
  <c r="AP195" i="5"/>
  <c r="AR195" i="5" s="1"/>
  <c r="AP196" i="5"/>
  <c r="AR196" i="5" s="1"/>
  <c r="AP197" i="5"/>
  <c r="AR197" i="5" s="1"/>
  <c r="AP198" i="5"/>
  <c r="AR198" i="5" s="1"/>
  <c r="AP199" i="5"/>
  <c r="AR199" i="5" s="1"/>
  <c r="AP200" i="5"/>
  <c r="AR200" i="5" s="1"/>
  <c r="AP201" i="5"/>
  <c r="AR201" i="5" s="1"/>
  <c r="AP202" i="5"/>
  <c r="AR202" i="5" s="1"/>
  <c r="AP203" i="5"/>
  <c r="AR203" i="5" s="1"/>
  <c r="AP204" i="5"/>
  <c r="AR204" i="5" s="1"/>
  <c r="AP205" i="5"/>
  <c r="AR205" i="5" s="1"/>
  <c r="AP206" i="5"/>
  <c r="AR206" i="5" s="1"/>
  <c r="AP207" i="5"/>
  <c r="AR207" i="5" s="1"/>
  <c r="AP208" i="5"/>
  <c r="AR208" i="5" s="1"/>
  <c r="AP209" i="5"/>
  <c r="AR209" i="5" s="1"/>
  <c r="AP210" i="5"/>
  <c r="AR210" i="5" s="1"/>
  <c r="AP211" i="5"/>
  <c r="AR211" i="5" s="1"/>
  <c r="AP212" i="5"/>
  <c r="AR212" i="5" s="1"/>
  <c r="AP213" i="5"/>
  <c r="AR213" i="5" s="1"/>
  <c r="AP214" i="5"/>
  <c r="AR214" i="5" s="1"/>
  <c r="AP215" i="5"/>
  <c r="AR215" i="5" s="1"/>
  <c r="AP216" i="5"/>
  <c r="AR216" i="5" s="1"/>
  <c r="AP217" i="5"/>
  <c r="AR217" i="5" s="1"/>
  <c r="AP218" i="5"/>
  <c r="AR218" i="5" s="1"/>
  <c r="AP219" i="5"/>
  <c r="AR219" i="5" s="1"/>
  <c r="AP220" i="5"/>
  <c r="AR220" i="5" s="1"/>
  <c r="AP221" i="5"/>
  <c r="AR221" i="5" s="1"/>
  <c r="AP222" i="5"/>
  <c r="AR222" i="5" s="1"/>
  <c r="AP223" i="5"/>
  <c r="AR223" i="5" s="1"/>
  <c r="AP224" i="5"/>
  <c r="AR224" i="5" s="1"/>
  <c r="AP225" i="5"/>
  <c r="AR225" i="5" s="1"/>
  <c r="AP226" i="5"/>
  <c r="AR226" i="5" s="1"/>
  <c r="AP227" i="5"/>
  <c r="AR227" i="5" s="1"/>
  <c r="AP228" i="5"/>
  <c r="AR228" i="5" s="1"/>
  <c r="AP229" i="5"/>
  <c r="AR229" i="5" s="1"/>
  <c r="AP230" i="5"/>
  <c r="AR230" i="5" s="1"/>
  <c r="AP231" i="5"/>
  <c r="AR231" i="5" s="1"/>
  <c r="AP232" i="5"/>
  <c r="AR232" i="5" s="1"/>
  <c r="AP233" i="5"/>
  <c r="AR233" i="5" s="1"/>
  <c r="AP234" i="5"/>
  <c r="AR234" i="5" s="1"/>
  <c r="AP235" i="5"/>
  <c r="AR235" i="5" s="1"/>
  <c r="AP236" i="5"/>
  <c r="AR236" i="5" s="1"/>
  <c r="AP237" i="5"/>
  <c r="AR237" i="5" s="1"/>
  <c r="AP238" i="5"/>
  <c r="AR238" i="5" s="1"/>
  <c r="AP239" i="5"/>
  <c r="AR239" i="5" s="1"/>
  <c r="AP240" i="5"/>
  <c r="AR240" i="5" s="1"/>
  <c r="AP241" i="5"/>
  <c r="AR241" i="5" s="1"/>
  <c r="AP242" i="5"/>
  <c r="AR242" i="5" s="1"/>
  <c r="AP243" i="5"/>
  <c r="AR243" i="5" s="1"/>
  <c r="AP244" i="5"/>
  <c r="AR244" i="5" s="1"/>
  <c r="AP245" i="5"/>
  <c r="AR245" i="5" s="1"/>
  <c r="AP246" i="5"/>
  <c r="AR246" i="5" s="1"/>
  <c r="AP247" i="5"/>
  <c r="AR247" i="5" s="1"/>
  <c r="AP248" i="5"/>
  <c r="AR248" i="5" s="1"/>
  <c r="AP249" i="5"/>
  <c r="AR249" i="5" s="1"/>
  <c r="AP250" i="5"/>
  <c r="AR250" i="5" s="1"/>
  <c r="AP251" i="5"/>
  <c r="AR251" i="5" s="1"/>
  <c r="AP252" i="5"/>
  <c r="AR252" i="5" s="1"/>
  <c r="AP253" i="5"/>
  <c r="AR253" i="5" s="1"/>
  <c r="AP254" i="5"/>
  <c r="AR254" i="5" s="1"/>
  <c r="AP5" i="5"/>
  <c r="AR5" i="5" s="1"/>
  <c r="AP6" i="5"/>
  <c r="AR6" i="5" s="1"/>
  <c r="AP7" i="5"/>
  <c r="AP8" i="5"/>
  <c r="AR8" i="5" s="1"/>
  <c r="AP9" i="5"/>
  <c r="AR9" i="5" s="1"/>
  <c r="AP10" i="5"/>
  <c r="AR10" i="5" s="1"/>
  <c r="AP11" i="5"/>
  <c r="AR11" i="5" s="1"/>
  <c r="AP12" i="5"/>
  <c r="AR12" i="5" s="1"/>
  <c r="AP13" i="5"/>
  <c r="AR13" i="5" s="1"/>
  <c r="AP14" i="5"/>
  <c r="AR14" i="5" s="1"/>
  <c r="AP15" i="5"/>
  <c r="AR15" i="5" s="1"/>
  <c r="AP16" i="5"/>
  <c r="AR16" i="5" s="1"/>
  <c r="AP17" i="5"/>
  <c r="AR17" i="5" s="1"/>
  <c r="AP4" i="5"/>
  <c r="AR4" i="5" s="1"/>
  <c r="AO8" i="3"/>
  <c r="AQ8" i="3" s="1"/>
  <c r="AO12" i="3"/>
  <c r="AQ12" i="3" s="1"/>
  <c r="AO13" i="3"/>
  <c r="AQ13" i="3" s="1"/>
  <c r="AO14" i="3"/>
  <c r="AQ14" i="3" s="1"/>
  <c r="AO15" i="3"/>
  <c r="AQ15" i="3" s="1"/>
  <c r="AO18" i="3"/>
  <c r="AQ18" i="3" s="1"/>
  <c r="AO22" i="3"/>
  <c r="AQ22" i="3" s="1"/>
  <c r="AO24" i="3"/>
  <c r="AQ24" i="3" s="1"/>
  <c r="AO26" i="3"/>
  <c r="AQ26" i="3" s="1"/>
  <c r="AO30" i="3"/>
  <c r="AQ30" i="3" s="1"/>
  <c r="AO32" i="3"/>
  <c r="AQ32" i="3" s="1"/>
  <c r="AO33" i="3"/>
  <c r="AQ33" i="3" s="1"/>
  <c r="AO35" i="3"/>
  <c r="AQ35" i="3" s="1"/>
  <c r="AO37" i="3"/>
  <c r="AQ37" i="3" s="1"/>
  <c r="AO38" i="3"/>
  <c r="AQ38" i="3" s="1"/>
  <c r="AO41" i="3"/>
  <c r="AQ41" i="3" s="1"/>
  <c r="AO42" i="3"/>
  <c r="AQ42" i="3" s="1"/>
  <c r="AO43" i="3"/>
  <c r="AQ43" i="3" s="1"/>
  <c r="AO44" i="3"/>
  <c r="AQ44" i="3" s="1"/>
  <c r="AO45" i="3"/>
  <c r="AQ45" i="3" s="1"/>
  <c r="AO51" i="3"/>
  <c r="AQ51" i="3" s="1"/>
  <c r="AO54" i="3"/>
  <c r="AQ54" i="3" s="1"/>
  <c r="AO55" i="3"/>
  <c r="AQ55" i="3" s="1"/>
  <c r="AO58" i="3"/>
  <c r="AQ58" i="3" s="1"/>
  <c r="AO63" i="3"/>
  <c r="AQ63" i="3" s="1"/>
  <c r="AO67" i="3"/>
  <c r="AQ67" i="3" s="1"/>
  <c r="AO69" i="3"/>
  <c r="AQ69" i="3" s="1"/>
  <c r="AO70" i="3"/>
  <c r="AQ70" i="3" s="1"/>
  <c r="AO71" i="3"/>
  <c r="AQ71" i="3" s="1"/>
  <c r="AO75" i="3"/>
  <c r="AQ75" i="3" s="1"/>
  <c r="AO77" i="3"/>
  <c r="AQ77" i="3" s="1"/>
  <c r="AO80" i="3"/>
  <c r="AQ80" i="3" s="1"/>
  <c r="AO81" i="3"/>
  <c r="AQ81" i="3" s="1"/>
  <c r="AO83" i="3"/>
  <c r="AQ83" i="3" s="1"/>
  <c r="AO87" i="3"/>
  <c r="AQ87" i="3" s="1"/>
  <c r="AO88" i="3"/>
  <c r="AQ88" i="3" s="1"/>
  <c r="AO89" i="3"/>
  <c r="AQ89" i="3" s="1"/>
  <c r="AO91" i="3"/>
  <c r="AQ91" i="3" s="1"/>
  <c r="AO92" i="3"/>
  <c r="AQ92" i="3" s="1"/>
  <c r="AO93" i="3"/>
  <c r="AQ93" i="3" s="1"/>
  <c r="AO95" i="3"/>
  <c r="AQ95" i="3" s="1"/>
  <c r="AO96" i="3"/>
  <c r="AQ96" i="3" s="1"/>
  <c r="AO100" i="3"/>
  <c r="AQ100" i="3" s="1"/>
  <c r="AO102" i="3"/>
  <c r="AQ102" i="3" s="1"/>
  <c r="AO103" i="3"/>
  <c r="AQ103" i="3" s="1"/>
  <c r="AO104" i="3"/>
  <c r="AQ104" i="3" s="1"/>
  <c r="AO107" i="3"/>
  <c r="AQ107" i="3" s="1"/>
  <c r="AO112" i="3"/>
  <c r="AQ112" i="3" s="1"/>
  <c r="AO113" i="3"/>
  <c r="AQ113" i="3" s="1"/>
  <c r="AO114" i="3"/>
  <c r="AQ114" i="3" s="1"/>
  <c r="AO115" i="3"/>
  <c r="AQ115" i="3" s="1"/>
  <c r="AO117" i="3"/>
  <c r="AQ117" i="3" s="1"/>
  <c r="AO121" i="3"/>
  <c r="AQ121" i="3" s="1"/>
  <c r="AO122" i="3"/>
  <c r="AQ122" i="3" s="1"/>
  <c r="AO124" i="3"/>
  <c r="AQ124" i="3" s="1"/>
  <c r="AO125" i="3"/>
  <c r="AQ125" i="3" s="1"/>
  <c r="AO126" i="3"/>
  <c r="AQ126" i="3" s="1"/>
  <c r="AO127" i="3"/>
  <c r="AQ127" i="3" s="1"/>
  <c r="AO131" i="3"/>
  <c r="AQ131" i="3" s="1"/>
  <c r="AO136" i="3"/>
  <c r="AQ136" i="3" s="1"/>
  <c r="AO137" i="3"/>
  <c r="AQ137" i="3" s="1"/>
  <c r="AO140" i="3"/>
  <c r="AQ140" i="3" s="1"/>
  <c r="AO142" i="3"/>
  <c r="AQ142" i="3" s="1"/>
  <c r="AO144" i="3"/>
  <c r="AQ144" i="3" s="1"/>
  <c r="AO145" i="3"/>
  <c r="AQ145" i="3" s="1"/>
  <c r="AO149" i="3"/>
  <c r="AQ149" i="3" s="1"/>
  <c r="AO150" i="3"/>
  <c r="AQ150" i="3" s="1"/>
  <c r="AO152" i="3"/>
  <c r="AQ152" i="3" s="1"/>
  <c r="AO153" i="3"/>
  <c r="AQ153" i="3" s="1"/>
  <c r="AO155" i="3"/>
  <c r="AQ155" i="3" s="1"/>
  <c r="AO159" i="3"/>
  <c r="AQ159" i="3" s="1"/>
  <c r="AO162" i="3"/>
  <c r="AQ162" i="3" s="1"/>
  <c r="AO164" i="3"/>
  <c r="AQ164" i="3" s="1"/>
  <c r="AO167" i="3"/>
  <c r="AQ167" i="3" s="1"/>
  <c r="AO169" i="3"/>
  <c r="AQ169" i="3" s="1"/>
  <c r="AO170" i="3"/>
  <c r="AQ170" i="3" s="1"/>
  <c r="AO174" i="3"/>
  <c r="AQ174" i="3" s="1"/>
  <c r="AO175" i="3"/>
  <c r="AQ175" i="3" s="1"/>
  <c r="AO176" i="3"/>
  <c r="AQ176" i="3" s="1"/>
  <c r="AO177" i="3"/>
  <c r="AQ177" i="3" s="1"/>
  <c r="AO179" i="3"/>
  <c r="AQ179" i="3" s="1"/>
  <c r="AO180" i="3"/>
  <c r="AQ180" i="3" s="1"/>
  <c r="AO184" i="3"/>
  <c r="AQ184" i="3" s="1"/>
  <c r="AO187" i="3"/>
  <c r="AQ187" i="3" s="1"/>
  <c r="AO188" i="3"/>
  <c r="AQ188" i="3" s="1"/>
  <c r="AO189" i="3"/>
  <c r="AQ189" i="3" s="1"/>
  <c r="AO190" i="3"/>
  <c r="AQ190" i="3" s="1"/>
  <c r="AO191" i="3"/>
  <c r="AQ191" i="3" s="1"/>
  <c r="AO192" i="3"/>
  <c r="AQ192" i="3" s="1"/>
  <c r="AO193" i="3"/>
  <c r="AQ193" i="3" s="1"/>
  <c r="AO194" i="3"/>
  <c r="AQ194" i="3" s="1"/>
  <c r="AO195" i="3"/>
  <c r="AQ195" i="3" s="1"/>
  <c r="AO197" i="3"/>
  <c r="AQ197" i="3" s="1"/>
  <c r="AO199" i="3"/>
  <c r="AQ199" i="3" s="1"/>
  <c r="AO200" i="3"/>
  <c r="AQ200" i="3" s="1"/>
  <c r="AO201" i="3"/>
  <c r="AQ201" i="3" s="1"/>
  <c r="AO203" i="3"/>
  <c r="AQ203" i="3" s="1"/>
  <c r="AO204" i="3"/>
  <c r="AQ204" i="3" s="1"/>
  <c r="AO205" i="3"/>
  <c r="AQ205" i="3" s="1"/>
  <c r="AO207" i="3"/>
  <c r="AQ207" i="3" s="1"/>
  <c r="AO209" i="3"/>
  <c r="AQ209" i="3" s="1"/>
  <c r="AO210" i="3"/>
  <c r="AQ210" i="3" s="1"/>
  <c r="AO211" i="3"/>
  <c r="AQ211" i="3" s="1"/>
  <c r="AO215" i="3"/>
  <c r="AQ215" i="3" s="1"/>
  <c r="AO216" i="3"/>
  <c r="AQ216" i="3" s="1"/>
  <c r="AO218" i="3"/>
  <c r="AQ218" i="3" s="1"/>
  <c r="AO219" i="3"/>
  <c r="AQ219" i="3" s="1"/>
  <c r="AO222" i="3"/>
  <c r="AQ222" i="3" s="1"/>
  <c r="AO226" i="3"/>
  <c r="AQ226" i="3" s="1"/>
  <c r="AO227" i="3"/>
  <c r="AQ227" i="3" s="1"/>
  <c r="AO230" i="3"/>
  <c r="AQ230" i="3" s="1"/>
  <c r="AO231" i="3"/>
  <c r="AQ231" i="3" s="1"/>
  <c r="AO232" i="3"/>
  <c r="AQ232" i="3" s="1"/>
  <c r="AO233" i="3"/>
  <c r="AQ233" i="3" s="1"/>
  <c r="AO234" i="3"/>
  <c r="AQ234" i="3" s="1"/>
  <c r="AO238" i="3"/>
  <c r="AQ238" i="3" s="1"/>
  <c r="AO239" i="3"/>
  <c r="AQ239" i="3" s="1"/>
  <c r="AO243" i="3"/>
  <c r="AQ243" i="3" s="1"/>
  <c r="AO245" i="3"/>
  <c r="AQ245" i="3" s="1"/>
  <c r="AO248" i="3"/>
  <c r="AQ248" i="3" s="1"/>
  <c r="AO252" i="3"/>
  <c r="AQ252" i="3" s="1"/>
  <c r="AO253" i="3"/>
  <c r="AQ253" i="3" s="1"/>
  <c r="AO84" i="3"/>
  <c r="AQ84" i="3" s="1"/>
  <c r="AP5" i="6"/>
  <c r="AR5" i="6" s="1"/>
  <c r="AP6" i="6"/>
  <c r="AR6" i="6" s="1"/>
  <c r="AP8" i="6"/>
  <c r="AR8" i="6" s="1"/>
  <c r="AP14" i="6"/>
  <c r="AR14" i="6" s="1"/>
  <c r="AP15" i="6"/>
  <c r="AR15" i="6" s="1"/>
  <c r="AP18" i="6"/>
  <c r="AR18" i="6" s="1"/>
  <c r="AP24" i="6"/>
  <c r="AR24" i="6" s="1"/>
  <c r="AP30" i="6"/>
  <c r="AR30" i="6" s="1"/>
  <c r="AP31" i="6"/>
  <c r="AR31" i="6" s="1"/>
  <c r="AP33" i="6"/>
  <c r="AR33" i="6" s="1"/>
  <c r="AP37" i="6"/>
  <c r="AR37" i="6" s="1"/>
  <c r="AP38" i="6"/>
  <c r="AR38" i="6" s="1"/>
  <c r="AP42" i="6"/>
  <c r="AR42" i="6" s="1"/>
  <c r="AP45" i="6"/>
  <c r="AR45" i="6" s="1"/>
  <c r="AP50" i="6"/>
  <c r="AR50" i="6" s="1"/>
  <c r="AP54" i="6"/>
  <c r="AR54" i="6" s="1"/>
  <c r="AP69" i="6"/>
  <c r="AR69" i="6" s="1"/>
  <c r="AP70" i="6"/>
  <c r="AR70" i="6" s="1"/>
  <c r="AP71" i="6"/>
  <c r="AR71" i="6" s="1"/>
  <c r="AP83" i="6"/>
  <c r="AR83" i="6" s="1"/>
  <c r="AP85" i="6"/>
  <c r="AR85" i="6" s="1"/>
  <c r="AP87" i="6"/>
  <c r="AR87" i="6" s="1"/>
  <c r="AP88" i="6"/>
  <c r="AR88" i="6" s="1"/>
  <c r="AP93" i="6"/>
  <c r="AR93" i="6" s="1"/>
  <c r="AP95" i="6"/>
  <c r="AR95" i="6" s="1"/>
  <c r="AP96" i="6"/>
  <c r="AR96" i="6" s="1"/>
  <c r="AP100" i="6"/>
  <c r="AR100" i="6" s="1"/>
  <c r="AP102" i="6"/>
  <c r="AR102" i="6" s="1"/>
  <c r="AP103" i="6"/>
  <c r="AR103" i="6" s="1"/>
  <c r="AP104" i="6"/>
  <c r="AR104" i="6" s="1"/>
  <c r="AP107" i="6"/>
  <c r="AR107" i="6" s="1"/>
  <c r="AP110" i="6"/>
  <c r="AR110" i="6" s="1"/>
  <c r="AP117" i="6"/>
  <c r="AR117" i="6" s="1"/>
  <c r="AP122" i="6"/>
  <c r="AR122" i="6" s="1"/>
  <c r="AP124" i="6"/>
  <c r="AR124" i="6" s="1"/>
  <c r="AP125" i="6"/>
  <c r="AR125" i="6" s="1"/>
  <c r="AP126" i="6"/>
  <c r="AR126" i="6" s="1"/>
  <c r="AP127" i="6"/>
  <c r="AR127" i="6" s="1"/>
  <c r="AP136" i="6"/>
  <c r="AR136" i="6" s="1"/>
  <c r="AP139" i="6"/>
  <c r="AR139" i="6" s="1"/>
  <c r="AP140" i="6"/>
  <c r="AR140" i="6" s="1"/>
  <c r="AP142" i="6"/>
  <c r="AR142" i="6" s="1"/>
  <c r="AP144" i="6"/>
  <c r="AR144" i="6" s="1"/>
  <c r="AP149" i="6"/>
  <c r="AR149" i="6" s="1"/>
  <c r="AP153" i="6"/>
  <c r="AR153" i="6" s="1"/>
  <c r="AP155" i="6"/>
  <c r="AR155" i="6" s="1"/>
  <c r="AP162" i="6"/>
  <c r="AR162" i="6" s="1"/>
  <c r="AP168" i="6"/>
  <c r="AR168" i="6" s="1"/>
  <c r="AP169" i="6"/>
  <c r="AR169" i="6" s="1"/>
  <c r="AP174" i="6"/>
  <c r="AR174" i="6" s="1"/>
  <c r="AP176" i="6"/>
  <c r="AR176" i="6" s="1"/>
  <c r="AP180" i="6"/>
  <c r="AR180" i="6" s="1"/>
  <c r="AP184" i="6"/>
  <c r="AR184" i="6" s="1"/>
  <c r="AP188" i="6"/>
  <c r="AR188" i="6" s="1"/>
  <c r="AP192" i="6"/>
  <c r="AR192" i="6" s="1"/>
  <c r="AP193" i="6"/>
  <c r="AR193" i="6" s="1"/>
  <c r="AP195" i="6"/>
  <c r="AR195" i="6" s="1"/>
  <c r="AP200" i="6"/>
  <c r="AR200" i="6" s="1"/>
  <c r="AP203" i="6"/>
  <c r="AR203" i="6" s="1"/>
  <c r="AP205" i="6"/>
  <c r="AR205" i="6" s="1"/>
  <c r="AP206" i="6"/>
  <c r="AR206" i="6" s="1"/>
  <c r="AP207" i="6"/>
  <c r="AR207" i="6" s="1"/>
  <c r="AP209" i="6"/>
  <c r="AR209" i="6" s="1"/>
  <c r="AP215" i="6"/>
  <c r="AR215" i="6" s="1"/>
  <c r="AP216" i="6"/>
  <c r="AR216" i="6" s="1"/>
  <c r="AP219" i="6"/>
  <c r="AR219" i="6" s="1"/>
  <c r="AP222" i="6"/>
  <c r="AR222" i="6" s="1"/>
  <c r="AP226" i="6"/>
  <c r="AR226" i="6" s="1"/>
  <c r="AP227" i="6"/>
  <c r="AR227" i="6" s="1"/>
  <c r="AP230" i="6"/>
  <c r="AR230" i="6" s="1"/>
  <c r="AP234" i="6"/>
  <c r="AR234" i="6" s="1"/>
  <c r="AP235" i="6"/>
  <c r="AR235" i="6" s="1"/>
  <c r="AP238" i="6"/>
  <c r="AR238" i="6" s="1"/>
  <c r="AP244" i="6"/>
  <c r="AR244" i="6" s="1"/>
  <c r="AP245" i="6"/>
  <c r="AP248" i="6"/>
  <c r="AR248" i="6" s="1"/>
  <c r="AP252" i="6"/>
  <c r="AR252" i="6" s="1"/>
  <c r="AP253" i="6"/>
  <c r="AR253" i="6" s="1"/>
  <c r="AP4" i="6"/>
  <c r="AR4" i="6" s="1"/>
  <c r="E253" i="10"/>
  <c r="F253" i="10"/>
  <c r="M118" i="11"/>
  <c r="I626" i="1"/>
  <c r="J644" i="1"/>
  <c r="K644" i="1"/>
  <c r="L644" i="1"/>
  <c r="M644" i="1"/>
  <c r="N644" i="1"/>
  <c r="O644" i="1"/>
  <c r="P644" i="1"/>
  <c r="Q644" i="1"/>
  <c r="R644" i="1"/>
  <c r="S644" i="1"/>
  <c r="T644" i="1"/>
  <c r="U644" i="1"/>
  <c r="V644" i="1"/>
  <c r="W644" i="1"/>
  <c r="X644" i="1"/>
  <c r="Y644" i="1"/>
  <c r="Z644" i="1"/>
  <c r="AA644" i="1"/>
  <c r="AB644" i="1"/>
  <c r="AC644" i="1"/>
  <c r="AD644" i="1"/>
  <c r="AE644" i="1"/>
  <c r="AF644" i="1"/>
  <c r="AG644" i="1"/>
  <c r="AH644" i="1"/>
  <c r="AI644" i="1"/>
  <c r="AJ644" i="1"/>
  <c r="AK644" i="1"/>
  <c r="AL644" i="1"/>
  <c r="AM644" i="1"/>
  <c r="AN644" i="1"/>
  <c r="I644" i="1"/>
  <c r="I637" i="1"/>
  <c r="J637" i="1"/>
  <c r="K637" i="1"/>
  <c r="L637" i="1"/>
  <c r="M637" i="1"/>
  <c r="N637" i="1"/>
  <c r="O637" i="1"/>
  <c r="P637" i="1"/>
  <c r="Q637" i="1"/>
  <c r="R637" i="1"/>
  <c r="S637" i="1"/>
  <c r="T637" i="1"/>
  <c r="U637" i="1"/>
  <c r="V637" i="1"/>
  <c r="W637" i="1"/>
  <c r="X637" i="1"/>
  <c r="Y637" i="1"/>
  <c r="Z637" i="1"/>
  <c r="AA637" i="1"/>
  <c r="AB637" i="1"/>
  <c r="AC637" i="1"/>
  <c r="AD637" i="1"/>
  <c r="AE637" i="1"/>
  <c r="AF637" i="1"/>
  <c r="AG637" i="1"/>
  <c r="AH637" i="1"/>
  <c r="AI637" i="1"/>
  <c r="AJ637" i="1"/>
  <c r="AK637" i="1"/>
  <c r="AL637" i="1"/>
  <c r="AM637" i="1"/>
  <c r="AN637" i="1"/>
  <c r="K626" i="1"/>
  <c r="L626" i="1"/>
  <c r="M626" i="1"/>
  <c r="N626" i="1"/>
  <c r="N628" i="1" s="1"/>
  <c r="O626" i="1"/>
  <c r="P626" i="1"/>
  <c r="Q626" i="1"/>
  <c r="R626" i="1"/>
  <c r="S626" i="1"/>
  <c r="S628" i="1" s="1"/>
  <c r="T626" i="1"/>
  <c r="U626" i="1"/>
  <c r="V626" i="1"/>
  <c r="W626" i="1"/>
  <c r="X626" i="1"/>
  <c r="Y626" i="1"/>
  <c r="AA626" i="1"/>
  <c r="AB626" i="1"/>
  <c r="AC626" i="1"/>
  <c r="AD626" i="1"/>
  <c r="AD628" i="1" s="1"/>
  <c r="AE626" i="1"/>
  <c r="AF626" i="1"/>
  <c r="AG626" i="1"/>
  <c r="AH626" i="1"/>
  <c r="AI626" i="1"/>
  <c r="AI628" i="1" s="1"/>
  <c r="AJ626" i="1"/>
  <c r="AK626" i="1"/>
  <c r="AL626" i="1"/>
  <c r="AM626" i="1"/>
  <c r="AN626" i="1"/>
  <c r="J626" i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F254" i="11"/>
  <c r="G254" i="11"/>
  <c r="H254" i="11"/>
  <c r="I254" i="11"/>
  <c r="J254" i="11"/>
  <c r="K254" i="11"/>
  <c r="N254" i="11"/>
  <c r="O254" i="11"/>
  <c r="F255" i="9"/>
  <c r="G255" i="9"/>
  <c r="H255" i="9"/>
  <c r="I255" i="9"/>
  <c r="J255" i="9"/>
  <c r="K255" i="9"/>
  <c r="L255" i="9"/>
  <c r="M255" i="9"/>
  <c r="N255" i="9"/>
  <c r="O255" i="9"/>
  <c r="P255" i="9"/>
  <c r="Q255" i="9"/>
  <c r="R255" i="9"/>
  <c r="S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AJ255" i="9"/>
  <c r="AK255" i="9"/>
  <c r="AM255" i="9"/>
  <c r="AO255" i="9"/>
  <c r="AP255" i="9"/>
  <c r="AQ255" i="9"/>
  <c r="AN255" i="9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AJ255" i="7"/>
  <c r="AK255" i="7"/>
  <c r="AM255" i="7"/>
  <c r="AN255" i="7"/>
  <c r="F255" i="6"/>
  <c r="G255" i="6"/>
  <c r="H255" i="6"/>
  <c r="I255" i="6"/>
  <c r="J255" i="6"/>
  <c r="K255" i="6"/>
  <c r="L255" i="6"/>
  <c r="M255" i="6"/>
  <c r="N255" i="6"/>
  <c r="O255" i="6"/>
  <c r="P255" i="6"/>
  <c r="Q255" i="6"/>
  <c r="R255" i="6"/>
  <c r="S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AJ255" i="6"/>
  <c r="AK255" i="6"/>
  <c r="AM255" i="6"/>
  <c r="AN255" i="6"/>
  <c r="F255" i="5"/>
  <c r="G255" i="5"/>
  <c r="H255" i="5"/>
  <c r="I255" i="5"/>
  <c r="J255" i="5"/>
  <c r="K255" i="5"/>
  <c r="K256" i="5" s="1"/>
  <c r="L255" i="5"/>
  <c r="L256" i="5" s="1"/>
  <c r="M255" i="5"/>
  <c r="N255" i="5"/>
  <c r="O255" i="5"/>
  <c r="P255" i="5"/>
  <c r="P256" i="5" s="1"/>
  <c r="Q255" i="5"/>
  <c r="R255" i="5"/>
  <c r="S255" i="5"/>
  <c r="T255" i="5"/>
  <c r="U255" i="5"/>
  <c r="V255" i="5"/>
  <c r="W255" i="5"/>
  <c r="X255" i="5"/>
  <c r="Y255" i="5"/>
  <c r="Z255" i="5"/>
  <c r="AA255" i="5"/>
  <c r="AA256" i="5" s="1"/>
  <c r="AB255" i="5"/>
  <c r="AB256" i="5" s="1"/>
  <c r="AC255" i="5"/>
  <c r="AD255" i="5"/>
  <c r="AE255" i="5"/>
  <c r="AD257" i="5" s="1"/>
  <c r="AF255" i="5"/>
  <c r="AG255" i="5"/>
  <c r="AH255" i="5"/>
  <c r="AI255" i="5"/>
  <c r="AI256" i="5" s="1"/>
  <c r="AJ255" i="5"/>
  <c r="AK255" i="5"/>
  <c r="AM255" i="5"/>
  <c r="AN255" i="5"/>
  <c r="E255" i="3"/>
  <c r="F255" i="3"/>
  <c r="G255" i="3"/>
  <c r="H255" i="3"/>
  <c r="I255" i="3"/>
  <c r="J255" i="3"/>
  <c r="K255" i="3"/>
  <c r="L255" i="3"/>
  <c r="M255" i="3"/>
  <c r="N255" i="3"/>
  <c r="O255" i="3"/>
  <c r="P255" i="3"/>
  <c r="Q255" i="3"/>
  <c r="R255" i="3"/>
  <c r="S255" i="3"/>
  <c r="T255" i="3"/>
  <c r="U255" i="3"/>
  <c r="V255" i="3"/>
  <c r="W255" i="3"/>
  <c r="X255" i="3"/>
  <c r="Y255" i="3"/>
  <c r="Z255" i="3"/>
  <c r="AA255" i="3"/>
  <c r="AB255" i="3"/>
  <c r="AC255" i="3"/>
  <c r="AD255" i="3"/>
  <c r="AE255" i="3"/>
  <c r="AF255" i="3"/>
  <c r="AG255" i="3"/>
  <c r="AH255" i="3"/>
  <c r="AI255" i="3"/>
  <c r="AJ255" i="3"/>
  <c r="AL255" i="3"/>
  <c r="AM255" i="3"/>
  <c r="AO616" i="1"/>
  <c r="AP616" i="1"/>
  <c r="AS616" i="1"/>
  <c r="D637" i="1"/>
  <c r="D644" i="1"/>
  <c r="AQ125" i="7"/>
  <c r="AQ36" i="7"/>
  <c r="AQ17" i="7"/>
  <c r="AQ92" i="7"/>
  <c r="AQ84" i="7"/>
  <c r="AQ80" i="7"/>
  <c r="AQ72" i="7"/>
  <c r="AQ32" i="7"/>
  <c r="AQ24" i="7"/>
  <c r="AQ20" i="7"/>
  <c r="AQ156" i="7"/>
  <c r="AQ152" i="7"/>
  <c r="AQ136" i="7"/>
  <c r="AQ128" i="7"/>
  <c r="AQ120" i="7"/>
  <c r="AQ112" i="7"/>
  <c r="AQ104" i="7"/>
  <c r="AQ68" i="7"/>
  <c r="AQ52" i="7"/>
  <c r="AQ44" i="7"/>
  <c r="AQ8" i="7"/>
  <c r="AQ22" i="7"/>
  <c r="AQ196" i="7"/>
  <c r="AQ192" i="7"/>
  <c r="AQ188" i="7"/>
  <c r="AQ184" i="7"/>
  <c r="AQ180" i="7"/>
  <c r="AQ176" i="7"/>
  <c r="AQ172" i="7"/>
  <c r="AQ168" i="7"/>
  <c r="AQ111" i="7"/>
  <c r="AQ66" i="7"/>
  <c r="AQ62" i="7"/>
  <c r="AQ50" i="7"/>
  <c r="AQ46" i="7"/>
  <c r="F257" i="7"/>
  <c r="AP255" i="5" l="1"/>
  <c r="AR255" i="5" s="1"/>
  <c r="AR7" i="5"/>
  <c r="AG256" i="5"/>
  <c r="Y256" i="5"/>
  <c r="AD257" i="9"/>
  <c r="V257" i="9"/>
  <c r="V258" i="9" s="1"/>
  <c r="N257" i="9"/>
  <c r="K260" i="9"/>
  <c r="F260" i="9"/>
  <c r="I260" i="9"/>
  <c r="F257" i="9"/>
  <c r="F258" i="9" s="1"/>
  <c r="L260" i="9"/>
  <c r="V257" i="7"/>
  <c r="AQ183" i="7"/>
  <c r="AQ214" i="7"/>
  <c r="AQ86" i="7"/>
  <c r="AQ54" i="7"/>
  <c r="AQ38" i="7"/>
  <c r="AQ14" i="7"/>
  <c r="AQ195" i="7"/>
  <c r="AQ51" i="7"/>
  <c r="AU255" i="7"/>
  <c r="AQ203" i="7"/>
  <c r="AQ187" i="7"/>
  <c r="AQ171" i="7"/>
  <c r="AQ143" i="7"/>
  <c r="AQ127" i="7"/>
  <c r="AQ95" i="7"/>
  <c r="AQ63" i="7"/>
  <c r="AQ251" i="7"/>
  <c r="AQ243" i="7"/>
  <c r="AQ235" i="7"/>
  <c r="AQ227" i="7"/>
  <c r="AQ219" i="7"/>
  <c r="AQ179" i="7"/>
  <c r="AQ167" i="7"/>
  <c r="AQ43" i="7"/>
  <c r="AD257" i="7"/>
  <c r="V258" i="7" s="1"/>
  <c r="N257" i="7"/>
  <c r="F258" i="7" s="1"/>
  <c r="AQ163" i="7"/>
  <c r="AQ151" i="7"/>
  <c r="AQ123" i="7"/>
  <c r="AQ107" i="7"/>
  <c r="AQ67" i="7"/>
  <c r="AQ35" i="7"/>
  <c r="AQ19" i="7"/>
  <c r="AP255" i="7"/>
  <c r="AQ247" i="7"/>
  <c r="AQ239" i="7"/>
  <c r="AQ231" i="7"/>
  <c r="AQ199" i="7"/>
  <c r="AQ147" i="7"/>
  <c r="AQ135" i="7"/>
  <c r="AQ59" i="7"/>
  <c r="AQ31" i="7"/>
  <c r="AQ15" i="7"/>
  <c r="AP626" i="1"/>
  <c r="O622" i="1"/>
  <c r="O617" i="1"/>
  <c r="AE622" i="1"/>
  <c r="AE617" i="1"/>
  <c r="AG622" i="1"/>
  <c r="AG617" i="1"/>
  <c r="Q622" i="1"/>
  <c r="Q617" i="1"/>
  <c r="L622" i="1"/>
  <c r="L617" i="1"/>
  <c r="AI622" i="1"/>
  <c r="AI617" i="1"/>
  <c r="AL617" i="1"/>
  <c r="V622" i="1"/>
  <c r="V617" i="1"/>
  <c r="N622" i="1"/>
  <c r="N617" i="1"/>
  <c r="Y622" i="1"/>
  <c r="Y617" i="1"/>
  <c r="I622" i="1"/>
  <c r="I617" i="1"/>
  <c r="AJ622" i="1"/>
  <c r="AJ617" i="1"/>
  <c r="AB622" i="1"/>
  <c r="AB617" i="1"/>
  <c r="T622" i="1"/>
  <c r="T617" i="1"/>
  <c r="E257" i="3"/>
  <c r="AQ4" i="3"/>
  <c r="M257" i="3"/>
  <c r="AC257" i="3"/>
  <c r="U257" i="3"/>
  <c r="E258" i="3"/>
  <c r="AO255" i="3"/>
  <c r="AQ255" i="3" s="1"/>
  <c r="N257" i="6"/>
  <c r="V257" i="6"/>
  <c r="AP255" i="6"/>
  <c r="AD257" i="6"/>
  <c r="F257" i="6"/>
  <c r="F258" i="6" s="1"/>
  <c r="AR245" i="6"/>
  <c r="AD256" i="5"/>
  <c r="L260" i="5" s="1"/>
  <c r="S256" i="5"/>
  <c r="I256" i="5"/>
  <c r="I260" i="5" s="1"/>
  <c r="V256" i="5"/>
  <c r="Q256" i="5"/>
  <c r="N256" i="5"/>
  <c r="F257" i="5"/>
  <c r="F258" i="5" s="1"/>
  <c r="F256" i="5"/>
  <c r="F260" i="5" s="1"/>
  <c r="N257" i="5"/>
  <c r="V257" i="5"/>
  <c r="V258" i="5" s="1"/>
  <c r="AF256" i="5"/>
  <c r="K260" i="5" s="1"/>
  <c r="Q628" i="1"/>
  <c r="L634" i="1"/>
  <c r="AL628" i="1"/>
  <c r="N634" i="1"/>
  <c r="AE628" i="1"/>
  <c r="AA622" i="1"/>
  <c r="I628" i="1"/>
  <c r="AJ628" i="1"/>
  <c r="AG628" i="1"/>
  <c r="AB628" i="1"/>
  <c r="AQ616" i="1"/>
  <c r="AP637" i="1"/>
  <c r="L628" i="1"/>
  <c r="O628" i="1"/>
  <c r="D649" i="1"/>
  <c r="Y628" i="1"/>
  <c r="AL622" i="1"/>
  <c r="AP644" i="1"/>
  <c r="I634" i="1"/>
  <c r="Y627" i="1"/>
  <c r="O634" i="1"/>
  <c r="AP631" i="1"/>
  <c r="AU616" i="1"/>
  <c r="AT616" i="1"/>
  <c r="I618" i="1"/>
  <c r="I623" i="1" s="1"/>
  <c r="AD622" i="1"/>
  <c r="N629" i="1"/>
  <c r="T628" i="1"/>
  <c r="Q627" i="1"/>
  <c r="S622" i="1"/>
  <c r="AG627" i="1"/>
  <c r="V628" i="1"/>
  <c r="Q618" i="1"/>
  <c r="AG618" i="1"/>
  <c r="AG623" i="1" s="1"/>
  <c r="Y618" i="1"/>
  <c r="I627" i="1"/>
  <c r="AR616" i="1"/>
  <c r="F259" i="9" l="1"/>
  <c r="F259" i="7"/>
  <c r="U258" i="3"/>
  <c r="E259" i="3"/>
  <c r="V258" i="6"/>
  <c r="F259" i="6" s="1"/>
  <c r="F259" i="5"/>
  <c r="I629" i="1"/>
  <c r="O629" i="1"/>
  <c r="L629" i="1"/>
  <c r="Q623" i="1"/>
  <c r="I619" i="1"/>
  <c r="I624" i="1" s="1"/>
  <c r="Y623" i="1"/>
  <c r="Y619" i="1"/>
  <c r="Y624" i="1" s="1"/>
</calcChain>
</file>

<file path=xl/comments1.xml><?xml version="1.0" encoding="utf-8"?>
<comments xmlns="http://schemas.openxmlformats.org/spreadsheetml/2006/main">
  <authors>
    <author>Mari-Anne Liblik</author>
  </authors>
  <commentList>
    <comment ref="B3" authorId="0" shapeId="0">
      <text>
        <r>
          <rPr>
            <b/>
            <sz val="9"/>
            <color indexed="81"/>
            <rFont val="Segoe UI"/>
            <family val="2"/>
            <charset val="186"/>
          </rPr>
          <t>Mari-Anne Liblik:</t>
        </r>
        <r>
          <rPr>
            <sz val="9"/>
            <color indexed="81"/>
            <rFont val="Segoe UI"/>
            <family val="2"/>
            <charset val="186"/>
          </rPr>
          <t xml:space="preserve">
SA - alaealine - &lt; 18 a
A - täisealine - 18+ a</t>
        </r>
      </text>
    </comment>
    <comment ref="E3" authorId="0" shapeId="0">
      <text>
        <r>
          <rPr>
            <b/>
            <sz val="9"/>
            <color indexed="81"/>
            <rFont val="Segoe UI"/>
            <family val="2"/>
            <charset val="186"/>
          </rPr>
          <t>Mari-Anne Liblik:</t>
        </r>
        <r>
          <rPr>
            <sz val="9"/>
            <color indexed="81"/>
            <rFont val="Segoe UI"/>
            <family val="2"/>
            <charset val="186"/>
          </rPr>
          <t xml:space="preserve">
M - 󠆣 ♂
F - ♀</t>
        </r>
      </text>
    </comment>
    <comment ref="F3" authorId="0" shapeId="0">
      <text>
        <r>
          <rPr>
            <b/>
            <sz val="9"/>
            <color indexed="81"/>
            <rFont val="Segoe UI"/>
            <family val="2"/>
            <charset val="186"/>
          </rPr>
          <t>Mari-Anne Liblik:</t>
        </r>
        <r>
          <rPr>
            <sz val="9"/>
            <color indexed="81"/>
            <rFont val="Segoe UI"/>
            <family val="2"/>
            <charset val="186"/>
          </rPr>
          <t xml:space="preserve">
Praegu olemasolevad hambad</t>
        </r>
      </text>
    </comment>
    <comment ref="G3" authorId="0" shapeId="0">
      <text>
        <r>
          <rPr>
            <sz val="9"/>
            <color indexed="81"/>
            <rFont val="Segoe UI"/>
            <family val="2"/>
            <charset val="186"/>
          </rPr>
          <t>"Surma ajal" olemasolnud hammaste arv
Valem:
Praegu olemasolevad + PM kaotatud</t>
        </r>
      </text>
    </comment>
    <comment ref="H3" authorId="0" shapeId="0">
      <text>
        <r>
          <rPr>
            <b/>
            <sz val="9"/>
            <color indexed="81"/>
            <rFont val="Segoe UI"/>
            <family val="2"/>
            <charset val="186"/>
          </rPr>
          <t xml:space="preserve">Mari-Anne Liblik: </t>
        </r>
        <r>
          <rPr>
            <sz val="9"/>
            <color indexed="81"/>
            <rFont val="Segoe UI"/>
            <family val="2"/>
            <charset val="186"/>
          </rPr>
          <t xml:space="preserve">
Maksimaalselt olemasolnud hambaid
Valem:
praegu olemasolevad + PM kaotatud + AM kaotatud</t>
        </r>
      </text>
    </comment>
    <comment ref="CV3" authorId="0" shapeId="0">
      <text>
        <r>
          <rPr>
            <b/>
            <sz val="9"/>
            <color indexed="81"/>
            <rFont val="Segoe UI"/>
            <family val="2"/>
            <charset val="186"/>
          </rPr>
          <t>Mari-Anne Liblik:</t>
        </r>
        <r>
          <rPr>
            <sz val="9"/>
            <color indexed="81"/>
            <rFont val="Segoe UI"/>
            <family val="2"/>
            <charset val="186"/>
          </rPr>
          <t xml:space="preserve">
Mittemõõdetav tunnus</t>
        </r>
      </text>
    </comment>
    <comment ref="BR463" authorId="0" shapeId="0">
      <text>
        <r>
          <rPr>
            <b/>
            <sz val="9"/>
            <color indexed="81"/>
            <rFont val="Segoe UI"/>
            <family val="2"/>
            <charset val="186"/>
          </rPr>
          <t>Mari-Anne Liblik:</t>
        </r>
        <r>
          <rPr>
            <sz val="9"/>
            <color indexed="81"/>
            <rFont val="Segoe UI"/>
            <family val="2"/>
            <charset val="186"/>
          </rPr>
          <t xml:space="preserve">
Ühinemata murd</t>
        </r>
      </text>
    </comment>
  </commentList>
</comments>
</file>

<file path=xl/comments2.xml><?xml version="1.0" encoding="utf-8"?>
<comments xmlns="http://schemas.openxmlformats.org/spreadsheetml/2006/main">
  <authors>
    <author>MariAnne</author>
  </authors>
  <commentList>
    <comment ref="AO3" authorId="0" shapeId="0">
      <text>
        <r>
          <rPr>
            <b/>
            <sz val="12"/>
            <color indexed="81"/>
            <rFont val="Tahoma"/>
            <family val="2"/>
            <charset val="186"/>
          </rPr>
          <t>MariAnne:</t>
        </r>
        <r>
          <rPr>
            <sz val="12"/>
            <color indexed="81"/>
            <rFont val="Tahoma"/>
            <family val="2"/>
            <charset val="186"/>
          </rPr>
          <t xml:space="preserve">
1 - kerge
2 - keskmine
3 - märkimisväärne</t>
        </r>
      </text>
    </comment>
  </commentList>
</comments>
</file>

<file path=xl/sharedStrings.xml><?xml version="1.0" encoding="utf-8"?>
<sst xmlns="http://schemas.openxmlformats.org/spreadsheetml/2006/main" count="15944" uniqueCount="621">
  <si>
    <t>Nr.</t>
  </si>
  <si>
    <t>Vanus</t>
  </si>
  <si>
    <t>Sugu</t>
  </si>
  <si>
    <t>Patoloogiate märkused</t>
  </si>
  <si>
    <t>Keskmine hambakivi; kerge alveolaarkaarte reduktsioon; 9 ja 24 emailist tükk väljas</t>
  </si>
  <si>
    <t>35-45 a</t>
  </si>
  <si>
    <t>F</t>
  </si>
  <si>
    <t>Olemas</t>
  </si>
  <si>
    <t>PeriM</t>
  </si>
  <si>
    <t>pm</t>
  </si>
  <si>
    <t>am</t>
  </si>
  <si>
    <t>Iga</t>
  </si>
  <si>
    <t>A</t>
  </si>
  <si>
    <t>SA</t>
  </si>
  <si>
    <t>3-9 k</t>
  </si>
  <si>
    <t>?</t>
  </si>
  <si>
    <t>0-6 k</t>
  </si>
  <si>
    <t>0-2 k</t>
  </si>
  <si>
    <t>12a</t>
  </si>
  <si>
    <t>12b</t>
  </si>
  <si>
    <t>12c</t>
  </si>
  <si>
    <t>12d</t>
  </si>
  <si>
    <t>12e</t>
  </si>
  <si>
    <t>12f</t>
  </si>
  <si>
    <t>13a</t>
  </si>
  <si>
    <t>13b</t>
  </si>
  <si>
    <t>13c</t>
  </si>
  <si>
    <t>13d</t>
  </si>
  <si>
    <t>13e</t>
  </si>
  <si>
    <t>13f</t>
  </si>
  <si>
    <t>13g</t>
  </si>
  <si>
    <t>13h</t>
  </si>
  <si>
    <t>13i</t>
  </si>
  <si>
    <t>13j</t>
  </si>
  <si>
    <t>14a</t>
  </si>
  <si>
    <t>14b</t>
  </si>
  <si>
    <t>14c</t>
  </si>
  <si>
    <t>14d</t>
  </si>
  <si>
    <t>14e</t>
  </si>
  <si>
    <t>14f</t>
  </si>
  <si>
    <t>Täisk</t>
  </si>
  <si>
    <t>30-40 a</t>
  </si>
  <si>
    <t>M</t>
  </si>
  <si>
    <t>Kerge hambakivi; 8, 9, 16 ja X oklusaalpinna emailist tükid väljas</t>
  </si>
  <si>
    <t>45+ a</t>
  </si>
  <si>
    <t>Märkimisväärne alveolaarkaarte reduktsioon</t>
  </si>
  <si>
    <t>35a</t>
  </si>
  <si>
    <t>35b</t>
  </si>
  <si>
    <t>6-10 a</t>
  </si>
  <si>
    <t>X</t>
  </si>
  <si>
    <t>Kerge hambakivi</t>
  </si>
  <si>
    <t>0-9 k</t>
  </si>
  <si>
    <t>Kerge alveolaarkaarte reduktsioon; Kerge hambakivi</t>
  </si>
  <si>
    <t>4-6 a</t>
  </si>
  <si>
    <t>6-12 k</t>
  </si>
  <si>
    <t>2-4 a</t>
  </si>
  <si>
    <t>1 a ± 4 k</t>
  </si>
  <si>
    <t>22-26 a</t>
  </si>
  <si>
    <t>16-18 a</t>
  </si>
  <si>
    <t>5 a ± 16 k</t>
  </si>
  <si>
    <t>Kerge hambakivi; Kerge alveolaarkaarte reduktsioon</t>
  </si>
  <si>
    <t>Keskmine alveolaarkaarte reduktsioon; URC, ULI2, ULC</t>
  </si>
  <si>
    <t>40-45 a</t>
  </si>
  <si>
    <t>1-2 a</t>
  </si>
  <si>
    <t>8-11 a</t>
  </si>
  <si>
    <t>20-25 a</t>
  </si>
  <si>
    <t>Vähene hambakivi</t>
  </si>
  <si>
    <t>URM1 ja ULM2 mälumispinnast tükid väljas. LRI2 ja LRC emaili la pinnast tükid väljas, LRM1 ja  LLM1 mälumismpinnast tükid väljas.</t>
  </si>
  <si>
    <t>7-11 a</t>
  </si>
  <si>
    <t xml:space="preserve">URC ja URM2 ning ULC piimahammaste mälumispinnast tükid väljas; LRC ja LLC, LLM1 ja LLM2 piimahammaste mälumispinnast tükid väljas. </t>
  </si>
  <si>
    <t>Vähene hambakivi; kerge alveolaarkaarte reduktsioon. URI1, URI2, ULI2 ja ULC emailist tükid väljas; LRI2, LLI1 ja LLPM1 emailist tükid väljas. LRI2 ja LRC on lõikunud puseriti.</t>
  </si>
  <si>
    <t>40-50 a</t>
  </si>
  <si>
    <t>Hambaemailist tükid väljas: LRM1 ja LLPM2 ; keskmine hambakivi; kerge alveolaarkaarte reduktsioon</t>
  </si>
  <si>
    <t>25-35 a</t>
  </si>
  <si>
    <t>2 a ± 8 k</t>
  </si>
  <si>
    <t>20-30 a</t>
  </si>
  <si>
    <t>Keskmine hambakivi. Kerge alveolaarkaarte taandumine. Hambaemailist tükid väljas: URI2, LLI1. ULI2 on lõikunud valesti, jäädes I1 ja C taha; ULPM1 ja ULM1 vahele on jäänud m2 juur. Alalõualuu PM2 on lõikunud vastu M1.</t>
  </si>
  <si>
    <t>M ?</t>
  </si>
  <si>
    <t>5-9 a</t>
  </si>
  <si>
    <t>Hambaemailist tükid väljas: URC</t>
  </si>
  <si>
    <t>3-5 a</t>
  </si>
  <si>
    <t>ULI2 la poolel emailist tükk väljas; LLC la küljel ja LLM1 b küljel emailist tükk väljas</t>
  </si>
  <si>
    <t>71a</t>
  </si>
  <si>
    <t>71b</t>
  </si>
  <si>
    <t>71c</t>
  </si>
  <si>
    <t>10-20 a</t>
  </si>
  <si>
    <t>Keskmine hambakivi. Märkimisväärne alveolaarkaarte reduktsioon. Hambaemailist tükid väljas: URI1 ja ULI1, LRI1, LRI2, LRM3 ja LLI1, LLI2, LLPM2.</t>
  </si>
  <si>
    <t>Kerge hambakivi. Hambaemailist tükid väljas: ülalõualuus pa I1, I2, PM1, va PM1, PM2; alalõualuus pa PM2, va I1, PM2.</t>
  </si>
  <si>
    <t>25-30 a</t>
  </si>
  <si>
    <t>Keskmine hambakivi. Kerge alveolaarkaarte taandumine. Hambaemailist tükid väljas: ülalõualuus pa I1, I2, va I1; alalõualuus pa I2, va I2.</t>
  </si>
  <si>
    <t>Keskmine hambakivi. Kerge alveolaarkaarte reduktsioon. Hambaemailist tükid väljas: ülalõualuus pa I1, I2, M2, va I1; va I2-l terve krooniosa ära murdunud; alalõualuus pa I1, va I2.</t>
  </si>
  <si>
    <t>40+ a</t>
  </si>
  <si>
    <t>25-40 a</t>
  </si>
  <si>
    <t>18-19 a</t>
  </si>
  <si>
    <t>Hambaemailist tükid väljas: ülalõualuus pa I1 ja va I1; alalõualuus pa I1, PM1. Alalõualuu va PM2 on välja langenud, sest PM1 on talle sisse kasvanud.</t>
  </si>
  <si>
    <t>Keskmine hambakivi. Märkimisväärne alveoraalkaarte reduktsioon</t>
  </si>
  <si>
    <t>Väikelaps</t>
  </si>
  <si>
    <t>91a</t>
  </si>
  <si>
    <t>91b</t>
  </si>
  <si>
    <t>4-8 a</t>
  </si>
  <si>
    <t>11-13 a</t>
  </si>
  <si>
    <t>Üla- ja alalõualuu M1 emailid tugevalt deformeerunud, esineb lohke ja jooni – arenguhäire ? (PILT)</t>
  </si>
  <si>
    <t xml:space="preserve">Kerge hambakivi. Kerge alveolaarkaarte reduktsioon. </t>
  </si>
  <si>
    <t>12-15 a</t>
  </si>
  <si>
    <t xml:space="preserve">Kerge hambakivi. Kerge alveolaarkaarte reduktsioon. Hambaemailist tükid väljas: õlalõualuus Pa I2, C; Va I1, I2, C; alalõualuus </t>
  </si>
  <si>
    <t>5-11 a</t>
  </si>
  <si>
    <t>50+ a</t>
  </si>
  <si>
    <t>14-17 a</t>
  </si>
  <si>
    <t>Keskmine hambakivi. Ülalõualuu parema poole m2 ja alalõualuu m2 ei ole välja langenud, mistõttu mõlemad PM2-d ei ole täielikult lõikunud.</t>
  </si>
  <si>
    <t>1-3 a</t>
  </si>
  <si>
    <t>Keskmine hambakivi. Kerge alveolaarkaarte reduktsioon.</t>
  </si>
  <si>
    <t>Emailist tükid väljas: alalõualuu mõlemad c-d.</t>
  </si>
  <si>
    <t>Keskmine hambakivi. Keskmine alveolaarkaarte reduktsioon.</t>
  </si>
  <si>
    <t>11-14 a</t>
  </si>
  <si>
    <t>Ülalõualuu vasakul M2-l lisaköber. Hambaemailist tükid väljas: alalõualuu pa M2.</t>
  </si>
  <si>
    <t>14-15 a</t>
  </si>
  <si>
    <t>Kerge hambakivi. Ülalõualuu m2-d pole välja langenud, mistõttu PM2-d pole lõikunud.</t>
  </si>
  <si>
    <t>Vastsündinu</t>
  </si>
  <si>
    <t>0-4 (6) k</t>
  </si>
  <si>
    <t>Kerge hambakivi. Hambaemailist tükid väljas: ülalõualuu parem I1, I2, C, vasak I2, PM2, M1, M2;</t>
  </si>
  <si>
    <t>Kerge alveolaarkaarte reduktsioon. Kerge hambakivi. Emailist tükid väljas: ülalõulauus va I2; alalõulauus va I2.</t>
  </si>
  <si>
    <t xml:space="preserve">Emailist tükk väljas: alalõualuu pa C. </t>
  </si>
  <si>
    <t>12-14 a</t>
  </si>
  <si>
    <t>45-50 a</t>
  </si>
  <si>
    <t>PM2 valesti lõikunud, keskmine alevolaarkaarte reduktsioon</t>
  </si>
  <si>
    <t>Keskmine hambakivi. Kerge alveolaarkaarte reduktsioon. Emailist tükid väljas: parema poole I1, vasaku poole I1.</t>
  </si>
  <si>
    <t>Kerge hambakivi. Kerge alveolaarkaarte reduktsioon.</t>
  </si>
  <si>
    <t>Vähene hambakivi. Märkimisväärne alveolaarkaarte reduktsioon.</t>
  </si>
  <si>
    <t>Kerge hambakivi. Emailist tükid väljas: parema poole m2.</t>
  </si>
  <si>
    <t>Kerge hambakivi.</t>
  </si>
  <si>
    <t>11 a ± 30 k</t>
  </si>
  <si>
    <t>15-18 a</t>
  </si>
  <si>
    <t>18-21 a</t>
  </si>
  <si>
    <t>15-20 a</t>
  </si>
  <si>
    <t>Kerge alveolaarkaarte reduktsioon. Kerge hambakivi. Emailist tükid väljas: ülalõualuu parema poole I2, C ja vasaku poole I2; alalõualuu parema poole I1.</t>
  </si>
  <si>
    <t>Kerge hambakivi. Emailist tükid väljas: parema poole I1.</t>
  </si>
  <si>
    <t>18-20 a</t>
  </si>
  <si>
    <t>ÜC emailist tükk väljas, kerge hambakivi</t>
  </si>
  <si>
    <t>Pa I1, Pa I1, Va I1, Pa C1, Pa PM1, Pa M3 emailist tükk väljas, kerge hambakivi</t>
  </si>
  <si>
    <t>7-10 a</t>
  </si>
  <si>
    <t>Kerge hambakivi. Keskmine alveolaarkaarte reduktsioon. Emailist tükid väljas: ülalõualuu parema poole I1, I2, vasaku poole I1, I2.</t>
  </si>
  <si>
    <t>2-3 a</t>
  </si>
  <si>
    <t>Märkimisväärne alveolaarkaarte reduktsioon. Kerge hambakivi.</t>
  </si>
  <si>
    <t>7-9 a</t>
  </si>
  <si>
    <t>Kerge hambakivi, Va M2 emailist tükid väljas</t>
  </si>
  <si>
    <t>11-15 a</t>
  </si>
  <si>
    <t>Keskmine hambakivi, Pa I2 hambakroon on märkimisväärselt kulunud (mingi tegevuse käigus), keskmine alveolaarkaarte reduktsioon, Va I1, I2 emailist tükid väljas, C1-d lõikunud puseriti</t>
  </si>
  <si>
    <t>4-5 a</t>
  </si>
  <si>
    <t>Pa I2, C, PM2 tugevalt kulunud, M2 ebaühtlane kulumine, Va PM1 tugevalt kulunud, Pa I1, I2 emailist kild väljas, Pa C ebaühtlane kulumine, Va PM1 ebaühtlane kulumine, keskmine hambakivi, märkimisväärne alveolaarkaarte reduktsioon</t>
  </si>
  <si>
    <t>6-7 a</t>
  </si>
  <si>
    <t>Tugevasti kulunud, kerge hambakivi, märkimisväärne alveolaarkaarte reduktsioon</t>
  </si>
  <si>
    <t xml:space="preserve">kerge hambakivi, kerge alveolaarkaarte reduktsioon, Va C1, I1, PM1, Pa I2, C1 emailist tükid väljas, </t>
  </si>
  <si>
    <t>207a</t>
  </si>
  <si>
    <t>F ?</t>
  </si>
  <si>
    <t>207b</t>
  </si>
  <si>
    <t>17-20 a</t>
  </si>
  <si>
    <t>Max</t>
  </si>
  <si>
    <t>221a</t>
  </si>
  <si>
    <t>221b</t>
  </si>
  <si>
    <t>Pa C, PM1, PM2, Va C, PM1, PM2, M1 emailist kild väljas, kerge hambakivi</t>
  </si>
  <si>
    <t>PM2 ei ole lõikunud, nende asemel on piimahambad (m1), parem M2 ei ole lõikunud, kerge hambakivi</t>
  </si>
  <si>
    <t>12 a ± 30 k</t>
  </si>
  <si>
    <t>25-26 a</t>
  </si>
  <si>
    <t>Absc</t>
  </si>
  <si>
    <t>Al.R</t>
  </si>
  <si>
    <t>AM</t>
  </si>
  <si>
    <t>DEH</t>
  </si>
  <si>
    <t>DC</t>
  </si>
  <si>
    <t>Car.</t>
  </si>
  <si>
    <t>Cr</t>
  </si>
  <si>
    <t>COC</t>
  </si>
  <si>
    <t>CGT</t>
  </si>
  <si>
    <t>Lumb</t>
  </si>
  <si>
    <t>Metop</t>
  </si>
  <si>
    <t>Os A</t>
  </si>
  <si>
    <t>OA</t>
  </si>
  <si>
    <t>OCD</t>
  </si>
  <si>
    <t>T</t>
  </si>
  <si>
    <t>UHF</t>
  </si>
  <si>
    <t>HF</t>
  </si>
  <si>
    <t>Periost.</t>
  </si>
  <si>
    <t>Sacr.</t>
  </si>
  <si>
    <t>SN</t>
  </si>
  <si>
    <t>SpA</t>
  </si>
  <si>
    <t>S-loL</t>
  </si>
  <si>
    <t>SL</t>
  </si>
  <si>
    <t>Tr.</t>
  </si>
  <si>
    <t>DISH</t>
  </si>
  <si>
    <t>TB</t>
  </si>
  <si>
    <t>M/S</t>
  </si>
  <si>
    <t>Sc</t>
  </si>
  <si>
    <t>Ri</t>
  </si>
  <si>
    <t>CUT</t>
  </si>
  <si>
    <t>OM</t>
  </si>
  <si>
    <t>CF</t>
  </si>
  <si>
    <t>Pa I1, I2, C, Va I1, I2, C, Pa I1, I2, C, Va I1, I2, C emailist tükid väljas</t>
  </si>
  <si>
    <t>Spina bifida</t>
  </si>
  <si>
    <t>10 a ± 30 k</t>
  </si>
  <si>
    <t>CGS</t>
  </si>
  <si>
    <t>Osteitis</t>
  </si>
  <si>
    <t>Tum.</t>
  </si>
  <si>
    <t>12-16 a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</si>
  <si>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1 a</t>
    </r>
  </si>
  <si>
    <t>Märkused</t>
  </si>
  <si>
    <t>Luustumishäire</t>
  </si>
  <si>
    <t>Tr. OA</t>
  </si>
  <si>
    <t>Ankül</t>
  </si>
  <si>
    <t>Põlet</t>
  </si>
  <si>
    <t>Rinnakuluu keha on huvitava kujuga</t>
  </si>
  <si>
    <t>1 ?</t>
  </si>
  <si>
    <t>Kumb: Ri või M?</t>
  </si>
  <si>
    <t>StressF</t>
  </si>
  <si>
    <t>Sin T: kasvaja?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</si>
  <si>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1 a</t>
    </r>
  </si>
  <si>
    <t>Sinu</t>
  </si>
  <si>
    <t>Märkimisväärne hambakivi</t>
  </si>
  <si>
    <t>30-35 a</t>
  </si>
  <si>
    <t>Arenguhäire</t>
  </si>
  <si>
    <t>Lohukesed</t>
  </si>
  <si>
    <t>Kerge hambakivi. Lohukesed.</t>
  </si>
  <si>
    <t>Trep</t>
  </si>
  <si>
    <t>Podagra</t>
  </si>
  <si>
    <t>10-16 a</t>
  </si>
  <si>
    <t>Parem põlveliiges on kulunud mingi tegevuse tagajärjel</t>
  </si>
  <si>
    <t>Pa I1, I2, C, PM1, Va I1, I2, C, PM1 hambakroon on kulunud kuni juureni</t>
  </si>
  <si>
    <t>Caries sicca</t>
  </si>
  <si>
    <t>Osteoporoos</t>
  </si>
  <si>
    <t>Va I1, I2 emailist tükid väljas</t>
  </si>
  <si>
    <t>OMy</t>
  </si>
  <si>
    <t>Va I1, Pa I1, I2 emailist tükid väljas. Kerge hambkivi.</t>
  </si>
  <si>
    <t>Pa I2, Pa I1 emailist tükid väljas. Va ja Pa M3 juur on väljakujunenud.</t>
  </si>
  <si>
    <t>Süüfilis ?</t>
  </si>
  <si>
    <t>Pa ja Va PM1 ja PM2 tugevasti kulunud. Pa I1, Va I1 emailist tükid väljas.</t>
  </si>
  <si>
    <t>Pseudoartroos</t>
  </si>
  <si>
    <t>Pa m2 – okl pinnalt tükid väljas (PILT)</t>
  </si>
  <si>
    <t>Ühinemata HF</t>
  </si>
  <si>
    <t xml:space="preserve">Pa I1, I2, Va I1, I2 emailist tükid väljas. Kerge hambakivi. </t>
  </si>
  <si>
    <t xml:space="preserve">Va PM2 asemel on m1 (Hambakivi S l, Kaaries M d, o), Pa I1, Va I1, I2, Pa I1, I2, Va I1, C emailist tükid väljas. Keskmine hambakivi. 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</si>
  <si>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17 a</t>
    </r>
  </si>
  <si>
    <t>Emailist tükid väljas: va I1, I2; pa I1, I2, va I1, I2, Va C1.</t>
  </si>
  <si>
    <t>35-40 a</t>
  </si>
  <si>
    <t>13-16 a</t>
  </si>
  <si>
    <t xml:space="preserve">Pa I1, Va I1 emailist tükid väljas. </t>
  </si>
  <si>
    <t>Tsüst</t>
  </si>
  <si>
    <t xml:space="preserve">Va C on jäänud lõualuusse I1 ja I2 taha, selle asemel on piimahammas c. </t>
  </si>
  <si>
    <t>19-21 a</t>
  </si>
  <si>
    <t>Pa I1, Va I1, Va I1 emailist tükid väljas.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</si>
  <si>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11 a</t>
    </r>
  </si>
  <si>
    <t>14-16 a</t>
  </si>
  <si>
    <t>Pa I1, Va I1, Pa I1 emailist tükid väljas.</t>
  </si>
  <si>
    <t>Emailist tükid väljas: ülalõualuu C.</t>
  </si>
  <si>
    <t>Emailist tükid väljas Pa I2, Va I1, I2, C1, Pa I1, Va I1.</t>
  </si>
  <si>
    <t>5+ a</t>
  </si>
  <si>
    <t>17-19 a</t>
  </si>
  <si>
    <t>NMT</t>
  </si>
  <si>
    <t>Pa M2, Va C1, Va PM1 emailist tükk väljas.</t>
  </si>
  <si>
    <t>16-19 a</t>
  </si>
  <si>
    <t xml:space="preserve">am </t>
  </si>
  <si>
    <t xml:space="preserve">Pa M3 ei ole lõikunud, aga on lõualuu sees täielikult väljaarenenud. </t>
  </si>
  <si>
    <t xml:space="preserve">Pa I2 emailist tükid väljas. </t>
  </si>
  <si>
    <t xml:space="preserve">Pa I1, I2, Va I1, I2, Pa I1, I2, Va I1, I2 emailist tükid väjas. </t>
  </si>
  <si>
    <t>5-6 a</t>
  </si>
  <si>
    <t>vaod: 22 ja 27</t>
  </si>
  <si>
    <t>Pa, Va I2 emailist tükid väljas</t>
  </si>
  <si>
    <t>Pa I1 emailist tükid väljas.</t>
  </si>
  <si>
    <t>Murd</t>
  </si>
  <si>
    <t xml:space="preserve">Pa I2,Va I2, C1, Va C1 emailist tükid väljas. Kerge hambakivi. Kerge alveolaarkaarte reduktsioon. </t>
  </si>
  <si>
    <t xml:space="preserve">Pa C1, Va I2 emailist tükid väljas. </t>
  </si>
  <si>
    <t>Pa I1 emailist tükid väljas. Kerge hambakivi.</t>
  </si>
  <si>
    <t>Pa I1 emailist tükid väljas. Kerge hambakivi. Märkimisväärne alveolaarkaarte reduktsioon.</t>
  </si>
  <si>
    <t>14-20 a</t>
  </si>
  <si>
    <t>441a</t>
  </si>
  <si>
    <t>lohukesed: 27</t>
  </si>
  <si>
    <t>441b</t>
  </si>
  <si>
    <t>Laps</t>
  </si>
  <si>
    <t xml:space="preserve">Pa M2 on M1-le otsa kasvanud. </t>
  </si>
  <si>
    <t xml:space="preserve">Pa I1, M1, Va M1, M2, Pa C1, PM2,Va PM2 emailist tükid väljas. Va C1 on kahe juurega. Kerge hambakivi. </t>
  </si>
  <si>
    <t>Pa I1, I2, Va I1, I2 emailist tükid väljas.</t>
  </si>
  <si>
    <t>3-4 a</t>
  </si>
  <si>
    <t>lohukesed: 22 ja 27</t>
  </si>
  <si>
    <t>Pa C1 emailist tükk väljas. Kerge hambakivi. Keskmine alveolaarkaarte reduktsioon</t>
  </si>
  <si>
    <t xml:space="preserve">Kerge hambakivi, kerge alveolaarkaarte reduktsioon. Emailist tükid väljas: ülalõualuu pa I2, C, alalõualuu pa I1. Alalõualuu pa C o pind mingi tegevuse käigus kulunud.  </t>
  </si>
  <si>
    <t>13-18 a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</si>
  <si>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3 a</t>
    </r>
  </si>
  <si>
    <t>Kerge hambakivi. Keskmine alveolaarkaarte reduktsioon. Emailist tükid väljas: ülalõualuu va I2, alalõualuu pa I1, I2.</t>
  </si>
  <si>
    <t>Keskmine hambakivi. Märkimisväärne alveolaarkaarte reduktsioon. Emailist tükid väljas: ülalõualuu Pa I1.</t>
  </si>
  <si>
    <t>Ülalõualuu va poole I1 ja I2 on omavahel kokku kasvanud.</t>
  </si>
  <si>
    <t>484a</t>
  </si>
  <si>
    <t>484b</t>
  </si>
  <si>
    <t>Va I1, I2, C, Pa I1, I2 emailist tükid väljas. Kerge hambakivi.</t>
  </si>
  <si>
    <t>486a</t>
  </si>
  <si>
    <t xml:space="preserve">Pa I1, Va I1 emailist tükid väljas. Kerge alveolarkaarte reduktsioon. Kerge hambakivi. </t>
  </si>
  <si>
    <t>486b</t>
  </si>
  <si>
    <t>11+ a</t>
  </si>
  <si>
    <t>Lohukesed: 22</t>
  </si>
  <si>
    <t>Pa PM1, PM2 emilist tükid väljas. Kerge hambakivi. Kerge alveolaaarkaarte reduktsioon.</t>
  </si>
  <si>
    <t xml:space="preserve">Va I2 emailist tükid väljas. </t>
  </si>
  <si>
    <t xml:space="preserve">Mädane mandib. põletik </t>
  </si>
  <si>
    <t>Pa I1, Va I1, Pa I1, Va I1, I2 emailist tükk väljas. Va I1 mälumispinda on kulutatud sälk.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</si>
  <si>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10 a</t>
    </r>
  </si>
  <si>
    <t xml:space="preserve">Lohukesed: 6 ja 22. Pa ja va pm1, pa ja va pm2 defektne email. </t>
  </si>
  <si>
    <t>Lohukesed: 6, 11, 22.</t>
  </si>
  <si>
    <t>Emailist tükid väljas: ülalõualuu pa C.</t>
  </si>
  <si>
    <t>Ül. C ei ole moodustunud</t>
  </si>
  <si>
    <t>Luukasvised L3-L4</t>
  </si>
  <si>
    <t>Emailist tükid väljas: ülalõualuu va C, alalõualuu va I1.</t>
  </si>
  <si>
    <t>Alalõualuu intsisiivid ja silmahambad on lõikunud puseriti. Emailist tükid väljas: alalõualuu pa I1 ja va I1.</t>
  </si>
  <si>
    <r>
      <rPr>
        <sz val="11"/>
        <color indexed="8"/>
        <rFont val="Symbol"/>
        <family val="1"/>
        <charset val="2"/>
      </rPr>
      <t>&lt;</t>
    </r>
    <r>
      <rPr>
        <sz val="11"/>
        <color indexed="8"/>
        <rFont val="Calibri"/>
        <family val="2"/>
        <charset val="186"/>
      </rPr>
      <t xml:space="preserve"> 1 a</t>
    </r>
  </si>
  <si>
    <t xml:space="preserve">Alum Pa I1 emailist tükid väljas. </t>
  </si>
  <si>
    <t>Lohukesed: 27. Pa I1 emailist tükid väljas.</t>
  </si>
  <si>
    <t>Olemasolevad hambad tugevasti kulunud.</t>
  </si>
  <si>
    <t>Pa c1. Va C1 emailist tükid väljas.</t>
  </si>
  <si>
    <t>Lohukesed: 6, 22 ja 27.</t>
  </si>
  <si>
    <t>Ülemised I-, C- ja PM1-d tugevasti kulunud.</t>
  </si>
  <si>
    <t>Emailist tükid väljas: alalõualuu pa ja va I1–I2.</t>
  </si>
  <si>
    <t>Emailist tükid väljas: ülalõualuu pa I1, alalõualuu pa I1.</t>
  </si>
  <si>
    <t>Leepra</t>
  </si>
  <si>
    <r>
      <t>0</t>
    </r>
    <r>
      <rPr>
        <sz val="11"/>
        <color indexed="8"/>
        <rFont val="Calibri"/>
        <family val="2"/>
        <charset val="186"/>
      </rPr>
      <t>±</t>
    </r>
    <r>
      <rPr>
        <sz val="11"/>
        <color indexed="8"/>
        <rFont val="Calibri"/>
        <family val="2"/>
      </rPr>
      <t>2</t>
    </r>
    <r>
      <rPr>
        <sz val="13.2"/>
        <color indexed="8"/>
        <rFont val="Calibri"/>
        <family val="2"/>
        <charset val="186"/>
      </rPr>
      <t xml:space="preserve"> k</t>
    </r>
  </si>
  <si>
    <t>29a</t>
  </si>
  <si>
    <t>29b</t>
  </si>
  <si>
    <t>29c</t>
  </si>
  <si>
    <r>
      <rPr>
        <sz val="11"/>
        <color indexed="8"/>
        <rFont val="Calibri"/>
        <family val="2"/>
        <charset val="186"/>
      </rPr>
      <t>&lt;</t>
    </r>
    <r>
      <rPr>
        <sz val="13.2"/>
        <color indexed="8"/>
        <rFont val="Calibri"/>
        <family val="2"/>
        <charset val="186"/>
      </rPr>
      <t xml:space="preserve"> </t>
    </r>
    <r>
      <rPr>
        <sz val="11"/>
        <color indexed="8"/>
        <rFont val="Calibri"/>
        <family val="2"/>
      </rPr>
      <t>14 a</t>
    </r>
  </si>
  <si>
    <t>14-18 a</t>
  </si>
  <si>
    <r>
      <rPr>
        <sz val="11"/>
        <color indexed="8"/>
        <rFont val="Calibri"/>
        <family val="2"/>
      </rPr>
      <t xml:space="preserve">˂ </t>
    </r>
    <r>
      <rPr>
        <sz val="11"/>
        <color indexed="8"/>
        <rFont val="Calibri"/>
        <family val="2"/>
        <charset val="186"/>
      </rPr>
      <t>0</t>
    </r>
  </si>
  <si>
    <r>
      <rPr>
        <sz val="11"/>
        <color indexed="8"/>
        <rFont val="Calibri"/>
        <family val="2"/>
      </rPr>
      <t>˂</t>
    </r>
    <r>
      <rPr>
        <sz val="11"/>
        <color indexed="8"/>
        <rFont val="Calibri"/>
        <family val="2"/>
        <charset val="186"/>
      </rPr>
      <t xml:space="preserve"> </t>
    </r>
    <r>
      <rPr>
        <sz val="11"/>
        <color theme="1"/>
        <rFont val="Calibri"/>
        <family val="2"/>
        <charset val="186"/>
        <scheme val="minor"/>
      </rPr>
      <t>0</t>
    </r>
  </si>
  <si>
    <t>Alaealine</t>
  </si>
  <si>
    <t>1?</t>
  </si>
  <si>
    <r>
      <t>0</t>
    </r>
    <r>
      <rPr>
        <sz val="11"/>
        <color indexed="8"/>
        <rFont val="Calibri"/>
        <family val="2"/>
      </rPr>
      <t>±</t>
    </r>
    <r>
      <rPr>
        <sz val="11"/>
        <color theme="1"/>
        <rFont val="Calibri"/>
        <family val="2"/>
        <charset val="186"/>
        <scheme val="minor"/>
      </rPr>
      <t>2 k</t>
    </r>
  </si>
  <si>
    <t>2?</t>
  </si>
  <si>
    <t>Üks poolik rida</t>
  </si>
  <si>
    <t>skolioos?</t>
  </si>
  <si>
    <t>skolioos</t>
  </si>
  <si>
    <t>pajuoksamurd</t>
  </si>
  <si>
    <t/>
  </si>
  <si>
    <t>C</t>
  </si>
  <si>
    <t>I</t>
  </si>
  <si>
    <t>Parem ülemine</t>
  </si>
  <si>
    <t>Vasak ülemine</t>
  </si>
  <si>
    <t>Parem alumine</t>
  </si>
  <si>
    <t>Vasak alumine</t>
  </si>
  <si>
    <t>P</t>
  </si>
  <si>
    <t xml:space="preserve">P </t>
  </si>
  <si>
    <t>Kokku</t>
  </si>
  <si>
    <t>Puudub</t>
  </si>
  <si>
    <t>Puudu</t>
  </si>
  <si>
    <t>I1</t>
  </si>
  <si>
    <t>I2</t>
  </si>
  <si>
    <t>PH</t>
  </si>
  <si>
    <t>JH</t>
  </si>
  <si>
    <t>S</t>
  </si>
  <si>
    <t>am-kaotatud hambad</t>
  </si>
  <si>
    <t>Lõikumata hambad</t>
  </si>
  <si>
    <t>pm-kaotatud hambad</t>
  </si>
  <si>
    <t>Vanusekl</t>
  </si>
  <si>
    <t>Kroonuaia tn 2010</t>
  </si>
  <si>
    <r>
      <t xml:space="preserve">5 a </t>
    </r>
    <r>
      <rPr>
        <sz val="11"/>
        <color indexed="8"/>
        <rFont val="Calibri"/>
        <family val="2"/>
        <charset val="186"/>
      </rPr>
      <t>± 16 k</t>
    </r>
  </si>
  <si>
    <r>
      <t xml:space="preserve">12 a </t>
    </r>
    <r>
      <rPr>
        <sz val="11"/>
        <color indexed="8"/>
        <rFont val="Calibri"/>
        <family val="2"/>
        <charset val="186"/>
      </rPr>
      <t>± 30 k</t>
    </r>
  </si>
  <si>
    <t>J1</t>
  </si>
  <si>
    <t>J2</t>
  </si>
  <si>
    <t>I2/J1</t>
  </si>
  <si>
    <t>I1/I2</t>
  </si>
  <si>
    <t>PM</t>
  </si>
  <si>
    <t>Kaaries</t>
  </si>
  <si>
    <t>V.Kl.</t>
  </si>
  <si>
    <t>Max = PM</t>
  </si>
  <si>
    <t>I0</t>
  </si>
  <si>
    <t>MS</t>
  </si>
  <si>
    <t>Tase</t>
  </si>
  <si>
    <t>AMTL</t>
  </si>
  <si>
    <t>Lõikunud hambaid</t>
  </si>
  <si>
    <t>Mitmel</t>
  </si>
  <si>
    <t>Hambaid</t>
  </si>
  <si>
    <t>AVG</t>
  </si>
  <si>
    <t>1/X</t>
  </si>
  <si>
    <t>%</t>
  </si>
  <si>
    <t>KOKKU</t>
  </si>
  <si>
    <t>Alumised C-d on piimahambad.</t>
  </si>
  <si>
    <t>Nr</t>
  </si>
  <si>
    <t>Hambakivi</t>
  </si>
  <si>
    <t>Säilinud hambaid</t>
  </si>
  <si>
    <t>Hambakiviga hammaste %</t>
  </si>
  <si>
    <t>Vasak alumine 5 on m1</t>
  </si>
  <si>
    <t>Kaariesega hammaste %</t>
  </si>
  <si>
    <t>AM-kaotatud hammaste %</t>
  </si>
  <si>
    <t>AM-kaotatud hammaste arv</t>
  </si>
  <si>
    <r>
      <t>Pa I1 emailist tükid väljas, Pa PM</t>
    </r>
    <r>
      <rPr>
        <vertAlign val="superscript"/>
        <sz val="9"/>
        <color indexed="8"/>
        <rFont val="Calibri"/>
        <family val="2"/>
        <charset val="186"/>
        <scheme val="minor"/>
      </rPr>
      <t>2</t>
    </r>
    <r>
      <rPr>
        <sz val="9"/>
        <color indexed="8"/>
        <rFont val="Calibri"/>
        <family val="2"/>
        <charset val="186"/>
        <scheme val="minor"/>
      </rPr>
      <t xml:space="preserve"> asemel on m</t>
    </r>
    <r>
      <rPr>
        <vertAlign val="superscript"/>
        <sz val="9"/>
        <color indexed="8"/>
        <rFont val="Calibri"/>
        <family val="2"/>
        <charset val="186"/>
        <scheme val="minor"/>
      </rPr>
      <t>2</t>
    </r>
    <r>
      <rPr>
        <sz val="9"/>
        <color indexed="8"/>
        <rFont val="Calibri"/>
        <family val="2"/>
        <charset val="186"/>
        <scheme val="minor"/>
      </rPr>
      <t>; Ülalõua Pa poolel olemas c; kerge hambakivi</t>
    </r>
  </si>
  <si>
    <r>
      <t>Va PM</t>
    </r>
    <r>
      <rPr>
        <vertAlign val="subscript"/>
        <sz val="9"/>
        <color indexed="8"/>
        <rFont val="Calibri"/>
        <family val="2"/>
        <charset val="186"/>
        <scheme val="minor"/>
      </rPr>
      <t>2</t>
    </r>
    <r>
      <rPr>
        <sz val="9"/>
        <color indexed="8"/>
        <rFont val="Calibri"/>
        <family val="2"/>
        <charset val="186"/>
        <scheme val="minor"/>
      </rPr>
      <t xml:space="preserve"> asemel on m</t>
    </r>
    <r>
      <rPr>
        <vertAlign val="subscript"/>
        <sz val="9"/>
        <color indexed="8"/>
        <rFont val="Calibri"/>
        <family val="2"/>
        <charset val="186"/>
        <scheme val="minor"/>
      </rPr>
      <t>2</t>
    </r>
    <r>
      <rPr>
        <sz val="9"/>
        <color indexed="8"/>
        <rFont val="Calibri"/>
        <family val="2"/>
        <charset val="186"/>
        <scheme val="minor"/>
      </rPr>
      <t>; Pa PM</t>
    </r>
    <r>
      <rPr>
        <vertAlign val="superscript"/>
        <sz val="9"/>
        <color indexed="8"/>
        <rFont val="Calibri"/>
        <family val="2"/>
        <charset val="186"/>
        <scheme val="minor"/>
      </rPr>
      <t>2</t>
    </r>
    <r>
      <rPr>
        <sz val="9"/>
        <color indexed="8"/>
        <rFont val="Calibri"/>
        <family val="2"/>
        <charset val="186"/>
        <scheme val="minor"/>
      </rPr>
      <t xml:space="preserve"> asemel on m</t>
    </r>
    <r>
      <rPr>
        <vertAlign val="superscript"/>
        <sz val="9"/>
        <color indexed="8"/>
        <rFont val="Calibri"/>
        <family val="2"/>
        <charset val="186"/>
        <scheme val="minor"/>
      </rPr>
      <t>2</t>
    </r>
    <r>
      <rPr>
        <sz val="9"/>
        <color indexed="8"/>
        <rFont val="Calibri"/>
        <family val="2"/>
        <charset val="186"/>
        <scheme val="minor"/>
      </rPr>
      <t xml:space="preserve"> (hambakivi: M b); </t>
    </r>
  </si>
  <si>
    <r>
      <t>Keskmine hambakivi. Keskmine alveolaarkaarte reduktsioon. Hambaemailist tükid väljas: ülalõualuus pa I</t>
    </r>
    <r>
      <rPr>
        <vertAlign val="superscript"/>
        <sz val="11"/>
        <color indexed="8"/>
        <rFont val="Calibri"/>
        <family val="2"/>
        <charset val="186"/>
        <scheme val="minor"/>
      </rPr>
      <t>2</t>
    </r>
    <r>
      <rPr>
        <sz val="11"/>
        <color indexed="8"/>
        <rFont val="Calibri"/>
        <family val="2"/>
        <charset val="186"/>
        <scheme val="minor"/>
      </rPr>
      <t xml:space="preserve"> ja va I</t>
    </r>
    <r>
      <rPr>
        <vertAlign val="superscript"/>
        <sz val="11"/>
        <color indexed="8"/>
        <rFont val="Calibri"/>
        <family val="2"/>
        <charset val="186"/>
        <scheme val="minor"/>
      </rPr>
      <t>1</t>
    </r>
    <r>
      <rPr>
        <sz val="11"/>
        <color indexed="8"/>
        <rFont val="Calibri"/>
        <family val="2"/>
        <charset val="186"/>
        <scheme val="minor"/>
      </rPr>
      <t>, I</t>
    </r>
    <r>
      <rPr>
        <vertAlign val="superscript"/>
        <sz val="11"/>
        <color indexed="8"/>
        <rFont val="Calibri"/>
        <family val="2"/>
        <charset val="186"/>
        <scheme val="minor"/>
      </rPr>
      <t>2</t>
    </r>
    <r>
      <rPr>
        <sz val="11"/>
        <color indexed="8"/>
        <rFont val="Calibri"/>
        <family val="2"/>
        <charset val="186"/>
        <scheme val="minor"/>
      </rPr>
      <t>, C.</t>
    </r>
  </si>
  <si>
    <t>Säilinud hambapindu</t>
  </si>
  <si>
    <t>Lõikunud (säilinud+AM+PM)</t>
  </si>
  <si>
    <t>Jakobi 25</t>
  </si>
  <si>
    <t>Mitmel hambal</t>
  </si>
  <si>
    <t>AM-kaotatud hambad</t>
  </si>
  <si>
    <t>Lineaarne</t>
  </si>
  <si>
    <t>HH puudub</t>
  </si>
  <si>
    <t>Lineaarne + lohukesed/vaod</t>
  </si>
  <si>
    <t>Vaod</t>
  </si>
  <si>
    <t>Mitu reas kokku</t>
  </si>
  <si>
    <t>Mitmes lahtris</t>
  </si>
  <si>
    <t>L</t>
  </si>
  <si>
    <t>LLLLL</t>
  </si>
  <si>
    <t>SS</t>
  </si>
  <si>
    <t>LLLL</t>
  </si>
  <si>
    <t>SMS</t>
  </si>
  <si>
    <t>LL</t>
  </si>
  <si>
    <t>SM</t>
  </si>
  <si>
    <t>SSSSS</t>
  </si>
  <si>
    <t>MM</t>
  </si>
  <si>
    <t>LLL</t>
  </si>
  <si>
    <t>MMM</t>
  </si>
  <si>
    <t>SSS</t>
  </si>
  <si>
    <t>SMM</t>
  </si>
  <si>
    <t>SSM</t>
  </si>
  <si>
    <t>MMMM</t>
  </si>
  <si>
    <t>LLS</t>
  </si>
  <si>
    <t>LS</t>
  </si>
  <si>
    <t>Kui mitu on tulbas kokku</t>
  </si>
  <si>
    <t>Ülemised hambad</t>
  </si>
  <si>
    <t>Alumised hambad</t>
  </si>
  <si>
    <t>Säilinud</t>
  </si>
  <si>
    <t>Säilinud + AM</t>
  </si>
  <si>
    <t>PM + AM + hambad</t>
  </si>
  <si>
    <t>AB</t>
  </si>
  <si>
    <t>LEH</t>
  </si>
  <si>
    <t>Kaaries %</t>
  </si>
  <si>
    <t>DC %</t>
  </si>
  <si>
    <t>AM %</t>
  </si>
  <si>
    <t>AB %</t>
  </si>
  <si>
    <t>LEH %</t>
  </si>
  <si>
    <t>DC%</t>
  </si>
  <si>
    <t>AM%</t>
  </si>
  <si>
    <t>b</t>
  </si>
  <si>
    <t>l</t>
  </si>
  <si>
    <t>h</t>
  </si>
  <si>
    <t>m</t>
  </si>
  <si>
    <t>d</t>
  </si>
  <si>
    <t>o</t>
  </si>
  <si>
    <t>Säilinud hammaste arv</t>
  </si>
  <si>
    <t>Pindasid kokku</t>
  </si>
  <si>
    <t>DC hambad</t>
  </si>
  <si>
    <t>dbmlo</t>
  </si>
  <si>
    <t>l, o</t>
  </si>
  <si>
    <t>mlobd</t>
  </si>
  <si>
    <t>o, d</t>
  </si>
  <si>
    <t>b, m, l, o</t>
  </si>
  <si>
    <t>m, d, o</t>
  </si>
  <si>
    <t>m, d</t>
  </si>
  <si>
    <t>m, o</t>
  </si>
  <si>
    <t>h, m, d</t>
  </si>
  <si>
    <t>o, m</t>
  </si>
  <si>
    <t>d, m</t>
  </si>
  <si>
    <t>mlohd</t>
  </si>
  <si>
    <t>MS1</t>
  </si>
  <si>
    <t>b, o</t>
  </si>
  <si>
    <t>d, o</t>
  </si>
  <si>
    <t>m, d, l, o</t>
  </si>
  <si>
    <t>h, d</t>
  </si>
  <si>
    <t>m, b</t>
  </si>
  <si>
    <t>o, l, d</t>
  </si>
  <si>
    <t>d, o, l</t>
  </si>
  <si>
    <t>m, l</t>
  </si>
  <si>
    <t>b, d</t>
  </si>
  <si>
    <t>m, b, d</t>
  </si>
  <si>
    <t>d, l</t>
  </si>
  <si>
    <t>b, m</t>
  </si>
  <si>
    <t>PILT</t>
  </si>
  <si>
    <t>V.A.5 on m1</t>
  </si>
  <si>
    <t>b, d, l</t>
  </si>
  <si>
    <t>m, o, d</t>
  </si>
  <si>
    <t>mlbdo</t>
  </si>
  <si>
    <t>MS2</t>
  </si>
  <si>
    <t>b, l, d</t>
  </si>
  <si>
    <t>m, b, o</t>
  </si>
  <si>
    <t>o, l</t>
  </si>
  <si>
    <t>m, b, l</t>
  </si>
  <si>
    <t>m, b, l, o</t>
  </si>
  <si>
    <t>d, l, b</t>
  </si>
  <si>
    <t>m, l, o</t>
  </si>
  <si>
    <t>b, m, l</t>
  </si>
  <si>
    <t>b, m, o</t>
  </si>
  <si>
    <t>b, d, o, m</t>
  </si>
  <si>
    <t>m, o, l</t>
  </si>
  <si>
    <t>b, d, o</t>
  </si>
  <si>
    <t>b, d, m</t>
  </si>
  <si>
    <t>Ülemised</t>
  </si>
  <si>
    <t>Alumised</t>
  </si>
  <si>
    <t>h = la</t>
  </si>
  <si>
    <t>Hambapinnad</t>
  </si>
  <si>
    <t>Haaratud hambaid</t>
  </si>
  <si>
    <r>
      <t>Haaratud hambaid</t>
    </r>
    <r>
      <rPr>
        <sz val="11"/>
        <color theme="1"/>
        <rFont val="Calibri"/>
        <family val="2"/>
        <charset val="186"/>
      </rPr>
      <t>²</t>
    </r>
  </si>
  <si>
    <r>
      <t>Haaratud hambaid</t>
    </r>
    <r>
      <rPr>
        <sz val="11"/>
        <color theme="1"/>
        <rFont val="Calibri"/>
        <family val="2"/>
        <charset val="186"/>
      </rPr>
      <t>₂</t>
    </r>
  </si>
  <si>
    <t>-</t>
  </si>
  <si>
    <t>+</t>
  </si>
  <si>
    <t>a</t>
  </si>
  <si>
    <t>h, m, d, l</t>
  </si>
  <si>
    <t>b, m, d, l, o</t>
  </si>
  <si>
    <t>b, m, d, l</t>
  </si>
  <si>
    <t>h, l, m, d</t>
  </si>
  <si>
    <t>h, d, l</t>
  </si>
  <si>
    <t>b, l</t>
  </si>
  <si>
    <t>h, l</t>
  </si>
  <si>
    <t>h, m</t>
  </si>
  <si>
    <t>l, m, d</t>
  </si>
  <si>
    <t>d, l, m, b</t>
  </si>
  <si>
    <t>b, l, o</t>
  </si>
  <si>
    <t>m, l, b</t>
  </si>
  <si>
    <t>h, l, d, m</t>
  </si>
  <si>
    <t>h, l, m</t>
  </si>
  <si>
    <t>d, m, b</t>
  </si>
  <si>
    <t>d, b, l</t>
  </si>
  <si>
    <t>m, h</t>
  </si>
  <si>
    <t>l, b</t>
  </si>
  <si>
    <t>b, m, d</t>
  </si>
  <si>
    <t>h, o</t>
  </si>
  <si>
    <t>h, m, l</t>
  </si>
  <si>
    <t>m, d, l</t>
  </si>
  <si>
    <t>l, h, m, d</t>
  </si>
  <si>
    <t>h, d, m, l</t>
  </si>
  <si>
    <t>l, d</t>
  </si>
  <si>
    <t>b, d, m, l</t>
  </si>
  <si>
    <t>m, b, d, l</t>
  </si>
  <si>
    <t>h, l, d</t>
  </si>
  <si>
    <t xml:space="preserve">b, m, d, l, </t>
  </si>
  <si>
    <t>mhdl</t>
  </si>
  <si>
    <t>b, m, d, l,</t>
  </si>
  <si>
    <t>d, b, m, l</t>
  </si>
  <si>
    <t>h, m, l, d</t>
  </si>
  <si>
    <t xml:space="preserve">d, m, h, l, </t>
  </si>
  <si>
    <t>d, m, h, l</t>
  </si>
  <si>
    <t>d, m, g, l</t>
  </si>
  <si>
    <t>d, b, m</t>
  </si>
  <si>
    <t>d, m, b, l</t>
  </si>
  <si>
    <t>d, m, h</t>
  </si>
  <si>
    <t>d, l, o</t>
  </si>
  <si>
    <t>h, m, d, l,</t>
  </si>
  <si>
    <t>m, d, b, l</t>
  </si>
  <si>
    <t>b, m, dl</t>
  </si>
  <si>
    <t>d, b</t>
  </si>
  <si>
    <t>l, d, b</t>
  </si>
  <si>
    <t>m, d, b</t>
  </si>
  <si>
    <t>l, m</t>
  </si>
  <si>
    <t xml:space="preserve">h, md, l, </t>
  </si>
  <si>
    <t>m, b, d, l, o</t>
  </si>
  <si>
    <t>l, b, d</t>
  </si>
  <si>
    <t>bdl</t>
  </si>
  <si>
    <t>hmd</t>
  </si>
  <si>
    <t>mdl</t>
  </si>
  <si>
    <t>hmdl</t>
  </si>
  <si>
    <t>mb</t>
  </si>
  <si>
    <t>mbd</t>
  </si>
  <si>
    <t>mbdl</t>
  </si>
  <si>
    <t>bdml</t>
  </si>
  <si>
    <t>bmdl</t>
  </si>
  <si>
    <t>mbdlo</t>
  </si>
  <si>
    <t>lbd</t>
  </si>
  <si>
    <t>bd</t>
  </si>
  <si>
    <t>hml</t>
  </si>
  <si>
    <t>lm</t>
  </si>
  <si>
    <t>mld</t>
  </si>
  <si>
    <t>mlbd</t>
  </si>
  <si>
    <t>md</t>
  </si>
  <si>
    <t>hd</t>
  </si>
  <si>
    <t>ld</t>
  </si>
  <si>
    <t>mbl</t>
  </si>
  <si>
    <t>hm</t>
  </si>
  <si>
    <t>hl</t>
  </si>
  <si>
    <t>hdl</t>
  </si>
  <si>
    <t>bl</t>
  </si>
  <si>
    <t>ml</t>
  </si>
  <si>
    <t>lmd</t>
  </si>
  <si>
    <t>mhld</t>
  </si>
  <si>
    <t>bm</t>
  </si>
  <si>
    <t>bmd</t>
  </si>
  <si>
    <t>dmb</t>
  </si>
  <si>
    <t>lb</t>
  </si>
  <si>
    <t>dbml</t>
  </si>
  <si>
    <t>mdo</t>
  </si>
  <si>
    <t>mlhd</t>
  </si>
  <si>
    <t>mlb</t>
  </si>
  <si>
    <t>lh</t>
  </si>
  <si>
    <t>hmld</t>
  </si>
  <si>
    <t>dl</t>
  </si>
  <si>
    <t>lmb</t>
  </si>
  <si>
    <t>bod</t>
  </si>
  <si>
    <t>lhmd</t>
  </si>
  <si>
    <t>db</t>
  </si>
  <si>
    <t>bld</t>
  </si>
  <si>
    <t>hlmd</t>
  </si>
  <si>
    <t>hh</t>
  </si>
  <si>
    <t>dk</t>
  </si>
  <si>
    <t>mhd</t>
  </si>
  <si>
    <t>blo</t>
  </si>
  <si>
    <t>mh</t>
  </si>
  <si>
    <t>hdml</t>
  </si>
  <si>
    <t>mbdo</t>
  </si>
  <si>
    <t>mlh</t>
  </si>
  <si>
    <t>ö</t>
  </si>
  <si>
    <t>bml</t>
  </si>
  <si>
    <t>lmh</t>
  </si>
  <si>
    <t>bdmlo</t>
  </si>
  <si>
    <t>mbld</t>
  </si>
  <si>
    <t>lhd</t>
  </si>
  <si>
    <t>dlb</t>
  </si>
  <si>
    <t>bdlo</t>
  </si>
  <si>
    <t>bmld</t>
  </si>
  <si>
    <t>mldh</t>
  </si>
  <si>
    <t>,hd</t>
  </si>
  <si>
    <t>bmdlo</t>
  </si>
  <si>
    <t>lo</t>
  </si>
  <si>
    <t>mbldo</t>
  </si>
  <si>
    <t>haaratud pindu</t>
  </si>
  <si>
    <t>säilinud pinnad</t>
  </si>
  <si>
    <t>Haaratud % pindadest</t>
  </si>
  <si>
    <r>
      <t>DC hambad</t>
    </r>
    <r>
      <rPr>
        <b/>
        <sz val="11"/>
        <color theme="1"/>
        <rFont val="Calibri"/>
        <family val="2"/>
        <charset val="186"/>
      </rPr>
      <t>²</t>
    </r>
  </si>
  <si>
    <r>
      <t>DC hambad</t>
    </r>
    <r>
      <rPr>
        <b/>
        <sz val="11"/>
        <color theme="1"/>
        <rFont val="Calibri"/>
        <family val="2"/>
        <charset val="186"/>
      </rPr>
      <t>₂</t>
    </r>
  </si>
  <si>
    <t>Ei esine</t>
  </si>
  <si>
    <t>0 patoloogiat</t>
  </si>
  <si>
    <t>6 patoloogiat</t>
  </si>
  <si>
    <t>Pat. arv</t>
  </si>
  <si>
    <t>P. tühikud</t>
  </si>
  <si>
    <t>Al. reduktsioon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</si>
</sst>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27"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186"/>
    </font>
    <font>
      <sz val="13.2"/>
      <color indexed="8"/>
      <name val="Calibri"/>
      <family val="2"/>
      <charset val="186"/>
    </font>
    <font>
      <sz val="9"/>
      <color indexed="81"/>
      <name val="Segoe UI"/>
      <family val="2"/>
      <charset val="186"/>
    </font>
    <font>
      <b/>
      <sz val="9"/>
      <color indexed="81"/>
      <name val="Segoe UI"/>
      <family val="2"/>
      <charset val="186"/>
    </font>
    <font>
      <sz val="11"/>
      <color indexed="8"/>
      <name val="Symbol"/>
      <family val="1"/>
      <charset val="2"/>
    </font>
    <font>
      <sz val="11"/>
      <color indexed="8"/>
      <name val="Calibri"/>
      <family val="2"/>
    </font>
    <font>
      <sz val="12"/>
      <color indexed="81"/>
      <name val="Tahoma"/>
      <family val="2"/>
      <charset val="186"/>
    </font>
    <font>
      <b/>
      <sz val="12"/>
      <color indexed="81"/>
      <name val="Tahoma"/>
      <family val="2"/>
      <charset val="186"/>
    </font>
    <font>
      <u/>
      <sz val="11"/>
      <color theme="10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1"/>
      <charset val="2"/>
    </font>
    <font>
      <sz val="11"/>
      <color theme="1"/>
      <name val="Calibri"/>
      <family val="2"/>
      <charset val="186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186"/>
    </font>
    <font>
      <sz val="11"/>
      <name val="Calibri"/>
      <family val="2"/>
      <charset val="186"/>
      <scheme val="minor"/>
    </font>
    <font>
      <sz val="9"/>
      <color theme="1"/>
      <name val="Calibri"/>
      <family val="2"/>
      <charset val="186"/>
      <scheme val="minor"/>
    </font>
    <font>
      <vertAlign val="superscript"/>
      <sz val="9"/>
      <color indexed="8"/>
      <name val="Calibri"/>
      <family val="2"/>
      <charset val="186"/>
      <scheme val="minor"/>
    </font>
    <font>
      <sz val="9"/>
      <color indexed="8"/>
      <name val="Calibri"/>
      <family val="2"/>
      <charset val="186"/>
      <scheme val="minor"/>
    </font>
    <font>
      <vertAlign val="subscript"/>
      <sz val="9"/>
      <color indexed="8"/>
      <name val="Calibri"/>
      <family val="2"/>
      <charset val="186"/>
      <scheme val="minor"/>
    </font>
    <font>
      <vertAlign val="superscript"/>
      <sz val="11"/>
      <color indexed="8"/>
      <name val="Calibri"/>
      <family val="2"/>
      <charset val="186"/>
      <scheme val="minor"/>
    </font>
    <font>
      <sz val="11"/>
      <color indexed="8"/>
      <name val="Calibri"/>
      <family val="2"/>
      <charset val="186"/>
      <scheme val="minor"/>
    </font>
    <font>
      <sz val="11"/>
      <color theme="0"/>
      <name val="Calibri"/>
      <family val="2"/>
      <charset val="186"/>
      <scheme val="minor"/>
    </font>
    <font>
      <sz val="11"/>
      <name val="Calibri"/>
      <family val="2"/>
      <charset val="186"/>
    </font>
    <font>
      <b/>
      <sz val="11"/>
      <name val="Calibri"/>
      <family val="2"/>
      <charset val="186"/>
      <scheme val="minor"/>
    </font>
    <font>
      <b/>
      <sz val="11"/>
      <color theme="1"/>
      <name val="Calibri"/>
      <family val="2"/>
      <charset val="186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66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604">
    <xf numFmtId="0" fontId="0" fillId="0" borderId="0" xfId="0"/>
    <xf numFmtId="0" fontId="0" fillId="0" borderId="0" xfId="0" quotePrefix="1"/>
    <xf numFmtId="0" fontId="11" fillId="0" borderId="0" xfId="0" applyFont="1"/>
    <xf numFmtId="0" fontId="0" fillId="2" borderId="0" xfId="0" applyFill="1"/>
    <xf numFmtId="18" fontId="0" fillId="0" borderId="0" xfId="0" applyNumberFormat="1"/>
    <xf numFmtId="0" fontId="0" fillId="0" borderId="0" xfId="0" applyFill="1" applyBorder="1"/>
    <xf numFmtId="0" fontId="9" fillId="0" borderId="0" xfId="1"/>
    <xf numFmtId="0" fontId="12" fillId="0" borderId="0" xfId="0" applyFont="1"/>
    <xf numFmtId="0" fontId="0" fillId="0" borderId="0" xfId="0" applyFill="1"/>
    <xf numFmtId="16" fontId="0" fillId="0" borderId="0" xfId="0" applyNumberForma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/>
    <xf numFmtId="0" fontId="13" fillId="0" borderId="0" xfId="0" applyFont="1" applyFill="1"/>
    <xf numFmtId="0" fontId="14" fillId="0" borderId="0" xfId="0" applyFont="1" applyFill="1"/>
    <xf numFmtId="49" fontId="0" fillId="0" borderId="0" xfId="0" applyNumberFormat="1" applyFont="1"/>
    <xf numFmtId="0" fontId="0" fillId="0" borderId="0" xfId="0" applyNumberFormat="1" applyFont="1"/>
    <xf numFmtId="0" fontId="0" fillId="0" borderId="0" xfId="0" applyFont="1"/>
    <xf numFmtId="0" fontId="0" fillId="0" borderId="0" xfId="0" applyBorder="1"/>
    <xf numFmtId="0" fontId="0" fillId="0" borderId="0" xfId="0" quotePrefix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Fill="1" applyBorder="1"/>
    <xf numFmtId="0" fontId="0" fillId="0" borderId="2" xfId="0" applyFill="1" applyBorder="1"/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15" fillId="0" borderId="0" xfId="0" applyFont="1" applyBorder="1"/>
    <xf numFmtId="0" fontId="0" fillId="0" borderId="13" xfId="0" applyBorder="1" applyAlignment="1">
      <alignment horizontal="center"/>
    </xf>
    <xf numFmtId="0" fontId="0" fillId="7" borderId="0" xfId="0" applyFill="1"/>
    <xf numFmtId="0" fontId="0" fillId="7" borderId="0" xfId="0" applyFill="1" applyBorder="1"/>
    <xf numFmtId="0" fontId="11" fillId="0" borderId="0" xfId="0" applyFont="1" applyFill="1"/>
    <xf numFmtId="18" fontId="0" fillId="0" borderId="0" xfId="0" applyNumberFormat="1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16" fillId="0" borderId="0" xfId="0" applyFont="1" applyFill="1"/>
    <xf numFmtId="0" fontId="1" fillId="0" borderId="0" xfId="0" applyFont="1" applyFill="1"/>
    <xf numFmtId="0" fontId="0" fillId="10" borderId="0" xfId="0" applyFill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5" fillId="0" borderId="0" xfId="0" applyFont="1" applyBorder="1" applyAlignment="1">
      <alignment vertical="center"/>
    </xf>
    <xf numFmtId="0" fontId="0" fillId="0" borderId="0" xfId="0"/>
    <xf numFmtId="0" fontId="0" fillId="0" borderId="0" xfId="0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/>
    <xf numFmtId="164" fontId="0" fillId="0" borderId="0" xfId="0" applyNumberFormat="1" applyFill="1"/>
    <xf numFmtId="0" fontId="0" fillId="13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12" fillId="0" borderId="0" xfId="0" applyFont="1" applyFill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165" fontId="0" fillId="0" borderId="0" xfId="0" applyNumberFormat="1" applyFill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Alignment="1">
      <alignment wrapText="1"/>
    </xf>
    <xf numFmtId="0" fontId="0" fillId="8" borderId="0" xfId="0" applyFill="1"/>
    <xf numFmtId="0" fontId="0" fillId="0" borderId="0" xfId="0" applyFont="1" applyFill="1"/>
    <xf numFmtId="0" fontId="0" fillId="0" borderId="0" xfId="0" applyFont="1" applyFill="1" applyBorder="1"/>
    <xf numFmtId="0" fontId="0" fillId="0" borderId="0" xfId="0" applyFont="1" applyBorder="1"/>
    <xf numFmtId="0" fontId="17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3" borderId="9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7" borderId="25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0" fillId="7" borderId="16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7" xfId="0" applyFill="1" applyBorder="1" applyAlignment="1">
      <alignment horizontal="center"/>
    </xf>
    <xf numFmtId="0" fontId="0" fillId="14" borderId="26" xfId="0" applyFill="1" applyBorder="1" applyAlignment="1">
      <alignment horizontal="center"/>
    </xf>
    <xf numFmtId="0" fontId="0" fillId="13" borderId="26" xfId="0" applyFill="1" applyBorder="1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0" fillId="0" borderId="0" xfId="0" applyFill="1" applyAlignment="1">
      <alignment vertical="center" wrapText="1"/>
    </xf>
    <xf numFmtId="0" fontId="0" fillId="7" borderId="0" xfId="0" applyFill="1" applyAlignment="1">
      <alignment vertical="center" wrapText="1"/>
    </xf>
    <xf numFmtId="0" fontId="16" fillId="7" borderId="0" xfId="0" applyFont="1" applyFill="1"/>
    <xf numFmtId="0" fontId="10" fillId="7" borderId="0" xfId="0" applyFont="1" applyFill="1"/>
    <xf numFmtId="0" fontId="16" fillId="7" borderId="26" xfId="0" applyFont="1" applyFill="1" applyBorder="1" applyAlignment="1">
      <alignment horizontal="center"/>
    </xf>
    <xf numFmtId="0" fontId="16" fillId="7" borderId="14" xfId="0" applyFont="1" applyFill="1" applyBorder="1" applyAlignment="1">
      <alignment horizontal="center"/>
    </xf>
    <xf numFmtId="0" fontId="0" fillId="0" borderId="0" xfId="0" applyBorder="1" applyAlignment="1"/>
    <xf numFmtId="0" fontId="0" fillId="13" borderId="26" xfId="0" applyFill="1" applyBorder="1" applyAlignment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10" borderId="1" xfId="0" applyFill="1" applyBorder="1"/>
    <xf numFmtId="0" fontId="0" fillId="10" borderId="0" xfId="0" applyFill="1" applyBorder="1"/>
    <xf numFmtId="0" fontId="0" fillId="10" borderId="2" xfId="0" applyFill="1" applyBorder="1"/>
    <xf numFmtId="0" fontId="16" fillId="10" borderId="0" xfId="0" applyFont="1" applyFill="1" applyBorder="1"/>
    <xf numFmtId="0" fontId="16" fillId="10" borderId="2" xfId="0" applyFont="1" applyFill="1" applyBorder="1"/>
    <xf numFmtId="164" fontId="0" fillId="10" borderId="0" xfId="0" applyNumberFormat="1" applyFill="1"/>
    <xf numFmtId="0" fontId="0" fillId="10" borderId="0" xfId="0" applyFont="1" applyFill="1"/>
    <xf numFmtId="0" fontId="0" fillId="10" borderId="1" xfId="0" applyFont="1" applyFill="1" applyBorder="1"/>
    <xf numFmtId="0" fontId="0" fillId="10" borderId="0" xfId="0" applyFont="1" applyFill="1" applyBorder="1"/>
    <xf numFmtId="0" fontId="0" fillId="10" borderId="2" xfId="0" applyFont="1" applyFill="1" applyBorder="1"/>
    <xf numFmtId="0" fontId="0" fillId="11" borderId="0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16" fillId="0" borderId="0" xfId="0" applyFont="1"/>
    <xf numFmtId="0" fontId="16" fillId="3" borderId="3" xfId="0" applyFont="1" applyFill="1" applyBorder="1" applyAlignment="1">
      <alignment horizontal="center"/>
    </xf>
    <xf numFmtId="0" fontId="16" fillId="3" borderId="4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4" borderId="3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16" fillId="5" borderId="9" xfId="0" applyFont="1" applyFill="1" applyBorder="1" applyAlignment="1">
      <alignment horizontal="center"/>
    </xf>
    <xf numFmtId="0" fontId="16" fillId="6" borderId="11" xfId="0" applyFont="1" applyFill="1" applyBorder="1" applyAlignment="1">
      <alignment horizontal="center"/>
    </xf>
    <xf numFmtId="0" fontId="16" fillId="6" borderId="4" xfId="0" applyFont="1" applyFill="1" applyBorder="1" applyAlignment="1">
      <alignment horizontal="center"/>
    </xf>
    <xf numFmtId="0" fontId="16" fillId="6" borderId="9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0" fontId="16" fillId="4" borderId="6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5" borderId="6" xfId="0" applyFont="1" applyFill="1" applyBorder="1" applyAlignment="1">
      <alignment horizontal="center"/>
    </xf>
    <xf numFmtId="0" fontId="16" fillId="5" borderId="7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6" fillId="6" borderId="12" xfId="0" applyFont="1" applyFill="1" applyBorder="1" applyAlignment="1">
      <alignment horizontal="center"/>
    </xf>
    <xf numFmtId="0" fontId="16" fillId="6" borderId="7" xfId="0" applyFont="1" applyFill="1" applyBorder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6" fillId="18" borderId="0" xfId="0" applyFont="1" applyFill="1"/>
    <xf numFmtId="0" fontId="16" fillId="14" borderId="0" xfId="0" applyFont="1" applyFill="1"/>
    <xf numFmtId="0" fontId="16" fillId="12" borderId="0" xfId="0" applyFont="1" applyFill="1"/>
    <xf numFmtId="0" fontId="16" fillId="0" borderId="16" xfId="0" applyFont="1" applyBorder="1"/>
    <xf numFmtId="0" fontId="16" fillId="0" borderId="13" xfId="0" applyFont="1" applyBorder="1"/>
    <xf numFmtId="0" fontId="16" fillId="0" borderId="17" xfId="0" applyFont="1" applyBorder="1"/>
    <xf numFmtId="164" fontId="16" fillId="7" borderId="0" xfId="0" applyNumberFormat="1" applyFont="1" applyFill="1"/>
    <xf numFmtId="164" fontId="16" fillId="18" borderId="0" xfId="0" applyNumberFormat="1" applyFont="1" applyFill="1"/>
    <xf numFmtId="164" fontId="16" fillId="14" borderId="0" xfId="0" applyNumberFormat="1" applyFont="1" applyFill="1"/>
    <xf numFmtId="0" fontId="16" fillId="0" borderId="20" xfId="0" applyFont="1" applyBorder="1"/>
    <xf numFmtId="0" fontId="16" fillId="0" borderId="0" xfId="0" applyFont="1" applyBorder="1"/>
    <xf numFmtId="0" fontId="16" fillId="0" borderId="21" xfId="0" applyFont="1" applyBorder="1"/>
    <xf numFmtId="0" fontId="16" fillId="0" borderId="20" xfId="0" applyFont="1" applyFill="1" applyBorder="1"/>
    <xf numFmtId="0" fontId="16" fillId="0" borderId="0" xfId="0" applyFont="1" applyFill="1" applyBorder="1"/>
    <xf numFmtId="0" fontId="16" fillId="0" borderId="21" xfId="0" applyFont="1" applyFill="1" applyBorder="1"/>
    <xf numFmtId="0" fontId="24" fillId="0" borderId="0" xfId="0" applyFont="1"/>
    <xf numFmtId="18" fontId="16" fillId="0" borderId="0" xfId="0" applyNumberFormat="1" applyFont="1" applyFill="1"/>
    <xf numFmtId="0" fontId="25" fillId="12" borderId="0" xfId="0" applyFont="1" applyFill="1"/>
    <xf numFmtId="0" fontId="25" fillId="7" borderId="0" xfId="0" applyFont="1" applyFill="1"/>
    <xf numFmtId="0" fontId="25" fillId="18" borderId="0" xfId="0" applyFont="1" applyFill="1"/>
    <xf numFmtId="0" fontId="25" fillId="14" borderId="0" xfId="0" applyFont="1" applyFill="1"/>
    <xf numFmtId="0" fontId="25" fillId="0" borderId="0" xfId="0" applyFont="1"/>
    <xf numFmtId="164" fontId="25" fillId="7" borderId="0" xfId="0" applyNumberFormat="1" applyFont="1" applyFill="1"/>
    <xf numFmtId="164" fontId="25" fillId="18" borderId="0" xfId="0" applyNumberFormat="1" applyFont="1" applyFill="1"/>
    <xf numFmtId="164" fontId="25" fillId="14" borderId="0" xfId="0" applyNumberFormat="1" applyFont="1" applyFill="1"/>
    <xf numFmtId="164" fontId="16" fillId="0" borderId="0" xfId="0" applyNumberFormat="1" applyFont="1"/>
    <xf numFmtId="0" fontId="0" fillId="3" borderId="30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0" fontId="0" fillId="20" borderId="2" xfId="0" applyFill="1" applyBorder="1" applyAlignment="1">
      <alignment horizontal="center"/>
    </xf>
    <xf numFmtId="0" fontId="0" fillId="21" borderId="33" xfId="0" applyFill="1" applyBorder="1" applyAlignment="1">
      <alignment horizontal="center"/>
    </xf>
    <xf numFmtId="0" fontId="0" fillId="21" borderId="34" xfId="0" applyFill="1" applyBorder="1" applyAlignment="1">
      <alignment horizontal="center"/>
    </xf>
    <xf numFmtId="0" fontId="0" fillId="21" borderId="35" xfId="0" applyFill="1" applyBorder="1" applyAlignment="1">
      <alignment horizontal="center"/>
    </xf>
    <xf numFmtId="0" fontId="0" fillId="21" borderId="0" xfId="0" applyFill="1" applyBorder="1" applyAlignment="1">
      <alignment horizontal="center"/>
    </xf>
    <xf numFmtId="0" fontId="0" fillId="5" borderId="0" xfId="0" applyFill="1"/>
    <xf numFmtId="0" fontId="0" fillId="5" borderId="0" xfId="0" applyFill="1" applyBorder="1" applyAlignment="1">
      <alignment horizontal="center"/>
    </xf>
    <xf numFmtId="0" fontId="0" fillId="4" borderId="0" xfId="0" applyFill="1"/>
    <xf numFmtId="0" fontId="0" fillId="4" borderId="0" xfId="0" applyFill="1" applyBorder="1" applyAlignment="1">
      <alignment horizontal="center"/>
    </xf>
    <xf numFmtId="0" fontId="0" fillId="3" borderId="0" xfId="0" applyFill="1"/>
    <xf numFmtId="0" fontId="0" fillId="22" borderId="0" xfId="0" applyFill="1"/>
    <xf numFmtId="0" fontId="0" fillId="22" borderId="0" xfId="0" applyFill="1" applyBorder="1" applyAlignment="1">
      <alignment horizontal="center"/>
    </xf>
    <xf numFmtId="0" fontId="0" fillId="23" borderId="0" xfId="0" applyFill="1"/>
    <xf numFmtId="0" fontId="0" fillId="23" borderId="0" xfId="0" applyFill="1" applyBorder="1" applyAlignment="1">
      <alignment horizontal="center"/>
    </xf>
    <xf numFmtId="164" fontId="0" fillId="5" borderId="0" xfId="0" applyNumberFormat="1" applyFill="1" applyBorder="1" applyAlignment="1">
      <alignment horizontal="center"/>
    </xf>
    <xf numFmtId="164" fontId="0" fillId="4" borderId="0" xfId="0" applyNumberFormat="1" applyFill="1" applyBorder="1" applyAlignment="1">
      <alignment horizontal="center"/>
    </xf>
    <xf numFmtId="164" fontId="0" fillId="3" borderId="0" xfId="0" applyNumberFormat="1" applyFill="1" applyBorder="1" applyAlignment="1">
      <alignment horizontal="center"/>
    </xf>
    <xf numFmtId="164" fontId="0" fillId="22" borderId="0" xfId="0" applyNumberFormat="1" applyFill="1" applyBorder="1" applyAlignment="1">
      <alignment horizontal="center"/>
    </xf>
    <xf numFmtId="164" fontId="0" fillId="23" borderId="0" xfId="0" applyNumberFormat="1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18" borderId="34" xfId="0" applyNumberFormat="1" applyFill="1" applyBorder="1" applyAlignment="1">
      <alignment horizontal="center"/>
    </xf>
    <xf numFmtId="0" fontId="0" fillId="13" borderId="34" xfId="0" applyNumberFormat="1" applyFill="1" applyBorder="1" applyAlignment="1">
      <alignment horizontal="center"/>
    </xf>
    <xf numFmtId="1" fontId="23" fillId="29" borderId="0" xfId="0" applyNumberFormat="1" applyFont="1" applyFill="1" applyBorder="1" applyAlignment="1">
      <alignment horizontal="center"/>
    </xf>
    <xf numFmtId="164" fontId="0" fillId="3" borderId="34" xfId="0" applyNumberFormat="1" applyFill="1" applyBorder="1" applyAlignment="1">
      <alignment horizontal="center"/>
    </xf>
    <xf numFmtId="0" fontId="0" fillId="18" borderId="32" xfId="0" applyNumberFormat="1" applyFill="1" applyBorder="1" applyAlignment="1">
      <alignment horizontal="center"/>
    </xf>
    <xf numFmtId="0" fontId="0" fillId="13" borderId="32" xfId="0" applyNumberFormat="1" applyFill="1" applyBorder="1" applyAlignment="1">
      <alignment horizontal="center"/>
    </xf>
    <xf numFmtId="164" fontId="0" fillId="18" borderId="34" xfId="0" applyNumberFormat="1" applyFill="1" applyBorder="1" applyAlignment="1">
      <alignment horizontal="center"/>
    </xf>
    <xf numFmtId="164" fontId="0" fillId="12" borderId="34" xfId="0" applyNumberFormat="1" applyFill="1" applyBorder="1" applyAlignment="1">
      <alignment horizontal="center"/>
    </xf>
    <xf numFmtId="164" fontId="0" fillId="13" borderId="34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23" fillId="29" borderId="0" xfId="0" applyNumberFormat="1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4" fontId="0" fillId="3" borderId="0" xfId="0" applyNumberFormat="1" applyFill="1"/>
    <xf numFmtId="0" fontId="0" fillId="3" borderId="0" xfId="0" applyFill="1" applyBorder="1"/>
    <xf numFmtId="1" fontId="0" fillId="0" borderId="0" xfId="0" applyNumberFormat="1" applyFill="1" applyBorder="1" applyAlignment="1">
      <alignment horizontal="center"/>
    </xf>
    <xf numFmtId="164" fontId="0" fillId="22" borderId="0" xfId="0" applyNumberFormat="1" applyFill="1"/>
    <xf numFmtId="0" fontId="0" fillId="13" borderId="32" xfId="0" applyFill="1" applyBorder="1" applyAlignment="1">
      <alignment horizontal="center"/>
    </xf>
    <xf numFmtId="0" fontId="0" fillId="24" borderId="32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164" fontId="0" fillId="24" borderId="34" xfId="0" applyNumberFormat="1" applyFill="1" applyBorder="1" applyAlignment="1">
      <alignment horizontal="center"/>
    </xf>
    <xf numFmtId="164" fontId="0" fillId="7" borderId="34" xfId="0" applyNumberFormat="1" applyFill="1" applyBorder="1" applyAlignment="1">
      <alignment horizontal="center"/>
    </xf>
    <xf numFmtId="164" fontId="0" fillId="7" borderId="35" xfId="0" applyNumberFormat="1" applyFill="1" applyBorder="1" applyAlignment="1">
      <alignment horizontal="center"/>
    </xf>
    <xf numFmtId="0" fontId="0" fillId="0" borderId="16" xfId="0" applyBorder="1"/>
    <xf numFmtId="0" fontId="0" fillId="0" borderId="13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0" xfId="0" applyFill="1" applyBorder="1"/>
    <xf numFmtId="0" fontId="0" fillId="0" borderId="21" xfId="0" applyFill="1" applyBorder="1"/>
    <xf numFmtId="0" fontId="0" fillId="31" borderId="0" xfId="0" applyFill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12" borderId="0" xfId="0" applyFill="1"/>
    <xf numFmtId="0" fontId="10" fillId="12" borderId="0" xfId="0" applyFont="1" applyFill="1"/>
    <xf numFmtId="0" fontId="10" fillId="0" borderId="0" xfId="0" applyFont="1"/>
    <xf numFmtId="164" fontId="10" fillId="12" borderId="0" xfId="0" applyNumberFormat="1" applyFont="1" applyFill="1"/>
    <xf numFmtId="0" fontId="0" fillId="8" borderId="16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24" borderId="0" xfId="0" applyFill="1"/>
    <xf numFmtId="165" fontId="0" fillId="24" borderId="0" xfId="0" applyNumberFormat="1" applyFill="1"/>
    <xf numFmtId="164" fontId="0" fillId="24" borderId="0" xfId="0" applyNumberFormat="1" applyFill="1"/>
    <xf numFmtId="0" fontId="0" fillId="24" borderId="20" xfId="0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24" borderId="0" xfId="0" applyFill="1" applyAlignment="1">
      <alignment horizontal="center"/>
    </xf>
    <xf numFmtId="0" fontId="0" fillId="32" borderId="0" xfId="0" applyFill="1"/>
    <xf numFmtId="0" fontId="0" fillId="32" borderId="20" xfId="0" applyFill="1" applyBorder="1" applyAlignment="1">
      <alignment horizontal="center"/>
    </xf>
    <xf numFmtId="0" fontId="0" fillId="32" borderId="0" xfId="0" applyFill="1" applyBorder="1" applyAlignment="1">
      <alignment horizontal="center"/>
    </xf>
    <xf numFmtId="0" fontId="0" fillId="32" borderId="21" xfId="0" applyFill="1" applyBorder="1" applyAlignment="1">
      <alignment horizontal="center"/>
    </xf>
    <xf numFmtId="0" fontId="0" fillId="32" borderId="0" xfId="0" applyFill="1" applyAlignment="1">
      <alignment horizontal="center"/>
    </xf>
    <xf numFmtId="0" fontId="0" fillId="11" borderId="0" xfId="0" applyFill="1"/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6" borderId="0" xfId="0" applyFill="1"/>
    <xf numFmtId="0" fontId="0" fillId="16" borderId="20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6" borderId="0" xfId="0" applyFill="1" applyAlignment="1">
      <alignment horizontal="center"/>
    </xf>
    <xf numFmtId="0" fontId="0" fillId="33" borderId="0" xfId="0" applyFill="1"/>
    <xf numFmtId="0" fontId="0" fillId="33" borderId="22" xfId="0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0" fillId="33" borderId="0" xfId="0" applyFill="1" applyAlignment="1">
      <alignment horizontal="center"/>
    </xf>
    <xf numFmtId="0" fontId="0" fillId="18" borderId="0" xfId="0" applyFill="1"/>
    <xf numFmtId="0" fontId="0" fillId="18" borderId="16" xfId="0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8" borderId="17" xfId="0" applyFill="1" applyBorder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/>
    <xf numFmtId="164" fontId="0" fillId="18" borderId="22" xfId="0" applyNumberFormat="1" applyFill="1" applyBorder="1" applyAlignment="1">
      <alignment horizontal="center"/>
    </xf>
    <xf numFmtId="164" fontId="0" fillId="18" borderId="23" xfId="0" applyNumberFormat="1" applyFill="1" applyBorder="1" applyAlignment="1">
      <alignment horizontal="center"/>
    </xf>
    <xf numFmtId="164" fontId="0" fillId="18" borderId="24" xfId="0" applyNumberFormat="1" applyFill="1" applyBorder="1" applyAlignment="1">
      <alignment horizontal="center"/>
    </xf>
    <xf numFmtId="164" fontId="0" fillId="18" borderId="0" xfId="0" applyNumberFormat="1" applyFill="1" applyAlignment="1">
      <alignment horizontal="center"/>
    </xf>
    <xf numFmtId="0" fontId="0" fillId="0" borderId="37" xfId="0" applyBorder="1"/>
    <xf numFmtId="164" fontId="0" fillId="0" borderId="0" xfId="0" applyNumberFormat="1" applyFill="1" applyBorder="1"/>
    <xf numFmtId="164" fontId="0" fillId="8" borderId="16" xfId="0" applyNumberFormat="1" applyFill="1" applyBorder="1"/>
    <xf numFmtId="164" fontId="0" fillId="8" borderId="13" xfId="0" applyNumberFormat="1" applyFill="1" applyBorder="1"/>
    <xf numFmtId="164" fontId="0" fillId="8" borderId="17" xfId="0" applyNumberFormat="1" applyFill="1" applyBorder="1"/>
    <xf numFmtId="164" fontId="0" fillId="8" borderId="0" xfId="0" applyNumberFormat="1" applyFill="1" applyBorder="1"/>
    <xf numFmtId="164" fontId="0" fillId="24" borderId="20" xfId="0" applyNumberFormat="1" applyFill="1" applyBorder="1"/>
    <xf numFmtId="164" fontId="0" fillId="24" borderId="0" xfId="0" applyNumberFormat="1" applyFill="1" applyBorder="1"/>
    <xf numFmtId="164" fontId="0" fillId="24" borderId="21" xfId="0" applyNumberFormat="1" applyFill="1" applyBorder="1"/>
    <xf numFmtId="164" fontId="0" fillId="32" borderId="20" xfId="0" applyNumberFormat="1" applyFill="1" applyBorder="1"/>
    <xf numFmtId="164" fontId="0" fillId="32" borderId="0" xfId="0" applyNumberFormat="1" applyFill="1" applyBorder="1"/>
    <xf numFmtId="164" fontId="0" fillId="32" borderId="21" xfId="0" applyNumberFormat="1" applyFill="1" applyBorder="1"/>
    <xf numFmtId="164" fontId="0" fillId="32" borderId="0" xfId="0" applyNumberFormat="1" applyFill="1"/>
    <xf numFmtId="164" fontId="0" fillId="11" borderId="20" xfId="0" applyNumberFormat="1" applyFill="1" applyBorder="1"/>
    <xf numFmtId="164" fontId="0" fillId="11" borderId="0" xfId="0" applyNumberFormat="1" applyFill="1" applyBorder="1"/>
    <xf numFmtId="164" fontId="0" fillId="11" borderId="21" xfId="0" applyNumberFormat="1" applyFill="1" applyBorder="1"/>
    <xf numFmtId="164" fontId="0" fillId="11" borderId="0" xfId="0" applyNumberFormat="1" applyFill="1"/>
    <xf numFmtId="164" fontId="0" fillId="16" borderId="20" xfId="0" applyNumberFormat="1" applyFill="1" applyBorder="1"/>
    <xf numFmtId="164" fontId="0" fillId="16" borderId="0" xfId="0" applyNumberFormat="1" applyFill="1" applyBorder="1"/>
    <xf numFmtId="164" fontId="0" fillId="16" borderId="21" xfId="0" applyNumberFormat="1" applyFill="1" applyBorder="1"/>
    <xf numFmtId="164" fontId="0" fillId="16" borderId="0" xfId="0" applyNumberFormat="1" applyFill="1"/>
    <xf numFmtId="164" fontId="0" fillId="33" borderId="22" xfId="0" applyNumberFormat="1" applyFill="1" applyBorder="1"/>
    <xf numFmtId="164" fontId="0" fillId="33" borderId="23" xfId="0" applyNumberFormat="1" applyFill="1" applyBorder="1"/>
    <xf numFmtId="164" fontId="0" fillId="33" borderId="24" xfId="0" applyNumberFormat="1" applyFill="1" applyBorder="1"/>
    <xf numFmtId="164" fontId="0" fillId="33" borderId="0" xfId="0" applyNumberFormat="1" applyFill="1" applyBorder="1"/>
    <xf numFmtId="164" fontId="0" fillId="33" borderId="0" xfId="0" applyNumberFormat="1" applyFill="1"/>
    <xf numFmtId="164" fontId="0" fillId="12" borderId="0" xfId="0" applyNumberFormat="1" applyFill="1"/>
    <xf numFmtId="0" fontId="0" fillId="8" borderId="16" xfId="0" applyFill="1" applyBorder="1"/>
    <xf numFmtId="0" fontId="0" fillId="8" borderId="13" xfId="0" applyFill="1" applyBorder="1"/>
    <xf numFmtId="0" fontId="0" fillId="8" borderId="17" xfId="0" applyFill="1" applyBorder="1"/>
    <xf numFmtId="165" fontId="0" fillId="0" borderId="0" xfId="0" applyNumberFormat="1"/>
    <xf numFmtId="0" fontId="0" fillId="24" borderId="20" xfId="0" applyFill="1" applyBorder="1"/>
    <xf numFmtId="0" fontId="0" fillId="24" borderId="0" xfId="0" applyFill="1" applyBorder="1"/>
    <xf numFmtId="0" fontId="0" fillId="24" borderId="21" xfId="0" applyFill="1" applyBorder="1"/>
    <xf numFmtId="0" fontId="0" fillId="32" borderId="20" xfId="0" applyFill="1" applyBorder="1"/>
    <xf numFmtId="0" fontId="0" fillId="32" borderId="0" xfId="0" applyFill="1" applyBorder="1"/>
    <xf numFmtId="0" fontId="0" fillId="32" borderId="21" xfId="0" applyFill="1" applyBorder="1"/>
    <xf numFmtId="0" fontId="0" fillId="11" borderId="20" xfId="0" applyFill="1" applyBorder="1"/>
    <xf numFmtId="0" fontId="0" fillId="11" borderId="0" xfId="0" applyFill="1" applyBorder="1"/>
    <xf numFmtId="0" fontId="0" fillId="11" borderId="21" xfId="0" applyFill="1" applyBorder="1"/>
    <xf numFmtId="0" fontId="0" fillId="16" borderId="20" xfId="0" applyFill="1" applyBorder="1"/>
    <xf numFmtId="0" fontId="0" fillId="16" borderId="0" xfId="0" applyFill="1" applyBorder="1"/>
    <xf numFmtId="0" fontId="0" fillId="16" borderId="21" xfId="0" applyFill="1" applyBorder="1"/>
    <xf numFmtId="0" fontId="0" fillId="33" borderId="22" xfId="0" applyFill="1" applyBorder="1"/>
    <xf numFmtId="0" fontId="0" fillId="33" borderId="23" xfId="0" applyFill="1" applyBorder="1"/>
    <xf numFmtId="0" fontId="0" fillId="33" borderId="24" xfId="0" applyFill="1" applyBorder="1"/>
    <xf numFmtId="0" fontId="0" fillId="18" borderId="16" xfId="0" applyFill="1" applyBorder="1"/>
    <xf numFmtId="0" fontId="0" fillId="18" borderId="13" xfId="0" applyFill="1" applyBorder="1"/>
    <xf numFmtId="0" fontId="0" fillId="18" borderId="17" xfId="0" applyFill="1" applyBorder="1"/>
    <xf numFmtId="164" fontId="0" fillId="18" borderId="22" xfId="0" applyNumberFormat="1" applyFill="1" applyBorder="1"/>
    <xf numFmtId="164" fontId="0" fillId="18" borderId="23" xfId="0" applyNumberFormat="1" applyFill="1" applyBorder="1"/>
    <xf numFmtId="164" fontId="0" fillId="18" borderId="24" xfId="0" applyNumberFormat="1" applyFill="1" applyBorder="1"/>
    <xf numFmtId="0" fontId="10" fillId="0" borderId="0" xfId="0" quotePrefix="1" applyFont="1"/>
    <xf numFmtId="0" fontId="0" fillId="0" borderId="30" xfId="0" applyFill="1" applyBorder="1"/>
    <xf numFmtId="0" fontId="0" fillId="0" borderId="32" xfId="0" applyFill="1" applyBorder="1"/>
    <xf numFmtId="0" fontId="0" fillId="0" borderId="31" xfId="0" applyFill="1" applyBorder="1"/>
    <xf numFmtId="0" fontId="0" fillId="5" borderId="11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13" borderId="0" xfId="0" applyFont="1" applyFill="1" applyBorder="1"/>
    <xf numFmtId="0" fontId="10" fillId="10" borderId="0" xfId="0" applyFont="1" applyFill="1"/>
    <xf numFmtId="0" fontId="0" fillId="0" borderId="16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0" fillId="8" borderId="26" xfId="0" applyFill="1" applyBorder="1" applyAlignment="1">
      <alignment horizontal="center"/>
    </xf>
    <xf numFmtId="0" fontId="0" fillId="8" borderId="14" xfId="0" applyFill="1" applyBorder="1" applyAlignment="1">
      <alignment horizontal="center"/>
    </xf>
    <xf numFmtId="0" fontId="0" fillId="12" borderId="26" xfId="0" applyFill="1" applyBorder="1" applyAlignment="1">
      <alignment horizontal="center"/>
    </xf>
    <xf numFmtId="0" fontId="0" fillId="11" borderId="25" xfId="0" applyFill="1" applyBorder="1" applyAlignment="1">
      <alignment horizontal="center"/>
    </xf>
    <xf numFmtId="0" fontId="0" fillId="11" borderId="26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26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17" borderId="0" xfId="0" applyFill="1" applyAlignment="1">
      <alignment horizontal="left"/>
    </xf>
    <xf numFmtId="0" fontId="0" fillId="15" borderId="25" xfId="0" applyFill="1" applyBorder="1" applyAlignment="1">
      <alignment horizontal="center"/>
    </xf>
    <xf numFmtId="0" fontId="0" fillId="15" borderId="26" xfId="0" applyFill="1" applyBorder="1" applyAlignment="1">
      <alignment horizontal="center"/>
    </xf>
    <xf numFmtId="0" fontId="0" fillId="16" borderId="26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0" fontId="0" fillId="11" borderId="0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0" borderId="33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8" borderId="0" xfId="0" applyFont="1" applyFill="1" applyBorder="1" applyAlignment="1">
      <alignment horizontal="center"/>
    </xf>
    <xf numFmtId="0" fontId="0" fillId="8" borderId="2" xfId="0" applyFont="1" applyFill="1" applyBorder="1" applyAlignment="1">
      <alignment horizontal="center"/>
    </xf>
    <xf numFmtId="0" fontId="0" fillId="8" borderId="1" xfId="0" applyFont="1" applyFill="1" applyBorder="1" applyAlignment="1">
      <alignment horizontal="center"/>
    </xf>
    <xf numFmtId="0" fontId="0" fillId="12" borderId="0" xfId="0" applyFont="1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34" xfId="0" applyFill="1" applyBorder="1" applyAlignment="1">
      <alignment horizontal="center"/>
    </xf>
    <xf numFmtId="0" fontId="0" fillId="0" borderId="35" xfId="0" applyFill="1" applyBorder="1" applyAlignment="1">
      <alignment horizontal="center"/>
    </xf>
    <xf numFmtId="0" fontId="0" fillId="11" borderId="1" xfId="0" applyFont="1" applyFill="1" applyBorder="1" applyAlignment="1">
      <alignment horizontal="center"/>
    </xf>
    <xf numFmtId="0" fontId="0" fillId="11" borderId="0" xfId="0" applyFont="1" applyFill="1" applyBorder="1" applyAlignment="1">
      <alignment horizontal="center"/>
    </xf>
    <xf numFmtId="0" fontId="0" fillId="11" borderId="2" xfId="0" applyFont="1" applyFill="1" applyBorder="1" applyAlignment="1">
      <alignment horizontal="center"/>
    </xf>
    <xf numFmtId="0" fontId="16" fillId="3" borderId="16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4" borderId="16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5" borderId="13" xfId="0" applyFont="1" applyFill="1" applyBorder="1" applyAlignment="1">
      <alignment horizontal="center"/>
    </xf>
    <xf numFmtId="0" fontId="16" fillId="5" borderId="17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6" fillId="6" borderId="1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12" borderId="0" xfId="0" applyFont="1" applyFill="1" applyAlignment="1">
      <alignment horizontal="center" vertical="center"/>
    </xf>
    <xf numFmtId="0" fontId="16" fillId="7" borderId="16" xfId="0" applyFont="1" applyFill="1" applyBorder="1" applyAlignment="1">
      <alignment horizontal="center"/>
    </xf>
    <xf numFmtId="0" fontId="16" fillId="7" borderId="13" xfId="0" applyFont="1" applyFill="1" applyBorder="1" applyAlignment="1">
      <alignment horizontal="center"/>
    </xf>
    <xf numFmtId="0" fontId="16" fillId="7" borderId="17" xfId="0" applyFont="1" applyFill="1" applyBorder="1" applyAlignment="1">
      <alignment horizontal="center"/>
    </xf>
    <xf numFmtId="0" fontId="16" fillId="18" borderId="20" xfId="0" applyFont="1" applyFill="1" applyBorder="1" applyAlignment="1">
      <alignment horizontal="center"/>
    </xf>
    <xf numFmtId="0" fontId="16" fillId="18" borderId="0" xfId="0" applyFont="1" applyFill="1" applyBorder="1" applyAlignment="1">
      <alignment horizontal="center"/>
    </xf>
    <xf numFmtId="0" fontId="16" fillId="18" borderId="21" xfId="0" applyFont="1" applyFill="1" applyBorder="1" applyAlignment="1">
      <alignment horizontal="center"/>
    </xf>
    <xf numFmtId="0" fontId="16" fillId="14" borderId="22" xfId="0" applyFont="1" applyFill="1" applyBorder="1" applyAlignment="1">
      <alignment horizontal="center"/>
    </xf>
    <xf numFmtId="0" fontId="16" fillId="14" borderId="23" xfId="0" applyFont="1" applyFill="1" applyBorder="1" applyAlignment="1">
      <alignment horizontal="center"/>
    </xf>
    <xf numFmtId="0" fontId="16" fillId="14" borderId="24" xfId="0" applyFont="1" applyFill="1" applyBorder="1" applyAlignment="1">
      <alignment horizontal="center"/>
    </xf>
    <xf numFmtId="0" fontId="16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8" borderId="16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0" fontId="0" fillId="24" borderId="20" xfId="0" applyFill="1" applyBorder="1" applyAlignment="1">
      <alignment horizontal="center"/>
    </xf>
    <xf numFmtId="0" fontId="0" fillId="24" borderId="0" xfId="0" applyFill="1" applyBorder="1" applyAlignment="1">
      <alignment horizontal="center"/>
    </xf>
    <xf numFmtId="0" fontId="0" fillId="24" borderId="21" xfId="0" applyFill="1" applyBorder="1" applyAlignment="1">
      <alignment horizontal="center"/>
    </xf>
    <xf numFmtId="0" fontId="0" fillId="32" borderId="20" xfId="0" applyFill="1" applyBorder="1" applyAlignment="1">
      <alignment horizontal="center"/>
    </xf>
    <xf numFmtId="0" fontId="0" fillId="32" borderId="0" xfId="0" applyFill="1" applyBorder="1" applyAlignment="1">
      <alignment horizontal="center"/>
    </xf>
    <xf numFmtId="0" fontId="0" fillId="32" borderId="21" xfId="0" applyFill="1" applyBorder="1" applyAlignment="1">
      <alignment horizontal="center"/>
    </xf>
    <xf numFmtId="0" fontId="0" fillId="11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6" borderId="20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33" borderId="22" xfId="0" applyFill="1" applyBorder="1" applyAlignment="1">
      <alignment horizontal="center"/>
    </xf>
    <xf numFmtId="0" fontId="0" fillId="33" borderId="23" xfId="0" applyFill="1" applyBorder="1" applyAlignment="1">
      <alignment horizontal="center"/>
    </xf>
    <xf numFmtId="0" fontId="0" fillId="33" borderId="24" xfId="0" applyFill="1" applyBorder="1" applyAlignment="1">
      <alignment horizontal="center"/>
    </xf>
    <xf numFmtId="0" fontId="0" fillId="0" borderId="37" xfId="0" applyBorder="1" applyAlignment="1">
      <alignment horizontal="center"/>
    </xf>
    <xf numFmtId="164" fontId="0" fillId="8" borderId="16" xfId="0" applyNumberFormat="1" applyFill="1" applyBorder="1" applyAlignment="1">
      <alignment horizontal="center"/>
    </xf>
    <xf numFmtId="164" fontId="0" fillId="8" borderId="13" xfId="0" applyNumberFormat="1" applyFill="1" applyBorder="1" applyAlignment="1">
      <alignment horizontal="center"/>
    </xf>
    <xf numFmtId="164" fontId="0" fillId="8" borderId="17" xfId="0" applyNumberFormat="1" applyFill="1" applyBorder="1" applyAlignment="1">
      <alignment horizontal="center"/>
    </xf>
    <xf numFmtId="164" fontId="0" fillId="24" borderId="20" xfId="0" applyNumberFormat="1" applyFill="1" applyBorder="1" applyAlignment="1">
      <alignment horizontal="center"/>
    </xf>
    <xf numFmtId="164" fontId="0" fillId="24" borderId="0" xfId="0" applyNumberFormat="1" applyFill="1" applyBorder="1" applyAlignment="1">
      <alignment horizontal="center"/>
    </xf>
    <xf numFmtId="164" fontId="0" fillId="24" borderId="21" xfId="0" applyNumberFormat="1" applyFill="1" applyBorder="1" applyAlignment="1">
      <alignment horizontal="center"/>
    </xf>
    <xf numFmtId="164" fontId="0" fillId="32" borderId="20" xfId="0" applyNumberFormat="1" applyFill="1" applyBorder="1" applyAlignment="1">
      <alignment horizontal="center"/>
    </xf>
    <xf numFmtId="164" fontId="0" fillId="32" borderId="0" xfId="0" applyNumberFormat="1" applyFill="1" applyBorder="1" applyAlignment="1">
      <alignment horizontal="center"/>
    </xf>
    <xf numFmtId="164" fontId="0" fillId="32" borderId="21" xfId="0" applyNumberFormat="1" applyFill="1" applyBorder="1" applyAlignment="1">
      <alignment horizontal="center"/>
    </xf>
    <xf numFmtId="164" fontId="0" fillId="11" borderId="20" xfId="0" applyNumberFormat="1" applyFill="1" applyBorder="1" applyAlignment="1">
      <alignment horizontal="center"/>
    </xf>
    <xf numFmtId="164" fontId="0" fillId="11" borderId="0" xfId="0" applyNumberFormat="1" applyFill="1" applyBorder="1" applyAlignment="1">
      <alignment horizontal="center"/>
    </xf>
    <xf numFmtId="164" fontId="0" fillId="11" borderId="21" xfId="0" applyNumberFormat="1" applyFill="1" applyBorder="1" applyAlignment="1">
      <alignment horizontal="center"/>
    </xf>
    <xf numFmtId="164" fontId="0" fillId="16" borderId="20" xfId="0" applyNumberFormat="1" applyFill="1" applyBorder="1" applyAlignment="1">
      <alignment horizontal="center"/>
    </xf>
    <xf numFmtId="164" fontId="0" fillId="16" borderId="0" xfId="0" applyNumberFormat="1" applyFill="1" applyBorder="1" applyAlignment="1">
      <alignment horizontal="center"/>
    </xf>
    <xf numFmtId="164" fontId="0" fillId="16" borderId="21" xfId="0" applyNumberFormat="1" applyFill="1" applyBorder="1" applyAlignment="1">
      <alignment horizontal="center"/>
    </xf>
    <xf numFmtId="164" fontId="0" fillId="33" borderId="23" xfId="0" applyNumberFormat="1" applyFill="1" applyBorder="1" applyAlignment="1">
      <alignment horizontal="center"/>
    </xf>
    <xf numFmtId="164" fontId="0" fillId="33" borderId="24" xfId="0" applyNumberFormat="1" applyFill="1" applyBorder="1" applyAlignment="1">
      <alignment horizontal="center"/>
    </xf>
    <xf numFmtId="164" fontId="0" fillId="33" borderId="22" xfId="0" applyNumberFormat="1" applyFill="1" applyBorder="1" applyAlignment="1">
      <alignment horizontal="center"/>
    </xf>
    <xf numFmtId="164" fontId="0" fillId="0" borderId="22" xfId="0" applyNumberFormat="1" applyBorder="1" applyAlignment="1">
      <alignment horizontal="center"/>
    </xf>
    <xf numFmtId="164" fontId="0" fillId="0" borderId="23" xfId="0" applyNumberFormat="1" applyBorder="1" applyAlignment="1">
      <alignment horizontal="center"/>
    </xf>
    <xf numFmtId="164" fontId="0" fillId="0" borderId="24" xfId="0" applyNumberFormat="1" applyBorder="1" applyAlignment="1">
      <alignment horizontal="center"/>
    </xf>
    <xf numFmtId="0" fontId="0" fillId="3" borderId="27" xfId="0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29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5" borderId="29" xfId="0" applyFill="1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6" borderId="29" xfId="0" applyFill="1" applyBorder="1" applyAlignment="1">
      <alignment horizontal="center"/>
    </xf>
    <xf numFmtId="0" fontId="0" fillId="21" borderId="5" xfId="0" applyFill="1" applyBorder="1" applyAlignment="1">
      <alignment horizontal="center"/>
    </xf>
    <xf numFmtId="0" fontId="0" fillId="21" borderId="36" xfId="0" applyFill="1" applyBorder="1" applyAlignment="1">
      <alignment horizontal="center"/>
    </xf>
    <xf numFmtId="0" fontId="0" fillId="21" borderId="11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2" xfId="0" applyFill="1" applyBorder="1" applyAlignment="1">
      <alignment horizontal="center"/>
    </xf>
    <xf numFmtId="0" fontId="0" fillId="24" borderId="32" xfId="0" applyFill="1" applyBorder="1" applyAlignment="1">
      <alignment horizontal="center"/>
    </xf>
    <xf numFmtId="0" fontId="0" fillId="23" borderId="32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23" fillId="25" borderId="34" xfId="0" applyNumberFormat="1" applyFont="1" applyFill="1" applyBorder="1" applyAlignment="1">
      <alignment horizontal="center"/>
    </xf>
    <xf numFmtId="0" fontId="23" fillId="25" borderId="35" xfId="0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36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8" borderId="33" xfId="0" applyNumberFormat="1" applyFill="1" applyBorder="1" applyAlignment="1">
      <alignment horizontal="center"/>
    </xf>
    <xf numFmtId="0" fontId="0" fillId="8" borderId="34" xfId="0" applyNumberFormat="1" applyFill="1" applyBorder="1" applyAlignment="1">
      <alignment horizontal="center"/>
    </xf>
    <xf numFmtId="0" fontId="0" fillId="12" borderId="34" xfId="0" applyNumberFormat="1" applyFill="1" applyBorder="1" applyAlignment="1">
      <alignment horizontal="center"/>
    </xf>
    <xf numFmtId="0" fontId="0" fillId="14" borderId="34" xfId="0" applyNumberFormat="1" applyFill="1" applyBorder="1" applyAlignment="1">
      <alignment horizontal="center"/>
    </xf>
    <xf numFmtId="0" fontId="0" fillId="8" borderId="35" xfId="0" applyNumberFormat="1" applyFill="1" applyBorder="1" applyAlignment="1">
      <alignment horizontal="center"/>
    </xf>
    <xf numFmtId="0" fontId="23" fillId="25" borderId="33" xfId="0" applyNumberFormat="1" applyFont="1" applyFill="1" applyBorder="1" applyAlignment="1">
      <alignment horizontal="center"/>
    </xf>
    <xf numFmtId="1" fontId="23" fillId="27" borderId="0" xfId="0" applyNumberFormat="1" applyFont="1" applyFill="1" applyBorder="1" applyAlignment="1">
      <alignment horizontal="center"/>
    </xf>
    <xf numFmtId="1" fontId="23" fillId="28" borderId="0" xfId="0" applyNumberFormat="1" applyFont="1" applyFill="1" applyBorder="1" applyAlignment="1">
      <alignment horizontal="center"/>
    </xf>
    <xf numFmtId="1" fontId="23" fillId="30" borderId="0" xfId="0" applyNumberFormat="1" applyFont="1" applyFill="1" applyBorder="1" applyAlignment="1">
      <alignment horizontal="center"/>
    </xf>
    <xf numFmtId="0" fontId="23" fillId="26" borderId="34" xfId="0" applyNumberFormat="1" applyFont="1" applyFill="1" applyBorder="1" applyAlignment="1">
      <alignment horizontal="center"/>
    </xf>
    <xf numFmtId="0" fontId="0" fillId="11" borderId="34" xfId="0" applyNumberFormat="1" applyFill="1" applyBorder="1" applyAlignment="1">
      <alignment horizontal="center"/>
    </xf>
    <xf numFmtId="164" fontId="0" fillId="7" borderId="33" xfId="0" applyNumberFormat="1" applyFill="1" applyBorder="1" applyAlignment="1">
      <alignment horizontal="center"/>
    </xf>
    <xf numFmtId="164" fontId="0" fillId="7" borderId="34" xfId="0" applyNumberFormat="1" applyFill="1" applyBorder="1" applyAlignment="1">
      <alignment horizontal="center"/>
    </xf>
    <xf numFmtId="164" fontId="0" fillId="24" borderId="34" xfId="0" applyNumberFormat="1" applyFill="1" applyBorder="1" applyAlignment="1">
      <alignment horizontal="center"/>
    </xf>
    <xf numFmtId="164" fontId="0" fillId="23" borderId="34" xfId="0" applyNumberFormat="1" applyFill="1" applyBorder="1" applyAlignment="1">
      <alignment horizontal="center"/>
    </xf>
    <xf numFmtId="164" fontId="0" fillId="7" borderId="35" xfId="0" applyNumberFormat="1" applyFill="1" applyBorder="1" applyAlignment="1">
      <alignment horizontal="center"/>
    </xf>
    <xf numFmtId="1" fontId="0" fillId="7" borderId="30" xfId="0" applyNumberFormat="1" applyFill="1" applyBorder="1" applyAlignment="1">
      <alignment horizontal="center"/>
    </xf>
    <xf numFmtId="1" fontId="0" fillId="7" borderId="32" xfId="0" applyNumberFormat="1" applyFill="1" applyBorder="1" applyAlignment="1">
      <alignment horizontal="center"/>
    </xf>
    <xf numFmtId="1" fontId="0" fillId="7" borderId="31" xfId="0" applyNumberFormat="1" applyFill="1" applyBorder="1" applyAlignment="1">
      <alignment horizontal="center"/>
    </xf>
    <xf numFmtId="0" fontId="0" fillId="8" borderId="30" xfId="0" applyNumberFormat="1" applyFill="1" applyBorder="1" applyAlignment="1">
      <alignment horizontal="center"/>
    </xf>
    <xf numFmtId="0" fontId="0" fillId="8" borderId="32" xfId="0" applyNumberFormat="1" applyFill="1" applyBorder="1" applyAlignment="1">
      <alignment horizontal="center"/>
    </xf>
    <xf numFmtId="0" fontId="0" fillId="12" borderId="32" xfId="0" applyNumberFormat="1" applyFill="1" applyBorder="1" applyAlignment="1">
      <alignment horizontal="center"/>
    </xf>
    <xf numFmtId="0" fontId="0" fillId="14" borderId="32" xfId="0" applyNumberFormat="1" applyFill="1" applyBorder="1" applyAlignment="1">
      <alignment horizontal="center"/>
    </xf>
    <xf numFmtId="0" fontId="0" fillId="8" borderId="31" xfId="0" applyNumberFormat="1" applyFill="1" applyBorder="1" applyAlignment="1">
      <alignment horizontal="center"/>
    </xf>
    <xf numFmtId="0" fontId="23" fillId="25" borderId="30" xfId="0" applyNumberFormat="1" applyFont="1" applyFill="1" applyBorder="1" applyAlignment="1">
      <alignment horizontal="center"/>
    </xf>
    <xf numFmtId="0" fontId="23" fillId="25" borderId="32" xfId="0" applyNumberFormat="1" applyFont="1" applyFill="1" applyBorder="1" applyAlignment="1">
      <alignment horizontal="center"/>
    </xf>
    <xf numFmtId="0" fontId="23" fillId="26" borderId="32" xfId="0" applyNumberFormat="1" applyFont="1" applyFill="1" applyBorder="1" applyAlignment="1">
      <alignment horizontal="center"/>
    </xf>
    <xf numFmtId="0" fontId="0" fillId="11" borderId="32" xfId="0" applyNumberFormat="1" applyFill="1" applyBorder="1" applyAlignment="1">
      <alignment horizontal="center"/>
    </xf>
    <xf numFmtId="0" fontId="23" fillId="25" borderId="31" xfId="0" applyNumberFormat="1" applyFont="1" applyFill="1" applyBorder="1" applyAlignment="1">
      <alignment horizontal="center"/>
    </xf>
    <xf numFmtId="164" fontId="0" fillId="8" borderId="33" xfId="0" applyNumberFormat="1" applyFill="1" applyBorder="1" applyAlignment="1">
      <alignment horizontal="center"/>
    </xf>
    <xf numFmtId="164" fontId="0" fillId="8" borderId="34" xfId="0" applyNumberFormat="1" applyFill="1" applyBorder="1" applyAlignment="1">
      <alignment horizontal="center"/>
    </xf>
    <xf numFmtId="164" fontId="0" fillId="12" borderId="34" xfId="0" applyNumberFormat="1" applyFill="1" applyBorder="1" applyAlignment="1">
      <alignment horizontal="center"/>
    </xf>
    <xf numFmtId="164" fontId="0" fillId="14" borderId="34" xfId="0" applyNumberFormat="1" applyFill="1" applyBorder="1" applyAlignment="1">
      <alignment horizontal="center"/>
    </xf>
    <xf numFmtId="164" fontId="0" fillId="8" borderId="35" xfId="0" applyNumberFormat="1" applyFill="1" applyBorder="1" applyAlignment="1">
      <alignment horizontal="center"/>
    </xf>
    <xf numFmtId="164" fontId="23" fillId="25" borderId="33" xfId="0" applyNumberFormat="1" applyFont="1" applyFill="1" applyBorder="1" applyAlignment="1">
      <alignment horizontal="center"/>
    </xf>
    <xf numFmtId="164" fontId="23" fillId="25" borderId="34" xfId="0" applyNumberFormat="1" applyFont="1" applyFill="1" applyBorder="1" applyAlignment="1">
      <alignment horizontal="center"/>
    </xf>
    <xf numFmtId="164" fontId="23" fillId="26" borderId="34" xfId="0" applyNumberFormat="1" applyFont="1" applyFill="1" applyBorder="1" applyAlignment="1">
      <alignment horizontal="center"/>
    </xf>
    <xf numFmtId="164" fontId="23" fillId="27" borderId="0" xfId="0" applyNumberFormat="1" applyFont="1" applyFill="1" applyBorder="1" applyAlignment="1">
      <alignment horizontal="center"/>
    </xf>
    <xf numFmtId="164" fontId="23" fillId="28" borderId="0" xfId="0" applyNumberFormat="1" applyFont="1" applyFill="1" applyBorder="1" applyAlignment="1">
      <alignment horizontal="center"/>
    </xf>
    <xf numFmtId="164" fontId="23" fillId="30" borderId="0" xfId="0" applyNumberFormat="1" applyFont="1" applyFill="1" applyBorder="1" applyAlignment="1">
      <alignment horizontal="center"/>
    </xf>
    <xf numFmtId="164" fontId="0" fillId="11" borderId="34" xfId="0" applyNumberFormat="1" applyFill="1" applyBorder="1" applyAlignment="1">
      <alignment horizontal="center"/>
    </xf>
    <xf numFmtId="164" fontId="0" fillId="26" borderId="34" xfId="0" applyNumberFormat="1" applyFill="1" applyBorder="1" applyAlignment="1">
      <alignment horizontal="center"/>
    </xf>
    <xf numFmtId="164" fontId="0" fillId="25" borderId="34" xfId="0" applyNumberFormat="1" applyFill="1" applyBorder="1" applyAlignment="1">
      <alignment horizontal="center"/>
    </xf>
    <xf numFmtId="164" fontId="0" fillId="25" borderId="35" xfId="0" applyNumberFormat="1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164" fontId="0" fillId="7" borderId="0" xfId="0" applyNumberFormat="1" applyFill="1" applyBorder="1" applyAlignment="1">
      <alignment horizontal="center"/>
    </xf>
    <xf numFmtId="164" fontId="0" fillId="7" borderId="2" xfId="0" applyNumberFormat="1" applyFill="1" applyBorder="1" applyAlignment="1">
      <alignment horizontal="center"/>
    </xf>
    <xf numFmtId="164" fontId="23" fillId="25" borderId="35" xfId="0" applyNumberFormat="1" applyFont="1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12" borderId="32" xfId="0" applyFill="1" applyBorder="1" applyAlignment="1">
      <alignment horizontal="center"/>
    </xf>
    <xf numFmtId="0" fontId="0" fillId="14" borderId="32" xfId="0" applyFill="1" applyBorder="1" applyAlignment="1">
      <alignment horizontal="center"/>
    </xf>
    <xf numFmtId="0" fontId="23" fillId="25" borderId="30" xfId="0" applyFont="1" applyFill="1" applyBorder="1" applyAlignment="1">
      <alignment horizontal="center"/>
    </xf>
    <xf numFmtId="0" fontId="23" fillId="25" borderId="32" xfId="0" applyFont="1" applyFill="1" applyBorder="1" applyAlignment="1">
      <alignment horizontal="center"/>
    </xf>
    <xf numFmtId="0" fontId="23" fillId="26" borderId="3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Y739"/>
  <sheetViews>
    <sheetView tabSelected="1" zoomScaleNormal="100" workbookViewId="0">
      <pane xSplit="8" ySplit="3" topLeftCell="I634" activePane="bottomRight" state="frozen"/>
      <selection pane="topRight" activeCell="K1" sqref="K1"/>
      <selection pane="bottomLeft" activeCell="A4" sqref="A4"/>
      <selection pane="bottomRight" activeCell="Y17" sqref="Y17"/>
    </sheetView>
  </sheetViews>
  <sheetFormatPr defaultRowHeight="15"/>
  <cols>
    <col min="1" max="1" width="5" customWidth="1"/>
    <col min="2" max="2" width="4.42578125" hidden="1" customWidth="1"/>
    <col min="3" max="3" width="8.42578125" customWidth="1"/>
    <col min="4" max="4" width="6.85546875" style="8" customWidth="1"/>
    <col min="5" max="5" width="4.5703125" customWidth="1"/>
    <col min="6" max="6" width="5.7109375" hidden="1" customWidth="1"/>
    <col min="7" max="7" width="5.42578125" hidden="1" customWidth="1"/>
    <col min="8" max="8" width="5.140625" hidden="1" customWidth="1"/>
    <col min="9" max="9" width="3.85546875" style="96" customWidth="1"/>
    <col min="10" max="15" width="4.28515625" style="10" customWidth="1"/>
    <col min="16" max="17" width="4.28515625" style="96" customWidth="1"/>
    <col min="18" max="19" width="4.28515625" style="10" customWidth="1"/>
    <col min="20" max="20" width="4.85546875" style="10" customWidth="1"/>
    <col min="21" max="23" width="4.28515625" style="10" customWidth="1"/>
    <col min="24" max="25" width="3.85546875" style="96" customWidth="1"/>
    <col min="26" max="28" width="4.28515625" style="10" customWidth="1"/>
    <col min="29" max="29" width="4.85546875" style="10" customWidth="1"/>
    <col min="30" max="30" width="5.42578125" style="10" customWidth="1"/>
    <col min="31" max="31" width="4.85546875" style="10" customWidth="1"/>
    <col min="32" max="33" width="5" style="96" customWidth="1"/>
    <col min="34" max="34" width="4.7109375" style="10" customWidth="1"/>
    <col min="35" max="35" width="5.28515625" style="10" customWidth="1"/>
    <col min="36" max="36" width="5" style="10" customWidth="1"/>
    <col min="37" max="39" width="4.28515625" style="10" customWidth="1"/>
    <col min="40" max="40" width="3.85546875" style="96" customWidth="1"/>
    <col min="41" max="41" width="5.42578125" style="96" customWidth="1"/>
    <col min="42" max="42" width="6.42578125" style="56" customWidth="1"/>
    <col min="43" max="43" width="6.42578125" style="82" customWidth="1"/>
    <col min="44" max="44" width="16" style="10" customWidth="1"/>
    <col min="45" max="45" width="9.140625" style="61" bestFit="1" customWidth="1"/>
    <col min="46" max="47" width="9.140625" style="91" customWidth="1"/>
    <col min="48" max="48" width="9.140625" style="63" customWidth="1"/>
    <col min="49" max="49" width="8.85546875" customWidth="1"/>
    <col min="50" max="50" width="4.5703125" style="12" customWidth="1"/>
    <col min="51" max="51" width="4.42578125" style="12" customWidth="1"/>
    <col min="52" max="52" width="3.5703125" style="12" customWidth="1"/>
    <col min="53" max="53" width="4.42578125" style="12" customWidth="1"/>
    <col min="54" max="54" width="3.42578125" style="12" customWidth="1"/>
    <col min="55" max="55" width="4.42578125" style="12" customWidth="1"/>
    <col min="56" max="56" width="3.5703125" style="12" customWidth="1"/>
    <col min="57" max="57" width="4" style="12" customWidth="1"/>
    <col min="58" max="58" width="4.5703125" style="12" customWidth="1"/>
    <col min="59" max="60" width="5" style="12" customWidth="1"/>
    <col min="61" max="61" width="5.42578125" style="12" customWidth="1"/>
    <col min="62" max="62" width="6.42578125" style="12" customWidth="1"/>
    <col min="63" max="63" width="4.5703125" style="12" customWidth="1"/>
    <col min="64" max="64" width="3.42578125" style="12" customWidth="1"/>
    <col min="65" max="66" width="4.5703125" style="12" customWidth="1"/>
    <col min="67" max="67" width="7.42578125" style="12" customWidth="1"/>
    <col min="68" max="68" width="4.140625" style="12" customWidth="1"/>
    <col min="69" max="69" width="4.42578125" style="12" customWidth="1"/>
    <col min="70" max="70" width="5.85546875" style="12" customWidth="1"/>
    <col min="71" max="71" width="6.85546875" style="12" customWidth="1"/>
    <col min="72" max="72" width="7.42578125" style="12" customWidth="1"/>
    <col min="73" max="74" width="5" style="12" customWidth="1"/>
    <col min="75" max="75" width="3.42578125" style="12" customWidth="1"/>
    <col min="76" max="76" width="4" style="12" customWidth="1"/>
    <col min="77" max="77" width="5" style="12" customWidth="1"/>
    <col min="78" max="78" width="2.5703125" style="12" customWidth="1"/>
    <col min="79" max="79" width="3.42578125" style="12" customWidth="1"/>
    <col min="80" max="80" width="4.85546875" style="12" customWidth="1"/>
    <col min="81" max="81" width="3.140625" style="12" customWidth="1"/>
    <col min="82" max="82" width="4.5703125" style="12" customWidth="1"/>
    <col min="83" max="83" width="5.42578125" style="12" customWidth="1"/>
    <col min="84" max="84" width="4.42578125" style="12" customWidth="1"/>
    <col min="85" max="85" width="2.5703125" style="12" customWidth="1"/>
    <col min="86" max="86" width="2.42578125" style="12" customWidth="1"/>
    <col min="87" max="87" width="4.42578125" style="12" customWidth="1"/>
    <col min="88" max="88" width="3.42578125" style="12" customWidth="1"/>
    <col min="89" max="89" width="4.42578125" style="12" customWidth="1"/>
    <col min="90" max="90" width="6.140625" customWidth="1"/>
    <col min="91" max="92" width="5.42578125" customWidth="1"/>
    <col min="93" max="93" width="6.5703125" customWidth="1"/>
    <col min="94" max="100" width="4.42578125" customWidth="1"/>
    <col min="101" max="102" width="5" customWidth="1"/>
    <col min="103" max="103" width="5.140625" customWidth="1"/>
  </cols>
  <sheetData>
    <row r="1" spans="1:103">
      <c r="I1" s="396" t="s">
        <v>336</v>
      </c>
      <c r="J1" s="397"/>
      <c r="K1" s="397"/>
      <c r="L1" s="397"/>
      <c r="M1" s="397"/>
      <c r="N1" s="397"/>
      <c r="O1" s="397"/>
      <c r="P1" s="398"/>
      <c r="Q1" s="399" t="s">
        <v>337</v>
      </c>
      <c r="R1" s="400"/>
      <c r="S1" s="400"/>
      <c r="T1" s="400"/>
      <c r="U1" s="400"/>
      <c r="V1" s="400"/>
      <c r="W1" s="400"/>
      <c r="X1" s="401"/>
      <c r="Y1" s="402" t="s">
        <v>339</v>
      </c>
      <c r="Z1" s="403"/>
      <c r="AA1" s="403"/>
      <c r="AB1" s="403"/>
      <c r="AC1" s="403"/>
      <c r="AD1" s="403"/>
      <c r="AE1" s="403"/>
      <c r="AF1" s="404"/>
      <c r="AG1" s="405" t="s">
        <v>338</v>
      </c>
      <c r="AH1" s="406"/>
      <c r="AI1" s="406"/>
      <c r="AJ1" s="406"/>
      <c r="AK1" s="406"/>
      <c r="AL1" s="406"/>
      <c r="AM1" s="406"/>
      <c r="AN1" s="407"/>
      <c r="AO1" s="95" t="s">
        <v>347</v>
      </c>
      <c r="AP1" s="11" t="s">
        <v>348</v>
      </c>
      <c r="AQ1" s="83"/>
      <c r="AR1"/>
      <c r="AS1"/>
      <c r="AT1" s="67"/>
      <c r="AU1" s="67"/>
      <c r="AV1" s="66"/>
      <c r="AW1" s="12"/>
      <c r="CK1"/>
    </row>
    <row r="2" spans="1:103">
      <c r="I2" s="26" t="s">
        <v>42</v>
      </c>
      <c r="J2" s="27" t="s">
        <v>42</v>
      </c>
      <c r="K2" s="27" t="s">
        <v>42</v>
      </c>
      <c r="L2" s="27" t="s">
        <v>340</v>
      </c>
      <c r="M2" s="27" t="s">
        <v>341</v>
      </c>
      <c r="N2" s="27" t="s">
        <v>334</v>
      </c>
      <c r="O2" s="27" t="s">
        <v>335</v>
      </c>
      <c r="P2" s="107" t="s">
        <v>335</v>
      </c>
      <c r="Q2" s="32" t="s">
        <v>335</v>
      </c>
      <c r="R2" s="33" t="s">
        <v>335</v>
      </c>
      <c r="S2" s="33" t="s">
        <v>334</v>
      </c>
      <c r="T2" s="33" t="s">
        <v>341</v>
      </c>
      <c r="U2" s="33" t="s">
        <v>341</v>
      </c>
      <c r="V2" s="33" t="s">
        <v>42</v>
      </c>
      <c r="W2" s="33" t="s">
        <v>42</v>
      </c>
      <c r="X2" s="34" t="s">
        <v>42</v>
      </c>
      <c r="Y2" s="38" t="s">
        <v>42</v>
      </c>
      <c r="Z2" s="39" t="s">
        <v>42</v>
      </c>
      <c r="AA2" s="39" t="s">
        <v>42</v>
      </c>
      <c r="AB2" s="39" t="s">
        <v>341</v>
      </c>
      <c r="AC2" s="39" t="s">
        <v>341</v>
      </c>
      <c r="AD2" s="39" t="s">
        <v>334</v>
      </c>
      <c r="AE2" s="39" t="s">
        <v>335</v>
      </c>
      <c r="AF2" s="40" t="s">
        <v>335</v>
      </c>
      <c r="AG2" s="108" t="s">
        <v>335</v>
      </c>
      <c r="AH2" s="45" t="s">
        <v>335</v>
      </c>
      <c r="AI2" s="45" t="s">
        <v>334</v>
      </c>
      <c r="AJ2" s="45" t="s">
        <v>341</v>
      </c>
      <c r="AK2" s="45" t="s">
        <v>341</v>
      </c>
      <c r="AL2" s="45" t="s">
        <v>42</v>
      </c>
      <c r="AM2" s="45" t="s">
        <v>42</v>
      </c>
      <c r="AN2" s="46" t="s">
        <v>42</v>
      </c>
      <c r="AO2" s="95"/>
      <c r="AP2" s="11"/>
      <c r="AQ2" s="83"/>
      <c r="AR2"/>
      <c r="AS2"/>
      <c r="AT2" s="67"/>
      <c r="AU2" s="67"/>
      <c r="AV2" s="66"/>
      <c r="AW2" s="12"/>
      <c r="CK2"/>
    </row>
    <row r="3" spans="1:103">
      <c r="A3" t="s">
        <v>0</v>
      </c>
      <c r="B3" t="s">
        <v>11</v>
      </c>
      <c r="C3" t="s">
        <v>1</v>
      </c>
      <c r="D3" s="8" t="s">
        <v>353</v>
      </c>
      <c r="E3" t="s">
        <v>2</v>
      </c>
      <c r="F3" t="s">
        <v>7</v>
      </c>
      <c r="G3" t="s">
        <v>8</v>
      </c>
      <c r="H3" t="s">
        <v>156</v>
      </c>
      <c r="I3" s="109">
        <v>8</v>
      </c>
      <c r="J3" s="110">
        <v>7</v>
      </c>
      <c r="K3" s="110">
        <v>6</v>
      </c>
      <c r="L3" s="110">
        <v>5</v>
      </c>
      <c r="M3" s="110">
        <v>4</v>
      </c>
      <c r="N3" s="110">
        <v>3</v>
      </c>
      <c r="O3" s="110">
        <v>2</v>
      </c>
      <c r="P3" s="111">
        <v>1</v>
      </c>
      <c r="Q3" s="112">
        <v>1</v>
      </c>
      <c r="R3" s="113">
        <v>2</v>
      </c>
      <c r="S3" s="113">
        <v>3</v>
      </c>
      <c r="T3" s="113">
        <v>4</v>
      </c>
      <c r="U3" s="113">
        <v>5</v>
      </c>
      <c r="V3" s="113">
        <v>6</v>
      </c>
      <c r="W3" s="113">
        <v>7</v>
      </c>
      <c r="X3" s="114">
        <v>8</v>
      </c>
      <c r="Y3" s="115">
        <v>8</v>
      </c>
      <c r="Z3" s="116">
        <v>7</v>
      </c>
      <c r="AA3" s="116">
        <v>6</v>
      </c>
      <c r="AB3" s="116">
        <v>5</v>
      </c>
      <c r="AC3" s="116">
        <v>4</v>
      </c>
      <c r="AD3" s="116">
        <v>3</v>
      </c>
      <c r="AE3" s="116">
        <v>2</v>
      </c>
      <c r="AF3" s="117">
        <v>1</v>
      </c>
      <c r="AG3" s="118">
        <v>1</v>
      </c>
      <c r="AH3" s="119">
        <v>2</v>
      </c>
      <c r="AI3" s="119">
        <v>3</v>
      </c>
      <c r="AJ3" s="119">
        <v>4</v>
      </c>
      <c r="AK3" s="119">
        <v>5</v>
      </c>
      <c r="AL3" s="119">
        <v>6</v>
      </c>
      <c r="AM3" s="119">
        <v>7</v>
      </c>
      <c r="AN3" s="120">
        <v>8</v>
      </c>
      <c r="AO3" s="95"/>
      <c r="AP3" s="11"/>
      <c r="AQ3" s="83" t="s">
        <v>371</v>
      </c>
      <c r="AR3" t="s">
        <v>3</v>
      </c>
      <c r="AS3" t="s">
        <v>364</v>
      </c>
      <c r="AT3" s="92" t="s">
        <v>165</v>
      </c>
      <c r="AU3" s="92" t="s">
        <v>361</v>
      </c>
      <c r="AV3" s="66"/>
      <c r="AW3" s="12" t="s">
        <v>163</v>
      </c>
      <c r="AX3" s="12" t="s">
        <v>164</v>
      </c>
      <c r="AY3" s="12" t="s">
        <v>165</v>
      </c>
      <c r="AZ3" s="12" t="s">
        <v>166</v>
      </c>
      <c r="BA3" s="13" t="s">
        <v>167</v>
      </c>
      <c r="BB3" s="13" t="s">
        <v>168</v>
      </c>
      <c r="BC3" s="12" t="s">
        <v>169</v>
      </c>
      <c r="BD3" s="12" t="s">
        <v>170</v>
      </c>
      <c r="BE3" s="12" t="s">
        <v>194</v>
      </c>
      <c r="BF3" s="12" t="s">
        <v>198</v>
      </c>
      <c r="BG3" s="12" t="s">
        <v>171</v>
      </c>
      <c r="BH3" s="12" t="s">
        <v>172</v>
      </c>
      <c r="BI3" s="12" t="s">
        <v>173</v>
      </c>
      <c r="BJ3" s="12" t="s">
        <v>174</v>
      </c>
      <c r="BK3" s="12" t="s">
        <v>175</v>
      </c>
      <c r="BL3" s="12" t="s">
        <v>176</v>
      </c>
      <c r="BM3" s="12" t="s">
        <v>193</v>
      </c>
      <c r="BN3" s="12" t="s">
        <v>199</v>
      </c>
      <c r="BO3" s="12" t="s">
        <v>177</v>
      </c>
      <c r="BP3" s="12" t="s">
        <v>178</v>
      </c>
      <c r="BQ3" s="12" t="s">
        <v>179</v>
      </c>
      <c r="BR3" s="12" t="s">
        <v>265</v>
      </c>
      <c r="BS3" s="12" t="s">
        <v>180</v>
      </c>
      <c r="BT3" s="12" t="s">
        <v>181</v>
      </c>
      <c r="BU3" s="12" t="s">
        <v>196</v>
      </c>
      <c r="BV3" s="12" t="s">
        <v>182</v>
      </c>
      <c r="BW3" s="12" t="s">
        <v>183</v>
      </c>
      <c r="BX3" s="12" t="s">
        <v>184</v>
      </c>
      <c r="BY3" s="12" t="s">
        <v>185</v>
      </c>
      <c r="BZ3" s="12" t="s">
        <v>186</v>
      </c>
      <c r="CA3" s="12" t="s">
        <v>187</v>
      </c>
      <c r="CB3" s="12" t="s">
        <v>188</v>
      </c>
      <c r="CC3" s="12" t="s">
        <v>220</v>
      </c>
      <c r="CD3" s="12" t="s">
        <v>200</v>
      </c>
      <c r="CE3" s="12" t="s">
        <v>189</v>
      </c>
      <c r="CF3" s="12" t="s">
        <v>190</v>
      </c>
      <c r="CG3" s="12" t="s">
        <v>191</v>
      </c>
      <c r="CH3" s="12" t="s">
        <v>192</v>
      </c>
      <c r="CI3" s="12" t="s">
        <v>15</v>
      </c>
      <c r="CJ3" s="12" t="s">
        <v>204</v>
      </c>
      <c r="CK3" t="s">
        <v>205</v>
      </c>
      <c r="CL3" t="s">
        <v>206</v>
      </c>
      <c r="CM3" t="s">
        <v>207</v>
      </c>
      <c r="CN3" t="s">
        <v>211</v>
      </c>
      <c r="CO3" t="s">
        <v>214</v>
      </c>
      <c r="CP3" t="s">
        <v>217</v>
      </c>
      <c r="CQ3" t="s">
        <v>221</v>
      </c>
      <c r="CR3" t="s">
        <v>187</v>
      </c>
      <c r="CS3" t="s">
        <v>226</v>
      </c>
      <c r="CT3" t="s">
        <v>228</v>
      </c>
      <c r="CU3" t="s">
        <v>243</v>
      </c>
      <c r="CV3" t="s">
        <v>254</v>
      </c>
      <c r="CW3" t="s">
        <v>316</v>
      </c>
      <c r="CX3" t="s">
        <v>0</v>
      </c>
      <c r="CY3" t="s">
        <v>203</v>
      </c>
    </row>
    <row r="4" spans="1:103" s="67" customFormat="1" ht="15.75" thickBot="1">
      <c r="A4" s="411" t="s">
        <v>390</v>
      </c>
      <c r="B4" s="411"/>
      <c r="C4" s="411"/>
      <c r="D4" s="411"/>
      <c r="E4" s="411"/>
      <c r="F4" s="411"/>
      <c r="G4" s="411"/>
      <c r="H4" s="411"/>
      <c r="I4" s="411"/>
      <c r="J4" s="411"/>
      <c r="K4" s="411"/>
      <c r="L4" s="411"/>
      <c r="M4" s="411"/>
      <c r="N4" s="411"/>
      <c r="O4" s="411"/>
      <c r="P4" s="411"/>
      <c r="Q4" s="411"/>
      <c r="R4" s="411"/>
      <c r="S4" s="411"/>
      <c r="T4" s="411"/>
      <c r="U4" s="411"/>
      <c r="V4" s="411"/>
      <c r="W4" s="411"/>
      <c r="X4" s="411"/>
      <c r="Y4" s="411"/>
      <c r="Z4" s="411"/>
      <c r="AA4" s="411"/>
      <c r="AB4" s="411"/>
      <c r="AC4" s="411"/>
      <c r="AD4" s="411"/>
      <c r="AE4" s="411"/>
      <c r="AF4" s="411"/>
      <c r="AG4" s="411"/>
      <c r="AH4" s="411"/>
      <c r="AI4" s="411"/>
      <c r="AJ4" s="411"/>
      <c r="AK4" s="411"/>
      <c r="AL4" s="411"/>
      <c r="AM4" s="411"/>
      <c r="AN4" s="411"/>
      <c r="AO4" s="411"/>
      <c r="AP4" s="411"/>
      <c r="AQ4" s="411"/>
      <c r="AR4" s="411"/>
      <c r="AS4" s="411"/>
      <c r="AT4" s="411"/>
      <c r="AU4" s="411"/>
      <c r="AV4" s="411"/>
      <c r="AW4" s="411"/>
      <c r="AX4" s="411"/>
      <c r="AY4" s="411"/>
      <c r="AZ4" s="411"/>
      <c r="BA4" s="411"/>
      <c r="BB4" s="411"/>
      <c r="BC4" s="411"/>
      <c r="BD4" s="411"/>
      <c r="BE4" s="411"/>
      <c r="BF4" s="411"/>
      <c r="BG4" s="411"/>
      <c r="BH4" s="411"/>
      <c r="BI4" s="411"/>
      <c r="BJ4" s="411"/>
      <c r="BK4" s="411"/>
      <c r="BL4" s="411"/>
      <c r="BM4" s="411"/>
      <c r="BN4" s="411"/>
      <c r="BO4" s="411"/>
      <c r="BP4" s="411"/>
      <c r="BQ4" s="411"/>
      <c r="BR4" s="411"/>
      <c r="BS4" s="411"/>
      <c r="BT4" s="411"/>
      <c r="BU4" s="411"/>
      <c r="BV4" s="411"/>
      <c r="BW4" s="411"/>
      <c r="BX4" s="411"/>
      <c r="BY4" s="411"/>
      <c r="BZ4" s="411"/>
      <c r="CA4" s="411"/>
      <c r="CB4" s="411"/>
      <c r="CC4" s="411"/>
      <c r="CD4" s="411"/>
      <c r="CE4" s="411"/>
      <c r="CF4" s="411"/>
      <c r="CG4" s="411"/>
      <c r="CH4" s="411"/>
      <c r="CI4" s="411"/>
      <c r="CJ4" s="411"/>
      <c r="CK4" s="411"/>
      <c r="CL4" s="411"/>
      <c r="CM4" s="411"/>
      <c r="CN4" s="411"/>
      <c r="CO4" s="411"/>
      <c r="CP4" s="411"/>
      <c r="CQ4" s="411"/>
      <c r="CR4" s="411"/>
      <c r="CS4" s="411"/>
      <c r="CT4" s="411"/>
      <c r="CU4" s="411"/>
      <c r="CV4" s="411"/>
      <c r="CW4" s="411"/>
      <c r="CX4" s="411"/>
    </row>
    <row r="5" spans="1:103">
      <c r="A5">
        <v>1</v>
      </c>
      <c r="B5" s="1" t="s">
        <v>12</v>
      </c>
      <c r="C5" t="s">
        <v>5</v>
      </c>
      <c r="D5" s="8" t="s">
        <v>42</v>
      </c>
      <c r="E5" t="s">
        <v>6</v>
      </c>
      <c r="F5">
        <v>26</v>
      </c>
      <c r="G5">
        <v>28</v>
      </c>
      <c r="H5">
        <v>32</v>
      </c>
      <c r="I5" s="147">
        <v>1</v>
      </c>
      <c r="J5" s="51">
        <v>1</v>
      </c>
      <c r="K5" s="51">
        <v>1</v>
      </c>
      <c r="L5" s="51">
        <v>1</v>
      </c>
      <c r="M5" s="51">
        <v>1</v>
      </c>
      <c r="N5" s="51">
        <v>1</v>
      </c>
      <c r="O5" s="51" t="s">
        <v>9</v>
      </c>
      <c r="P5" s="148">
        <v>1</v>
      </c>
      <c r="Q5" s="147">
        <v>1</v>
      </c>
      <c r="R5" s="51">
        <v>1</v>
      </c>
      <c r="S5" s="51">
        <v>1</v>
      </c>
      <c r="T5" s="51">
        <v>1</v>
      </c>
      <c r="U5" s="51">
        <v>1</v>
      </c>
      <c r="V5" s="51">
        <v>1</v>
      </c>
      <c r="W5" s="51">
        <v>1</v>
      </c>
      <c r="X5" s="148">
        <v>1</v>
      </c>
      <c r="Y5" s="147">
        <v>1</v>
      </c>
      <c r="Z5" s="51" t="s">
        <v>10</v>
      </c>
      <c r="AA5" s="51" t="s">
        <v>10</v>
      </c>
      <c r="AB5" s="51" t="s">
        <v>10</v>
      </c>
      <c r="AC5" s="51">
        <v>1</v>
      </c>
      <c r="AD5" s="51">
        <v>1</v>
      </c>
      <c r="AE5" s="51">
        <v>1</v>
      </c>
      <c r="AF5" s="148" t="s">
        <v>9</v>
      </c>
      <c r="AG5" s="51">
        <v>1</v>
      </c>
      <c r="AH5" s="51">
        <v>1</v>
      </c>
      <c r="AI5" s="51">
        <v>1</v>
      </c>
      <c r="AJ5" s="51">
        <v>1</v>
      </c>
      <c r="AK5" s="51">
        <v>1</v>
      </c>
      <c r="AL5" s="51" t="s">
        <v>10</v>
      </c>
      <c r="AM5" s="51">
        <v>1</v>
      </c>
      <c r="AN5" s="148">
        <v>1</v>
      </c>
      <c r="AP5" s="96">
        <v>26</v>
      </c>
      <c r="AQ5" s="85">
        <f>SUM(I5:AN5)</f>
        <v>26</v>
      </c>
      <c r="AR5" s="19" t="s">
        <v>4</v>
      </c>
      <c r="AS5"/>
      <c r="AT5" s="67">
        <f>COUNTIF(I5:AN5,"*am*")</f>
        <v>4</v>
      </c>
      <c r="AU5" s="67">
        <f>COUNTIF(I5:AN5,"pm")</f>
        <v>2</v>
      </c>
      <c r="AV5" s="66"/>
      <c r="AW5" s="12">
        <v>1</v>
      </c>
      <c r="AX5" s="12">
        <v>1</v>
      </c>
      <c r="AY5" s="12">
        <v>1</v>
      </c>
      <c r="AZ5" s="12">
        <v>1</v>
      </c>
      <c r="BA5" s="12">
        <v>1</v>
      </c>
      <c r="BB5" s="12">
        <v>1</v>
      </c>
      <c r="BD5" s="12">
        <v>1</v>
      </c>
      <c r="BK5" s="12">
        <v>1</v>
      </c>
      <c r="BO5" s="12">
        <v>1</v>
      </c>
      <c r="BQ5" s="12">
        <v>2</v>
      </c>
      <c r="BV5" s="12">
        <v>1</v>
      </c>
      <c r="BY5" s="12">
        <v>1</v>
      </c>
      <c r="BZ5" s="12">
        <v>1</v>
      </c>
      <c r="CK5"/>
      <c r="CX5" s="6">
        <v>1</v>
      </c>
    </row>
    <row r="6" spans="1:103">
      <c r="A6">
        <v>2</v>
      </c>
      <c r="B6" t="s">
        <v>13</v>
      </c>
      <c r="C6" t="s">
        <v>14</v>
      </c>
      <c r="D6" s="8" t="s">
        <v>345</v>
      </c>
      <c r="E6" s="8" t="s">
        <v>15</v>
      </c>
      <c r="I6" s="149"/>
      <c r="J6" s="96"/>
      <c r="K6" s="96"/>
      <c r="L6" s="96"/>
      <c r="M6" s="96"/>
      <c r="N6" s="96"/>
      <c r="O6" s="96"/>
      <c r="P6" s="150"/>
      <c r="Q6" s="149"/>
      <c r="R6" s="96"/>
      <c r="S6" s="96"/>
      <c r="T6" s="96"/>
      <c r="U6" s="96"/>
      <c r="V6" s="96"/>
      <c r="W6" s="96"/>
      <c r="X6" s="150"/>
      <c r="Y6" s="149"/>
      <c r="Z6" s="96"/>
      <c r="AA6" s="96"/>
      <c r="AB6" s="96"/>
      <c r="AC6" s="96"/>
      <c r="AD6" s="96"/>
      <c r="AE6" s="96"/>
      <c r="AF6" s="150"/>
      <c r="AH6" s="96"/>
      <c r="AI6" s="96"/>
      <c r="AJ6" s="96"/>
      <c r="AK6" s="96"/>
      <c r="AL6" s="96"/>
      <c r="AM6" s="96"/>
      <c r="AN6" s="150"/>
      <c r="AQ6" s="85">
        <f t="shared" ref="AQ6:AQ69" si="0">SUM(I6:AN6)</f>
        <v>0</v>
      </c>
      <c r="AR6" s="19"/>
      <c r="AS6"/>
      <c r="AT6" s="67">
        <f t="shared" ref="AT6:AT69" si="1">COUNTIF(I6:AN6,"*am*")</f>
        <v>0</v>
      </c>
      <c r="AU6" s="67">
        <f t="shared" ref="AU6:AU69" si="2">COUNTIF(I6:AN6,"pm")</f>
        <v>0</v>
      </c>
      <c r="AV6" s="66"/>
      <c r="AW6" s="12"/>
      <c r="CE6" s="12">
        <v>1</v>
      </c>
      <c r="CK6"/>
      <c r="CX6">
        <v>2</v>
      </c>
    </row>
    <row r="7" spans="1:103">
      <c r="A7">
        <v>3</v>
      </c>
      <c r="B7" t="s">
        <v>13</v>
      </c>
      <c r="C7" t="s">
        <v>14</v>
      </c>
      <c r="D7" s="8" t="s">
        <v>345</v>
      </c>
      <c r="E7" s="67" t="s">
        <v>15</v>
      </c>
      <c r="I7" s="149"/>
      <c r="J7" s="96"/>
      <c r="K7" s="96"/>
      <c r="L7" s="96"/>
      <c r="M7" s="96"/>
      <c r="N7" s="96"/>
      <c r="O7" s="96"/>
      <c r="P7" s="150"/>
      <c r="Q7" s="149"/>
      <c r="R7" s="96"/>
      <c r="S7" s="96"/>
      <c r="T7" s="96"/>
      <c r="U7" s="96"/>
      <c r="V7" s="96"/>
      <c r="W7" s="96"/>
      <c r="X7" s="150"/>
      <c r="Y7" s="149"/>
      <c r="Z7" s="96"/>
      <c r="AA7" s="96"/>
      <c r="AB7" s="96"/>
      <c r="AC7" s="96"/>
      <c r="AD7" s="96"/>
      <c r="AE7" s="96"/>
      <c r="AF7" s="150"/>
      <c r="AH7" s="96"/>
      <c r="AI7" s="96"/>
      <c r="AJ7" s="96"/>
      <c r="AK7" s="96"/>
      <c r="AL7" s="96"/>
      <c r="AM7" s="96"/>
      <c r="AN7" s="150"/>
      <c r="AQ7" s="85">
        <f t="shared" si="0"/>
        <v>0</v>
      </c>
      <c r="AR7" s="19"/>
      <c r="AS7"/>
      <c r="AT7" s="67">
        <f t="shared" si="1"/>
        <v>0</v>
      </c>
      <c r="AU7" s="67">
        <f t="shared" si="2"/>
        <v>0</v>
      </c>
      <c r="AV7" s="66"/>
      <c r="AW7" s="12"/>
      <c r="CE7" s="12">
        <v>1</v>
      </c>
      <c r="CK7"/>
      <c r="CX7">
        <v>3</v>
      </c>
    </row>
    <row r="8" spans="1:103">
      <c r="A8">
        <v>4</v>
      </c>
      <c r="B8" t="s">
        <v>13</v>
      </c>
      <c r="C8" t="s">
        <v>16</v>
      </c>
      <c r="D8" s="8" t="s">
        <v>345</v>
      </c>
      <c r="E8" s="67" t="s">
        <v>15</v>
      </c>
      <c r="I8" s="149"/>
      <c r="J8" s="96"/>
      <c r="K8" s="96"/>
      <c r="L8" s="96"/>
      <c r="M8" s="96"/>
      <c r="N8" s="96"/>
      <c r="O8" s="96"/>
      <c r="P8" s="150"/>
      <c r="Q8" s="149"/>
      <c r="R8" s="96"/>
      <c r="S8" s="96"/>
      <c r="T8" s="96"/>
      <c r="U8" s="96"/>
      <c r="V8" s="96"/>
      <c r="W8" s="96"/>
      <c r="X8" s="150"/>
      <c r="Y8" s="149"/>
      <c r="Z8" s="96"/>
      <c r="AA8" s="96"/>
      <c r="AB8" s="96"/>
      <c r="AC8" s="96"/>
      <c r="AD8" s="96"/>
      <c r="AE8" s="96"/>
      <c r="AF8" s="150"/>
      <c r="AH8" s="96"/>
      <c r="AI8" s="96"/>
      <c r="AJ8" s="96"/>
      <c r="AK8" s="96"/>
      <c r="AL8" s="96"/>
      <c r="AM8" s="96"/>
      <c r="AN8" s="150"/>
      <c r="AQ8" s="85">
        <f t="shared" si="0"/>
        <v>0</v>
      </c>
      <c r="AR8" s="19"/>
      <c r="AS8"/>
      <c r="AT8" s="67">
        <f t="shared" si="1"/>
        <v>0</v>
      </c>
      <c r="AU8" s="67">
        <f t="shared" si="2"/>
        <v>0</v>
      </c>
      <c r="AV8" s="66"/>
      <c r="AW8" s="12"/>
      <c r="CE8" s="12">
        <v>1</v>
      </c>
      <c r="CK8"/>
      <c r="CX8">
        <v>4</v>
      </c>
    </row>
    <row r="9" spans="1:103">
      <c r="A9">
        <v>5</v>
      </c>
      <c r="B9" t="s">
        <v>13</v>
      </c>
      <c r="C9" t="s">
        <v>16</v>
      </c>
      <c r="D9" s="8" t="s">
        <v>345</v>
      </c>
      <c r="E9" s="67" t="s">
        <v>15</v>
      </c>
      <c r="I9" s="149"/>
      <c r="J9" s="96"/>
      <c r="K9" s="96"/>
      <c r="L9" s="96"/>
      <c r="M9" s="96"/>
      <c r="N9" s="96"/>
      <c r="O9" s="96"/>
      <c r="P9" s="150"/>
      <c r="Q9" s="149"/>
      <c r="R9" s="96"/>
      <c r="S9" s="96"/>
      <c r="T9" s="96"/>
      <c r="U9" s="96"/>
      <c r="V9" s="96"/>
      <c r="W9" s="96"/>
      <c r="X9" s="150"/>
      <c r="Y9" s="149"/>
      <c r="Z9" s="96"/>
      <c r="AA9" s="96"/>
      <c r="AB9" s="96"/>
      <c r="AC9" s="96"/>
      <c r="AD9" s="96"/>
      <c r="AE9" s="96"/>
      <c r="AF9" s="150"/>
      <c r="AH9" s="96"/>
      <c r="AI9" s="96"/>
      <c r="AJ9" s="96"/>
      <c r="AK9" s="96"/>
      <c r="AL9" s="96"/>
      <c r="AM9" s="96"/>
      <c r="AN9" s="150"/>
      <c r="AQ9" s="85">
        <f t="shared" si="0"/>
        <v>0</v>
      </c>
      <c r="AR9" s="19"/>
      <c r="AS9"/>
      <c r="AT9" s="67">
        <f t="shared" si="1"/>
        <v>0</v>
      </c>
      <c r="AU9" s="67">
        <f t="shared" si="2"/>
        <v>0</v>
      </c>
      <c r="AV9" s="66"/>
      <c r="AW9" s="12"/>
      <c r="CE9" s="12">
        <v>1</v>
      </c>
      <c r="CK9"/>
      <c r="CX9">
        <v>5</v>
      </c>
    </row>
    <row r="10" spans="1:103">
      <c r="A10">
        <v>6</v>
      </c>
      <c r="B10" t="s">
        <v>13</v>
      </c>
      <c r="C10">
        <v>0</v>
      </c>
      <c r="D10" s="8" t="s">
        <v>365</v>
      </c>
      <c r="E10" s="67" t="s">
        <v>15</v>
      </c>
      <c r="I10" s="149"/>
      <c r="J10" s="96"/>
      <c r="K10" s="50"/>
      <c r="L10" s="96"/>
      <c r="M10" s="96"/>
      <c r="N10" s="96"/>
      <c r="O10" s="96"/>
      <c r="P10" s="150"/>
      <c r="Q10" s="149"/>
      <c r="R10" s="96"/>
      <c r="S10" s="96"/>
      <c r="T10" s="96"/>
      <c r="U10" s="96"/>
      <c r="V10" s="96"/>
      <c r="W10" s="96"/>
      <c r="X10" s="150"/>
      <c r="Y10" s="149"/>
      <c r="Z10" s="96"/>
      <c r="AA10" s="96"/>
      <c r="AB10" s="96"/>
      <c r="AC10" s="96"/>
      <c r="AD10" s="96"/>
      <c r="AE10" s="96"/>
      <c r="AF10" s="150"/>
      <c r="AH10" s="96"/>
      <c r="AI10" s="96"/>
      <c r="AJ10" s="96"/>
      <c r="AK10" s="96"/>
      <c r="AL10" s="96"/>
      <c r="AM10" s="96"/>
      <c r="AN10" s="150"/>
      <c r="AQ10" s="85">
        <f t="shared" si="0"/>
        <v>0</v>
      </c>
      <c r="AR10" s="19"/>
      <c r="AS10"/>
      <c r="AT10" s="67">
        <f t="shared" si="1"/>
        <v>0</v>
      </c>
      <c r="AU10" s="67">
        <f t="shared" si="2"/>
        <v>0</v>
      </c>
      <c r="AV10" s="66"/>
      <c r="AW10" s="12"/>
      <c r="CE10" s="12">
        <v>1</v>
      </c>
      <c r="CK10"/>
      <c r="CX10">
        <v>6</v>
      </c>
    </row>
    <row r="11" spans="1:103">
      <c r="A11">
        <v>7</v>
      </c>
      <c r="B11" t="s">
        <v>13</v>
      </c>
      <c r="C11" t="s">
        <v>17</v>
      </c>
      <c r="D11" s="8" t="s">
        <v>345</v>
      </c>
      <c r="E11" s="67" t="s">
        <v>15</v>
      </c>
      <c r="I11" s="149"/>
      <c r="J11" s="96"/>
      <c r="K11" s="96"/>
      <c r="L11" s="96"/>
      <c r="M11" s="96"/>
      <c r="N11" s="96"/>
      <c r="O11" s="96"/>
      <c r="P11" s="150"/>
      <c r="Q11" s="149"/>
      <c r="R11" s="96"/>
      <c r="S11" s="96"/>
      <c r="T11" s="96"/>
      <c r="U11" s="96"/>
      <c r="V11" s="96"/>
      <c r="W11" s="96"/>
      <c r="X11" s="150"/>
      <c r="Y11" s="149"/>
      <c r="Z11" s="96"/>
      <c r="AA11" s="96"/>
      <c r="AB11" s="96"/>
      <c r="AC11" s="96"/>
      <c r="AD11" s="96"/>
      <c r="AE11" s="96"/>
      <c r="AF11" s="150"/>
      <c r="AH11" s="96"/>
      <c r="AI11" s="96"/>
      <c r="AJ11" s="96"/>
      <c r="AK11" s="96"/>
      <c r="AL11" s="96"/>
      <c r="AM11" s="96"/>
      <c r="AN11" s="150"/>
      <c r="AQ11" s="85">
        <f t="shared" si="0"/>
        <v>0</v>
      </c>
      <c r="AR11" s="19"/>
      <c r="AS11"/>
      <c r="AT11" s="67">
        <f t="shared" si="1"/>
        <v>0</v>
      </c>
      <c r="AU11" s="67">
        <f t="shared" si="2"/>
        <v>0</v>
      </c>
      <c r="AV11" s="66"/>
      <c r="AW11" s="12"/>
      <c r="CE11" s="12">
        <v>1</v>
      </c>
      <c r="CK11"/>
      <c r="CX11">
        <v>7</v>
      </c>
    </row>
    <row r="12" spans="1:103">
      <c r="A12">
        <v>8</v>
      </c>
      <c r="B12" t="s">
        <v>13</v>
      </c>
      <c r="C12" t="s">
        <v>17</v>
      </c>
      <c r="D12" s="8" t="s">
        <v>345</v>
      </c>
      <c r="E12" s="67" t="s">
        <v>15</v>
      </c>
      <c r="I12" s="149"/>
      <c r="J12" s="96"/>
      <c r="K12" s="96"/>
      <c r="L12" s="96"/>
      <c r="M12" s="96"/>
      <c r="N12" s="96"/>
      <c r="O12" s="96"/>
      <c r="P12" s="150"/>
      <c r="Q12" s="149"/>
      <c r="R12" s="96"/>
      <c r="S12" s="96"/>
      <c r="T12" s="96"/>
      <c r="U12" s="96"/>
      <c r="V12" s="96"/>
      <c r="W12" s="96"/>
      <c r="X12" s="150"/>
      <c r="Y12" s="149"/>
      <c r="Z12" s="96"/>
      <c r="AA12" s="96"/>
      <c r="AB12" s="96"/>
      <c r="AC12" s="96"/>
      <c r="AD12" s="96"/>
      <c r="AE12" s="96"/>
      <c r="AF12" s="150"/>
      <c r="AH12" s="96"/>
      <c r="AI12" s="96"/>
      <c r="AJ12" s="96"/>
      <c r="AK12" s="96"/>
      <c r="AL12" s="96"/>
      <c r="AM12" s="96"/>
      <c r="AN12" s="150"/>
      <c r="AQ12" s="85">
        <f t="shared" si="0"/>
        <v>0</v>
      </c>
      <c r="AR12" s="19"/>
      <c r="AS12"/>
      <c r="AT12" s="67">
        <f t="shared" si="1"/>
        <v>0</v>
      </c>
      <c r="AU12" s="67">
        <f t="shared" si="2"/>
        <v>0</v>
      </c>
      <c r="AV12" s="66"/>
      <c r="AW12" s="12"/>
      <c r="CE12" s="12">
        <v>1</v>
      </c>
      <c r="CK12"/>
      <c r="CX12">
        <v>8</v>
      </c>
    </row>
    <row r="13" spans="1:103">
      <c r="A13">
        <v>9</v>
      </c>
      <c r="B13" t="s">
        <v>13</v>
      </c>
      <c r="C13" t="s">
        <v>16</v>
      </c>
      <c r="D13" s="8" t="s">
        <v>345</v>
      </c>
      <c r="E13" s="67" t="s">
        <v>15</v>
      </c>
      <c r="I13" s="149"/>
      <c r="J13" s="96"/>
      <c r="K13" s="96"/>
      <c r="L13" s="96"/>
      <c r="M13" s="96"/>
      <c r="N13" s="96"/>
      <c r="O13" s="96"/>
      <c r="P13" s="150"/>
      <c r="Q13" s="149"/>
      <c r="R13" s="96"/>
      <c r="S13" s="96"/>
      <c r="T13" s="96"/>
      <c r="U13" s="96"/>
      <c r="V13" s="96"/>
      <c r="W13" s="96"/>
      <c r="X13" s="150"/>
      <c r="Y13" s="149"/>
      <c r="Z13" s="96"/>
      <c r="AA13" s="96"/>
      <c r="AB13" s="96"/>
      <c r="AC13" s="96"/>
      <c r="AD13" s="96"/>
      <c r="AE13" s="96"/>
      <c r="AF13" s="150"/>
      <c r="AH13" s="96"/>
      <c r="AI13" s="96"/>
      <c r="AJ13" s="96"/>
      <c r="AK13" s="96"/>
      <c r="AL13" s="96"/>
      <c r="AM13" s="96"/>
      <c r="AN13" s="150"/>
      <c r="AQ13" s="85">
        <f t="shared" si="0"/>
        <v>0</v>
      </c>
      <c r="AR13" s="19"/>
      <c r="AS13"/>
      <c r="AT13" s="67">
        <f t="shared" si="1"/>
        <v>0</v>
      </c>
      <c r="AU13" s="67">
        <f t="shared" si="2"/>
        <v>0</v>
      </c>
      <c r="AV13" s="66"/>
      <c r="AW13" s="12"/>
      <c r="CE13" s="12">
        <v>1</v>
      </c>
      <c r="CK13"/>
      <c r="CX13">
        <v>9</v>
      </c>
    </row>
    <row r="14" spans="1:103">
      <c r="A14">
        <v>10</v>
      </c>
      <c r="B14" t="s">
        <v>13</v>
      </c>
      <c r="C14" t="s">
        <v>16</v>
      </c>
      <c r="D14" s="8" t="s">
        <v>345</v>
      </c>
      <c r="E14" s="67" t="s">
        <v>15</v>
      </c>
      <c r="I14" s="149"/>
      <c r="J14" s="96"/>
      <c r="K14" s="96"/>
      <c r="L14" s="96"/>
      <c r="M14" s="96"/>
      <c r="N14" s="96"/>
      <c r="O14" s="96"/>
      <c r="P14" s="150"/>
      <c r="Q14" s="149"/>
      <c r="R14" s="96"/>
      <c r="S14" s="96"/>
      <c r="T14" s="96"/>
      <c r="U14" s="96"/>
      <c r="V14" s="96"/>
      <c r="W14" s="96"/>
      <c r="X14" s="150"/>
      <c r="Y14" s="149"/>
      <c r="Z14" s="96"/>
      <c r="AA14" s="96"/>
      <c r="AB14" s="96"/>
      <c r="AC14" s="96"/>
      <c r="AD14" s="96"/>
      <c r="AE14" s="96"/>
      <c r="AF14" s="150"/>
      <c r="AH14" s="96"/>
      <c r="AI14" s="96"/>
      <c r="AJ14" s="96"/>
      <c r="AK14" s="96"/>
      <c r="AL14" s="96"/>
      <c r="AM14" s="96"/>
      <c r="AN14" s="150"/>
      <c r="AQ14" s="85">
        <f t="shared" si="0"/>
        <v>0</v>
      </c>
      <c r="AR14" s="19"/>
      <c r="AS14"/>
      <c r="AT14" s="67">
        <f t="shared" si="1"/>
        <v>0</v>
      </c>
      <c r="AU14" s="67">
        <f t="shared" si="2"/>
        <v>0</v>
      </c>
      <c r="AV14" s="66"/>
      <c r="AW14" s="12"/>
      <c r="CE14" s="12">
        <v>1</v>
      </c>
      <c r="CK14"/>
      <c r="CX14">
        <v>10</v>
      </c>
    </row>
    <row r="15" spans="1:103">
      <c r="A15">
        <v>11</v>
      </c>
      <c r="B15" t="s">
        <v>13</v>
      </c>
      <c r="C15" t="s">
        <v>16</v>
      </c>
      <c r="D15" s="8" t="s">
        <v>345</v>
      </c>
      <c r="E15" s="67" t="s">
        <v>15</v>
      </c>
      <c r="I15" s="149"/>
      <c r="J15" s="96"/>
      <c r="K15" s="96"/>
      <c r="L15" s="96"/>
      <c r="M15" s="96"/>
      <c r="N15" s="96"/>
      <c r="O15" s="96"/>
      <c r="P15" s="150"/>
      <c r="Q15" s="149"/>
      <c r="R15" s="96"/>
      <c r="S15" s="96"/>
      <c r="T15" s="96"/>
      <c r="U15" s="96"/>
      <c r="V15" s="96"/>
      <c r="W15" s="96"/>
      <c r="X15" s="150"/>
      <c r="Y15" s="149"/>
      <c r="Z15" s="96"/>
      <c r="AA15" s="96"/>
      <c r="AB15" s="96"/>
      <c r="AC15" s="96"/>
      <c r="AD15" s="96"/>
      <c r="AE15" s="96"/>
      <c r="AF15" s="150"/>
      <c r="AH15" s="96"/>
      <c r="AI15" s="96"/>
      <c r="AJ15" s="96"/>
      <c r="AK15" s="96"/>
      <c r="AL15" s="96"/>
      <c r="AM15" s="96"/>
      <c r="AN15" s="150"/>
      <c r="AQ15" s="85">
        <f t="shared" si="0"/>
        <v>0</v>
      </c>
      <c r="AR15" s="19"/>
      <c r="AS15"/>
      <c r="AT15" s="67">
        <f t="shared" si="1"/>
        <v>0</v>
      </c>
      <c r="AU15" s="67">
        <f t="shared" si="2"/>
        <v>0</v>
      </c>
      <c r="AV15" s="66"/>
      <c r="AW15" s="12"/>
      <c r="CE15" s="12">
        <v>1</v>
      </c>
      <c r="CK15"/>
      <c r="CX15">
        <v>11</v>
      </c>
    </row>
    <row r="16" spans="1:103">
      <c r="A16" t="s">
        <v>18</v>
      </c>
      <c r="B16" t="s">
        <v>13</v>
      </c>
      <c r="C16" t="s">
        <v>16</v>
      </c>
      <c r="D16" s="8" t="s">
        <v>345</v>
      </c>
      <c r="E16" s="67" t="s">
        <v>15</v>
      </c>
      <c r="I16" s="149"/>
      <c r="J16" s="96"/>
      <c r="K16" s="96"/>
      <c r="L16" s="96"/>
      <c r="M16" s="96"/>
      <c r="N16" s="96"/>
      <c r="O16" s="96"/>
      <c r="P16" s="150"/>
      <c r="Q16" s="149"/>
      <c r="R16" s="96"/>
      <c r="S16" s="96"/>
      <c r="T16" s="96"/>
      <c r="U16" s="96"/>
      <c r="V16" s="96"/>
      <c r="W16" s="96"/>
      <c r="X16" s="150"/>
      <c r="Y16" s="149"/>
      <c r="Z16" s="96"/>
      <c r="AA16" s="96"/>
      <c r="AB16" s="96"/>
      <c r="AC16" s="96"/>
      <c r="AD16" s="96"/>
      <c r="AE16" s="96"/>
      <c r="AF16" s="150"/>
      <c r="AH16" s="96"/>
      <c r="AI16" s="96"/>
      <c r="AJ16" s="96"/>
      <c r="AK16" s="96"/>
      <c r="AL16" s="96"/>
      <c r="AM16" s="96"/>
      <c r="AN16" s="150"/>
      <c r="AQ16" s="85">
        <f t="shared" si="0"/>
        <v>0</v>
      </c>
      <c r="AR16" s="19"/>
      <c r="AS16"/>
      <c r="AT16" s="67">
        <f t="shared" si="1"/>
        <v>0</v>
      </c>
      <c r="AU16" s="67">
        <f t="shared" si="2"/>
        <v>0</v>
      </c>
      <c r="AV16" s="66"/>
      <c r="AW16" s="12"/>
      <c r="CE16" s="12">
        <v>1</v>
      </c>
      <c r="CK16"/>
      <c r="CX16" t="s">
        <v>18</v>
      </c>
    </row>
    <row r="17" spans="1:102">
      <c r="A17" t="s">
        <v>19</v>
      </c>
      <c r="B17" t="s">
        <v>13</v>
      </c>
      <c r="C17" t="s">
        <v>16</v>
      </c>
      <c r="D17" s="8" t="s">
        <v>345</v>
      </c>
      <c r="E17" s="67" t="s">
        <v>15</v>
      </c>
      <c r="I17" s="149"/>
      <c r="J17" s="96"/>
      <c r="K17" s="96"/>
      <c r="L17" s="96"/>
      <c r="M17" s="96"/>
      <c r="N17" s="96"/>
      <c r="O17" s="96"/>
      <c r="P17" s="150"/>
      <c r="Q17" s="149"/>
      <c r="R17" s="96"/>
      <c r="S17" s="96"/>
      <c r="T17" s="96"/>
      <c r="U17" s="96"/>
      <c r="V17" s="96"/>
      <c r="W17" s="96"/>
      <c r="X17" s="150"/>
      <c r="Y17" s="149"/>
      <c r="Z17" s="96"/>
      <c r="AA17" s="96"/>
      <c r="AB17" s="96"/>
      <c r="AC17" s="96"/>
      <c r="AD17" s="96"/>
      <c r="AE17" s="96"/>
      <c r="AF17" s="150"/>
      <c r="AH17" s="96"/>
      <c r="AI17" s="96"/>
      <c r="AJ17" s="96"/>
      <c r="AK17" s="96"/>
      <c r="AL17" s="96"/>
      <c r="AM17" s="96"/>
      <c r="AN17" s="150"/>
      <c r="AQ17" s="85">
        <f t="shared" si="0"/>
        <v>0</v>
      </c>
      <c r="AR17" s="19"/>
      <c r="AS17"/>
      <c r="AT17" s="67">
        <f t="shared" si="1"/>
        <v>0</v>
      </c>
      <c r="AU17" s="67">
        <f t="shared" si="2"/>
        <v>0</v>
      </c>
      <c r="AV17" s="66"/>
      <c r="AW17" s="12"/>
      <c r="CE17" s="12">
        <v>1</v>
      </c>
      <c r="CK17"/>
      <c r="CX17" t="s">
        <v>19</v>
      </c>
    </row>
    <row r="18" spans="1:102">
      <c r="A18" t="s">
        <v>20</v>
      </c>
      <c r="B18" t="s">
        <v>13</v>
      </c>
      <c r="C18" t="s">
        <v>17</v>
      </c>
      <c r="D18" s="8" t="s">
        <v>345</v>
      </c>
      <c r="E18" s="67" t="s">
        <v>15</v>
      </c>
      <c r="I18" s="149"/>
      <c r="J18" s="96"/>
      <c r="K18" s="96"/>
      <c r="L18" s="96"/>
      <c r="M18" s="96"/>
      <c r="N18" s="96"/>
      <c r="O18" s="96"/>
      <c r="P18" s="150"/>
      <c r="Q18" s="149"/>
      <c r="R18" s="96"/>
      <c r="S18" s="96"/>
      <c r="T18" s="96"/>
      <c r="U18" s="96"/>
      <c r="V18" s="96"/>
      <c r="W18" s="96"/>
      <c r="X18" s="150"/>
      <c r="Y18" s="149"/>
      <c r="Z18" s="96"/>
      <c r="AA18" s="96"/>
      <c r="AB18" s="96"/>
      <c r="AC18" s="96"/>
      <c r="AD18" s="96"/>
      <c r="AE18" s="96"/>
      <c r="AF18" s="150"/>
      <c r="AH18" s="96"/>
      <c r="AI18" s="96"/>
      <c r="AJ18" s="96"/>
      <c r="AK18" s="96"/>
      <c r="AL18" s="96"/>
      <c r="AM18" s="96"/>
      <c r="AN18" s="150"/>
      <c r="AQ18" s="85">
        <f t="shared" si="0"/>
        <v>0</v>
      </c>
      <c r="AR18" s="19"/>
      <c r="AS18"/>
      <c r="AT18" s="67">
        <f t="shared" si="1"/>
        <v>0</v>
      </c>
      <c r="AU18" s="67">
        <f t="shared" si="2"/>
        <v>0</v>
      </c>
      <c r="AV18" s="66"/>
      <c r="AW18" s="12"/>
      <c r="CE18" s="12">
        <v>1</v>
      </c>
      <c r="CK18"/>
      <c r="CX18" t="s">
        <v>20</v>
      </c>
    </row>
    <row r="19" spans="1:102">
      <c r="A19" t="s">
        <v>21</v>
      </c>
      <c r="B19" t="s">
        <v>13</v>
      </c>
      <c r="C19" t="s">
        <v>14</v>
      </c>
      <c r="D19" s="8" t="s">
        <v>345</v>
      </c>
      <c r="E19" s="67" t="s">
        <v>15</v>
      </c>
      <c r="I19" s="149"/>
      <c r="J19" s="96"/>
      <c r="K19" s="96"/>
      <c r="L19" s="96"/>
      <c r="M19" s="96"/>
      <c r="N19" s="96"/>
      <c r="O19" s="96"/>
      <c r="P19" s="150"/>
      <c r="Q19" s="149"/>
      <c r="R19" s="96"/>
      <c r="S19" s="96"/>
      <c r="T19" s="96"/>
      <c r="U19" s="96"/>
      <c r="V19" s="96"/>
      <c r="W19" s="96"/>
      <c r="X19" s="150"/>
      <c r="Y19" s="149"/>
      <c r="Z19" s="96"/>
      <c r="AA19" s="96"/>
      <c r="AB19" s="96"/>
      <c r="AC19" s="96"/>
      <c r="AD19" s="96"/>
      <c r="AE19" s="96"/>
      <c r="AF19" s="150"/>
      <c r="AH19" s="96"/>
      <c r="AI19" s="96"/>
      <c r="AJ19" s="96"/>
      <c r="AK19" s="96"/>
      <c r="AL19" s="96"/>
      <c r="AM19" s="96"/>
      <c r="AN19" s="150"/>
      <c r="AQ19" s="85">
        <f t="shared" si="0"/>
        <v>0</v>
      </c>
      <c r="AR19" s="19"/>
      <c r="AS19"/>
      <c r="AT19" s="67">
        <f t="shared" si="1"/>
        <v>0</v>
      </c>
      <c r="AU19" s="67">
        <f t="shared" si="2"/>
        <v>0</v>
      </c>
      <c r="AV19" s="66"/>
      <c r="AW19" s="12"/>
      <c r="CE19" s="12">
        <v>1</v>
      </c>
      <c r="CK19"/>
      <c r="CX19" t="s">
        <v>21</v>
      </c>
    </row>
    <row r="20" spans="1:102">
      <c r="A20" t="s">
        <v>22</v>
      </c>
      <c r="B20" t="s">
        <v>13</v>
      </c>
      <c r="C20" t="s">
        <v>17</v>
      </c>
      <c r="D20" s="8" t="s">
        <v>345</v>
      </c>
      <c r="E20" s="67" t="s">
        <v>15</v>
      </c>
      <c r="I20" s="149"/>
      <c r="J20" s="96"/>
      <c r="K20" s="96"/>
      <c r="L20" s="96"/>
      <c r="M20" s="96"/>
      <c r="N20" s="96"/>
      <c r="O20" s="96"/>
      <c r="P20" s="150"/>
      <c r="Q20" s="149"/>
      <c r="R20" s="96"/>
      <c r="S20" s="96"/>
      <c r="T20" s="96"/>
      <c r="U20" s="96"/>
      <c r="V20" s="96"/>
      <c r="W20" s="96"/>
      <c r="X20" s="150"/>
      <c r="Y20" s="149"/>
      <c r="Z20" s="96"/>
      <c r="AA20" s="96"/>
      <c r="AB20" s="96"/>
      <c r="AC20" s="96"/>
      <c r="AD20" s="96"/>
      <c r="AE20" s="96"/>
      <c r="AF20" s="150"/>
      <c r="AH20" s="96"/>
      <c r="AI20" s="96"/>
      <c r="AJ20" s="96"/>
      <c r="AK20" s="96"/>
      <c r="AL20" s="96"/>
      <c r="AM20" s="96"/>
      <c r="AN20" s="150"/>
      <c r="AQ20" s="85">
        <f t="shared" si="0"/>
        <v>0</v>
      </c>
      <c r="AR20" s="19"/>
      <c r="AS20"/>
      <c r="AT20" s="67">
        <f t="shared" si="1"/>
        <v>0</v>
      </c>
      <c r="AU20" s="67">
        <f t="shared" si="2"/>
        <v>0</v>
      </c>
      <c r="AV20" s="66"/>
      <c r="AW20" s="12"/>
      <c r="CE20" s="12">
        <v>1</v>
      </c>
      <c r="CK20"/>
      <c r="CX20" t="s">
        <v>22</v>
      </c>
    </row>
    <row r="21" spans="1:102">
      <c r="A21" t="s">
        <v>23</v>
      </c>
      <c r="B21" t="s">
        <v>13</v>
      </c>
      <c r="C21" t="s">
        <v>16</v>
      </c>
      <c r="D21" s="8" t="s">
        <v>345</v>
      </c>
      <c r="E21" s="67" t="s">
        <v>15</v>
      </c>
      <c r="I21" s="149"/>
      <c r="J21" s="96"/>
      <c r="K21" s="96"/>
      <c r="L21" s="96"/>
      <c r="M21" s="96"/>
      <c r="N21" s="96"/>
      <c r="O21" s="96"/>
      <c r="P21" s="150"/>
      <c r="Q21" s="149"/>
      <c r="R21" s="96"/>
      <c r="S21" s="96"/>
      <c r="T21" s="96"/>
      <c r="U21" s="96"/>
      <c r="V21" s="96"/>
      <c r="W21" s="96"/>
      <c r="X21" s="150"/>
      <c r="Y21" s="149"/>
      <c r="Z21" s="96"/>
      <c r="AA21" s="96"/>
      <c r="AB21" s="96"/>
      <c r="AC21" s="96"/>
      <c r="AD21" s="96"/>
      <c r="AE21" s="96"/>
      <c r="AF21" s="150"/>
      <c r="AH21" s="96"/>
      <c r="AI21" s="96"/>
      <c r="AJ21" s="96"/>
      <c r="AK21" s="96"/>
      <c r="AL21" s="96"/>
      <c r="AM21" s="96"/>
      <c r="AN21" s="150"/>
      <c r="AQ21" s="85">
        <f t="shared" si="0"/>
        <v>0</v>
      </c>
      <c r="AR21" s="19"/>
      <c r="AS21"/>
      <c r="AT21" s="67">
        <f t="shared" si="1"/>
        <v>0</v>
      </c>
      <c r="AU21" s="67">
        <f t="shared" si="2"/>
        <v>0</v>
      </c>
      <c r="AV21" s="66"/>
      <c r="AW21" s="12"/>
      <c r="CE21" s="12">
        <v>1</v>
      </c>
      <c r="CK21"/>
      <c r="CX21" t="s">
        <v>23</v>
      </c>
    </row>
    <row r="22" spans="1:102">
      <c r="A22" t="s">
        <v>24</v>
      </c>
      <c r="B22" t="s">
        <v>13</v>
      </c>
      <c r="C22" t="s">
        <v>17</v>
      </c>
      <c r="D22" s="8" t="s">
        <v>345</v>
      </c>
      <c r="E22" s="67" t="s">
        <v>15</v>
      </c>
      <c r="I22" s="149"/>
      <c r="J22" s="96"/>
      <c r="K22" s="96"/>
      <c r="L22" s="96"/>
      <c r="M22" s="96"/>
      <c r="N22" s="96"/>
      <c r="O22" s="96"/>
      <c r="P22" s="150"/>
      <c r="Q22" s="149"/>
      <c r="R22" s="96"/>
      <c r="S22" s="96"/>
      <c r="T22" s="96"/>
      <c r="U22" s="96"/>
      <c r="V22" s="96"/>
      <c r="W22" s="96"/>
      <c r="X22" s="150"/>
      <c r="Y22" s="149"/>
      <c r="Z22" s="96"/>
      <c r="AA22" s="96"/>
      <c r="AB22" s="96"/>
      <c r="AC22" s="96"/>
      <c r="AD22" s="96"/>
      <c r="AE22" s="96"/>
      <c r="AF22" s="150"/>
      <c r="AH22" s="96"/>
      <c r="AI22" s="96"/>
      <c r="AJ22" s="96"/>
      <c r="AK22" s="96"/>
      <c r="AL22" s="96"/>
      <c r="AM22" s="96"/>
      <c r="AN22" s="150"/>
      <c r="AQ22" s="85">
        <f t="shared" si="0"/>
        <v>0</v>
      </c>
      <c r="AR22" s="19"/>
      <c r="AS22"/>
      <c r="AT22" s="67">
        <f t="shared" si="1"/>
        <v>0</v>
      </c>
      <c r="AU22" s="67">
        <f t="shared" si="2"/>
        <v>0</v>
      </c>
      <c r="AV22" s="66"/>
      <c r="AW22" s="12"/>
      <c r="CE22" s="12">
        <v>1</v>
      </c>
      <c r="CK22"/>
      <c r="CX22" t="s">
        <v>24</v>
      </c>
    </row>
    <row r="23" spans="1:102">
      <c r="A23" t="s">
        <v>25</v>
      </c>
      <c r="B23" t="s">
        <v>13</v>
      </c>
      <c r="C23" t="s">
        <v>327</v>
      </c>
      <c r="D23" s="8" t="s">
        <v>365</v>
      </c>
      <c r="E23" s="67" t="s">
        <v>15</v>
      </c>
      <c r="I23" s="149"/>
      <c r="J23" s="96"/>
      <c r="K23" s="96"/>
      <c r="L23" s="96"/>
      <c r="M23" s="96"/>
      <c r="N23" s="96"/>
      <c r="O23" s="96"/>
      <c r="P23" s="150"/>
      <c r="Q23" s="149"/>
      <c r="R23" s="96"/>
      <c r="S23" s="96"/>
      <c r="T23" s="96"/>
      <c r="U23" s="96"/>
      <c r="V23" s="96"/>
      <c r="W23" s="96"/>
      <c r="X23" s="150"/>
      <c r="Y23" s="149"/>
      <c r="Z23" s="96"/>
      <c r="AA23" s="96"/>
      <c r="AB23" s="96"/>
      <c r="AC23" s="96"/>
      <c r="AD23" s="96"/>
      <c r="AE23" s="96"/>
      <c r="AF23" s="150"/>
      <c r="AH23" s="96"/>
      <c r="AI23" s="96"/>
      <c r="AJ23" s="96"/>
      <c r="AK23" s="96"/>
      <c r="AL23" s="96"/>
      <c r="AM23" s="96"/>
      <c r="AN23" s="150"/>
      <c r="AQ23" s="85">
        <f t="shared" si="0"/>
        <v>0</v>
      </c>
      <c r="AR23" s="19"/>
      <c r="AS23"/>
      <c r="AT23" s="67">
        <f t="shared" si="1"/>
        <v>0</v>
      </c>
      <c r="AU23" s="67">
        <f t="shared" si="2"/>
        <v>0</v>
      </c>
      <c r="AV23" s="66"/>
      <c r="AW23" s="12"/>
      <c r="CE23" s="12">
        <v>1</v>
      </c>
      <c r="CK23"/>
      <c r="CX23" t="s">
        <v>25</v>
      </c>
    </row>
    <row r="24" spans="1:102">
      <c r="A24" t="s">
        <v>26</v>
      </c>
      <c r="B24" t="s">
        <v>13</v>
      </c>
      <c r="C24" t="s">
        <v>327</v>
      </c>
      <c r="D24" s="8" t="s">
        <v>365</v>
      </c>
      <c r="E24" s="67" t="s">
        <v>15</v>
      </c>
      <c r="I24" s="149"/>
      <c r="J24" s="96"/>
      <c r="K24" s="96"/>
      <c r="L24" s="96"/>
      <c r="M24" s="96"/>
      <c r="N24" s="96"/>
      <c r="O24" s="96"/>
      <c r="P24" s="150"/>
      <c r="Q24" s="149"/>
      <c r="R24" s="96"/>
      <c r="S24" s="96"/>
      <c r="T24" s="96"/>
      <c r="U24" s="96"/>
      <c r="V24" s="96"/>
      <c r="W24" s="96"/>
      <c r="X24" s="150"/>
      <c r="Y24" s="149"/>
      <c r="Z24" s="96"/>
      <c r="AA24" s="96"/>
      <c r="AB24" s="96"/>
      <c r="AC24" s="96"/>
      <c r="AD24" s="96"/>
      <c r="AE24" s="96"/>
      <c r="AF24" s="150"/>
      <c r="AH24" s="96"/>
      <c r="AI24" s="96"/>
      <c r="AJ24" s="96"/>
      <c r="AK24" s="96"/>
      <c r="AL24" s="96"/>
      <c r="AM24" s="96"/>
      <c r="AN24" s="150"/>
      <c r="AQ24" s="85">
        <f t="shared" si="0"/>
        <v>0</v>
      </c>
      <c r="AR24" s="19"/>
      <c r="AS24"/>
      <c r="AT24" s="67">
        <f t="shared" si="1"/>
        <v>0</v>
      </c>
      <c r="AU24" s="67">
        <f t="shared" si="2"/>
        <v>0</v>
      </c>
      <c r="AV24" s="66"/>
      <c r="AW24" s="12"/>
      <c r="CE24" s="12">
        <v>1</v>
      </c>
      <c r="CK24"/>
      <c r="CX24" t="s">
        <v>26</v>
      </c>
    </row>
    <row r="25" spans="1:102">
      <c r="A25" t="s">
        <v>27</v>
      </c>
      <c r="B25" t="s">
        <v>13</v>
      </c>
      <c r="C25" t="s">
        <v>327</v>
      </c>
      <c r="D25" s="8" t="s">
        <v>365</v>
      </c>
      <c r="E25" s="67" t="s">
        <v>15</v>
      </c>
      <c r="I25" s="149"/>
      <c r="J25" s="96"/>
      <c r="K25" s="96"/>
      <c r="L25" s="96"/>
      <c r="M25" s="96"/>
      <c r="N25" s="96"/>
      <c r="O25" s="96"/>
      <c r="P25" s="150"/>
      <c r="Q25" s="149"/>
      <c r="R25" s="96"/>
      <c r="S25" s="96"/>
      <c r="T25" s="96"/>
      <c r="U25" s="96"/>
      <c r="V25" s="96"/>
      <c r="W25" s="96"/>
      <c r="X25" s="150"/>
      <c r="Y25" s="149"/>
      <c r="Z25" s="96"/>
      <c r="AA25" s="96"/>
      <c r="AB25" s="96"/>
      <c r="AC25" s="96"/>
      <c r="AD25" s="96"/>
      <c r="AE25" s="96"/>
      <c r="AF25" s="150"/>
      <c r="AH25" s="96"/>
      <c r="AI25" s="96"/>
      <c r="AJ25" s="96"/>
      <c r="AK25" s="96"/>
      <c r="AL25" s="96"/>
      <c r="AM25" s="96"/>
      <c r="AN25" s="150"/>
      <c r="AQ25" s="85">
        <f t="shared" si="0"/>
        <v>0</v>
      </c>
      <c r="AR25" s="19"/>
      <c r="AS25"/>
      <c r="AT25" s="67">
        <f t="shared" si="1"/>
        <v>0</v>
      </c>
      <c r="AU25" s="67">
        <f t="shared" si="2"/>
        <v>0</v>
      </c>
      <c r="AV25" s="66"/>
      <c r="AW25" s="12"/>
      <c r="CE25" s="12">
        <v>1</v>
      </c>
      <c r="CK25"/>
      <c r="CX25" t="s">
        <v>27</v>
      </c>
    </row>
    <row r="26" spans="1:102">
      <c r="A26" t="s">
        <v>28</v>
      </c>
      <c r="B26" t="s">
        <v>13</v>
      </c>
      <c r="C26" t="s">
        <v>327</v>
      </c>
      <c r="D26" s="8" t="s">
        <v>365</v>
      </c>
      <c r="E26" s="67" t="s">
        <v>15</v>
      </c>
      <c r="I26" s="149"/>
      <c r="J26" s="96"/>
      <c r="K26" s="96"/>
      <c r="L26" s="96"/>
      <c r="M26" s="96"/>
      <c r="N26" s="96"/>
      <c r="O26" s="96"/>
      <c r="P26" s="150"/>
      <c r="Q26" s="149"/>
      <c r="R26" s="96"/>
      <c r="S26" s="96"/>
      <c r="T26" s="96"/>
      <c r="U26" s="96"/>
      <c r="V26" s="96"/>
      <c r="W26" s="96"/>
      <c r="X26" s="150"/>
      <c r="Y26" s="149"/>
      <c r="Z26" s="96"/>
      <c r="AA26" s="96"/>
      <c r="AB26" s="96"/>
      <c r="AC26" s="96"/>
      <c r="AD26" s="96"/>
      <c r="AE26" s="96"/>
      <c r="AF26" s="150"/>
      <c r="AH26" s="96"/>
      <c r="AI26" s="96"/>
      <c r="AJ26" s="96"/>
      <c r="AK26" s="96"/>
      <c r="AL26" s="96"/>
      <c r="AM26" s="96"/>
      <c r="AN26" s="150"/>
      <c r="AQ26" s="85">
        <f t="shared" si="0"/>
        <v>0</v>
      </c>
      <c r="AR26" s="19"/>
      <c r="AS26"/>
      <c r="AT26" s="67">
        <f t="shared" si="1"/>
        <v>0</v>
      </c>
      <c r="AU26" s="67">
        <f t="shared" si="2"/>
        <v>0</v>
      </c>
      <c r="AV26" s="66"/>
      <c r="AW26" s="12"/>
      <c r="CE26" s="12">
        <v>1</v>
      </c>
      <c r="CK26"/>
      <c r="CX26" t="s">
        <v>28</v>
      </c>
    </row>
    <row r="27" spans="1:102">
      <c r="A27" t="s">
        <v>29</v>
      </c>
      <c r="B27" t="s">
        <v>13</v>
      </c>
      <c r="C27" t="s">
        <v>16</v>
      </c>
      <c r="D27" s="8" t="s">
        <v>345</v>
      </c>
      <c r="E27" s="67" t="s">
        <v>15</v>
      </c>
      <c r="I27" s="149"/>
      <c r="J27" s="96"/>
      <c r="K27" s="96"/>
      <c r="L27" s="96"/>
      <c r="M27" s="96"/>
      <c r="N27" s="96"/>
      <c r="O27" s="96"/>
      <c r="P27" s="150"/>
      <c r="Q27" s="149"/>
      <c r="R27" s="96"/>
      <c r="S27" s="96"/>
      <c r="T27" s="96"/>
      <c r="U27" s="96"/>
      <c r="V27" s="96"/>
      <c r="W27" s="96"/>
      <c r="X27" s="150"/>
      <c r="Y27" s="149"/>
      <c r="Z27" s="96"/>
      <c r="AA27" s="96"/>
      <c r="AB27" s="96"/>
      <c r="AC27" s="96"/>
      <c r="AD27" s="96"/>
      <c r="AE27" s="96"/>
      <c r="AF27" s="150"/>
      <c r="AH27" s="96"/>
      <c r="AI27" s="96"/>
      <c r="AJ27" s="96"/>
      <c r="AK27" s="96"/>
      <c r="AL27" s="96"/>
      <c r="AM27" s="96"/>
      <c r="AN27" s="150"/>
      <c r="AQ27" s="85">
        <f t="shared" si="0"/>
        <v>0</v>
      </c>
      <c r="AR27" s="19"/>
      <c r="AS27"/>
      <c r="AT27" s="67">
        <f t="shared" si="1"/>
        <v>0</v>
      </c>
      <c r="AU27" s="67">
        <f t="shared" si="2"/>
        <v>0</v>
      </c>
      <c r="AV27" s="66"/>
      <c r="AW27" s="12"/>
      <c r="CE27" s="12">
        <v>1</v>
      </c>
      <c r="CK27"/>
      <c r="CX27" t="s">
        <v>29</v>
      </c>
    </row>
    <row r="28" spans="1:102">
      <c r="A28" t="s">
        <v>30</v>
      </c>
      <c r="B28" t="s">
        <v>13</v>
      </c>
      <c r="C28" t="s">
        <v>16</v>
      </c>
      <c r="D28" s="8" t="s">
        <v>345</v>
      </c>
      <c r="E28" s="67" t="s">
        <v>15</v>
      </c>
      <c r="I28" s="149"/>
      <c r="J28" s="96"/>
      <c r="K28" s="96"/>
      <c r="L28" s="96"/>
      <c r="M28" s="96"/>
      <c r="N28" s="96"/>
      <c r="O28" s="96"/>
      <c r="P28" s="150"/>
      <c r="Q28" s="149"/>
      <c r="R28" s="96"/>
      <c r="S28" s="96"/>
      <c r="T28" s="96"/>
      <c r="U28" s="96"/>
      <c r="V28" s="96"/>
      <c r="W28" s="96"/>
      <c r="X28" s="150"/>
      <c r="Y28" s="149"/>
      <c r="Z28" s="96"/>
      <c r="AA28" s="96"/>
      <c r="AB28" s="96"/>
      <c r="AC28" s="96"/>
      <c r="AD28" s="96"/>
      <c r="AE28" s="96"/>
      <c r="AF28" s="150"/>
      <c r="AH28" s="96"/>
      <c r="AI28" s="96"/>
      <c r="AJ28" s="96"/>
      <c r="AK28" s="96"/>
      <c r="AL28" s="96"/>
      <c r="AM28" s="96"/>
      <c r="AN28" s="150"/>
      <c r="AQ28" s="85">
        <f t="shared" si="0"/>
        <v>0</v>
      </c>
      <c r="AR28" s="19"/>
      <c r="AS28"/>
      <c r="AT28" s="67">
        <f t="shared" si="1"/>
        <v>0</v>
      </c>
      <c r="AU28" s="67">
        <f t="shared" si="2"/>
        <v>0</v>
      </c>
      <c r="AV28" s="66"/>
      <c r="AW28" s="12"/>
      <c r="CE28" s="12">
        <v>1</v>
      </c>
      <c r="CK28"/>
      <c r="CX28" t="s">
        <v>30</v>
      </c>
    </row>
    <row r="29" spans="1:102">
      <c r="A29" t="s">
        <v>31</v>
      </c>
      <c r="B29" t="s">
        <v>13</v>
      </c>
      <c r="C29" t="s">
        <v>14</v>
      </c>
      <c r="D29" s="8" t="s">
        <v>345</v>
      </c>
      <c r="E29" s="67" t="s">
        <v>15</v>
      </c>
      <c r="I29" s="149"/>
      <c r="J29" s="96"/>
      <c r="K29" s="96"/>
      <c r="L29" s="96"/>
      <c r="M29" s="96"/>
      <c r="N29" s="96"/>
      <c r="O29" s="96"/>
      <c r="P29" s="150"/>
      <c r="Q29" s="149"/>
      <c r="R29" s="96"/>
      <c r="S29" s="96"/>
      <c r="T29" s="96"/>
      <c r="U29" s="96"/>
      <c r="V29" s="96"/>
      <c r="W29" s="96"/>
      <c r="X29" s="150"/>
      <c r="Y29" s="149"/>
      <c r="Z29" s="96"/>
      <c r="AA29" s="96"/>
      <c r="AB29" s="96"/>
      <c r="AC29" s="96"/>
      <c r="AD29" s="96"/>
      <c r="AE29" s="96"/>
      <c r="AF29" s="150"/>
      <c r="AH29" s="96"/>
      <c r="AI29" s="96"/>
      <c r="AJ29" s="96"/>
      <c r="AK29" s="96"/>
      <c r="AL29" s="96"/>
      <c r="AM29" s="96"/>
      <c r="AN29" s="150"/>
      <c r="AQ29" s="85">
        <f t="shared" si="0"/>
        <v>0</v>
      </c>
      <c r="AR29" s="19"/>
      <c r="AS29"/>
      <c r="AT29" s="67">
        <f t="shared" si="1"/>
        <v>0</v>
      </c>
      <c r="AU29" s="67">
        <f t="shared" si="2"/>
        <v>0</v>
      </c>
      <c r="AV29" s="66"/>
      <c r="AW29" s="12"/>
      <c r="CE29" s="12">
        <v>1</v>
      </c>
      <c r="CK29"/>
      <c r="CX29" t="s">
        <v>31</v>
      </c>
    </row>
    <row r="30" spans="1:102" ht="18" customHeight="1">
      <c r="A30" t="s">
        <v>32</v>
      </c>
      <c r="B30" t="s">
        <v>13</v>
      </c>
      <c r="C30" s="15" t="s">
        <v>323</v>
      </c>
      <c r="D30" s="8" t="s">
        <v>365</v>
      </c>
      <c r="E30" s="67" t="s">
        <v>15</v>
      </c>
      <c r="I30" s="149"/>
      <c r="J30" s="96"/>
      <c r="K30" s="96"/>
      <c r="L30" s="96"/>
      <c r="M30" s="96"/>
      <c r="N30" s="96"/>
      <c r="O30" s="96"/>
      <c r="P30" s="150"/>
      <c r="Q30" s="149"/>
      <c r="R30" s="96"/>
      <c r="S30" s="96"/>
      <c r="T30" s="96"/>
      <c r="U30" s="96"/>
      <c r="V30" s="96"/>
      <c r="W30" s="96"/>
      <c r="X30" s="150"/>
      <c r="Y30" s="149"/>
      <c r="Z30" s="96"/>
      <c r="AA30" s="96"/>
      <c r="AB30" s="96"/>
      <c r="AC30" s="96"/>
      <c r="AD30" s="96"/>
      <c r="AE30" s="96"/>
      <c r="AF30" s="150"/>
      <c r="AH30" s="96"/>
      <c r="AI30" s="96"/>
      <c r="AJ30" s="96"/>
      <c r="AK30" s="96"/>
      <c r="AL30" s="96"/>
      <c r="AM30" s="96"/>
      <c r="AN30" s="150"/>
      <c r="AQ30" s="85">
        <f t="shared" si="0"/>
        <v>0</v>
      </c>
      <c r="AR30" s="19"/>
      <c r="AS30"/>
      <c r="AT30" s="67">
        <f t="shared" si="1"/>
        <v>0</v>
      </c>
      <c r="AU30" s="67">
        <f t="shared" si="2"/>
        <v>0</v>
      </c>
      <c r="AV30" s="66"/>
      <c r="AW30" s="12"/>
      <c r="CK30"/>
      <c r="CX30" t="s">
        <v>32</v>
      </c>
    </row>
    <row r="31" spans="1:102">
      <c r="A31" t="s">
        <v>33</v>
      </c>
      <c r="B31" t="s">
        <v>13</v>
      </c>
      <c r="C31" s="2" t="s">
        <v>16</v>
      </c>
      <c r="D31" s="8" t="s">
        <v>345</v>
      </c>
      <c r="E31" s="67" t="s">
        <v>15</v>
      </c>
      <c r="I31" s="149"/>
      <c r="J31" s="96"/>
      <c r="K31" s="96"/>
      <c r="L31" s="96"/>
      <c r="M31" s="96"/>
      <c r="N31" s="96"/>
      <c r="O31" s="96"/>
      <c r="P31" s="150"/>
      <c r="Q31" s="149"/>
      <c r="R31" s="96"/>
      <c r="S31" s="96"/>
      <c r="T31" s="96"/>
      <c r="U31" s="96"/>
      <c r="V31" s="96"/>
      <c r="W31" s="96"/>
      <c r="X31" s="150"/>
      <c r="Y31" s="149"/>
      <c r="Z31" s="96"/>
      <c r="AA31" s="96"/>
      <c r="AB31" s="96"/>
      <c r="AC31" s="96"/>
      <c r="AD31" s="96"/>
      <c r="AE31" s="96"/>
      <c r="AF31" s="150"/>
      <c r="AH31" s="96"/>
      <c r="AI31" s="96"/>
      <c r="AJ31" s="96"/>
      <c r="AK31" s="96"/>
      <c r="AL31" s="96"/>
      <c r="AM31" s="96"/>
      <c r="AN31" s="150"/>
      <c r="AQ31" s="85">
        <f t="shared" si="0"/>
        <v>0</v>
      </c>
      <c r="AR31" s="19"/>
      <c r="AS31"/>
      <c r="AT31" s="67">
        <f t="shared" si="1"/>
        <v>0</v>
      </c>
      <c r="AU31" s="67">
        <f t="shared" si="2"/>
        <v>0</v>
      </c>
      <c r="AV31" s="66"/>
      <c r="AW31" s="12"/>
      <c r="CE31" s="12">
        <v>1</v>
      </c>
      <c r="CK31"/>
      <c r="CX31" t="s">
        <v>33</v>
      </c>
    </row>
    <row r="32" spans="1:102">
      <c r="A32" t="s">
        <v>34</v>
      </c>
      <c r="B32" t="s">
        <v>13</v>
      </c>
      <c r="C32">
        <v>0</v>
      </c>
      <c r="D32" s="8" t="s">
        <v>365</v>
      </c>
      <c r="E32" s="67" t="s">
        <v>15</v>
      </c>
      <c r="I32" s="149"/>
      <c r="J32" s="96"/>
      <c r="K32" s="96"/>
      <c r="L32" s="96"/>
      <c r="M32" s="96"/>
      <c r="N32" s="96"/>
      <c r="O32" s="96"/>
      <c r="P32" s="150"/>
      <c r="Q32" s="149"/>
      <c r="R32" s="96"/>
      <c r="S32" s="96"/>
      <c r="T32" s="96"/>
      <c r="U32" s="96"/>
      <c r="V32" s="96"/>
      <c r="W32" s="96"/>
      <c r="X32" s="150"/>
      <c r="Y32" s="149"/>
      <c r="Z32" s="96"/>
      <c r="AA32" s="96"/>
      <c r="AB32" s="96"/>
      <c r="AC32" s="96"/>
      <c r="AD32" s="96"/>
      <c r="AE32" s="96"/>
      <c r="AF32" s="150"/>
      <c r="AH32" s="96"/>
      <c r="AI32" s="96"/>
      <c r="AJ32" s="96"/>
      <c r="AK32" s="96"/>
      <c r="AL32" s="96"/>
      <c r="AM32" s="96"/>
      <c r="AN32" s="150"/>
      <c r="AQ32" s="85">
        <f t="shared" si="0"/>
        <v>0</v>
      </c>
      <c r="AR32" s="19"/>
      <c r="AS32"/>
      <c r="AT32" s="67">
        <f t="shared" si="1"/>
        <v>0</v>
      </c>
      <c r="AU32" s="67">
        <f t="shared" si="2"/>
        <v>0</v>
      </c>
      <c r="AV32" s="66"/>
      <c r="AW32" s="12"/>
      <c r="CE32" s="12">
        <v>1</v>
      </c>
      <c r="CK32"/>
      <c r="CX32" t="s">
        <v>34</v>
      </c>
    </row>
    <row r="33" spans="1:102">
      <c r="A33" t="s">
        <v>35</v>
      </c>
      <c r="B33" t="s">
        <v>13</v>
      </c>
      <c r="C33" t="s">
        <v>16</v>
      </c>
      <c r="D33" s="8" t="s">
        <v>345</v>
      </c>
      <c r="E33" s="67" t="s">
        <v>15</v>
      </c>
      <c r="I33" s="149"/>
      <c r="J33" s="96"/>
      <c r="K33" s="96"/>
      <c r="L33" s="96"/>
      <c r="M33" s="96"/>
      <c r="N33" s="96"/>
      <c r="O33" s="96"/>
      <c r="P33" s="150"/>
      <c r="Q33" s="149"/>
      <c r="R33" s="96"/>
      <c r="S33" s="96"/>
      <c r="T33" s="96"/>
      <c r="U33" s="96"/>
      <c r="V33" s="96"/>
      <c r="W33" s="96"/>
      <c r="X33" s="150"/>
      <c r="Y33" s="149"/>
      <c r="Z33" s="96"/>
      <c r="AA33" s="96"/>
      <c r="AB33" s="96"/>
      <c r="AC33" s="96"/>
      <c r="AD33" s="96"/>
      <c r="AE33" s="96"/>
      <c r="AF33" s="150"/>
      <c r="AH33" s="96"/>
      <c r="AI33" s="96"/>
      <c r="AJ33" s="96"/>
      <c r="AK33" s="96"/>
      <c r="AL33" s="96"/>
      <c r="AM33" s="96"/>
      <c r="AN33" s="150"/>
      <c r="AQ33" s="85">
        <f t="shared" si="0"/>
        <v>0</v>
      </c>
      <c r="AR33" s="19"/>
      <c r="AS33"/>
      <c r="AT33" s="67">
        <f t="shared" si="1"/>
        <v>0</v>
      </c>
      <c r="AU33" s="67">
        <f t="shared" si="2"/>
        <v>0</v>
      </c>
      <c r="AV33" s="66"/>
      <c r="AW33" s="12"/>
      <c r="CE33" s="12">
        <v>1</v>
      </c>
      <c r="CK33"/>
      <c r="CX33" t="s">
        <v>35</v>
      </c>
    </row>
    <row r="34" spans="1:102">
      <c r="A34" t="s">
        <v>36</v>
      </c>
      <c r="B34" t="s">
        <v>13</v>
      </c>
      <c r="C34" t="s">
        <v>17</v>
      </c>
      <c r="D34" s="8" t="s">
        <v>345</v>
      </c>
      <c r="E34" s="67" t="s">
        <v>15</v>
      </c>
      <c r="I34" s="149"/>
      <c r="J34" s="96"/>
      <c r="K34" s="96"/>
      <c r="L34" s="96"/>
      <c r="M34" s="96"/>
      <c r="N34" s="96"/>
      <c r="O34" s="96"/>
      <c r="P34" s="150"/>
      <c r="Q34" s="149"/>
      <c r="R34" s="96"/>
      <c r="S34" s="96"/>
      <c r="T34" s="96"/>
      <c r="U34" s="96"/>
      <c r="V34" s="96"/>
      <c r="W34" s="96"/>
      <c r="X34" s="150"/>
      <c r="Y34" s="149"/>
      <c r="Z34" s="96"/>
      <c r="AA34" s="96"/>
      <c r="AB34" s="96"/>
      <c r="AC34" s="96"/>
      <c r="AD34" s="96"/>
      <c r="AE34" s="96"/>
      <c r="AF34" s="150"/>
      <c r="AH34" s="96"/>
      <c r="AI34" s="96"/>
      <c r="AJ34" s="96"/>
      <c r="AK34" s="96"/>
      <c r="AL34" s="96"/>
      <c r="AM34" s="96"/>
      <c r="AN34" s="150"/>
      <c r="AQ34" s="85">
        <f t="shared" si="0"/>
        <v>0</v>
      </c>
      <c r="AR34" s="19"/>
      <c r="AS34"/>
      <c r="AT34" s="67">
        <f t="shared" si="1"/>
        <v>0</v>
      </c>
      <c r="AU34" s="67">
        <f t="shared" si="2"/>
        <v>0</v>
      </c>
      <c r="AV34" s="66"/>
      <c r="AW34" s="12"/>
      <c r="CE34" s="12">
        <v>1</v>
      </c>
      <c r="CK34"/>
      <c r="CX34" t="s">
        <v>36</v>
      </c>
    </row>
    <row r="35" spans="1:102">
      <c r="A35" t="s">
        <v>37</v>
      </c>
      <c r="B35" t="s">
        <v>13</v>
      </c>
      <c r="C35" t="s">
        <v>16</v>
      </c>
      <c r="D35" s="8" t="s">
        <v>345</v>
      </c>
      <c r="E35" s="67" t="s">
        <v>15</v>
      </c>
      <c r="I35" s="149"/>
      <c r="J35" s="96"/>
      <c r="K35" s="96"/>
      <c r="L35" s="96"/>
      <c r="M35" s="96"/>
      <c r="N35" s="96"/>
      <c r="O35" s="96"/>
      <c r="P35" s="150"/>
      <c r="Q35" s="149"/>
      <c r="R35" s="96"/>
      <c r="S35" s="96"/>
      <c r="T35" s="96"/>
      <c r="U35" s="96"/>
      <c r="V35" s="96"/>
      <c r="W35" s="96"/>
      <c r="X35" s="150"/>
      <c r="Y35" s="149"/>
      <c r="Z35" s="96"/>
      <c r="AA35" s="96"/>
      <c r="AB35" s="96"/>
      <c r="AC35" s="96"/>
      <c r="AD35" s="96"/>
      <c r="AE35" s="96"/>
      <c r="AF35" s="150"/>
      <c r="AH35" s="96"/>
      <c r="AI35" s="96"/>
      <c r="AJ35" s="96"/>
      <c r="AK35" s="96"/>
      <c r="AL35" s="96"/>
      <c r="AM35" s="96"/>
      <c r="AN35" s="150"/>
      <c r="AQ35" s="85">
        <f t="shared" si="0"/>
        <v>0</v>
      </c>
      <c r="AR35" s="19"/>
      <c r="AS35"/>
      <c r="AT35" s="67">
        <f t="shared" si="1"/>
        <v>0</v>
      </c>
      <c r="AU35" s="67">
        <f t="shared" si="2"/>
        <v>0</v>
      </c>
      <c r="AV35" s="66"/>
      <c r="AW35" s="12"/>
      <c r="CE35" s="12">
        <v>1</v>
      </c>
      <c r="CK35"/>
      <c r="CX35" t="s">
        <v>37</v>
      </c>
    </row>
    <row r="36" spans="1:102">
      <c r="A36" t="s">
        <v>38</v>
      </c>
      <c r="B36" t="s">
        <v>13</v>
      </c>
      <c r="C36">
        <v>0</v>
      </c>
      <c r="D36" s="8" t="s">
        <v>365</v>
      </c>
      <c r="E36" s="67" t="s">
        <v>15</v>
      </c>
      <c r="I36" s="149"/>
      <c r="J36" s="96"/>
      <c r="K36" s="96"/>
      <c r="L36" s="96"/>
      <c r="M36" s="96"/>
      <c r="N36" s="96"/>
      <c r="O36" s="96"/>
      <c r="P36" s="150"/>
      <c r="Q36" s="149"/>
      <c r="R36" s="96"/>
      <c r="S36" s="96"/>
      <c r="T36" s="96"/>
      <c r="U36" s="96"/>
      <c r="V36" s="96"/>
      <c r="W36" s="96"/>
      <c r="X36" s="150"/>
      <c r="Y36" s="149"/>
      <c r="Z36" s="96"/>
      <c r="AA36" s="96"/>
      <c r="AB36" s="96"/>
      <c r="AC36" s="96"/>
      <c r="AD36" s="96"/>
      <c r="AE36" s="96"/>
      <c r="AF36" s="150"/>
      <c r="AH36" s="96"/>
      <c r="AI36" s="96"/>
      <c r="AJ36" s="96"/>
      <c r="AK36" s="96"/>
      <c r="AL36" s="96"/>
      <c r="AM36" s="96"/>
      <c r="AN36" s="150"/>
      <c r="AQ36" s="85">
        <f t="shared" si="0"/>
        <v>0</v>
      </c>
      <c r="AR36" s="19"/>
      <c r="AS36"/>
      <c r="AT36" s="67">
        <f t="shared" si="1"/>
        <v>0</v>
      </c>
      <c r="AU36" s="67">
        <f t="shared" si="2"/>
        <v>0</v>
      </c>
      <c r="AV36" s="66"/>
      <c r="AW36" s="12"/>
      <c r="CE36" s="12">
        <v>1</v>
      </c>
      <c r="CK36"/>
      <c r="CX36" t="s">
        <v>38</v>
      </c>
    </row>
    <row r="37" spans="1:102">
      <c r="A37" t="s">
        <v>39</v>
      </c>
      <c r="B37" t="s">
        <v>13</v>
      </c>
      <c r="C37" t="s">
        <v>327</v>
      </c>
      <c r="D37" s="8" t="s">
        <v>365</v>
      </c>
      <c r="E37" s="67" t="s">
        <v>15</v>
      </c>
      <c r="I37" s="149"/>
      <c r="J37" s="96"/>
      <c r="K37" s="96"/>
      <c r="L37" s="96"/>
      <c r="M37" s="96"/>
      <c r="N37" s="96"/>
      <c r="O37" s="96"/>
      <c r="P37" s="150"/>
      <c r="Q37" s="149"/>
      <c r="R37" s="96"/>
      <c r="S37" s="96"/>
      <c r="T37" s="96"/>
      <c r="U37" s="96"/>
      <c r="V37" s="96"/>
      <c r="W37" s="96"/>
      <c r="X37" s="150"/>
      <c r="Y37" s="149"/>
      <c r="Z37" s="96"/>
      <c r="AA37" s="96"/>
      <c r="AB37" s="96"/>
      <c r="AC37" s="96"/>
      <c r="AD37" s="96"/>
      <c r="AE37" s="96"/>
      <c r="AF37" s="150"/>
      <c r="AH37" s="96"/>
      <c r="AI37" s="96"/>
      <c r="AJ37" s="96"/>
      <c r="AK37" s="96"/>
      <c r="AL37" s="96"/>
      <c r="AM37" s="96"/>
      <c r="AN37" s="150"/>
      <c r="AQ37" s="85">
        <f t="shared" si="0"/>
        <v>0</v>
      </c>
      <c r="AR37" s="19"/>
      <c r="AS37"/>
      <c r="AT37" s="67">
        <f t="shared" si="1"/>
        <v>0</v>
      </c>
      <c r="AU37" s="67">
        <f t="shared" si="2"/>
        <v>0</v>
      </c>
      <c r="AV37" s="66"/>
      <c r="AW37" s="12"/>
      <c r="CE37" s="12">
        <v>1</v>
      </c>
      <c r="CK37"/>
      <c r="CX37" t="s">
        <v>39</v>
      </c>
    </row>
    <row r="38" spans="1:102">
      <c r="A38">
        <v>15</v>
      </c>
      <c r="B38" t="s">
        <v>13</v>
      </c>
      <c r="C38" t="s">
        <v>17</v>
      </c>
      <c r="D38" s="8" t="s">
        <v>345</v>
      </c>
      <c r="E38" s="67" t="s">
        <v>15</v>
      </c>
      <c r="I38" s="149"/>
      <c r="J38" s="96"/>
      <c r="K38" s="96"/>
      <c r="L38" s="96"/>
      <c r="M38" s="96"/>
      <c r="N38" s="96"/>
      <c r="O38" s="96"/>
      <c r="P38" s="150"/>
      <c r="Q38" s="149"/>
      <c r="R38" s="96"/>
      <c r="S38" s="96"/>
      <c r="T38" s="96"/>
      <c r="U38" s="96"/>
      <c r="V38" s="96"/>
      <c r="W38" s="96"/>
      <c r="X38" s="150"/>
      <c r="Y38" s="149"/>
      <c r="Z38" s="96"/>
      <c r="AA38" s="96"/>
      <c r="AB38" s="96"/>
      <c r="AC38" s="96"/>
      <c r="AD38" s="96"/>
      <c r="AE38" s="96"/>
      <c r="AF38" s="150"/>
      <c r="AH38" s="96"/>
      <c r="AI38" s="96"/>
      <c r="AJ38" s="96"/>
      <c r="AK38" s="96"/>
      <c r="AL38" s="96"/>
      <c r="AM38" s="96"/>
      <c r="AN38" s="150"/>
      <c r="AQ38" s="85">
        <f t="shared" si="0"/>
        <v>0</v>
      </c>
      <c r="AR38" s="19"/>
      <c r="AS38"/>
      <c r="AT38" s="67">
        <f t="shared" si="1"/>
        <v>0</v>
      </c>
      <c r="AU38" s="67">
        <f t="shared" si="2"/>
        <v>0</v>
      </c>
      <c r="AV38" s="66"/>
      <c r="AW38" s="12"/>
      <c r="CE38" s="12">
        <v>1</v>
      </c>
      <c r="CK38"/>
      <c r="CX38">
        <v>15</v>
      </c>
    </row>
    <row r="39" spans="1:102" ht="18" customHeight="1">
      <c r="A39">
        <v>16</v>
      </c>
      <c r="B39" t="s">
        <v>13</v>
      </c>
      <c r="C39" t="s">
        <v>317</v>
      </c>
      <c r="D39" s="8" t="s">
        <v>365</v>
      </c>
      <c r="E39" s="67" t="s">
        <v>15</v>
      </c>
      <c r="I39" s="149"/>
      <c r="J39" s="96"/>
      <c r="K39" s="96"/>
      <c r="L39" s="96"/>
      <c r="M39" s="96"/>
      <c r="N39" s="96"/>
      <c r="O39" s="96"/>
      <c r="P39" s="150"/>
      <c r="Q39" s="149"/>
      <c r="R39" s="96"/>
      <c r="S39" s="96"/>
      <c r="T39" s="96"/>
      <c r="U39" s="96"/>
      <c r="V39" s="96"/>
      <c r="W39" s="96"/>
      <c r="X39" s="150"/>
      <c r="Y39" s="149"/>
      <c r="Z39" s="96"/>
      <c r="AA39" s="96"/>
      <c r="AB39" s="96"/>
      <c r="AC39" s="96"/>
      <c r="AD39" s="96"/>
      <c r="AE39" s="96"/>
      <c r="AF39" s="150"/>
      <c r="AH39" s="96"/>
      <c r="AI39" s="96"/>
      <c r="AJ39" s="96"/>
      <c r="AK39" s="96"/>
      <c r="AL39" s="96"/>
      <c r="AM39" s="96"/>
      <c r="AN39" s="150"/>
      <c r="AQ39" s="85">
        <f t="shared" si="0"/>
        <v>0</v>
      </c>
      <c r="AR39" s="19"/>
      <c r="AS39"/>
      <c r="AT39" s="67">
        <f t="shared" si="1"/>
        <v>0</v>
      </c>
      <c r="AU39" s="67">
        <f t="shared" si="2"/>
        <v>0</v>
      </c>
      <c r="AV39" s="66"/>
      <c r="AW39" s="12"/>
      <c r="CE39" s="12">
        <v>1</v>
      </c>
      <c r="CK39"/>
      <c r="CX39">
        <v>16</v>
      </c>
    </row>
    <row r="40" spans="1:102" ht="18" customHeight="1">
      <c r="A40">
        <v>17</v>
      </c>
      <c r="B40" t="s">
        <v>13</v>
      </c>
      <c r="C40" t="s">
        <v>317</v>
      </c>
      <c r="D40" s="8" t="s">
        <v>365</v>
      </c>
      <c r="E40" s="67" t="s">
        <v>15</v>
      </c>
      <c r="I40" s="149"/>
      <c r="J40" s="96"/>
      <c r="K40" s="96"/>
      <c r="L40" s="96"/>
      <c r="M40" s="96"/>
      <c r="N40" s="96"/>
      <c r="O40" s="96"/>
      <c r="P40" s="150"/>
      <c r="Q40" s="149"/>
      <c r="R40" s="96"/>
      <c r="S40" s="96"/>
      <c r="T40" s="96"/>
      <c r="U40" s="96"/>
      <c r="V40" s="96"/>
      <c r="W40" s="96"/>
      <c r="X40" s="150"/>
      <c r="Y40" s="149"/>
      <c r="Z40" s="96"/>
      <c r="AA40" s="96"/>
      <c r="AB40" s="96"/>
      <c r="AC40" s="96"/>
      <c r="AD40" s="96"/>
      <c r="AE40" s="96"/>
      <c r="AF40" s="150"/>
      <c r="AH40" s="96"/>
      <c r="AI40" s="96"/>
      <c r="AJ40" s="96"/>
      <c r="AK40" s="96"/>
      <c r="AL40" s="96"/>
      <c r="AM40" s="96"/>
      <c r="AN40" s="150"/>
      <c r="AQ40" s="85">
        <f t="shared" si="0"/>
        <v>0</v>
      </c>
      <c r="AR40" s="19"/>
      <c r="AS40"/>
      <c r="AT40" s="67">
        <f t="shared" si="1"/>
        <v>0</v>
      </c>
      <c r="AU40" s="67">
        <f t="shared" si="2"/>
        <v>0</v>
      </c>
      <c r="AV40" s="66"/>
      <c r="AW40" s="12"/>
      <c r="CE40" s="12">
        <v>1</v>
      </c>
      <c r="CK40"/>
      <c r="CX40">
        <v>17</v>
      </c>
    </row>
    <row r="41" spans="1:102">
      <c r="A41">
        <v>18</v>
      </c>
      <c r="B41" t="s">
        <v>13</v>
      </c>
      <c r="C41" t="s">
        <v>16</v>
      </c>
      <c r="D41" s="8" t="s">
        <v>345</v>
      </c>
      <c r="E41" s="67" t="s">
        <v>15</v>
      </c>
      <c r="I41" s="149"/>
      <c r="J41" s="96"/>
      <c r="K41" s="96"/>
      <c r="L41" s="96"/>
      <c r="M41" s="96"/>
      <c r="N41" s="96"/>
      <c r="O41" s="96"/>
      <c r="P41" s="150"/>
      <c r="Q41" s="149"/>
      <c r="R41" s="96"/>
      <c r="S41" s="96"/>
      <c r="T41" s="96"/>
      <c r="U41" s="96"/>
      <c r="V41" s="96"/>
      <c r="W41" s="96"/>
      <c r="X41" s="150"/>
      <c r="Y41" s="149"/>
      <c r="Z41" s="96"/>
      <c r="AA41" s="96"/>
      <c r="AB41" s="96"/>
      <c r="AC41" s="96"/>
      <c r="AD41" s="96"/>
      <c r="AE41" s="96"/>
      <c r="AF41" s="150"/>
      <c r="AH41" s="96"/>
      <c r="AI41" s="96"/>
      <c r="AJ41" s="96"/>
      <c r="AK41" s="96"/>
      <c r="AL41" s="96"/>
      <c r="AM41" s="96"/>
      <c r="AN41" s="150"/>
      <c r="AQ41" s="85">
        <f t="shared" si="0"/>
        <v>0</v>
      </c>
      <c r="AR41" s="19"/>
      <c r="AS41"/>
      <c r="AT41" s="67">
        <f t="shared" si="1"/>
        <v>0</v>
      </c>
      <c r="AU41" s="67">
        <f t="shared" si="2"/>
        <v>0</v>
      </c>
      <c r="AV41" s="66"/>
      <c r="AW41" s="12"/>
      <c r="CE41" s="12">
        <v>1</v>
      </c>
      <c r="CK41"/>
      <c r="CX41">
        <v>18</v>
      </c>
    </row>
    <row r="42" spans="1:102" ht="15" customHeight="1">
      <c r="A42">
        <v>19</v>
      </c>
      <c r="B42" t="s">
        <v>13</v>
      </c>
      <c r="C42" t="s">
        <v>16</v>
      </c>
      <c r="D42" s="8" t="s">
        <v>345</v>
      </c>
      <c r="E42" s="67" t="s">
        <v>15</v>
      </c>
      <c r="I42" s="149"/>
      <c r="J42" s="96"/>
      <c r="K42" s="96"/>
      <c r="L42" s="96"/>
      <c r="M42" s="96"/>
      <c r="N42" s="96"/>
      <c r="O42" s="96"/>
      <c r="P42" s="150"/>
      <c r="Q42" s="149"/>
      <c r="R42" s="96"/>
      <c r="S42" s="96"/>
      <c r="T42" s="96"/>
      <c r="U42" s="96"/>
      <c r="V42" s="96"/>
      <c r="W42" s="96"/>
      <c r="X42" s="150"/>
      <c r="Y42" s="149"/>
      <c r="Z42" s="96"/>
      <c r="AA42" s="96"/>
      <c r="AB42" s="96"/>
      <c r="AC42" s="96"/>
      <c r="AD42" s="96"/>
      <c r="AE42" s="96"/>
      <c r="AF42" s="150"/>
      <c r="AH42" s="96"/>
      <c r="AI42" s="96"/>
      <c r="AJ42" s="96"/>
      <c r="AK42" s="96"/>
      <c r="AL42" s="96"/>
      <c r="AM42" s="96"/>
      <c r="AN42" s="150"/>
      <c r="AQ42" s="85">
        <f t="shared" si="0"/>
        <v>0</v>
      </c>
      <c r="AR42" s="19"/>
      <c r="AS42"/>
      <c r="AT42" s="67">
        <f t="shared" si="1"/>
        <v>0</v>
      </c>
      <c r="AU42" s="67">
        <f t="shared" si="2"/>
        <v>0</v>
      </c>
      <c r="AV42" s="66"/>
      <c r="AW42" s="12"/>
      <c r="CE42" s="12">
        <v>1</v>
      </c>
      <c r="CK42"/>
      <c r="CX42">
        <v>19</v>
      </c>
    </row>
    <row r="43" spans="1:102">
      <c r="A43">
        <v>20</v>
      </c>
      <c r="B43" t="s">
        <v>13</v>
      </c>
      <c r="C43" t="s">
        <v>17</v>
      </c>
      <c r="D43" s="8" t="s">
        <v>345</v>
      </c>
      <c r="E43" s="67" t="s">
        <v>15</v>
      </c>
      <c r="I43" s="149"/>
      <c r="J43" s="96"/>
      <c r="K43" s="96"/>
      <c r="L43" s="96"/>
      <c r="M43" s="96"/>
      <c r="N43" s="96"/>
      <c r="O43" s="96"/>
      <c r="P43" s="150"/>
      <c r="Q43" s="149"/>
      <c r="R43" s="96"/>
      <c r="S43" s="96"/>
      <c r="T43" s="96"/>
      <c r="U43" s="96"/>
      <c r="V43" s="96"/>
      <c r="W43" s="96"/>
      <c r="X43" s="150"/>
      <c r="Y43" s="149"/>
      <c r="Z43" s="96"/>
      <c r="AA43" s="96"/>
      <c r="AB43" s="96"/>
      <c r="AC43" s="96"/>
      <c r="AD43" s="96"/>
      <c r="AE43" s="96"/>
      <c r="AF43" s="150"/>
      <c r="AH43" s="96"/>
      <c r="AI43" s="96"/>
      <c r="AJ43" s="96"/>
      <c r="AK43" s="96"/>
      <c r="AL43" s="96"/>
      <c r="AM43" s="96"/>
      <c r="AN43" s="150"/>
      <c r="AQ43" s="85">
        <f t="shared" si="0"/>
        <v>0</v>
      </c>
      <c r="AR43" s="19"/>
      <c r="AS43"/>
      <c r="AT43" s="67">
        <f t="shared" si="1"/>
        <v>0</v>
      </c>
      <c r="AU43" s="67">
        <f t="shared" si="2"/>
        <v>0</v>
      </c>
      <c r="AV43" s="66"/>
      <c r="AW43" s="12"/>
      <c r="CE43" s="12">
        <v>1</v>
      </c>
      <c r="CK43"/>
      <c r="CX43">
        <v>20</v>
      </c>
    </row>
    <row r="44" spans="1:102">
      <c r="A44">
        <v>21</v>
      </c>
      <c r="B44" t="s">
        <v>13</v>
      </c>
      <c r="C44" t="s">
        <v>17</v>
      </c>
      <c r="D44" s="8" t="s">
        <v>345</v>
      </c>
      <c r="E44" s="67" t="s">
        <v>15</v>
      </c>
      <c r="I44" s="149"/>
      <c r="J44" s="96"/>
      <c r="K44" s="96"/>
      <c r="L44" s="96"/>
      <c r="M44" s="96"/>
      <c r="N44" s="96"/>
      <c r="O44" s="96"/>
      <c r="P44" s="150"/>
      <c r="Q44" s="149"/>
      <c r="R44" s="96"/>
      <c r="S44" s="96"/>
      <c r="T44" s="96"/>
      <c r="U44" s="96"/>
      <c r="V44" s="96"/>
      <c r="W44" s="96"/>
      <c r="X44" s="150"/>
      <c r="Y44" s="149"/>
      <c r="Z44" s="96"/>
      <c r="AA44" s="96"/>
      <c r="AB44" s="96"/>
      <c r="AC44" s="96"/>
      <c r="AD44" s="96"/>
      <c r="AE44" s="96"/>
      <c r="AF44" s="150"/>
      <c r="AH44" s="96"/>
      <c r="AI44" s="96"/>
      <c r="AJ44" s="96"/>
      <c r="AK44" s="96"/>
      <c r="AL44" s="96"/>
      <c r="AM44" s="96"/>
      <c r="AN44" s="150"/>
      <c r="AQ44" s="85">
        <f t="shared" si="0"/>
        <v>0</v>
      </c>
      <c r="AR44" s="19"/>
      <c r="AS44"/>
      <c r="AT44" s="67">
        <f t="shared" si="1"/>
        <v>0</v>
      </c>
      <c r="AU44" s="67">
        <f t="shared" si="2"/>
        <v>0</v>
      </c>
      <c r="AV44" s="66"/>
      <c r="AW44" s="12"/>
      <c r="CE44" s="12">
        <v>1</v>
      </c>
      <c r="CK44"/>
      <c r="CX44">
        <v>21</v>
      </c>
    </row>
    <row r="45" spans="1:102" ht="18" customHeight="1">
      <c r="A45">
        <v>22</v>
      </c>
      <c r="B45" t="s">
        <v>13</v>
      </c>
      <c r="C45" t="s">
        <v>317</v>
      </c>
      <c r="D45" s="8" t="s">
        <v>365</v>
      </c>
      <c r="E45" s="67" t="s">
        <v>15</v>
      </c>
      <c r="I45" s="149"/>
      <c r="J45" s="96"/>
      <c r="K45" s="96"/>
      <c r="L45" s="96"/>
      <c r="M45" s="96"/>
      <c r="N45" s="96"/>
      <c r="O45" s="96"/>
      <c r="P45" s="150"/>
      <c r="Q45" s="149"/>
      <c r="R45" s="96"/>
      <c r="S45" s="96"/>
      <c r="T45" s="96"/>
      <c r="U45" s="96"/>
      <c r="V45" s="96"/>
      <c r="W45" s="96"/>
      <c r="X45" s="150"/>
      <c r="Y45" s="149"/>
      <c r="Z45" s="96"/>
      <c r="AA45" s="96"/>
      <c r="AB45" s="96"/>
      <c r="AC45" s="96"/>
      <c r="AD45" s="96"/>
      <c r="AE45" s="96"/>
      <c r="AF45" s="150"/>
      <c r="AH45" s="96"/>
      <c r="AI45" s="96"/>
      <c r="AJ45" s="96"/>
      <c r="AK45" s="96"/>
      <c r="AL45" s="96"/>
      <c r="AM45" s="96"/>
      <c r="AN45" s="150"/>
      <c r="AQ45" s="85">
        <f t="shared" si="0"/>
        <v>0</v>
      </c>
      <c r="AR45" s="19"/>
      <c r="AS45"/>
      <c r="AT45" s="67">
        <f t="shared" si="1"/>
        <v>0</v>
      </c>
      <c r="AU45" s="67">
        <f t="shared" si="2"/>
        <v>0</v>
      </c>
      <c r="AV45" s="66"/>
      <c r="AW45" s="12"/>
      <c r="CE45" s="12">
        <v>1</v>
      </c>
      <c r="CK45"/>
      <c r="CX45">
        <v>22</v>
      </c>
    </row>
    <row r="46" spans="1:102">
      <c r="A46">
        <v>23</v>
      </c>
      <c r="B46" t="s">
        <v>13</v>
      </c>
      <c r="C46" t="s">
        <v>17</v>
      </c>
      <c r="D46" s="8" t="s">
        <v>345</v>
      </c>
      <c r="E46" s="67" t="s">
        <v>15</v>
      </c>
      <c r="I46" s="149"/>
      <c r="J46" s="96"/>
      <c r="K46" s="96"/>
      <c r="L46" s="96"/>
      <c r="M46" s="96"/>
      <c r="N46" s="96"/>
      <c r="O46" s="96"/>
      <c r="P46" s="150"/>
      <c r="Q46" s="149"/>
      <c r="R46" s="96"/>
      <c r="S46" s="96"/>
      <c r="T46" s="96"/>
      <c r="U46" s="96"/>
      <c r="V46" s="96"/>
      <c r="W46" s="96"/>
      <c r="X46" s="150"/>
      <c r="Y46" s="149"/>
      <c r="Z46" s="96"/>
      <c r="AA46" s="96"/>
      <c r="AB46" s="96"/>
      <c r="AC46" s="96"/>
      <c r="AD46" s="96"/>
      <c r="AE46" s="96"/>
      <c r="AF46" s="150"/>
      <c r="AH46" s="96"/>
      <c r="AI46" s="96"/>
      <c r="AJ46" s="96"/>
      <c r="AK46" s="96"/>
      <c r="AL46" s="96"/>
      <c r="AM46" s="96"/>
      <c r="AN46" s="150"/>
      <c r="AQ46" s="85">
        <f t="shared" si="0"/>
        <v>0</v>
      </c>
      <c r="AR46" s="19"/>
      <c r="AS46"/>
      <c r="AT46" s="67">
        <f t="shared" si="1"/>
        <v>0</v>
      </c>
      <c r="AU46" s="67">
        <f t="shared" si="2"/>
        <v>0</v>
      </c>
      <c r="AV46" s="66"/>
      <c r="AW46" s="12"/>
      <c r="CE46" s="12">
        <v>1</v>
      </c>
      <c r="CK46"/>
      <c r="CX46">
        <v>23</v>
      </c>
    </row>
    <row r="47" spans="1:102">
      <c r="A47">
        <v>24</v>
      </c>
      <c r="B47" t="s">
        <v>13</v>
      </c>
      <c r="C47" t="s">
        <v>16</v>
      </c>
      <c r="D47" s="8" t="s">
        <v>345</v>
      </c>
      <c r="E47" s="67" t="s">
        <v>15</v>
      </c>
      <c r="I47" s="149"/>
      <c r="J47" s="96"/>
      <c r="K47" s="96"/>
      <c r="L47" s="96"/>
      <c r="M47" s="96"/>
      <c r="N47" s="96"/>
      <c r="O47" s="96"/>
      <c r="P47" s="150"/>
      <c r="Q47" s="149"/>
      <c r="R47" s="96"/>
      <c r="S47" s="96"/>
      <c r="T47" s="96"/>
      <c r="U47" s="96"/>
      <c r="V47" s="96"/>
      <c r="W47" s="96"/>
      <c r="X47" s="150"/>
      <c r="Y47" s="149"/>
      <c r="Z47" s="96"/>
      <c r="AA47" s="96"/>
      <c r="AB47" s="96"/>
      <c r="AC47" s="96"/>
      <c r="AD47" s="96"/>
      <c r="AE47" s="96"/>
      <c r="AF47" s="150"/>
      <c r="AH47" s="96"/>
      <c r="AI47" s="96"/>
      <c r="AJ47" s="96"/>
      <c r="AK47" s="96"/>
      <c r="AL47" s="96"/>
      <c r="AM47" s="96"/>
      <c r="AN47" s="150"/>
      <c r="AQ47" s="85">
        <f t="shared" si="0"/>
        <v>0</v>
      </c>
      <c r="AR47" s="19"/>
      <c r="AS47"/>
      <c r="AT47" s="67">
        <f t="shared" si="1"/>
        <v>0</v>
      </c>
      <c r="AU47" s="67">
        <f t="shared" si="2"/>
        <v>0</v>
      </c>
      <c r="AV47" s="66"/>
      <c r="AW47" s="12"/>
      <c r="CE47" s="12">
        <v>1</v>
      </c>
      <c r="CK47"/>
      <c r="CX47">
        <v>24</v>
      </c>
    </row>
    <row r="48" spans="1:102">
      <c r="A48">
        <v>25</v>
      </c>
      <c r="B48" t="s">
        <v>13</v>
      </c>
      <c r="C48" t="s">
        <v>17</v>
      </c>
      <c r="D48" s="8" t="s">
        <v>345</v>
      </c>
      <c r="E48" s="67" t="s">
        <v>15</v>
      </c>
      <c r="I48" s="149"/>
      <c r="J48" s="96"/>
      <c r="K48" s="96"/>
      <c r="L48" s="96"/>
      <c r="M48" s="96"/>
      <c r="N48" s="96"/>
      <c r="O48" s="96"/>
      <c r="P48" s="150"/>
      <c r="Q48" s="149"/>
      <c r="R48" s="96"/>
      <c r="S48" s="96"/>
      <c r="T48" s="96"/>
      <c r="U48" s="96"/>
      <c r="V48" s="96"/>
      <c r="W48" s="96"/>
      <c r="X48" s="150"/>
      <c r="Y48" s="149"/>
      <c r="Z48" s="96"/>
      <c r="AA48" s="96"/>
      <c r="AB48" s="96"/>
      <c r="AC48" s="96"/>
      <c r="AD48" s="96"/>
      <c r="AE48" s="96"/>
      <c r="AF48" s="150"/>
      <c r="AH48" s="96"/>
      <c r="AI48" s="96"/>
      <c r="AJ48" s="96"/>
      <c r="AK48" s="96"/>
      <c r="AL48" s="96"/>
      <c r="AM48" s="96"/>
      <c r="AN48" s="150"/>
      <c r="AQ48" s="85">
        <f t="shared" si="0"/>
        <v>0</v>
      </c>
      <c r="AR48" s="19"/>
      <c r="AS48"/>
      <c r="AT48" s="67">
        <f t="shared" si="1"/>
        <v>0</v>
      </c>
      <c r="AU48" s="67">
        <f t="shared" si="2"/>
        <v>0</v>
      </c>
      <c r="AV48" s="66"/>
      <c r="AW48" s="12"/>
      <c r="CE48" s="12">
        <v>1</v>
      </c>
      <c r="CK48"/>
      <c r="CX48">
        <v>25</v>
      </c>
    </row>
    <row r="49" spans="1:102">
      <c r="A49">
        <v>26</v>
      </c>
      <c r="B49" t="s">
        <v>13</v>
      </c>
      <c r="C49">
        <v>0</v>
      </c>
      <c r="D49" s="8" t="s">
        <v>365</v>
      </c>
      <c r="E49" s="67" t="s">
        <v>15</v>
      </c>
      <c r="I49" s="149"/>
      <c r="J49" s="96"/>
      <c r="K49" s="96"/>
      <c r="L49" s="96"/>
      <c r="M49" s="96"/>
      <c r="N49" s="96"/>
      <c r="O49" s="96"/>
      <c r="P49" s="150"/>
      <c r="Q49" s="149"/>
      <c r="R49" s="96"/>
      <c r="S49" s="96"/>
      <c r="T49" s="96"/>
      <c r="U49" s="96"/>
      <c r="V49" s="96"/>
      <c r="W49" s="96"/>
      <c r="X49" s="150"/>
      <c r="Y49" s="149"/>
      <c r="Z49" s="96"/>
      <c r="AA49" s="96"/>
      <c r="AB49" s="96"/>
      <c r="AC49" s="96"/>
      <c r="AD49" s="96"/>
      <c r="AE49" s="96"/>
      <c r="AF49" s="150"/>
      <c r="AH49" s="96"/>
      <c r="AI49" s="96"/>
      <c r="AJ49" s="96"/>
      <c r="AK49" s="96"/>
      <c r="AL49" s="96"/>
      <c r="AM49" s="96"/>
      <c r="AN49" s="150"/>
      <c r="AQ49" s="85">
        <f t="shared" si="0"/>
        <v>0</v>
      </c>
      <c r="AR49" s="19"/>
      <c r="AS49"/>
      <c r="AT49" s="67">
        <f t="shared" si="1"/>
        <v>0</v>
      </c>
      <c r="AU49" s="67">
        <f t="shared" si="2"/>
        <v>0</v>
      </c>
      <c r="AV49" s="66"/>
      <c r="AW49" s="12"/>
      <c r="CE49" s="12">
        <v>1</v>
      </c>
      <c r="CK49"/>
      <c r="CX49">
        <v>26</v>
      </c>
    </row>
    <row r="50" spans="1:102">
      <c r="A50">
        <v>27</v>
      </c>
      <c r="B50" t="s">
        <v>12</v>
      </c>
      <c r="C50" t="s">
        <v>40</v>
      </c>
      <c r="D50" s="8" t="s">
        <v>40</v>
      </c>
      <c r="E50" s="67" t="s">
        <v>15</v>
      </c>
      <c r="G50" t="s">
        <v>15</v>
      </c>
      <c r="H50" t="s">
        <v>15</v>
      </c>
      <c r="I50" s="149"/>
      <c r="J50" s="96"/>
      <c r="K50" s="96"/>
      <c r="L50" s="96"/>
      <c r="M50" s="96"/>
      <c r="N50" s="96"/>
      <c r="O50" s="96"/>
      <c r="P50" s="150"/>
      <c r="Q50" s="149"/>
      <c r="R50" s="96"/>
      <c r="S50" s="96"/>
      <c r="T50" s="96"/>
      <c r="U50" s="96"/>
      <c r="V50" s="96"/>
      <c r="W50" s="96"/>
      <c r="X50" s="150"/>
      <c r="Y50" s="149"/>
      <c r="Z50" s="96"/>
      <c r="AA50" s="96"/>
      <c r="AB50" s="96"/>
      <c r="AC50" s="96"/>
      <c r="AD50" s="96"/>
      <c r="AE50" s="96"/>
      <c r="AF50" s="150"/>
      <c r="AH50" s="96"/>
      <c r="AI50" s="96"/>
      <c r="AJ50" s="96"/>
      <c r="AK50" s="96"/>
      <c r="AL50" s="96"/>
      <c r="AM50" s="96"/>
      <c r="AN50" s="150"/>
      <c r="AQ50" s="85">
        <f t="shared" si="0"/>
        <v>0</v>
      </c>
      <c r="AR50" s="19"/>
      <c r="AS50"/>
      <c r="AT50" s="67">
        <f t="shared" si="1"/>
        <v>0</v>
      </c>
      <c r="AU50" s="67">
        <f t="shared" si="2"/>
        <v>0</v>
      </c>
      <c r="AV50" s="66"/>
      <c r="AW50" s="12"/>
      <c r="BQ50" s="12">
        <v>1</v>
      </c>
      <c r="CK50"/>
      <c r="CX50">
        <v>27</v>
      </c>
    </row>
    <row r="51" spans="1:102" ht="15" customHeight="1">
      <c r="A51">
        <v>28</v>
      </c>
      <c r="B51" t="s">
        <v>13</v>
      </c>
      <c r="C51">
        <v>0</v>
      </c>
      <c r="D51" s="8" t="s">
        <v>365</v>
      </c>
      <c r="E51" s="67" t="s">
        <v>15</v>
      </c>
      <c r="I51" s="149"/>
      <c r="J51" s="96"/>
      <c r="K51" s="96"/>
      <c r="L51" s="96"/>
      <c r="M51" s="96"/>
      <c r="N51" s="96"/>
      <c r="O51" s="96"/>
      <c r="P51" s="150"/>
      <c r="Q51" s="149"/>
      <c r="R51" s="96"/>
      <c r="S51" s="96"/>
      <c r="T51" s="96"/>
      <c r="U51" s="96"/>
      <c r="V51" s="96"/>
      <c r="W51" s="96"/>
      <c r="X51" s="150"/>
      <c r="Y51" s="149"/>
      <c r="Z51" s="96"/>
      <c r="AA51" s="96"/>
      <c r="AB51" s="96"/>
      <c r="AC51" s="96"/>
      <c r="AD51" s="96"/>
      <c r="AE51" s="96"/>
      <c r="AF51" s="150"/>
      <c r="AH51" s="96"/>
      <c r="AI51" s="96"/>
      <c r="AJ51" s="96"/>
      <c r="AK51" s="96"/>
      <c r="AL51" s="96"/>
      <c r="AM51" s="96"/>
      <c r="AN51" s="150"/>
      <c r="AQ51" s="85">
        <f t="shared" si="0"/>
        <v>0</v>
      </c>
      <c r="AR51" s="19"/>
      <c r="AS51"/>
      <c r="AT51" s="67">
        <f t="shared" si="1"/>
        <v>0</v>
      </c>
      <c r="AU51" s="67">
        <f t="shared" si="2"/>
        <v>0</v>
      </c>
      <c r="AV51" s="66"/>
      <c r="AW51" s="12"/>
      <c r="CE51" s="12">
        <v>1</v>
      </c>
      <c r="CK51"/>
      <c r="CX51">
        <v>28</v>
      </c>
    </row>
    <row r="52" spans="1:102" ht="15" customHeight="1">
      <c r="A52" t="s">
        <v>318</v>
      </c>
      <c r="B52" t="s">
        <v>13</v>
      </c>
      <c r="C52" s="2" t="s">
        <v>213</v>
      </c>
      <c r="D52" s="8" t="s">
        <v>345</v>
      </c>
      <c r="E52" s="67" t="s">
        <v>15</v>
      </c>
      <c r="I52" s="149"/>
      <c r="J52" s="96"/>
      <c r="K52" s="96"/>
      <c r="L52" s="96"/>
      <c r="M52" s="96"/>
      <c r="N52" s="96"/>
      <c r="O52" s="96"/>
      <c r="P52" s="150"/>
      <c r="Q52" s="149"/>
      <c r="R52" s="96"/>
      <c r="S52" s="96"/>
      <c r="T52" s="96"/>
      <c r="U52" s="96"/>
      <c r="V52" s="96"/>
      <c r="W52" s="96"/>
      <c r="X52" s="150"/>
      <c r="Y52" s="149"/>
      <c r="Z52" s="96"/>
      <c r="AA52" s="96"/>
      <c r="AB52" s="96"/>
      <c r="AC52" s="96"/>
      <c r="AD52" s="96"/>
      <c r="AE52" s="96"/>
      <c r="AF52" s="150"/>
      <c r="AH52" s="96"/>
      <c r="AI52" s="96"/>
      <c r="AJ52" s="96"/>
      <c r="AK52" s="96"/>
      <c r="AL52" s="96"/>
      <c r="AM52" s="96"/>
      <c r="AN52" s="150"/>
      <c r="AQ52" s="85">
        <f t="shared" si="0"/>
        <v>0</v>
      </c>
      <c r="AR52" s="19"/>
      <c r="AS52"/>
      <c r="AT52" s="67">
        <f t="shared" si="1"/>
        <v>0</v>
      </c>
      <c r="AU52" s="67">
        <f t="shared" si="2"/>
        <v>0</v>
      </c>
      <c r="AV52" s="66"/>
      <c r="AW52" s="12"/>
      <c r="CE52" s="12">
        <v>1</v>
      </c>
      <c r="CK52"/>
      <c r="CX52" t="s">
        <v>318</v>
      </c>
    </row>
    <row r="53" spans="1:102">
      <c r="A53" t="s">
        <v>319</v>
      </c>
      <c r="B53" t="s">
        <v>13</v>
      </c>
      <c r="C53" s="2" t="s">
        <v>118</v>
      </c>
      <c r="D53" s="8" t="s">
        <v>345</v>
      </c>
      <c r="E53" s="67" t="s">
        <v>15</v>
      </c>
      <c r="I53" s="149"/>
      <c r="J53" s="96"/>
      <c r="K53" s="96"/>
      <c r="L53" s="96"/>
      <c r="M53" s="96"/>
      <c r="N53" s="96"/>
      <c r="O53" s="96"/>
      <c r="P53" s="150"/>
      <c r="Q53" s="149"/>
      <c r="R53" s="96"/>
      <c r="S53" s="96"/>
      <c r="T53" s="96"/>
      <c r="U53" s="96"/>
      <c r="V53" s="96"/>
      <c r="W53" s="96"/>
      <c r="X53" s="150"/>
      <c r="Y53" s="149"/>
      <c r="Z53" s="96"/>
      <c r="AA53" s="96"/>
      <c r="AB53" s="96"/>
      <c r="AC53" s="96"/>
      <c r="AD53" s="96"/>
      <c r="AE53" s="96"/>
      <c r="AF53" s="150"/>
      <c r="AH53" s="96"/>
      <c r="AI53" s="96"/>
      <c r="AJ53" s="96"/>
      <c r="AK53" s="96"/>
      <c r="AL53" s="96"/>
      <c r="AM53" s="96"/>
      <c r="AN53" s="150"/>
      <c r="AQ53" s="85">
        <f t="shared" si="0"/>
        <v>0</v>
      </c>
      <c r="AR53" s="19"/>
      <c r="AS53"/>
      <c r="AT53" s="67">
        <f t="shared" si="1"/>
        <v>0</v>
      </c>
      <c r="AU53" s="67">
        <f t="shared" si="2"/>
        <v>0</v>
      </c>
      <c r="AV53" s="66"/>
      <c r="AW53" s="12"/>
      <c r="CK53"/>
      <c r="CX53" t="s">
        <v>319</v>
      </c>
    </row>
    <row r="54" spans="1:102" s="8" customFormat="1">
      <c r="A54" s="8" t="s">
        <v>320</v>
      </c>
      <c r="B54" s="8" t="s">
        <v>13</v>
      </c>
      <c r="C54" s="54" t="s">
        <v>118</v>
      </c>
      <c r="D54" s="8" t="s">
        <v>345</v>
      </c>
      <c r="E54" s="67" t="s">
        <v>15</v>
      </c>
      <c r="I54" s="124"/>
      <c r="J54" s="95"/>
      <c r="K54" s="95"/>
      <c r="L54" s="95"/>
      <c r="M54" s="95"/>
      <c r="N54" s="95"/>
      <c r="O54" s="95"/>
      <c r="P54" s="125"/>
      <c r="Q54" s="124"/>
      <c r="R54" s="95"/>
      <c r="S54" s="95"/>
      <c r="T54" s="95"/>
      <c r="U54" s="95"/>
      <c r="V54" s="95"/>
      <c r="W54" s="95"/>
      <c r="X54" s="125"/>
      <c r="Y54" s="124"/>
      <c r="Z54" s="95"/>
      <c r="AA54" s="95"/>
      <c r="AB54" s="95"/>
      <c r="AC54" s="95"/>
      <c r="AD54" s="95"/>
      <c r="AE54" s="95"/>
      <c r="AF54" s="125"/>
      <c r="AG54" s="95"/>
      <c r="AH54" s="95"/>
      <c r="AI54" s="95"/>
      <c r="AJ54" s="95"/>
      <c r="AK54" s="95"/>
      <c r="AL54" s="95"/>
      <c r="AM54" s="95"/>
      <c r="AN54" s="125"/>
      <c r="AO54" s="95"/>
      <c r="AP54" s="11"/>
      <c r="AQ54" s="85">
        <f t="shared" si="0"/>
        <v>0</v>
      </c>
      <c r="AR54" s="102"/>
      <c r="AT54" s="67">
        <f t="shared" si="1"/>
        <v>0</v>
      </c>
      <c r="AU54" s="67">
        <f t="shared" si="2"/>
        <v>0</v>
      </c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 t="s">
        <v>326</v>
      </c>
      <c r="CH54" s="13"/>
      <c r="CI54" s="13"/>
      <c r="CJ54" s="13"/>
      <c r="CX54" s="8" t="s">
        <v>320</v>
      </c>
    </row>
    <row r="55" spans="1:102" s="8" customFormat="1">
      <c r="A55" s="8">
        <v>30</v>
      </c>
      <c r="B55" s="8" t="s">
        <v>12</v>
      </c>
      <c r="C55" s="8" t="s">
        <v>41</v>
      </c>
      <c r="D55" s="8" t="s">
        <v>42</v>
      </c>
      <c r="E55" s="8" t="s">
        <v>42</v>
      </c>
      <c r="F55" s="8">
        <v>26</v>
      </c>
      <c r="G55" s="8">
        <v>31</v>
      </c>
      <c r="H55" s="8">
        <v>32</v>
      </c>
      <c r="I55" s="124">
        <v>1</v>
      </c>
      <c r="J55" s="95">
        <v>1</v>
      </c>
      <c r="K55" s="95">
        <v>1</v>
      </c>
      <c r="L55" s="95">
        <v>1</v>
      </c>
      <c r="M55" s="95" t="s">
        <v>9</v>
      </c>
      <c r="N55" s="95">
        <v>1</v>
      </c>
      <c r="O55" s="95">
        <v>1</v>
      </c>
      <c r="P55" s="125">
        <v>1</v>
      </c>
      <c r="Q55" s="124">
        <v>1</v>
      </c>
      <c r="R55" s="95">
        <v>1</v>
      </c>
      <c r="S55" s="95">
        <v>1</v>
      </c>
      <c r="T55" s="95">
        <v>1</v>
      </c>
      <c r="U55" s="95">
        <v>1</v>
      </c>
      <c r="V55" s="95" t="s">
        <v>10</v>
      </c>
      <c r="W55" s="95">
        <v>1</v>
      </c>
      <c r="X55" s="125">
        <v>1</v>
      </c>
      <c r="Y55" s="124" t="s">
        <v>9</v>
      </c>
      <c r="Z55" s="95">
        <v>1</v>
      </c>
      <c r="AA55" s="95">
        <v>1</v>
      </c>
      <c r="AB55" s="95">
        <v>1</v>
      </c>
      <c r="AC55" s="95">
        <v>1</v>
      </c>
      <c r="AD55" s="95">
        <v>1</v>
      </c>
      <c r="AE55" s="95" t="s">
        <v>9</v>
      </c>
      <c r="AF55" s="125">
        <v>1</v>
      </c>
      <c r="AG55" s="95" t="s">
        <v>9</v>
      </c>
      <c r="AH55" s="95">
        <v>1</v>
      </c>
      <c r="AI55" s="95" t="s">
        <v>9</v>
      </c>
      <c r="AJ55" s="95">
        <v>1</v>
      </c>
      <c r="AK55" s="95">
        <v>1</v>
      </c>
      <c r="AL55" s="95">
        <v>1</v>
      </c>
      <c r="AM55" s="95">
        <v>1</v>
      </c>
      <c r="AN55" s="125">
        <v>1</v>
      </c>
      <c r="AO55" s="95"/>
      <c r="AP55" s="11">
        <v>26</v>
      </c>
      <c r="AQ55" s="85">
        <f t="shared" si="0"/>
        <v>26</v>
      </c>
      <c r="AR55" s="102" t="s">
        <v>43</v>
      </c>
      <c r="AT55" s="67">
        <f t="shared" si="1"/>
        <v>1</v>
      </c>
      <c r="AU55" s="67">
        <f t="shared" si="2"/>
        <v>5</v>
      </c>
      <c r="AW55" s="13">
        <v>1</v>
      </c>
      <c r="AX55" s="13"/>
      <c r="AY55" s="13">
        <v>1</v>
      </c>
      <c r="AZ55" s="13">
        <v>1</v>
      </c>
      <c r="BA55" s="13">
        <v>1</v>
      </c>
      <c r="BB55" s="13">
        <v>1</v>
      </c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>
        <v>1</v>
      </c>
      <c r="BW55" s="13"/>
      <c r="BX55" s="13"/>
      <c r="BY55" s="13">
        <v>1</v>
      </c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X55" s="8">
        <v>30</v>
      </c>
    </row>
    <row r="56" spans="1:102">
      <c r="A56">
        <v>31</v>
      </c>
      <c r="B56" t="s">
        <v>12</v>
      </c>
      <c r="C56" t="s">
        <v>40</v>
      </c>
      <c r="D56" s="8" t="s">
        <v>40</v>
      </c>
      <c r="E56" t="s">
        <v>42</v>
      </c>
      <c r="G56" t="s">
        <v>15</v>
      </c>
      <c r="H56" t="s">
        <v>15</v>
      </c>
      <c r="I56" s="149"/>
      <c r="J56" s="96"/>
      <c r="K56" s="96"/>
      <c r="L56" s="96"/>
      <c r="M56" s="96"/>
      <c r="N56" s="96"/>
      <c r="O56" s="96"/>
      <c r="P56" s="150"/>
      <c r="Q56" s="149"/>
      <c r="R56" s="96"/>
      <c r="S56" s="96"/>
      <c r="T56" s="96"/>
      <c r="U56" s="96"/>
      <c r="V56" s="96"/>
      <c r="W56" s="96"/>
      <c r="X56" s="150"/>
      <c r="Y56" s="149"/>
      <c r="Z56" s="96"/>
      <c r="AA56" s="96"/>
      <c r="AB56" s="96"/>
      <c r="AC56" s="96"/>
      <c r="AD56" s="96"/>
      <c r="AE56" s="96"/>
      <c r="AF56" s="150"/>
      <c r="AH56" s="96"/>
      <c r="AI56" s="96"/>
      <c r="AJ56" s="96"/>
      <c r="AK56" s="96"/>
      <c r="AL56" s="96"/>
      <c r="AM56" s="96"/>
      <c r="AN56" s="150"/>
      <c r="AQ56" s="85">
        <f t="shared" si="0"/>
        <v>0</v>
      </c>
      <c r="AR56" s="19"/>
      <c r="AS56"/>
      <c r="AT56" s="67">
        <f t="shared" si="1"/>
        <v>0</v>
      </c>
      <c r="AU56" s="67">
        <f t="shared" si="2"/>
        <v>0</v>
      </c>
      <c r="AV56" s="66"/>
      <c r="AW56" s="12"/>
      <c r="CK56"/>
      <c r="CX56">
        <v>31</v>
      </c>
    </row>
    <row r="57" spans="1:102" ht="15" customHeight="1">
      <c r="A57">
        <v>32</v>
      </c>
      <c r="B57" t="s">
        <v>13</v>
      </c>
      <c r="C57" t="s">
        <v>17</v>
      </c>
      <c r="D57" s="8" t="s">
        <v>345</v>
      </c>
      <c r="E57" s="67" t="s">
        <v>15</v>
      </c>
      <c r="I57" s="149"/>
      <c r="J57" s="96"/>
      <c r="K57" s="96"/>
      <c r="L57" s="96"/>
      <c r="M57" s="96"/>
      <c r="N57" s="96"/>
      <c r="O57" s="96"/>
      <c r="P57" s="150"/>
      <c r="Q57" s="149"/>
      <c r="R57" s="96"/>
      <c r="S57" s="96"/>
      <c r="T57" s="96"/>
      <c r="U57" s="96"/>
      <c r="V57" s="96"/>
      <c r="W57" s="96"/>
      <c r="X57" s="150"/>
      <c r="Y57" s="149"/>
      <c r="Z57" s="96"/>
      <c r="AA57" s="96"/>
      <c r="AB57" s="96"/>
      <c r="AC57" s="96"/>
      <c r="AD57" s="96"/>
      <c r="AE57" s="96"/>
      <c r="AF57" s="150"/>
      <c r="AH57" s="96"/>
      <c r="AI57" s="96"/>
      <c r="AJ57" s="96"/>
      <c r="AK57" s="96"/>
      <c r="AL57" s="96"/>
      <c r="AM57" s="96"/>
      <c r="AN57" s="150"/>
      <c r="AQ57" s="85">
        <f t="shared" si="0"/>
        <v>0</v>
      </c>
      <c r="AR57" s="19"/>
      <c r="AS57"/>
      <c r="AT57" s="67">
        <f t="shared" si="1"/>
        <v>0</v>
      </c>
      <c r="AU57" s="67">
        <f t="shared" si="2"/>
        <v>0</v>
      </c>
      <c r="AV57" s="66"/>
      <c r="AW57" s="12"/>
      <c r="CE57" s="12">
        <v>1</v>
      </c>
      <c r="CK57"/>
      <c r="CX57">
        <v>32</v>
      </c>
    </row>
    <row r="58" spans="1:102">
      <c r="A58">
        <v>33</v>
      </c>
      <c r="B58" t="s">
        <v>13</v>
      </c>
      <c r="C58">
        <v>0</v>
      </c>
      <c r="D58" s="8" t="s">
        <v>365</v>
      </c>
      <c r="E58" s="67" t="s">
        <v>15</v>
      </c>
      <c r="I58" s="149"/>
      <c r="J58" s="96"/>
      <c r="K58" s="96"/>
      <c r="L58" s="96"/>
      <c r="M58" s="96"/>
      <c r="N58" s="96"/>
      <c r="O58" s="96"/>
      <c r="P58" s="150"/>
      <c r="Q58" s="149"/>
      <c r="R58" s="96"/>
      <c r="S58" s="96"/>
      <c r="T58" s="96"/>
      <c r="U58" s="96"/>
      <c r="V58" s="96"/>
      <c r="W58" s="96"/>
      <c r="X58" s="150"/>
      <c r="Y58" s="149"/>
      <c r="Z58" s="96"/>
      <c r="AA58" s="96"/>
      <c r="AB58" s="96"/>
      <c r="AC58" s="96"/>
      <c r="AD58" s="96"/>
      <c r="AE58" s="96"/>
      <c r="AF58" s="150"/>
      <c r="AH58" s="96"/>
      <c r="AI58" s="96"/>
      <c r="AJ58" s="96"/>
      <c r="AK58" s="96"/>
      <c r="AL58" s="96"/>
      <c r="AM58" s="96"/>
      <c r="AN58" s="150"/>
      <c r="AQ58" s="85">
        <f t="shared" si="0"/>
        <v>0</v>
      </c>
      <c r="AR58" s="19"/>
      <c r="AS58"/>
      <c r="AT58" s="67">
        <f t="shared" si="1"/>
        <v>0</v>
      </c>
      <c r="AU58" s="67">
        <f t="shared" si="2"/>
        <v>0</v>
      </c>
      <c r="AV58" s="66"/>
      <c r="AW58" s="12"/>
      <c r="CE58" s="12">
        <v>1</v>
      </c>
      <c r="CK58"/>
      <c r="CX58">
        <v>33</v>
      </c>
    </row>
    <row r="59" spans="1:102">
      <c r="A59">
        <v>34</v>
      </c>
      <c r="B59" t="s">
        <v>12</v>
      </c>
      <c r="C59" t="s">
        <v>44</v>
      </c>
      <c r="D59" s="8" t="s">
        <v>349</v>
      </c>
      <c r="E59" t="s">
        <v>6</v>
      </c>
      <c r="F59">
        <v>2</v>
      </c>
      <c r="G59" t="s">
        <v>15</v>
      </c>
      <c r="H59" t="s">
        <v>15</v>
      </c>
      <c r="I59" s="149"/>
      <c r="J59" s="96"/>
      <c r="K59" s="96"/>
      <c r="L59" s="96"/>
      <c r="M59" s="96"/>
      <c r="N59" s="96"/>
      <c r="O59" s="96"/>
      <c r="P59" s="150"/>
      <c r="Q59" s="149"/>
      <c r="R59" s="96"/>
      <c r="S59" s="96"/>
      <c r="T59" s="96"/>
      <c r="U59" s="96"/>
      <c r="V59" s="96"/>
      <c r="W59" s="96"/>
      <c r="X59" s="150"/>
      <c r="Y59" s="149">
        <v>1</v>
      </c>
      <c r="Z59" s="96" t="s">
        <v>10</v>
      </c>
      <c r="AA59" s="96">
        <v>1</v>
      </c>
      <c r="AB59" s="96" t="s">
        <v>10</v>
      </c>
      <c r="AC59" s="96" t="s">
        <v>9</v>
      </c>
      <c r="AD59" s="96" t="s">
        <v>9</v>
      </c>
      <c r="AE59" s="96"/>
      <c r="AF59" s="150"/>
      <c r="AH59" s="96"/>
      <c r="AI59" s="96"/>
      <c r="AJ59" s="96"/>
      <c r="AK59" s="96"/>
      <c r="AL59" s="96"/>
      <c r="AM59" s="96"/>
      <c r="AN59" s="150"/>
      <c r="AP59" s="56">
        <v>2</v>
      </c>
      <c r="AQ59" s="85">
        <f t="shared" si="0"/>
        <v>2</v>
      </c>
      <c r="AR59" s="19" t="s">
        <v>45</v>
      </c>
      <c r="AS59"/>
      <c r="AT59" s="67">
        <f t="shared" si="1"/>
        <v>2</v>
      </c>
      <c r="AU59" s="67">
        <f t="shared" si="2"/>
        <v>2</v>
      </c>
      <c r="AV59" s="66"/>
      <c r="AW59" s="12">
        <v>1</v>
      </c>
      <c r="AX59" s="12">
        <v>1</v>
      </c>
      <c r="AY59" s="12">
        <v>1</v>
      </c>
      <c r="BB59" s="12">
        <v>1</v>
      </c>
      <c r="CK59"/>
      <c r="CX59">
        <v>34</v>
      </c>
    </row>
    <row r="60" spans="1:102">
      <c r="A60" t="s">
        <v>46</v>
      </c>
      <c r="B60" t="s">
        <v>13</v>
      </c>
      <c r="C60" t="s">
        <v>17</v>
      </c>
      <c r="D60" s="8" t="s">
        <v>345</v>
      </c>
      <c r="E60" s="67" t="s">
        <v>15</v>
      </c>
      <c r="I60" s="149"/>
      <c r="J60" s="96"/>
      <c r="K60" s="96"/>
      <c r="L60" s="96"/>
      <c r="M60" s="96"/>
      <c r="N60" s="96"/>
      <c r="O60" s="96"/>
      <c r="P60" s="150"/>
      <c r="Q60" s="149"/>
      <c r="R60" s="96"/>
      <c r="S60" s="96"/>
      <c r="T60" s="96"/>
      <c r="U60" s="96"/>
      <c r="V60" s="96"/>
      <c r="W60" s="96"/>
      <c r="X60" s="150"/>
      <c r="Y60" s="149"/>
      <c r="Z60" s="96"/>
      <c r="AA60" s="96"/>
      <c r="AB60" s="96"/>
      <c r="AC60" s="96"/>
      <c r="AD60" s="96"/>
      <c r="AE60" s="96"/>
      <c r="AF60" s="150"/>
      <c r="AH60" s="96"/>
      <c r="AI60" s="96"/>
      <c r="AJ60" s="96"/>
      <c r="AK60" s="96"/>
      <c r="AL60" s="96"/>
      <c r="AM60" s="96"/>
      <c r="AN60" s="150"/>
      <c r="AQ60" s="85">
        <f t="shared" si="0"/>
        <v>0</v>
      </c>
      <c r="AR60" s="19"/>
      <c r="AS60"/>
      <c r="AT60" s="67">
        <f t="shared" si="1"/>
        <v>0</v>
      </c>
      <c r="AU60" s="67">
        <f t="shared" si="2"/>
        <v>0</v>
      </c>
      <c r="AV60" s="66"/>
      <c r="AW60" s="12"/>
      <c r="CE60" s="12">
        <v>1</v>
      </c>
      <c r="CK60"/>
      <c r="CX60" t="s">
        <v>46</v>
      </c>
    </row>
    <row r="61" spans="1:102" ht="18" customHeight="1">
      <c r="A61" t="s">
        <v>47</v>
      </c>
      <c r="B61" t="s">
        <v>13</v>
      </c>
      <c r="C61" t="s">
        <v>317</v>
      </c>
      <c r="D61" s="8" t="s">
        <v>365</v>
      </c>
      <c r="E61" s="67" t="s">
        <v>15</v>
      </c>
      <c r="I61" s="149"/>
      <c r="J61" s="96"/>
      <c r="K61" s="96"/>
      <c r="L61" s="96"/>
      <c r="M61" s="96"/>
      <c r="N61" s="96"/>
      <c r="O61" s="96"/>
      <c r="P61" s="150"/>
      <c r="Q61" s="149"/>
      <c r="R61" s="96"/>
      <c r="S61" s="96"/>
      <c r="T61" s="96"/>
      <c r="U61" s="96"/>
      <c r="V61" s="96"/>
      <c r="W61" s="96"/>
      <c r="X61" s="150"/>
      <c r="Y61" s="149"/>
      <c r="Z61" s="96"/>
      <c r="AA61" s="96"/>
      <c r="AB61" s="96"/>
      <c r="AC61" s="96"/>
      <c r="AD61" s="96"/>
      <c r="AE61" s="96"/>
      <c r="AF61" s="150"/>
      <c r="AH61" s="96"/>
      <c r="AI61" s="96"/>
      <c r="AJ61" s="96"/>
      <c r="AK61" s="96"/>
      <c r="AL61" s="96"/>
      <c r="AM61" s="96"/>
      <c r="AN61" s="150"/>
      <c r="AQ61" s="85">
        <f t="shared" si="0"/>
        <v>0</v>
      </c>
      <c r="AR61" s="19"/>
      <c r="AS61"/>
      <c r="AT61" s="67">
        <f t="shared" si="1"/>
        <v>0</v>
      </c>
      <c r="AU61" s="67">
        <f t="shared" si="2"/>
        <v>0</v>
      </c>
      <c r="AV61" s="66"/>
      <c r="AW61" s="12"/>
      <c r="CE61" s="12">
        <v>1</v>
      </c>
      <c r="CK61"/>
      <c r="CX61" t="s">
        <v>47</v>
      </c>
    </row>
    <row r="62" spans="1:102">
      <c r="A62">
        <v>36</v>
      </c>
      <c r="B62" t="s">
        <v>13</v>
      </c>
      <c r="C62" t="s">
        <v>17</v>
      </c>
      <c r="D62" s="8" t="s">
        <v>345</v>
      </c>
      <c r="E62" s="67" t="s">
        <v>15</v>
      </c>
      <c r="I62" s="149"/>
      <c r="J62" s="96"/>
      <c r="K62" s="96"/>
      <c r="L62" s="96"/>
      <c r="M62" s="96"/>
      <c r="N62" s="96"/>
      <c r="O62" s="96"/>
      <c r="P62" s="150"/>
      <c r="Q62" s="149"/>
      <c r="R62" s="96"/>
      <c r="S62" s="96"/>
      <c r="T62" s="96"/>
      <c r="U62" s="96"/>
      <c r="V62" s="96"/>
      <c r="W62" s="96"/>
      <c r="X62" s="150"/>
      <c r="Y62" s="149"/>
      <c r="Z62" s="96"/>
      <c r="AA62" s="96"/>
      <c r="AB62" s="96"/>
      <c r="AC62" s="96"/>
      <c r="AD62" s="96"/>
      <c r="AE62" s="96"/>
      <c r="AF62" s="150"/>
      <c r="AH62" s="96"/>
      <c r="AI62" s="96"/>
      <c r="AJ62" s="96"/>
      <c r="AK62" s="96"/>
      <c r="AL62" s="96"/>
      <c r="AM62" s="96"/>
      <c r="AN62" s="150"/>
      <c r="AQ62" s="85">
        <f t="shared" si="0"/>
        <v>0</v>
      </c>
      <c r="AR62" s="19"/>
      <c r="AS62"/>
      <c r="AT62" s="67">
        <f t="shared" si="1"/>
        <v>0</v>
      </c>
      <c r="AU62" s="67">
        <f t="shared" si="2"/>
        <v>0</v>
      </c>
      <c r="AV62" s="66"/>
      <c r="AW62" s="12"/>
      <c r="CE62" s="12">
        <v>1</v>
      </c>
      <c r="CK62"/>
      <c r="CX62">
        <v>36</v>
      </c>
    </row>
    <row r="63" spans="1:102">
      <c r="A63">
        <v>38</v>
      </c>
      <c r="B63" t="s">
        <v>13</v>
      </c>
      <c r="C63" t="s">
        <v>48</v>
      </c>
      <c r="D63" s="8" t="s">
        <v>357</v>
      </c>
      <c r="E63" s="67" t="s">
        <v>15</v>
      </c>
      <c r="F63">
        <v>10</v>
      </c>
      <c r="G63">
        <v>12</v>
      </c>
      <c r="H63" t="s">
        <v>15</v>
      </c>
      <c r="I63" s="149"/>
      <c r="J63" s="96"/>
      <c r="K63" s="96"/>
      <c r="L63" s="96"/>
      <c r="M63" s="96"/>
      <c r="N63" s="96"/>
      <c r="O63" s="96"/>
      <c r="P63" s="150"/>
      <c r="Q63" s="149"/>
      <c r="R63" s="96"/>
      <c r="S63" s="96"/>
      <c r="T63" s="96"/>
      <c r="U63" s="96"/>
      <c r="V63" s="96"/>
      <c r="W63" s="96"/>
      <c r="X63" s="150"/>
      <c r="Y63" s="149"/>
      <c r="Z63" s="96" t="s">
        <v>49</v>
      </c>
      <c r="AA63" s="96" t="s">
        <v>9</v>
      </c>
      <c r="AB63" s="96">
        <v>1</v>
      </c>
      <c r="AC63" s="96" t="s">
        <v>9</v>
      </c>
      <c r="AD63" s="96">
        <v>1</v>
      </c>
      <c r="AE63" s="96">
        <v>1</v>
      </c>
      <c r="AF63" s="150">
        <v>1</v>
      </c>
      <c r="AG63" s="96">
        <v>1</v>
      </c>
      <c r="AH63" s="96">
        <v>1</v>
      </c>
      <c r="AI63" s="96">
        <v>1</v>
      </c>
      <c r="AJ63" s="96">
        <v>1</v>
      </c>
      <c r="AK63" s="96">
        <v>1</v>
      </c>
      <c r="AL63" s="96">
        <v>1</v>
      </c>
      <c r="AM63" s="96" t="s">
        <v>49</v>
      </c>
      <c r="AN63" s="150"/>
      <c r="AO63" s="96">
        <v>5</v>
      </c>
      <c r="AP63" s="56">
        <v>5</v>
      </c>
      <c r="AQ63" s="85">
        <f t="shared" si="0"/>
        <v>10</v>
      </c>
      <c r="AR63" s="19"/>
      <c r="AS63"/>
      <c r="AT63" s="67">
        <f t="shared" si="1"/>
        <v>0</v>
      </c>
      <c r="AU63" s="67">
        <f t="shared" si="2"/>
        <v>2</v>
      </c>
      <c r="AV63" s="66"/>
      <c r="AW63" s="12"/>
      <c r="BA63" s="12">
        <v>1</v>
      </c>
      <c r="CK63"/>
      <c r="CX63">
        <v>38</v>
      </c>
    </row>
    <row r="64" spans="1:102">
      <c r="A64">
        <v>39</v>
      </c>
      <c r="B64" t="s">
        <v>13</v>
      </c>
      <c r="C64" t="s">
        <v>51</v>
      </c>
      <c r="D64" s="8" t="s">
        <v>345</v>
      </c>
      <c r="E64" s="67" t="s">
        <v>15</v>
      </c>
      <c r="I64" s="149"/>
      <c r="J64" s="96"/>
      <c r="K64" s="96"/>
      <c r="L64" s="96"/>
      <c r="M64" s="96"/>
      <c r="N64" s="96"/>
      <c r="O64" s="96"/>
      <c r="P64" s="150"/>
      <c r="Q64" s="149"/>
      <c r="R64" s="96"/>
      <c r="S64" s="96"/>
      <c r="T64" s="96"/>
      <c r="U64" s="96"/>
      <c r="V64" s="96"/>
      <c r="W64" s="96"/>
      <c r="X64" s="150"/>
      <c r="Y64" s="149"/>
      <c r="Z64" s="96"/>
      <c r="AA64" s="96"/>
      <c r="AB64" s="96"/>
      <c r="AC64" s="96"/>
      <c r="AD64" s="96"/>
      <c r="AE64" s="96"/>
      <c r="AF64" s="150"/>
      <c r="AH64" s="96"/>
      <c r="AI64" s="96"/>
      <c r="AJ64" s="96"/>
      <c r="AK64" s="96"/>
      <c r="AL64" s="96"/>
      <c r="AM64" s="96"/>
      <c r="AN64" s="150"/>
      <c r="AQ64" s="85">
        <f t="shared" si="0"/>
        <v>0</v>
      </c>
      <c r="AR64" s="19"/>
      <c r="AS64"/>
      <c r="AT64" s="67">
        <f t="shared" si="1"/>
        <v>0</v>
      </c>
      <c r="AU64" s="67">
        <f t="shared" si="2"/>
        <v>0</v>
      </c>
      <c r="AV64" s="66"/>
      <c r="AW64" s="12"/>
      <c r="CE64" s="12">
        <v>1</v>
      </c>
      <c r="CK64"/>
      <c r="CX64">
        <v>39</v>
      </c>
    </row>
    <row r="65" spans="1:103">
      <c r="A65">
        <v>40</v>
      </c>
      <c r="B65" t="s">
        <v>13</v>
      </c>
      <c r="C65" t="s">
        <v>17</v>
      </c>
      <c r="D65" s="8" t="s">
        <v>345</v>
      </c>
      <c r="E65" s="67" t="s">
        <v>15</v>
      </c>
      <c r="I65" s="149"/>
      <c r="J65" s="96"/>
      <c r="K65" s="96"/>
      <c r="L65" s="96"/>
      <c r="M65" s="96"/>
      <c r="N65" s="96"/>
      <c r="O65" s="96"/>
      <c r="P65" s="150"/>
      <c r="Q65" s="149"/>
      <c r="R65" s="96"/>
      <c r="S65" s="96"/>
      <c r="T65" s="96"/>
      <c r="U65" s="96"/>
      <c r="V65" s="96"/>
      <c r="W65" s="96"/>
      <c r="X65" s="150"/>
      <c r="Y65" s="149"/>
      <c r="Z65" s="96"/>
      <c r="AA65" s="96"/>
      <c r="AB65" s="96"/>
      <c r="AC65" s="96"/>
      <c r="AD65" s="96"/>
      <c r="AE65" s="96"/>
      <c r="AF65" s="150"/>
      <c r="AH65" s="96"/>
      <c r="AI65" s="96"/>
      <c r="AJ65" s="96"/>
      <c r="AK65" s="96"/>
      <c r="AL65" s="96"/>
      <c r="AM65" s="96"/>
      <c r="AN65" s="150"/>
      <c r="AQ65" s="85">
        <f t="shared" si="0"/>
        <v>0</v>
      </c>
      <c r="AR65" s="19"/>
      <c r="AS65"/>
      <c r="AT65" s="67">
        <f t="shared" si="1"/>
        <v>0</v>
      </c>
      <c r="AU65" s="67">
        <f t="shared" si="2"/>
        <v>0</v>
      </c>
      <c r="AV65" s="66"/>
      <c r="AW65" s="12"/>
      <c r="CE65" s="12">
        <v>1</v>
      </c>
      <c r="CK65"/>
      <c r="CX65">
        <v>40</v>
      </c>
    </row>
    <row r="66" spans="1:103">
      <c r="A66">
        <v>41</v>
      </c>
      <c r="B66" t="s">
        <v>12</v>
      </c>
      <c r="C66" t="s">
        <v>5</v>
      </c>
      <c r="D66" s="8" t="s">
        <v>42</v>
      </c>
      <c r="E66" t="s">
        <v>6</v>
      </c>
      <c r="F66">
        <v>25</v>
      </c>
      <c r="G66" t="s">
        <v>15</v>
      </c>
      <c r="H66" t="s">
        <v>15</v>
      </c>
      <c r="I66" s="149" t="s">
        <v>15</v>
      </c>
      <c r="J66" s="96" t="s">
        <v>9</v>
      </c>
      <c r="K66" s="96" t="s">
        <v>9</v>
      </c>
      <c r="L66" s="96">
        <v>1</v>
      </c>
      <c r="M66" s="96">
        <v>1</v>
      </c>
      <c r="N66" s="96">
        <v>1</v>
      </c>
      <c r="O66" s="96">
        <v>1</v>
      </c>
      <c r="P66" s="150">
        <v>1</v>
      </c>
      <c r="Q66" s="149">
        <v>1</v>
      </c>
      <c r="R66" s="96">
        <v>1</v>
      </c>
      <c r="S66" s="96">
        <v>1</v>
      </c>
      <c r="T66" s="96">
        <v>1</v>
      </c>
      <c r="U66" s="96">
        <v>1</v>
      </c>
      <c r="V66" s="96">
        <v>1</v>
      </c>
      <c r="W66" s="96">
        <v>1</v>
      </c>
      <c r="X66" s="150">
        <v>1</v>
      </c>
      <c r="Y66" s="149" t="s">
        <v>49</v>
      </c>
      <c r="Z66" s="96">
        <v>1</v>
      </c>
      <c r="AA66" s="96" t="s">
        <v>10</v>
      </c>
      <c r="AB66" s="96">
        <v>1</v>
      </c>
      <c r="AC66" s="96">
        <v>1</v>
      </c>
      <c r="AD66" s="96">
        <v>1</v>
      </c>
      <c r="AE66" s="96">
        <v>1</v>
      </c>
      <c r="AF66" s="150">
        <v>1</v>
      </c>
      <c r="AG66" s="96">
        <v>1</v>
      </c>
      <c r="AH66" s="96">
        <v>1</v>
      </c>
      <c r="AI66" s="96">
        <v>1</v>
      </c>
      <c r="AJ66" s="96">
        <v>1</v>
      </c>
      <c r="AK66" s="96">
        <v>1</v>
      </c>
      <c r="AL66" s="96" t="s">
        <v>10</v>
      </c>
      <c r="AM66" s="96">
        <v>1</v>
      </c>
      <c r="AN66" s="150" t="s">
        <v>49</v>
      </c>
      <c r="AP66" s="56">
        <v>25</v>
      </c>
      <c r="AQ66" s="85">
        <f t="shared" si="0"/>
        <v>25</v>
      </c>
      <c r="AR66" s="19" t="s">
        <v>52</v>
      </c>
      <c r="AS66"/>
      <c r="AT66" s="67">
        <f t="shared" si="1"/>
        <v>2</v>
      </c>
      <c r="AU66" s="67">
        <f t="shared" si="2"/>
        <v>2</v>
      </c>
      <c r="AV66" s="66"/>
      <c r="AW66" s="12"/>
      <c r="AX66" s="12">
        <v>1</v>
      </c>
      <c r="AY66" s="12">
        <v>1</v>
      </c>
      <c r="BA66" s="12">
        <v>1</v>
      </c>
      <c r="BB66" s="12">
        <v>1</v>
      </c>
      <c r="BY66" s="12">
        <v>1</v>
      </c>
      <c r="CK66"/>
      <c r="CX66">
        <v>41</v>
      </c>
    </row>
    <row r="67" spans="1:103">
      <c r="A67">
        <v>42</v>
      </c>
      <c r="B67" t="s">
        <v>13</v>
      </c>
      <c r="C67" t="s">
        <v>53</v>
      </c>
      <c r="D67" s="8" t="s">
        <v>346</v>
      </c>
      <c r="E67" s="67" t="s">
        <v>15</v>
      </c>
      <c r="F67">
        <v>17</v>
      </c>
      <c r="G67">
        <v>20</v>
      </c>
      <c r="H67">
        <v>20</v>
      </c>
      <c r="I67" s="149"/>
      <c r="J67" s="96" t="s">
        <v>49</v>
      </c>
      <c r="K67" s="96" t="s">
        <v>49</v>
      </c>
      <c r="L67" s="96">
        <v>1</v>
      </c>
      <c r="M67" s="96">
        <v>1</v>
      </c>
      <c r="N67" s="96" t="s">
        <v>9</v>
      </c>
      <c r="O67" s="96" t="s">
        <v>9</v>
      </c>
      <c r="P67" s="150">
        <v>1</v>
      </c>
      <c r="Q67" s="149">
        <v>1</v>
      </c>
      <c r="R67" s="96">
        <v>1</v>
      </c>
      <c r="S67" s="96" t="s">
        <v>9</v>
      </c>
      <c r="T67" s="96">
        <v>1</v>
      </c>
      <c r="U67" s="96">
        <v>1</v>
      </c>
      <c r="V67" s="96" t="s">
        <v>49</v>
      </c>
      <c r="W67" s="96" t="s">
        <v>49</v>
      </c>
      <c r="X67" s="150"/>
      <c r="Y67" s="149"/>
      <c r="Z67" s="96" t="s">
        <v>49</v>
      </c>
      <c r="AA67" s="96" t="s">
        <v>49</v>
      </c>
      <c r="AB67" s="96">
        <v>1</v>
      </c>
      <c r="AC67" s="96">
        <v>1</v>
      </c>
      <c r="AD67" s="96">
        <v>1</v>
      </c>
      <c r="AE67" s="96">
        <v>1</v>
      </c>
      <c r="AF67" s="150">
        <v>1</v>
      </c>
      <c r="AG67" s="96">
        <v>1</v>
      </c>
      <c r="AH67" s="96">
        <v>1</v>
      </c>
      <c r="AI67" s="96">
        <v>1</v>
      </c>
      <c r="AJ67" s="96">
        <v>1</v>
      </c>
      <c r="AK67" s="96">
        <v>1</v>
      </c>
      <c r="AL67" s="96" t="s">
        <v>49</v>
      </c>
      <c r="AM67" s="96" t="s">
        <v>49</v>
      </c>
      <c r="AN67" s="150"/>
      <c r="AO67" s="96">
        <v>17</v>
      </c>
      <c r="AQ67" s="85">
        <f t="shared" si="0"/>
        <v>17</v>
      </c>
      <c r="AR67" s="19" t="s">
        <v>50</v>
      </c>
      <c r="AS67"/>
      <c r="AT67" s="67">
        <f t="shared" si="1"/>
        <v>0</v>
      </c>
      <c r="AU67" s="67">
        <f t="shared" si="2"/>
        <v>3</v>
      </c>
      <c r="AV67" s="66"/>
      <c r="AW67" s="12"/>
      <c r="BA67" s="12">
        <v>1</v>
      </c>
      <c r="CK67"/>
      <c r="CX67">
        <v>42</v>
      </c>
    </row>
    <row r="68" spans="1:103">
      <c r="A68">
        <v>43</v>
      </c>
      <c r="B68" t="s">
        <v>13</v>
      </c>
      <c r="C68" t="s">
        <v>54</v>
      </c>
      <c r="D68" s="8" t="s">
        <v>345</v>
      </c>
      <c r="E68" s="67" t="s">
        <v>15</v>
      </c>
      <c r="I68" s="149"/>
      <c r="J68" s="96"/>
      <c r="K68" s="96"/>
      <c r="L68" s="96"/>
      <c r="M68" s="96"/>
      <c r="N68" s="96"/>
      <c r="O68" s="96"/>
      <c r="P68" s="150"/>
      <c r="Q68" s="149"/>
      <c r="R68" s="96"/>
      <c r="S68" s="96"/>
      <c r="T68" s="96"/>
      <c r="U68" s="96"/>
      <c r="V68" s="96"/>
      <c r="W68" s="96"/>
      <c r="X68" s="150"/>
      <c r="Y68" s="149"/>
      <c r="Z68" s="96"/>
      <c r="AA68" s="96"/>
      <c r="AB68" s="96"/>
      <c r="AC68" s="96"/>
      <c r="AD68" s="96"/>
      <c r="AE68" s="96"/>
      <c r="AF68" s="150"/>
      <c r="AH68" s="96"/>
      <c r="AI68" s="96"/>
      <c r="AJ68" s="96"/>
      <c r="AK68" s="96"/>
      <c r="AL68" s="96"/>
      <c r="AM68" s="96"/>
      <c r="AN68" s="150"/>
      <c r="AQ68" s="85">
        <f t="shared" si="0"/>
        <v>0</v>
      </c>
      <c r="AR68" s="19"/>
      <c r="AS68"/>
      <c r="AT68" s="67">
        <f t="shared" si="1"/>
        <v>0</v>
      </c>
      <c r="AU68" s="67">
        <f t="shared" si="2"/>
        <v>0</v>
      </c>
      <c r="AV68" s="66"/>
      <c r="AW68" s="12"/>
      <c r="CK68"/>
      <c r="CX68">
        <v>43</v>
      </c>
    </row>
    <row r="69" spans="1:103">
      <c r="A69">
        <v>44</v>
      </c>
      <c r="B69" t="s">
        <v>13</v>
      </c>
      <c r="C69" t="s">
        <v>17</v>
      </c>
      <c r="D69" s="8" t="s">
        <v>345</v>
      </c>
      <c r="E69" s="67" t="s">
        <v>15</v>
      </c>
      <c r="I69" s="149"/>
      <c r="J69" s="96"/>
      <c r="K69" s="96"/>
      <c r="L69" s="96"/>
      <c r="M69" s="96"/>
      <c r="N69" s="96"/>
      <c r="O69" s="96"/>
      <c r="P69" s="150"/>
      <c r="Q69" s="149"/>
      <c r="R69" s="96"/>
      <c r="S69" s="96"/>
      <c r="T69" s="96"/>
      <c r="U69" s="96"/>
      <c r="V69" s="96"/>
      <c r="W69" s="96"/>
      <c r="X69" s="150"/>
      <c r="Y69" s="149"/>
      <c r="Z69" s="96"/>
      <c r="AA69" s="96"/>
      <c r="AB69" s="96"/>
      <c r="AC69" s="96"/>
      <c r="AD69" s="96"/>
      <c r="AE69" s="96"/>
      <c r="AF69" s="150"/>
      <c r="AH69" s="96"/>
      <c r="AI69" s="96"/>
      <c r="AJ69" s="96"/>
      <c r="AK69" s="96"/>
      <c r="AL69" s="96"/>
      <c r="AM69" s="96"/>
      <c r="AN69" s="150"/>
      <c r="AQ69" s="85">
        <f t="shared" si="0"/>
        <v>0</v>
      </c>
      <c r="AR69" s="19"/>
      <c r="AS69"/>
      <c r="AT69" s="67">
        <f t="shared" si="1"/>
        <v>0</v>
      </c>
      <c r="AU69" s="67">
        <f t="shared" si="2"/>
        <v>0</v>
      </c>
      <c r="AV69" s="66"/>
      <c r="AW69" s="12"/>
      <c r="CE69" s="12">
        <v>1</v>
      </c>
      <c r="CK69"/>
      <c r="CX69">
        <v>44</v>
      </c>
    </row>
    <row r="70" spans="1:103">
      <c r="A70">
        <v>45</v>
      </c>
      <c r="B70" t="s">
        <v>13</v>
      </c>
      <c r="C70" t="s">
        <v>55</v>
      </c>
      <c r="D70" s="8" t="s">
        <v>346</v>
      </c>
      <c r="E70" s="67" t="s">
        <v>15</v>
      </c>
      <c r="F70">
        <v>9</v>
      </c>
      <c r="G70" t="s">
        <v>15</v>
      </c>
      <c r="H70">
        <v>20</v>
      </c>
      <c r="I70" s="149"/>
      <c r="J70" s="96"/>
      <c r="K70" s="96"/>
      <c r="L70" s="96"/>
      <c r="M70" s="96"/>
      <c r="N70" s="96"/>
      <c r="O70" s="96"/>
      <c r="P70" s="150"/>
      <c r="Q70" s="149"/>
      <c r="R70" s="96"/>
      <c r="S70" s="96"/>
      <c r="T70" s="96"/>
      <c r="U70" s="96"/>
      <c r="V70" s="96"/>
      <c r="W70" s="96"/>
      <c r="X70" s="150"/>
      <c r="Y70" s="149"/>
      <c r="Z70" s="96"/>
      <c r="AA70" s="96" t="s">
        <v>49</v>
      </c>
      <c r="AB70" s="96">
        <v>1</v>
      </c>
      <c r="AC70" s="96">
        <v>1</v>
      </c>
      <c r="AD70" s="96">
        <v>1</v>
      </c>
      <c r="AE70" s="96">
        <v>1</v>
      </c>
      <c r="AF70" s="150">
        <v>1</v>
      </c>
      <c r="AG70" s="96">
        <v>1</v>
      </c>
      <c r="AH70" s="96">
        <v>1</v>
      </c>
      <c r="AI70" s="96"/>
      <c r="AJ70" s="96">
        <v>1</v>
      </c>
      <c r="AK70" s="96">
        <v>1</v>
      </c>
      <c r="AL70" s="96" t="s">
        <v>49</v>
      </c>
      <c r="AM70" s="96"/>
      <c r="AN70" s="150"/>
      <c r="AO70" s="96">
        <v>9</v>
      </c>
      <c r="AQ70" s="85">
        <f t="shared" ref="AQ70:AQ133" si="3">SUM(I70:AN70)</f>
        <v>9</v>
      </c>
      <c r="AR70" s="19"/>
      <c r="AS70"/>
      <c r="AT70" s="67">
        <f t="shared" ref="AT70:AT133" si="4">COUNTIF(I70:AN70,"*am*")</f>
        <v>0</v>
      </c>
      <c r="AU70" s="67">
        <f t="shared" ref="AU70:AU133" si="5">COUNTIF(I70:AN70,"pm")</f>
        <v>0</v>
      </c>
      <c r="AV70" s="66"/>
      <c r="AW70" s="12"/>
      <c r="CF70" s="12">
        <v>1</v>
      </c>
      <c r="CK70"/>
      <c r="CX70">
        <v>45</v>
      </c>
    </row>
    <row r="71" spans="1:103">
      <c r="A71">
        <v>46</v>
      </c>
      <c r="B71" t="s">
        <v>13</v>
      </c>
      <c r="C71" s="4" t="s">
        <v>56</v>
      </c>
      <c r="D71" s="8" t="s">
        <v>360</v>
      </c>
      <c r="E71" s="67" t="s">
        <v>15</v>
      </c>
      <c r="F71">
        <v>6</v>
      </c>
      <c r="G71" t="s">
        <v>15</v>
      </c>
      <c r="H71">
        <v>12</v>
      </c>
      <c r="I71" s="149"/>
      <c r="J71" s="96"/>
      <c r="K71" s="96" t="s">
        <v>49</v>
      </c>
      <c r="L71" s="96" t="s">
        <v>49</v>
      </c>
      <c r="M71" s="96">
        <v>1</v>
      </c>
      <c r="N71" s="96" t="s">
        <v>49</v>
      </c>
      <c r="O71" s="96">
        <v>1</v>
      </c>
      <c r="P71" s="150">
        <v>1</v>
      </c>
      <c r="Q71" s="149"/>
      <c r="R71" s="96"/>
      <c r="S71" s="96"/>
      <c r="T71" s="96"/>
      <c r="U71" s="96"/>
      <c r="V71" s="96"/>
      <c r="W71" s="96"/>
      <c r="X71" s="150"/>
      <c r="Y71" s="149"/>
      <c r="Z71" s="96"/>
      <c r="AA71" s="96"/>
      <c r="AB71" s="96"/>
      <c r="AC71" s="96"/>
      <c r="AD71" s="96"/>
      <c r="AE71" s="96"/>
      <c r="AF71" s="150"/>
      <c r="AG71" s="96">
        <v>1</v>
      </c>
      <c r="AH71" s="96">
        <v>1</v>
      </c>
      <c r="AI71" s="96" t="s">
        <v>9</v>
      </c>
      <c r="AJ71" s="96">
        <v>1</v>
      </c>
      <c r="AK71" s="96" t="s">
        <v>49</v>
      </c>
      <c r="AL71" s="96" t="s">
        <v>49</v>
      </c>
      <c r="AM71" s="96"/>
      <c r="AN71" s="150"/>
      <c r="AO71" s="96">
        <v>6</v>
      </c>
      <c r="AQ71" s="85">
        <f t="shared" si="3"/>
        <v>6</v>
      </c>
      <c r="AR71" s="19"/>
      <c r="AS71"/>
      <c r="AT71" s="67">
        <f t="shared" si="4"/>
        <v>0</v>
      </c>
      <c r="AU71" s="67">
        <f t="shared" si="5"/>
        <v>1</v>
      </c>
      <c r="AV71" s="66"/>
      <c r="AW71" s="12"/>
      <c r="CK71"/>
      <c r="CX71">
        <v>46</v>
      </c>
    </row>
    <row r="72" spans="1:103">
      <c r="A72">
        <v>47</v>
      </c>
      <c r="B72" t="s">
        <v>13</v>
      </c>
      <c r="C72" t="s">
        <v>16</v>
      </c>
      <c r="D72" s="8" t="s">
        <v>345</v>
      </c>
      <c r="E72" s="67" t="s">
        <v>15</v>
      </c>
      <c r="I72" s="149"/>
      <c r="J72" s="96"/>
      <c r="K72" s="96"/>
      <c r="L72" s="96"/>
      <c r="M72" s="96"/>
      <c r="N72" s="96"/>
      <c r="O72" s="96"/>
      <c r="P72" s="150"/>
      <c r="Q72" s="149"/>
      <c r="R72" s="96"/>
      <c r="S72" s="96"/>
      <c r="T72" s="96"/>
      <c r="U72" s="96"/>
      <c r="V72" s="96"/>
      <c r="W72" s="96"/>
      <c r="X72" s="150"/>
      <c r="Y72" s="149"/>
      <c r="Z72" s="96"/>
      <c r="AA72" s="96"/>
      <c r="AB72" s="96"/>
      <c r="AC72" s="96"/>
      <c r="AD72" s="96"/>
      <c r="AE72" s="96"/>
      <c r="AF72" s="150"/>
      <c r="AH72" s="96"/>
      <c r="AI72" s="96"/>
      <c r="AJ72" s="96"/>
      <c r="AK72" s="96"/>
      <c r="AL72" s="96"/>
      <c r="AM72" s="96"/>
      <c r="AN72" s="150"/>
      <c r="AQ72" s="85">
        <f t="shared" si="3"/>
        <v>0</v>
      </c>
      <c r="AR72" s="19"/>
      <c r="AS72"/>
      <c r="AT72" s="67">
        <f t="shared" si="4"/>
        <v>0</v>
      </c>
      <c r="AU72" s="67">
        <f t="shared" si="5"/>
        <v>0</v>
      </c>
      <c r="AV72" s="66"/>
      <c r="AW72" s="12"/>
      <c r="CE72" s="12">
        <v>1</v>
      </c>
      <c r="CK72"/>
      <c r="CX72">
        <v>47</v>
      </c>
    </row>
    <row r="73" spans="1:103" ht="15" customHeight="1">
      <c r="A73">
        <v>48</v>
      </c>
      <c r="B73" t="s">
        <v>12</v>
      </c>
      <c r="C73" t="s">
        <v>57</v>
      </c>
      <c r="D73" s="8" t="s">
        <v>12</v>
      </c>
      <c r="E73" t="s">
        <v>6</v>
      </c>
      <c r="F73">
        <v>2</v>
      </c>
      <c r="G73" t="s">
        <v>15</v>
      </c>
      <c r="H73" t="s">
        <v>15</v>
      </c>
      <c r="I73" s="149"/>
      <c r="J73" s="96"/>
      <c r="K73" s="96"/>
      <c r="L73" s="96"/>
      <c r="M73" s="96"/>
      <c r="N73" s="96"/>
      <c r="O73" s="96"/>
      <c r="P73" s="150"/>
      <c r="Q73" s="149"/>
      <c r="R73" s="96"/>
      <c r="S73" s="96"/>
      <c r="T73" s="96"/>
      <c r="U73" s="96"/>
      <c r="V73" s="96"/>
      <c r="W73" s="96"/>
      <c r="X73" s="150"/>
      <c r="Y73" s="149"/>
      <c r="Z73" s="96">
        <v>1</v>
      </c>
      <c r="AA73" s="96">
        <v>1</v>
      </c>
      <c r="AB73" s="96" t="s">
        <v>9</v>
      </c>
      <c r="AC73" s="95" t="s">
        <v>9</v>
      </c>
      <c r="AD73" s="96"/>
      <c r="AE73" s="96"/>
      <c r="AF73" s="150"/>
      <c r="AH73" s="96"/>
      <c r="AI73" s="96"/>
      <c r="AJ73" s="96"/>
      <c r="AK73" s="96"/>
      <c r="AL73" s="96"/>
      <c r="AM73" s="96" t="s">
        <v>9</v>
      </c>
      <c r="AN73" s="150"/>
      <c r="AP73" s="56">
        <v>2</v>
      </c>
      <c r="AQ73" s="85">
        <f t="shared" si="3"/>
        <v>2</v>
      </c>
      <c r="AR73" s="19"/>
      <c r="AS73"/>
      <c r="AT73" s="67">
        <f t="shared" si="4"/>
        <v>0</v>
      </c>
      <c r="AU73" s="67">
        <f t="shared" si="5"/>
        <v>3</v>
      </c>
      <c r="AV73" s="66"/>
      <c r="AW73" s="12">
        <v>1</v>
      </c>
      <c r="BB73" s="12">
        <v>1</v>
      </c>
      <c r="BS73" s="12">
        <v>1</v>
      </c>
      <c r="CK73"/>
      <c r="CX73">
        <v>48</v>
      </c>
    </row>
    <row r="74" spans="1:103">
      <c r="A74">
        <v>49</v>
      </c>
      <c r="B74" t="s">
        <v>13</v>
      </c>
      <c r="C74" t="s">
        <v>58</v>
      </c>
      <c r="D74" s="8" t="s">
        <v>358</v>
      </c>
      <c r="E74" t="s">
        <v>6</v>
      </c>
      <c r="F74">
        <v>29</v>
      </c>
      <c r="G74">
        <v>32</v>
      </c>
      <c r="H74">
        <v>32</v>
      </c>
      <c r="I74" s="149">
        <v>1</v>
      </c>
      <c r="J74" s="96">
        <v>1</v>
      </c>
      <c r="K74" s="96">
        <v>1</v>
      </c>
      <c r="L74" s="95">
        <v>1</v>
      </c>
      <c r="M74" s="95">
        <v>1</v>
      </c>
      <c r="N74" s="95">
        <v>1</v>
      </c>
      <c r="O74" s="95" t="s">
        <v>9</v>
      </c>
      <c r="P74" s="150" t="s">
        <v>9</v>
      </c>
      <c r="Q74" s="149" t="s">
        <v>9</v>
      </c>
      <c r="R74" s="95">
        <v>1</v>
      </c>
      <c r="S74" s="95">
        <v>1</v>
      </c>
      <c r="T74" s="95">
        <v>1</v>
      </c>
      <c r="U74" s="95">
        <v>1</v>
      </c>
      <c r="V74" s="95">
        <v>1</v>
      </c>
      <c r="W74" s="95">
        <v>1</v>
      </c>
      <c r="X74" s="150">
        <v>1</v>
      </c>
      <c r="Y74" s="124">
        <v>1</v>
      </c>
      <c r="Z74" s="95">
        <v>1</v>
      </c>
      <c r="AA74" s="95">
        <v>1</v>
      </c>
      <c r="AB74" s="95">
        <v>1</v>
      </c>
      <c r="AC74" s="95">
        <v>1</v>
      </c>
      <c r="AD74" s="95">
        <v>1</v>
      </c>
      <c r="AE74" s="95">
        <v>1</v>
      </c>
      <c r="AF74" s="125">
        <v>1</v>
      </c>
      <c r="AG74" s="95">
        <v>1</v>
      </c>
      <c r="AH74" s="95">
        <v>1</v>
      </c>
      <c r="AI74" s="95">
        <v>1</v>
      </c>
      <c r="AJ74" s="95">
        <v>1</v>
      </c>
      <c r="AK74" s="95">
        <v>1</v>
      </c>
      <c r="AL74" s="95">
        <v>1</v>
      </c>
      <c r="AM74" s="95">
        <v>1</v>
      </c>
      <c r="AN74" s="125">
        <v>1</v>
      </c>
      <c r="AO74" s="95"/>
      <c r="AP74" s="11">
        <v>29</v>
      </c>
      <c r="AQ74" s="85">
        <f t="shared" si="3"/>
        <v>29</v>
      </c>
      <c r="AR74" s="103" t="s">
        <v>50</v>
      </c>
      <c r="AS74" s="5"/>
      <c r="AT74" s="67">
        <f t="shared" si="4"/>
        <v>0</v>
      </c>
      <c r="AU74" s="67">
        <f t="shared" si="5"/>
        <v>3</v>
      </c>
      <c r="AV74" s="5"/>
      <c r="AW74" s="12"/>
      <c r="AZ74" s="12">
        <v>1</v>
      </c>
      <c r="BA74" s="12">
        <v>1</v>
      </c>
      <c r="BB74" s="12">
        <v>1</v>
      </c>
      <c r="BQ74" s="12">
        <v>1</v>
      </c>
      <c r="BV74" s="12">
        <v>1</v>
      </c>
      <c r="CK74"/>
      <c r="CX74">
        <v>49</v>
      </c>
    </row>
    <row r="75" spans="1:103">
      <c r="A75">
        <v>50</v>
      </c>
      <c r="B75" t="s">
        <v>13</v>
      </c>
      <c r="C75" t="s">
        <v>14</v>
      </c>
      <c r="D75" s="8" t="s">
        <v>345</v>
      </c>
      <c r="E75" s="67" t="s">
        <v>15</v>
      </c>
      <c r="I75" s="149"/>
      <c r="J75" s="96"/>
      <c r="K75" s="96"/>
      <c r="L75" s="96"/>
      <c r="M75" s="96"/>
      <c r="N75" s="96"/>
      <c r="O75" s="96"/>
      <c r="P75" s="150"/>
      <c r="Q75" s="149"/>
      <c r="R75" s="96"/>
      <c r="S75" s="96"/>
      <c r="T75" s="96"/>
      <c r="U75" s="96"/>
      <c r="V75" s="96"/>
      <c r="W75" s="96"/>
      <c r="X75" s="150"/>
      <c r="Y75" s="149"/>
      <c r="Z75" s="96"/>
      <c r="AA75" s="96"/>
      <c r="AB75" s="96"/>
      <c r="AC75" s="96"/>
      <c r="AD75" s="96"/>
      <c r="AE75" s="96"/>
      <c r="AF75" s="150"/>
      <c r="AH75" s="96"/>
      <c r="AI75" s="96"/>
      <c r="AJ75" s="96"/>
      <c r="AK75" s="96"/>
      <c r="AL75" s="96"/>
      <c r="AM75" s="96"/>
      <c r="AN75" s="150"/>
      <c r="AQ75" s="85">
        <f t="shared" si="3"/>
        <v>0</v>
      </c>
      <c r="AR75" s="19"/>
      <c r="AS75"/>
      <c r="AT75" s="67">
        <f t="shared" si="4"/>
        <v>0</v>
      </c>
      <c r="AU75" s="67">
        <f t="shared" si="5"/>
        <v>0</v>
      </c>
      <c r="AV75" s="66"/>
      <c r="AW75" s="12"/>
      <c r="CG75" s="12" t="s">
        <v>326</v>
      </c>
      <c r="CK75"/>
      <c r="CX75">
        <v>50</v>
      </c>
    </row>
    <row r="76" spans="1:103">
      <c r="A76">
        <v>51</v>
      </c>
      <c r="B76" t="s">
        <v>13</v>
      </c>
      <c r="C76" s="4" t="s">
        <v>59</v>
      </c>
      <c r="D76" s="8" t="s">
        <v>346</v>
      </c>
      <c r="E76" s="67" t="s">
        <v>15</v>
      </c>
      <c r="I76" s="149"/>
      <c r="J76" s="96"/>
      <c r="K76" s="96"/>
      <c r="L76" s="96"/>
      <c r="M76" s="96"/>
      <c r="N76" s="96"/>
      <c r="O76" s="96"/>
      <c r="P76" s="150"/>
      <c r="Q76" s="149"/>
      <c r="R76" s="96"/>
      <c r="S76" s="96"/>
      <c r="T76" s="96"/>
      <c r="U76" s="96"/>
      <c r="V76" s="96"/>
      <c r="W76" s="96"/>
      <c r="X76" s="150"/>
      <c r="Y76" s="149"/>
      <c r="Z76" s="96"/>
      <c r="AA76" s="96"/>
      <c r="AB76" s="96"/>
      <c r="AC76" s="96"/>
      <c r="AD76" s="96"/>
      <c r="AE76" s="96"/>
      <c r="AF76" s="150"/>
      <c r="AH76" s="96"/>
      <c r="AI76" s="96"/>
      <c r="AJ76" s="96"/>
      <c r="AK76" s="96"/>
      <c r="AL76" s="96"/>
      <c r="AM76" s="96"/>
      <c r="AN76" s="150"/>
      <c r="AQ76" s="85">
        <f t="shared" si="3"/>
        <v>0</v>
      </c>
      <c r="AR76" s="19"/>
      <c r="AS76"/>
      <c r="AT76" s="67">
        <f t="shared" si="4"/>
        <v>0</v>
      </c>
      <c r="AU76" s="67">
        <f t="shared" si="5"/>
        <v>0</v>
      </c>
      <c r="AV76" s="66"/>
      <c r="AW76" s="12"/>
      <c r="CF76" s="12" t="s">
        <v>326</v>
      </c>
      <c r="CK76"/>
      <c r="CX76">
        <v>51</v>
      </c>
    </row>
    <row r="77" spans="1:103">
      <c r="A77">
        <v>52</v>
      </c>
      <c r="B77" t="s">
        <v>12</v>
      </c>
      <c r="C77" t="s">
        <v>41</v>
      </c>
      <c r="D77" s="8" t="s">
        <v>42</v>
      </c>
      <c r="E77" t="s">
        <v>6</v>
      </c>
      <c r="F77">
        <v>29</v>
      </c>
      <c r="G77">
        <v>29</v>
      </c>
      <c r="H77">
        <v>31</v>
      </c>
      <c r="I77" s="149">
        <v>1</v>
      </c>
      <c r="J77" s="96">
        <v>1</v>
      </c>
      <c r="K77" s="96">
        <v>1</v>
      </c>
      <c r="L77" s="96">
        <v>1</v>
      </c>
      <c r="M77" s="96">
        <v>1</v>
      </c>
      <c r="N77" s="96">
        <v>1</v>
      </c>
      <c r="O77" s="96">
        <v>1</v>
      </c>
      <c r="P77" s="150">
        <v>1</v>
      </c>
      <c r="Q77" s="149">
        <v>1</v>
      </c>
      <c r="R77" s="96">
        <v>1</v>
      </c>
      <c r="S77" s="96">
        <v>1</v>
      </c>
      <c r="T77" s="96">
        <v>1</v>
      </c>
      <c r="U77" s="96">
        <v>1</v>
      </c>
      <c r="V77" s="96">
        <v>1</v>
      </c>
      <c r="W77" s="96">
        <v>1</v>
      </c>
      <c r="X77" s="150">
        <v>1</v>
      </c>
      <c r="Y77" s="149" t="s">
        <v>49</v>
      </c>
      <c r="Z77" s="95">
        <v>1</v>
      </c>
      <c r="AA77" s="95" t="s">
        <v>10</v>
      </c>
      <c r="AB77" s="95">
        <v>1</v>
      </c>
      <c r="AC77" s="95">
        <v>1</v>
      </c>
      <c r="AD77" s="95">
        <v>1</v>
      </c>
      <c r="AE77" s="95">
        <v>1</v>
      </c>
      <c r="AF77" s="125">
        <v>1</v>
      </c>
      <c r="AG77" s="95">
        <v>1</v>
      </c>
      <c r="AH77" s="95">
        <v>1</v>
      </c>
      <c r="AI77" s="95">
        <v>1</v>
      </c>
      <c r="AJ77" s="95">
        <v>1</v>
      </c>
      <c r="AK77" s="95">
        <v>1</v>
      </c>
      <c r="AL77" s="95">
        <v>1</v>
      </c>
      <c r="AM77" s="96" t="s">
        <v>10</v>
      </c>
      <c r="AN77" s="150">
        <v>1</v>
      </c>
      <c r="AP77" s="56">
        <v>29</v>
      </c>
      <c r="AQ77" s="85">
        <f t="shared" si="3"/>
        <v>29</v>
      </c>
      <c r="AR77" s="103" t="s">
        <v>60</v>
      </c>
      <c r="AS77" s="5"/>
      <c r="AT77" s="67">
        <f t="shared" si="4"/>
        <v>2</v>
      </c>
      <c r="AU77" s="67">
        <f t="shared" si="5"/>
        <v>0</v>
      </c>
      <c r="AV77" s="5"/>
      <c r="AW77" s="11">
        <v>1</v>
      </c>
      <c r="AX77" s="11">
        <v>1</v>
      </c>
      <c r="AY77" s="11">
        <v>1</v>
      </c>
      <c r="AZ77" s="11">
        <v>1</v>
      </c>
      <c r="BA77" s="11">
        <v>1</v>
      </c>
      <c r="BB77" s="11">
        <v>1</v>
      </c>
      <c r="BK77" s="12">
        <v>1</v>
      </c>
      <c r="BV77" s="12">
        <v>1</v>
      </c>
      <c r="BW77" s="12">
        <v>1</v>
      </c>
      <c r="BY77" s="12">
        <v>1</v>
      </c>
      <c r="CI77" s="12">
        <v>1</v>
      </c>
      <c r="CJ77" s="12">
        <v>1</v>
      </c>
      <c r="CK77"/>
      <c r="CX77">
        <v>52</v>
      </c>
    </row>
    <row r="78" spans="1:103" s="8" customFormat="1">
      <c r="A78" s="8">
        <v>53</v>
      </c>
      <c r="B78" s="3" t="s">
        <v>12</v>
      </c>
      <c r="C78" s="8" t="s">
        <v>62</v>
      </c>
      <c r="D78" s="8" t="s">
        <v>42</v>
      </c>
      <c r="E78" s="8" t="s">
        <v>42</v>
      </c>
      <c r="F78" s="3">
        <v>31</v>
      </c>
      <c r="G78" s="3">
        <v>31</v>
      </c>
      <c r="H78" s="3">
        <v>32</v>
      </c>
      <c r="I78" s="124">
        <v>1</v>
      </c>
      <c r="J78" s="95">
        <v>1</v>
      </c>
      <c r="K78" s="95">
        <v>1</v>
      </c>
      <c r="L78" s="95">
        <v>1</v>
      </c>
      <c r="M78" s="95">
        <v>1</v>
      </c>
      <c r="N78" s="95">
        <v>1</v>
      </c>
      <c r="O78" s="95">
        <v>1</v>
      </c>
      <c r="P78" s="125">
        <v>1</v>
      </c>
      <c r="Q78" s="124">
        <v>1</v>
      </c>
      <c r="R78" s="95">
        <v>1</v>
      </c>
      <c r="S78" s="95">
        <v>1</v>
      </c>
      <c r="T78" s="95">
        <v>1</v>
      </c>
      <c r="U78" s="95">
        <v>1</v>
      </c>
      <c r="V78" s="95">
        <v>1</v>
      </c>
      <c r="W78" s="95">
        <v>1</v>
      </c>
      <c r="X78" s="125">
        <v>1</v>
      </c>
      <c r="Y78" s="124">
        <v>1</v>
      </c>
      <c r="Z78" s="95">
        <v>1</v>
      </c>
      <c r="AA78" s="95">
        <v>1</v>
      </c>
      <c r="AB78" s="95">
        <v>1</v>
      </c>
      <c r="AC78" s="95">
        <v>1</v>
      </c>
      <c r="AD78" s="95">
        <v>1</v>
      </c>
      <c r="AE78" s="95">
        <v>1</v>
      </c>
      <c r="AF78" s="125">
        <v>1</v>
      </c>
      <c r="AG78" s="95">
        <v>1</v>
      </c>
      <c r="AH78" s="95">
        <v>1</v>
      </c>
      <c r="AI78" s="95">
        <v>1</v>
      </c>
      <c r="AJ78" s="95">
        <v>1</v>
      </c>
      <c r="AK78" s="95">
        <v>1</v>
      </c>
      <c r="AL78" s="95" t="s">
        <v>10</v>
      </c>
      <c r="AM78" s="95">
        <v>1</v>
      </c>
      <c r="AN78" s="125">
        <v>1</v>
      </c>
      <c r="AO78" s="95"/>
      <c r="AP78" s="93">
        <v>31</v>
      </c>
      <c r="AQ78" s="85">
        <f t="shared" si="3"/>
        <v>31</v>
      </c>
      <c r="AR78" s="103" t="s">
        <v>61</v>
      </c>
      <c r="AS78" s="5"/>
      <c r="AT78" s="8">
        <f t="shared" si="4"/>
        <v>1</v>
      </c>
      <c r="AU78" s="8">
        <f t="shared" si="5"/>
        <v>0</v>
      </c>
      <c r="AV78" s="5"/>
      <c r="AW78" s="94">
        <v>1</v>
      </c>
      <c r="AX78" s="94">
        <v>1</v>
      </c>
      <c r="AY78" s="94">
        <v>1</v>
      </c>
      <c r="AZ78" s="94"/>
      <c r="BA78" s="94">
        <v>1</v>
      </c>
      <c r="BB78" s="94">
        <v>1</v>
      </c>
      <c r="BC78" s="94"/>
      <c r="BD78" s="94">
        <v>1</v>
      </c>
      <c r="BE78" s="94">
        <v>1</v>
      </c>
      <c r="BF78" s="94"/>
      <c r="BG78" s="94">
        <v>2</v>
      </c>
      <c r="BH78" s="94"/>
      <c r="BI78" s="94"/>
      <c r="BJ78" s="94"/>
      <c r="BK78" s="94">
        <v>1</v>
      </c>
      <c r="BL78" s="94"/>
      <c r="BM78" s="94"/>
      <c r="BN78" s="94"/>
      <c r="BO78" s="94"/>
      <c r="BP78" s="94"/>
      <c r="BQ78" s="94">
        <v>2</v>
      </c>
      <c r="BR78" s="94"/>
      <c r="BS78" s="94"/>
      <c r="BT78" s="94"/>
      <c r="BU78" s="94"/>
      <c r="BV78" s="94">
        <v>1</v>
      </c>
      <c r="BW78" s="94">
        <v>1</v>
      </c>
      <c r="BX78" s="94"/>
      <c r="BY78" s="94">
        <v>1</v>
      </c>
      <c r="BZ78" s="94" t="s">
        <v>328</v>
      </c>
      <c r="CA78" s="94"/>
      <c r="CB78" s="94"/>
      <c r="CC78" s="94"/>
      <c r="CD78" s="94"/>
      <c r="CE78" s="94"/>
      <c r="CF78" s="94"/>
      <c r="CG78" s="94"/>
      <c r="CH78" s="94"/>
      <c r="CI78" s="94"/>
      <c r="CJ78" s="94"/>
      <c r="CX78" s="8">
        <v>53</v>
      </c>
      <c r="CY78" s="8" t="s">
        <v>329</v>
      </c>
    </row>
    <row r="79" spans="1:103">
      <c r="A79">
        <v>54</v>
      </c>
      <c r="B79" t="s">
        <v>13</v>
      </c>
      <c r="C79" t="s">
        <v>63</v>
      </c>
      <c r="D79" s="8" t="s">
        <v>346</v>
      </c>
      <c r="E79" s="67" t="s">
        <v>15</v>
      </c>
      <c r="F79">
        <v>10</v>
      </c>
      <c r="G79">
        <v>16</v>
      </c>
      <c r="H79">
        <v>16</v>
      </c>
      <c r="I79" s="149"/>
      <c r="J79" s="96"/>
      <c r="K79" s="95" t="s">
        <v>49</v>
      </c>
      <c r="L79" s="95" t="s">
        <v>49</v>
      </c>
      <c r="M79" s="95">
        <v>1</v>
      </c>
      <c r="N79" s="95">
        <v>1</v>
      </c>
      <c r="O79" s="95">
        <v>1</v>
      </c>
      <c r="P79" s="150">
        <v>1</v>
      </c>
      <c r="Q79" s="149" t="s">
        <v>9</v>
      </c>
      <c r="R79" s="95">
        <v>1</v>
      </c>
      <c r="S79" s="95">
        <v>1</v>
      </c>
      <c r="T79" s="95">
        <v>1</v>
      </c>
      <c r="U79" s="95" t="s">
        <v>49</v>
      </c>
      <c r="V79" s="95" t="s">
        <v>49</v>
      </c>
      <c r="W79" s="96"/>
      <c r="X79" s="150"/>
      <c r="Y79" s="149"/>
      <c r="Z79" s="96"/>
      <c r="AA79" s="95" t="s">
        <v>49</v>
      </c>
      <c r="AB79" s="95" t="s">
        <v>49</v>
      </c>
      <c r="AC79" s="95">
        <v>1</v>
      </c>
      <c r="AD79" s="95">
        <v>1</v>
      </c>
      <c r="AE79" s="95" t="s">
        <v>9</v>
      </c>
      <c r="AF79" s="150" t="s">
        <v>9</v>
      </c>
      <c r="AG79" s="96" t="s">
        <v>9</v>
      </c>
      <c r="AH79" s="95" t="s">
        <v>9</v>
      </c>
      <c r="AI79" s="95" t="s">
        <v>9</v>
      </c>
      <c r="AJ79" s="95">
        <v>1</v>
      </c>
      <c r="AK79" s="95" t="s">
        <v>49</v>
      </c>
      <c r="AL79" s="95" t="s">
        <v>49</v>
      </c>
      <c r="AM79" s="96"/>
      <c r="AN79" s="150"/>
      <c r="AO79" s="96">
        <v>10</v>
      </c>
      <c r="AQ79" s="85">
        <f t="shared" si="3"/>
        <v>10</v>
      </c>
      <c r="AR79" s="19"/>
      <c r="AS79"/>
      <c r="AT79" s="67">
        <f t="shared" si="4"/>
        <v>0</v>
      </c>
      <c r="AU79" s="67">
        <f t="shared" si="5"/>
        <v>6</v>
      </c>
      <c r="AV79" s="66"/>
      <c r="AW79" s="12"/>
      <c r="CK79"/>
      <c r="CX79">
        <v>54</v>
      </c>
    </row>
    <row r="80" spans="1:103">
      <c r="A80">
        <v>55</v>
      </c>
      <c r="B80" t="s">
        <v>13</v>
      </c>
      <c r="C80" t="s">
        <v>64</v>
      </c>
      <c r="D80" s="8" t="s">
        <v>357</v>
      </c>
      <c r="E80" s="67" t="s">
        <v>15</v>
      </c>
      <c r="I80" s="149"/>
      <c r="J80" s="96"/>
      <c r="K80" s="96"/>
      <c r="L80" s="96"/>
      <c r="M80" s="96"/>
      <c r="N80" s="96"/>
      <c r="O80" s="96"/>
      <c r="P80" s="150"/>
      <c r="Q80" s="149"/>
      <c r="R80" s="96"/>
      <c r="S80" s="96"/>
      <c r="T80" s="96"/>
      <c r="U80" s="96"/>
      <c r="V80" s="96"/>
      <c r="W80" s="96"/>
      <c r="X80" s="150"/>
      <c r="Y80" s="149"/>
      <c r="Z80" s="96"/>
      <c r="AA80" s="96"/>
      <c r="AB80" s="96"/>
      <c r="AC80" s="96"/>
      <c r="AD80" s="96"/>
      <c r="AE80" s="96"/>
      <c r="AF80" s="150"/>
      <c r="AH80" s="96"/>
      <c r="AI80" s="96"/>
      <c r="AJ80" s="96"/>
      <c r="AK80" s="96"/>
      <c r="AL80" s="96"/>
      <c r="AM80" s="96"/>
      <c r="AN80" s="150"/>
      <c r="AQ80" s="85">
        <f t="shared" si="3"/>
        <v>0</v>
      </c>
      <c r="AR80" s="19"/>
      <c r="AS80"/>
      <c r="AT80" s="67">
        <f t="shared" si="4"/>
        <v>0</v>
      </c>
      <c r="AU80" s="67">
        <f t="shared" si="5"/>
        <v>0</v>
      </c>
      <c r="AV80" s="66"/>
      <c r="AW80" s="12"/>
      <c r="CF80" s="12" t="s">
        <v>326</v>
      </c>
      <c r="CK80"/>
      <c r="CX80">
        <v>55</v>
      </c>
    </row>
    <row r="81" spans="1:103">
      <c r="A81">
        <v>56</v>
      </c>
      <c r="B81" t="s">
        <v>13</v>
      </c>
      <c r="C81" t="s">
        <v>53</v>
      </c>
      <c r="D81" s="8" t="s">
        <v>346</v>
      </c>
      <c r="E81" s="67" t="s">
        <v>15</v>
      </c>
      <c r="F81">
        <v>17</v>
      </c>
      <c r="G81">
        <v>20</v>
      </c>
      <c r="H81">
        <v>20</v>
      </c>
      <c r="I81" s="149"/>
      <c r="J81" s="96"/>
      <c r="K81" s="95" t="s">
        <v>49</v>
      </c>
      <c r="L81" s="95">
        <v>1</v>
      </c>
      <c r="M81" s="95">
        <v>1</v>
      </c>
      <c r="N81" s="95">
        <v>1</v>
      </c>
      <c r="O81" s="95">
        <v>1</v>
      </c>
      <c r="P81" s="150">
        <v>1</v>
      </c>
      <c r="Q81" s="149">
        <v>1</v>
      </c>
      <c r="R81" s="95">
        <v>1</v>
      </c>
      <c r="S81" s="95">
        <v>1</v>
      </c>
      <c r="T81" s="95">
        <v>1</v>
      </c>
      <c r="U81" s="95">
        <v>1</v>
      </c>
      <c r="V81" s="95" t="s">
        <v>49</v>
      </c>
      <c r="W81" s="96"/>
      <c r="X81" s="150"/>
      <c r="Y81" s="149"/>
      <c r="Z81" s="96" t="s">
        <v>49</v>
      </c>
      <c r="AA81" s="95" t="s">
        <v>49</v>
      </c>
      <c r="AB81" s="95">
        <v>1</v>
      </c>
      <c r="AC81" s="95">
        <v>1</v>
      </c>
      <c r="AD81" s="95">
        <v>1</v>
      </c>
      <c r="AE81" s="95" t="s">
        <v>9</v>
      </c>
      <c r="AF81" s="150" t="s">
        <v>9</v>
      </c>
      <c r="AG81" s="96">
        <v>1</v>
      </c>
      <c r="AH81" s="95" t="s">
        <v>9</v>
      </c>
      <c r="AI81" s="95">
        <v>1</v>
      </c>
      <c r="AJ81" s="95">
        <v>1</v>
      </c>
      <c r="AK81" s="95">
        <v>1</v>
      </c>
      <c r="AL81" s="95" t="s">
        <v>49</v>
      </c>
      <c r="AM81" s="96"/>
      <c r="AN81" s="150"/>
      <c r="AO81" s="96">
        <v>17</v>
      </c>
      <c r="AQ81" s="85">
        <f t="shared" si="3"/>
        <v>17</v>
      </c>
      <c r="AR81" s="19"/>
      <c r="AS81"/>
      <c r="AT81" s="67">
        <f t="shared" si="4"/>
        <v>0</v>
      </c>
      <c r="AU81" s="67">
        <f t="shared" si="5"/>
        <v>3</v>
      </c>
      <c r="AV81" s="66"/>
      <c r="AW81" s="12"/>
      <c r="CF81" s="12" t="s">
        <v>326</v>
      </c>
      <c r="CK81"/>
      <c r="CX81">
        <v>56</v>
      </c>
    </row>
    <row r="82" spans="1:103">
      <c r="A82">
        <v>57</v>
      </c>
      <c r="B82" t="s">
        <v>12</v>
      </c>
      <c r="C82" t="s">
        <v>44</v>
      </c>
      <c r="D82" s="8" t="s">
        <v>349</v>
      </c>
      <c r="E82" t="s">
        <v>6</v>
      </c>
      <c r="F82">
        <v>15</v>
      </c>
      <c r="G82" t="s">
        <v>15</v>
      </c>
      <c r="H82" t="s">
        <v>15</v>
      </c>
      <c r="I82" s="149">
        <v>1</v>
      </c>
      <c r="J82" s="96" t="s">
        <v>10</v>
      </c>
      <c r="K82" s="95" t="s">
        <v>10</v>
      </c>
      <c r="L82" s="95">
        <v>1</v>
      </c>
      <c r="M82" s="95" t="s">
        <v>10</v>
      </c>
      <c r="N82" s="95">
        <v>1</v>
      </c>
      <c r="O82" s="95">
        <v>1</v>
      </c>
      <c r="P82" s="150">
        <v>1</v>
      </c>
      <c r="Q82" s="149">
        <v>1</v>
      </c>
      <c r="R82" s="95">
        <v>1</v>
      </c>
      <c r="S82" s="95">
        <v>1</v>
      </c>
      <c r="T82" s="95" t="s">
        <v>10</v>
      </c>
      <c r="U82" s="95">
        <v>1</v>
      </c>
      <c r="V82" s="95" t="s">
        <v>10</v>
      </c>
      <c r="W82" s="96"/>
      <c r="X82" s="150"/>
      <c r="Y82" s="149"/>
      <c r="Z82" s="95" t="s">
        <v>10</v>
      </c>
      <c r="AA82" s="95" t="s">
        <v>10</v>
      </c>
      <c r="AB82" s="95" t="s">
        <v>10</v>
      </c>
      <c r="AC82" s="95" t="s">
        <v>10</v>
      </c>
      <c r="AD82" s="95">
        <v>1</v>
      </c>
      <c r="AE82" s="95">
        <v>1</v>
      </c>
      <c r="AF82" s="150" t="s">
        <v>10</v>
      </c>
      <c r="AG82" s="96" t="s">
        <v>10</v>
      </c>
      <c r="AH82" s="95">
        <v>1</v>
      </c>
      <c r="AI82" s="95">
        <v>1</v>
      </c>
      <c r="AJ82" s="95">
        <v>1</v>
      </c>
      <c r="AK82" s="95">
        <v>1</v>
      </c>
      <c r="AL82" s="95" t="s">
        <v>10</v>
      </c>
      <c r="AM82" s="95" t="s">
        <v>10</v>
      </c>
      <c r="AN82" s="150"/>
      <c r="AP82" s="56">
        <v>15</v>
      </c>
      <c r="AQ82" s="85">
        <f t="shared" si="3"/>
        <v>15</v>
      </c>
      <c r="AR82" s="103" t="s">
        <v>45</v>
      </c>
      <c r="AS82" s="5"/>
      <c r="AT82" s="67">
        <f t="shared" si="4"/>
        <v>13</v>
      </c>
      <c r="AU82" s="67">
        <f t="shared" si="5"/>
        <v>0</v>
      </c>
      <c r="AV82" s="5"/>
      <c r="AW82" s="12">
        <v>1</v>
      </c>
      <c r="AX82" s="12">
        <v>1</v>
      </c>
      <c r="AY82" s="12">
        <v>1</v>
      </c>
      <c r="AZ82" s="12">
        <v>1</v>
      </c>
      <c r="BA82" s="12">
        <v>1</v>
      </c>
      <c r="BB82" s="12">
        <v>1</v>
      </c>
      <c r="BD82" s="12">
        <v>1</v>
      </c>
      <c r="BE82" s="12">
        <v>1</v>
      </c>
      <c r="BJ82" s="12">
        <v>1</v>
      </c>
      <c r="BK82" s="12">
        <v>1</v>
      </c>
      <c r="BQ82" s="12">
        <v>1</v>
      </c>
      <c r="BV82" s="12">
        <v>1</v>
      </c>
      <c r="BW82" s="12">
        <v>1</v>
      </c>
      <c r="BY82" s="12">
        <v>1</v>
      </c>
      <c r="CK82">
        <v>1</v>
      </c>
      <c r="CL82">
        <v>1</v>
      </c>
      <c r="CM82" t="s">
        <v>326</v>
      </c>
      <c r="CX82">
        <v>57</v>
      </c>
    </row>
    <row r="83" spans="1:103">
      <c r="A83">
        <v>58</v>
      </c>
      <c r="B83" t="s">
        <v>12</v>
      </c>
      <c r="C83" t="s">
        <v>65</v>
      </c>
      <c r="D83" s="8" t="s">
        <v>12</v>
      </c>
      <c r="E83" t="s">
        <v>42</v>
      </c>
      <c r="I83" s="149"/>
      <c r="J83" s="96"/>
      <c r="K83" s="96"/>
      <c r="L83" s="96"/>
      <c r="M83" s="96"/>
      <c r="N83" s="96"/>
      <c r="O83" s="96"/>
      <c r="P83" s="150"/>
      <c r="Q83" s="149"/>
      <c r="R83" s="96"/>
      <c r="S83" s="96"/>
      <c r="T83" s="96"/>
      <c r="U83" s="96"/>
      <c r="V83" s="96"/>
      <c r="W83" s="96"/>
      <c r="X83" s="150"/>
      <c r="Y83" s="149"/>
      <c r="Z83" s="96"/>
      <c r="AA83" s="96"/>
      <c r="AB83" s="96"/>
      <c r="AC83" s="96"/>
      <c r="AD83" s="96"/>
      <c r="AE83" s="96"/>
      <c r="AF83" s="150"/>
      <c r="AH83" s="96"/>
      <c r="AI83" s="96"/>
      <c r="AJ83" s="96"/>
      <c r="AK83" s="96"/>
      <c r="AL83" s="96"/>
      <c r="AM83" s="96"/>
      <c r="AN83" s="150"/>
      <c r="AQ83" s="85">
        <f t="shared" si="3"/>
        <v>0</v>
      </c>
      <c r="AR83" s="19"/>
      <c r="AS83"/>
      <c r="AT83" s="67">
        <f t="shared" si="4"/>
        <v>0</v>
      </c>
      <c r="AU83" s="67">
        <f t="shared" si="5"/>
        <v>0</v>
      </c>
      <c r="AV83" s="66"/>
      <c r="AW83" s="12"/>
      <c r="BE83" s="12">
        <v>1</v>
      </c>
      <c r="BG83" s="12">
        <v>1</v>
      </c>
      <c r="BQ83" s="12">
        <v>1</v>
      </c>
      <c r="BV83" s="12">
        <v>1</v>
      </c>
      <c r="CK83"/>
      <c r="CX83">
        <v>58</v>
      </c>
      <c r="CY83" t="s">
        <v>208</v>
      </c>
    </row>
    <row r="84" spans="1:103">
      <c r="A84">
        <v>59</v>
      </c>
      <c r="B84" t="s">
        <v>13</v>
      </c>
      <c r="C84" s="4" t="s">
        <v>56</v>
      </c>
      <c r="D84" s="8" t="s">
        <v>360</v>
      </c>
      <c r="E84" s="67" t="s">
        <v>15</v>
      </c>
      <c r="F84">
        <v>7</v>
      </c>
      <c r="G84">
        <v>8</v>
      </c>
      <c r="H84">
        <v>8</v>
      </c>
      <c r="I84" s="149"/>
      <c r="J84" s="96"/>
      <c r="K84" s="96"/>
      <c r="L84" s="95" t="s">
        <v>49</v>
      </c>
      <c r="M84" s="95" t="s">
        <v>49</v>
      </c>
      <c r="N84" s="95" t="s">
        <v>49</v>
      </c>
      <c r="O84" s="95">
        <v>1</v>
      </c>
      <c r="P84" s="150">
        <v>1</v>
      </c>
      <c r="Q84" s="149">
        <v>1</v>
      </c>
      <c r="R84" s="95" t="s">
        <v>9</v>
      </c>
      <c r="S84" s="95" t="s">
        <v>49</v>
      </c>
      <c r="T84" s="95" t="s">
        <v>49</v>
      </c>
      <c r="U84" s="95" t="s">
        <v>49</v>
      </c>
      <c r="V84" s="96"/>
      <c r="W84" s="96"/>
      <c r="X84" s="150"/>
      <c r="Y84" s="149"/>
      <c r="Z84" s="96"/>
      <c r="AA84" s="96"/>
      <c r="AB84" s="95" t="s">
        <v>49</v>
      </c>
      <c r="AC84" s="95" t="s">
        <v>49</v>
      </c>
      <c r="AD84" s="95" t="s">
        <v>49</v>
      </c>
      <c r="AE84" s="95">
        <v>1</v>
      </c>
      <c r="AF84" s="150">
        <v>1</v>
      </c>
      <c r="AG84" s="96">
        <v>1</v>
      </c>
      <c r="AH84" s="95">
        <v>1</v>
      </c>
      <c r="AI84" s="95" t="s">
        <v>49</v>
      </c>
      <c r="AJ84" s="95" t="s">
        <v>49</v>
      </c>
      <c r="AK84" s="95" t="s">
        <v>49</v>
      </c>
      <c r="AL84" s="96"/>
      <c r="AM84" s="96"/>
      <c r="AN84" s="150"/>
      <c r="AO84" s="96">
        <v>7</v>
      </c>
      <c r="AQ84" s="85">
        <f t="shared" si="3"/>
        <v>7</v>
      </c>
      <c r="AR84" s="19"/>
      <c r="AS84"/>
      <c r="AT84" s="67">
        <f t="shared" si="4"/>
        <v>0</v>
      </c>
      <c r="AU84" s="67">
        <f t="shared" si="5"/>
        <v>1</v>
      </c>
      <c r="AV84" s="66"/>
      <c r="AW84" s="12"/>
      <c r="CK84"/>
      <c r="CX84">
        <v>59</v>
      </c>
    </row>
    <row r="85" spans="1:103">
      <c r="A85">
        <v>60</v>
      </c>
      <c r="B85" t="s">
        <v>13</v>
      </c>
      <c r="C85" t="s">
        <v>48</v>
      </c>
      <c r="D85" s="8" t="s">
        <v>357</v>
      </c>
      <c r="E85" s="67" t="s">
        <v>15</v>
      </c>
      <c r="F85">
        <v>22</v>
      </c>
      <c r="G85">
        <v>24</v>
      </c>
      <c r="H85">
        <v>24</v>
      </c>
      <c r="I85" s="149"/>
      <c r="J85" s="96" t="s">
        <v>49</v>
      </c>
      <c r="K85" s="96">
        <v>1</v>
      </c>
      <c r="L85" s="95">
        <v>1</v>
      </c>
      <c r="M85" s="95">
        <v>1</v>
      </c>
      <c r="N85" s="95" t="s">
        <v>9</v>
      </c>
      <c r="O85" s="95">
        <v>1</v>
      </c>
      <c r="P85" s="150">
        <v>1</v>
      </c>
      <c r="Q85" s="149">
        <v>1</v>
      </c>
      <c r="R85" s="95">
        <v>1</v>
      </c>
      <c r="S85" s="95">
        <v>1</v>
      </c>
      <c r="T85" s="95">
        <v>1</v>
      </c>
      <c r="U85" s="95">
        <v>1</v>
      </c>
      <c r="V85" s="95">
        <v>1</v>
      </c>
      <c r="W85" s="95" t="s">
        <v>49</v>
      </c>
      <c r="X85" s="150"/>
      <c r="Y85" s="149"/>
      <c r="Z85" s="95" t="s">
        <v>49</v>
      </c>
      <c r="AA85" s="95">
        <v>1</v>
      </c>
      <c r="AB85" s="95">
        <v>1</v>
      </c>
      <c r="AC85" s="95">
        <v>1</v>
      </c>
      <c r="AD85" s="95" t="s">
        <v>9</v>
      </c>
      <c r="AE85" s="95">
        <v>1</v>
      </c>
      <c r="AF85" s="150">
        <v>1</v>
      </c>
      <c r="AG85" s="96">
        <v>1</v>
      </c>
      <c r="AH85" s="95">
        <v>1</v>
      </c>
      <c r="AI85" s="95">
        <v>1</v>
      </c>
      <c r="AJ85" s="95">
        <v>1</v>
      </c>
      <c r="AK85" s="95">
        <v>1</v>
      </c>
      <c r="AL85" s="95">
        <v>1</v>
      </c>
      <c r="AM85" s="95" t="s">
        <v>49</v>
      </c>
      <c r="AN85" s="150"/>
      <c r="AO85" s="96">
        <v>11</v>
      </c>
      <c r="AP85" s="56">
        <v>11</v>
      </c>
      <c r="AQ85" s="85">
        <f t="shared" si="3"/>
        <v>22</v>
      </c>
      <c r="AR85" s="103" t="s">
        <v>66</v>
      </c>
      <c r="AS85" s="5"/>
      <c r="AT85" s="67">
        <f t="shared" si="4"/>
        <v>0</v>
      </c>
      <c r="AU85" s="67">
        <f t="shared" si="5"/>
        <v>2</v>
      </c>
      <c r="AV85" s="5"/>
      <c r="AW85" s="12"/>
      <c r="AZ85" s="12">
        <v>1</v>
      </c>
      <c r="BA85" s="12">
        <v>1</v>
      </c>
      <c r="CK85"/>
      <c r="CX85">
        <v>60</v>
      </c>
    </row>
    <row r="86" spans="1:103">
      <c r="A86">
        <v>61</v>
      </c>
      <c r="B86" t="s">
        <v>13</v>
      </c>
      <c r="C86" t="s">
        <v>99</v>
      </c>
      <c r="D86" s="8" t="s">
        <v>346</v>
      </c>
      <c r="E86" s="67" t="s">
        <v>15</v>
      </c>
      <c r="F86">
        <v>21</v>
      </c>
      <c r="G86">
        <v>22</v>
      </c>
      <c r="H86">
        <v>22</v>
      </c>
      <c r="I86" s="149"/>
      <c r="J86" s="96" t="s">
        <v>49</v>
      </c>
      <c r="K86" s="95">
        <v>1</v>
      </c>
      <c r="L86" s="95">
        <v>1</v>
      </c>
      <c r="M86" s="95">
        <v>1</v>
      </c>
      <c r="N86" s="95">
        <v>1</v>
      </c>
      <c r="O86" s="95">
        <v>1</v>
      </c>
      <c r="P86" s="150">
        <v>1</v>
      </c>
      <c r="Q86" s="124">
        <v>1</v>
      </c>
      <c r="R86" s="95">
        <v>1</v>
      </c>
      <c r="S86" s="95">
        <v>1</v>
      </c>
      <c r="T86" s="95">
        <v>1</v>
      </c>
      <c r="U86" s="95">
        <v>1</v>
      </c>
      <c r="V86" s="95">
        <v>1</v>
      </c>
      <c r="W86" s="95" t="s">
        <v>49</v>
      </c>
      <c r="X86" s="150"/>
      <c r="Y86" s="149"/>
      <c r="Z86" s="95" t="s">
        <v>49</v>
      </c>
      <c r="AA86" s="95">
        <v>1</v>
      </c>
      <c r="AB86" s="95">
        <v>1</v>
      </c>
      <c r="AC86" s="95">
        <v>1</v>
      </c>
      <c r="AD86" s="95">
        <v>1</v>
      </c>
      <c r="AE86" s="95" t="s">
        <v>9</v>
      </c>
      <c r="AF86" s="150" t="s">
        <v>49</v>
      </c>
      <c r="AG86" s="96" t="s">
        <v>49</v>
      </c>
      <c r="AH86" s="95">
        <v>1</v>
      </c>
      <c r="AI86" s="95">
        <v>1</v>
      </c>
      <c r="AJ86" s="95">
        <v>1</v>
      </c>
      <c r="AK86" s="95">
        <v>1</v>
      </c>
      <c r="AL86" s="95">
        <v>1</v>
      </c>
      <c r="AM86" s="95" t="s">
        <v>49</v>
      </c>
      <c r="AN86" s="150"/>
      <c r="AO86" s="96">
        <v>17</v>
      </c>
      <c r="AP86" s="56">
        <v>4</v>
      </c>
      <c r="AQ86" s="85">
        <f t="shared" si="3"/>
        <v>21</v>
      </c>
      <c r="AR86" s="19" t="s">
        <v>67</v>
      </c>
      <c r="AS86"/>
      <c r="AT86" s="67">
        <f t="shared" si="4"/>
        <v>0</v>
      </c>
      <c r="AU86" s="67">
        <f t="shared" si="5"/>
        <v>1</v>
      </c>
      <c r="AV86" s="66"/>
      <c r="AW86" s="12"/>
      <c r="BA86" s="12">
        <v>1</v>
      </c>
      <c r="BI86" s="12">
        <v>1</v>
      </c>
      <c r="CK86"/>
      <c r="CX86">
        <v>61</v>
      </c>
    </row>
    <row r="87" spans="1:103">
      <c r="A87">
        <v>62</v>
      </c>
      <c r="B87" t="s">
        <v>13</v>
      </c>
      <c r="C87" t="s">
        <v>68</v>
      </c>
      <c r="D87" s="8" t="s">
        <v>357</v>
      </c>
      <c r="E87" s="67" t="s">
        <v>15</v>
      </c>
      <c r="F87">
        <v>28</v>
      </c>
      <c r="G87">
        <v>28</v>
      </c>
      <c r="H87">
        <v>28</v>
      </c>
      <c r="I87" s="149"/>
      <c r="J87" s="95">
        <v>1</v>
      </c>
      <c r="K87" s="95">
        <v>1</v>
      </c>
      <c r="L87" s="95">
        <v>1</v>
      </c>
      <c r="M87" s="95">
        <v>1</v>
      </c>
      <c r="N87" s="95">
        <v>1</v>
      </c>
      <c r="O87" s="95">
        <v>1</v>
      </c>
      <c r="P87" s="125">
        <v>1</v>
      </c>
      <c r="Q87" s="124">
        <v>1</v>
      </c>
      <c r="R87" s="95">
        <v>1</v>
      </c>
      <c r="S87" s="95">
        <v>1</v>
      </c>
      <c r="T87" s="95">
        <v>1</v>
      </c>
      <c r="U87" s="95">
        <v>1</v>
      </c>
      <c r="V87" s="95">
        <v>1</v>
      </c>
      <c r="W87" s="95">
        <v>1</v>
      </c>
      <c r="X87" s="150"/>
      <c r="Y87" s="149"/>
      <c r="Z87" s="95">
        <v>1</v>
      </c>
      <c r="AA87" s="95">
        <v>1</v>
      </c>
      <c r="AB87" s="95">
        <v>1</v>
      </c>
      <c r="AC87" s="95">
        <v>1</v>
      </c>
      <c r="AD87" s="95">
        <v>1</v>
      </c>
      <c r="AE87" s="95">
        <v>1</v>
      </c>
      <c r="AF87" s="125">
        <v>1</v>
      </c>
      <c r="AG87" s="95">
        <v>1</v>
      </c>
      <c r="AH87" s="95">
        <v>1</v>
      </c>
      <c r="AI87" s="95">
        <v>1</v>
      </c>
      <c r="AJ87" s="95">
        <v>1</v>
      </c>
      <c r="AK87" s="95">
        <v>1</v>
      </c>
      <c r="AL87" s="95">
        <v>1</v>
      </c>
      <c r="AM87" s="95">
        <v>1</v>
      </c>
      <c r="AN87" s="150"/>
      <c r="AO87" s="96">
        <v>11</v>
      </c>
      <c r="AP87" s="56">
        <v>17</v>
      </c>
      <c r="AQ87" s="85">
        <f t="shared" si="3"/>
        <v>28</v>
      </c>
      <c r="AR87" s="19" t="s">
        <v>69</v>
      </c>
      <c r="AS87" s="62">
        <v>1</v>
      </c>
      <c r="AT87" s="67">
        <f t="shared" si="4"/>
        <v>0</v>
      </c>
      <c r="AU87" s="67">
        <f t="shared" si="5"/>
        <v>0</v>
      </c>
      <c r="AV87" s="64"/>
      <c r="AW87" s="12"/>
      <c r="AZ87" s="12">
        <v>1</v>
      </c>
      <c r="BA87" s="12">
        <v>1</v>
      </c>
      <c r="BB87" s="12">
        <v>1</v>
      </c>
      <c r="CK87"/>
      <c r="CX87">
        <v>62</v>
      </c>
    </row>
    <row r="88" spans="1:103">
      <c r="A88">
        <v>63</v>
      </c>
      <c r="B88" t="s">
        <v>12</v>
      </c>
      <c r="C88" t="s">
        <v>71</v>
      </c>
      <c r="D88" s="8" t="s">
        <v>366</v>
      </c>
      <c r="E88" t="s">
        <v>42</v>
      </c>
      <c r="F88">
        <v>32</v>
      </c>
      <c r="G88">
        <v>32</v>
      </c>
      <c r="H88">
        <v>32</v>
      </c>
      <c r="I88" s="124">
        <v>1</v>
      </c>
      <c r="J88" s="95">
        <v>1</v>
      </c>
      <c r="K88" s="95">
        <v>1</v>
      </c>
      <c r="L88" s="95">
        <v>1</v>
      </c>
      <c r="M88" s="95">
        <v>1</v>
      </c>
      <c r="N88" s="95">
        <v>1</v>
      </c>
      <c r="O88" s="95">
        <v>1</v>
      </c>
      <c r="P88" s="125">
        <v>1</v>
      </c>
      <c r="Q88" s="124">
        <v>1</v>
      </c>
      <c r="R88" s="95">
        <v>1</v>
      </c>
      <c r="S88" s="95">
        <v>1</v>
      </c>
      <c r="T88" s="95">
        <v>1</v>
      </c>
      <c r="U88" s="95">
        <v>1</v>
      </c>
      <c r="V88" s="95">
        <v>1</v>
      </c>
      <c r="W88" s="95">
        <v>1</v>
      </c>
      <c r="X88" s="125">
        <v>1</v>
      </c>
      <c r="Y88" s="124">
        <v>1</v>
      </c>
      <c r="Z88" s="95">
        <v>1</v>
      </c>
      <c r="AA88" s="95">
        <v>1</v>
      </c>
      <c r="AB88" s="95">
        <v>1</v>
      </c>
      <c r="AC88" s="95">
        <v>1</v>
      </c>
      <c r="AD88" s="95">
        <v>1</v>
      </c>
      <c r="AE88" s="95">
        <v>1</v>
      </c>
      <c r="AF88" s="125">
        <v>1</v>
      </c>
      <c r="AG88" s="95">
        <v>1</v>
      </c>
      <c r="AH88" s="95">
        <v>1</v>
      </c>
      <c r="AI88" s="95">
        <v>1</v>
      </c>
      <c r="AJ88" s="95">
        <v>1</v>
      </c>
      <c r="AK88" s="95">
        <v>1</v>
      </c>
      <c r="AL88" s="95">
        <v>1</v>
      </c>
      <c r="AM88" s="95">
        <v>1</v>
      </c>
      <c r="AN88" s="125">
        <v>1</v>
      </c>
      <c r="AO88" s="95"/>
      <c r="AP88" s="11">
        <v>32</v>
      </c>
      <c r="AQ88" s="85">
        <f t="shared" si="3"/>
        <v>32</v>
      </c>
      <c r="AR88" s="19" t="s">
        <v>70</v>
      </c>
      <c r="AS88">
        <v>1</v>
      </c>
      <c r="AT88" s="67">
        <f t="shared" si="4"/>
        <v>0</v>
      </c>
      <c r="AU88" s="67">
        <f t="shared" si="5"/>
        <v>0</v>
      </c>
      <c r="AV88" s="66">
        <v>1</v>
      </c>
      <c r="AW88" s="12"/>
      <c r="AX88" s="12">
        <v>1</v>
      </c>
      <c r="AZ88" s="12">
        <v>1</v>
      </c>
      <c r="BA88" s="12">
        <v>1</v>
      </c>
      <c r="BK88" s="12">
        <v>1</v>
      </c>
      <c r="BQ88" s="12">
        <v>1</v>
      </c>
      <c r="BV88" s="12">
        <v>1</v>
      </c>
      <c r="BW88" s="12">
        <v>1</v>
      </c>
      <c r="BY88" s="12">
        <v>1</v>
      </c>
      <c r="BZ88" s="12" t="s">
        <v>328</v>
      </c>
      <c r="CK88"/>
      <c r="CX88">
        <v>63</v>
      </c>
    </row>
    <row r="89" spans="1:103">
      <c r="A89">
        <v>64</v>
      </c>
      <c r="B89" t="s">
        <v>12</v>
      </c>
      <c r="C89" t="s">
        <v>73</v>
      </c>
      <c r="D89" s="8" t="s">
        <v>165</v>
      </c>
      <c r="E89" t="s">
        <v>42</v>
      </c>
      <c r="F89">
        <v>31</v>
      </c>
      <c r="G89">
        <v>31</v>
      </c>
      <c r="H89">
        <v>32</v>
      </c>
      <c r="I89" s="124">
        <v>1</v>
      </c>
      <c r="J89" s="95">
        <v>1</v>
      </c>
      <c r="K89" s="95">
        <v>1</v>
      </c>
      <c r="L89" s="95">
        <v>1</v>
      </c>
      <c r="M89" s="95">
        <v>1</v>
      </c>
      <c r="N89" s="95">
        <v>1</v>
      </c>
      <c r="O89" s="95">
        <v>1</v>
      </c>
      <c r="P89" s="125">
        <v>1</v>
      </c>
      <c r="Q89" s="124">
        <v>1</v>
      </c>
      <c r="R89" s="95">
        <v>1</v>
      </c>
      <c r="S89" s="95">
        <v>1</v>
      </c>
      <c r="T89" s="95">
        <v>1</v>
      </c>
      <c r="U89" s="95">
        <v>1</v>
      </c>
      <c r="V89" s="95">
        <v>1</v>
      </c>
      <c r="W89" s="95">
        <v>1</v>
      </c>
      <c r="X89" s="125">
        <v>1</v>
      </c>
      <c r="Y89" s="124">
        <v>1</v>
      </c>
      <c r="Z89" s="95">
        <v>1</v>
      </c>
      <c r="AA89" s="95">
        <v>1</v>
      </c>
      <c r="AB89" s="95">
        <v>1</v>
      </c>
      <c r="AC89" s="95">
        <v>1</v>
      </c>
      <c r="AD89" s="95">
        <v>1</v>
      </c>
      <c r="AE89" s="95">
        <v>1</v>
      </c>
      <c r="AF89" s="125">
        <v>1</v>
      </c>
      <c r="AG89" s="95">
        <v>1</v>
      </c>
      <c r="AH89" s="95">
        <v>1</v>
      </c>
      <c r="AI89" s="95">
        <v>1</v>
      </c>
      <c r="AJ89" s="95">
        <v>1</v>
      </c>
      <c r="AK89" s="95">
        <v>1</v>
      </c>
      <c r="AL89" s="95">
        <v>1</v>
      </c>
      <c r="AM89" s="95" t="s">
        <v>10</v>
      </c>
      <c r="AN89" s="150">
        <v>1</v>
      </c>
      <c r="AP89" s="56">
        <v>31</v>
      </c>
      <c r="AQ89" s="85">
        <f t="shared" si="3"/>
        <v>31</v>
      </c>
      <c r="AR89" s="19" t="s">
        <v>72</v>
      </c>
      <c r="AS89"/>
      <c r="AT89" s="67">
        <f t="shared" si="4"/>
        <v>1</v>
      </c>
      <c r="AU89" s="67">
        <f t="shared" si="5"/>
        <v>0</v>
      </c>
      <c r="AV89" s="66"/>
      <c r="AW89" s="12"/>
      <c r="AX89" s="12">
        <v>1</v>
      </c>
      <c r="AY89" s="12">
        <v>1</v>
      </c>
      <c r="AZ89" s="12">
        <v>1</v>
      </c>
      <c r="BA89" s="12">
        <v>1</v>
      </c>
      <c r="BB89" s="12">
        <v>1</v>
      </c>
      <c r="BG89" s="12">
        <v>1</v>
      </c>
      <c r="BI89" s="12">
        <v>1</v>
      </c>
      <c r="BW89" s="12">
        <v>1</v>
      </c>
      <c r="CK89"/>
      <c r="CX89">
        <v>64</v>
      </c>
    </row>
    <row r="90" spans="1:103">
      <c r="A90">
        <v>65</v>
      </c>
      <c r="B90" t="s">
        <v>13</v>
      </c>
      <c r="C90" t="s">
        <v>74</v>
      </c>
      <c r="D90" s="8" t="s">
        <v>346</v>
      </c>
      <c r="E90" s="67" t="s">
        <v>15</v>
      </c>
      <c r="F90">
        <v>9</v>
      </c>
      <c r="G90">
        <v>12</v>
      </c>
      <c r="H90">
        <v>12</v>
      </c>
      <c r="I90" s="149"/>
      <c r="J90" s="96"/>
      <c r="K90" s="95" t="s">
        <v>49</v>
      </c>
      <c r="L90" s="95" t="s">
        <v>49</v>
      </c>
      <c r="M90" s="95">
        <v>1</v>
      </c>
      <c r="N90" s="95" t="s">
        <v>49</v>
      </c>
      <c r="O90" s="95">
        <v>1</v>
      </c>
      <c r="P90" s="150">
        <v>1</v>
      </c>
      <c r="Q90" s="149" t="s">
        <v>9</v>
      </c>
      <c r="R90" s="95">
        <v>1</v>
      </c>
      <c r="S90" s="95" t="s">
        <v>49</v>
      </c>
      <c r="T90" s="95" t="s">
        <v>9</v>
      </c>
      <c r="U90" s="95" t="s">
        <v>49</v>
      </c>
      <c r="V90" s="95" t="s">
        <v>49</v>
      </c>
      <c r="W90" s="96"/>
      <c r="X90" s="150"/>
      <c r="Y90" s="149"/>
      <c r="Z90" s="96"/>
      <c r="AA90" s="95" t="s">
        <v>49</v>
      </c>
      <c r="AB90" s="95" t="s">
        <v>49</v>
      </c>
      <c r="AC90" s="95">
        <v>1</v>
      </c>
      <c r="AD90" s="95" t="s">
        <v>49</v>
      </c>
      <c r="AE90" s="95">
        <v>1</v>
      </c>
      <c r="AF90" s="150">
        <v>1</v>
      </c>
      <c r="AG90" s="96">
        <v>1</v>
      </c>
      <c r="AH90" s="95" t="s">
        <v>9</v>
      </c>
      <c r="AI90" s="95" t="s">
        <v>49</v>
      </c>
      <c r="AJ90" s="95">
        <v>1</v>
      </c>
      <c r="AK90" s="95" t="s">
        <v>49</v>
      </c>
      <c r="AL90" s="95" t="s">
        <v>49</v>
      </c>
      <c r="AM90" s="96"/>
      <c r="AN90" s="150"/>
      <c r="AO90" s="96">
        <v>9</v>
      </c>
      <c r="AQ90" s="85">
        <f t="shared" si="3"/>
        <v>9</v>
      </c>
      <c r="AR90" s="19"/>
      <c r="AS90"/>
      <c r="AT90" s="67">
        <f t="shared" si="4"/>
        <v>0</v>
      </c>
      <c r="AU90" s="67">
        <f t="shared" si="5"/>
        <v>3</v>
      </c>
      <c r="AV90" s="66"/>
      <c r="AW90" s="12"/>
      <c r="CK90"/>
      <c r="CX90">
        <v>65</v>
      </c>
    </row>
    <row r="91" spans="1:103">
      <c r="A91">
        <v>66</v>
      </c>
      <c r="B91" t="s">
        <v>13</v>
      </c>
      <c r="C91" t="s">
        <v>14</v>
      </c>
      <c r="D91" s="8" t="s">
        <v>345</v>
      </c>
      <c r="E91" s="67" t="s">
        <v>15</v>
      </c>
      <c r="I91" s="149"/>
      <c r="J91" s="96"/>
      <c r="K91" s="96"/>
      <c r="L91" s="96"/>
      <c r="M91" s="96"/>
      <c r="N91" s="96"/>
      <c r="O91" s="96"/>
      <c r="P91" s="150"/>
      <c r="Q91" s="149"/>
      <c r="R91" s="96"/>
      <c r="S91" s="96"/>
      <c r="T91" s="96"/>
      <c r="U91" s="96"/>
      <c r="V91" s="96"/>
      <c r="W91" s="96"/>
      <c r="X91" s="150"/>
      <c r="Y91" s="149"/>
      <c r="Z91" s="96"/>
      <c r="AA91" s="96"/>
      <c r="AB91" s="96"/>
      <c r="AC91" s="96"/>
      <c r="AD91" s="96"/>
      <c r="AE91" s="96"/>
      <c r="AF91" s="150"/>
      <c r="AH91" s="96"/>
      <c r="AI91" s="96"/>
      <c r="AJ91" s="96"/>
      <c r="AK91" s="96"/>
      <c r="AL91" s="96"/>
      <c r="AM91" s="96"/>
      <c r="AN91" s="150"/>
      <c r="AQ91" s="85">
        <f t="shared" si="3"/>
        <v>0</v>
      </c>
      <c r="AR91" s="19"/>
      <c r="AS91"/>
      <c r="AT91" s="67">
        <f t="shared" si="4"/>
        <v>0</v>
      </c>
      <c r="AU91" s="67">
        <f t="shared" si="5"/>
        <v>0</v>
      </c>
      <c r="AV91" s="66"/>
      <c r="AW91" s="12"/>
      <c r="CG91" s="12" t="s">
        <v>326</v>
      </c>
      <c r="CK91"/>
      <c r="CX91">
        <v>66</v>
      </c>
    </row>
    <row r="92" spans="1:103">
      <c r="A92">
        <v>67</v>
      </c>
      <c r="B92" t="s">
        <v>12</v>
      </c>
      <c r="C92" t="s">
        <v>75</v>
      </c>
      <c r="D92" s="8" t="s">
        <v>12</v>
      </c>
      <c r="E92" t="s">
        <v>6</v>
      </c>
      <c r="I92" s="149"/>
      <c r="J92" s="96"/>
      <c r="K92" s="96"/>
      <c r="L92" s="96"/>
      <c r="M92" s="96"/>
      <c r="N92" s="96"/>
      <c r="O92" s="96"/>
      <c r="P92" s="150"/>
      <c r="Q92" s="149"/>
      <c r="R92" s="96"/>
      <c r="S92" s="96"/>
      <c r="T92" s="96"/>
      <c r="U92" s="96"/>
      <c r="V92" s="96"/>
      <c r="W92" s="96"/>
      <c r="X92" s="150"/>
      <c r="Y92" s="149"/>
      <c r="Z92" s="96"/>
      <c r="AA92" s="96"/>
      <c r="AB92" s="96"/>
      <c r="AC92" s="96"/>
      <c r="AD92" s="96"/>
      <c r="AE92" s="96"/>
      <c r="AF92" s="150"/>
      <c r="AH92" s="96"/>
      <c r="AI92" s="96"/>
      <c r="AJ92" s="96"/>
      <c r="AK92" s="96"/>
      <c r="AL92" s="96"/>
      <c r="AM92" s="96"/>
      <c r="AN92" s="150"/>
      <c r="AQ92" s="85">
        <f t="shared" si="3"/>
        <v>0</v>
      </c>
      <c r="AR92" s="19"/>
      <c r="AS92"/>
      <c r="AT92" s="67">
        <f t="shared" si="4"/>
        <v>0</v>
      </c>
      <c r="AU92" s="67">
        <f t="shared" si="5"/>
        <v>0</v>
      </c>
      <c r="AV92" s="66"/>
      <c r="AW92" s="12"/>
      <c r="BS92" s="12">
        <v>1</v>
      </c>
      <c r="CK92"/>
      <c r="CX92">
        <v>67</v>
      </c>
    </row>
    <row r="93" spans="1:103" s="8" customFormat="1">
      <c r="A93" s="8">
        <v>68</v>
      </c>
      <c r="B93" s="8" t="s">
        <v>12</v>
      </c>
      <c r="C93" s="8" t="s">
        <v>65</v>
      </c>
      <c r="D93" s="8" t="s">
        <v>12</v>
      </c>
      <c r="E93" s="8" t="s">
        <v>77</v>
      </c>
      <c r="F93" s="8">
        <v>32</v>
      </c>
      <c r="G93" s="8">
        <v>32</v>
      </c>
      <c r="H93" s="8">
        <v>32</v>
      </c>
      <c r="I93" s="124">
        <v>1</v>
      </c>
      <c r="J93" s="95">
        <v>1</v>
      </c>
      <c r="K93" s="95">
        <v>1</v>
      </c>
      <c r="L93" s="95">
        <v>1</v>
      </c>
      <c r="M93" s="95">
        <v>1</v>
      </c>
      <c r="N93" s="95">
        <v>1</v>
      </c>
      <c r="O93" s="95">
        <v>1</v>
      </c>
      <c r="P93" s="125">
        <v>1</v>
      </c>
      <c r="Q93" s="124">
        <v>1</v>
      </c>
      <c r="R93" s="95">
        <v>1</v>
      </c>
      <c r="S93" s="95">
        <v>1</v>
      </c>
      <c r="T93" s="95">
        <v>1</v>
      </c>
      <c r="U93" s="95">
        <v>1</v>
      </c>
      <c r="V93" s="95">
        <v>1</v>
      </c>
      <c r="W93" s="95">
        <v>1</v>
      </c>
      <c r="X93" s="125">
        <v>1</v>
      </c>
      <c r="Y93" s="124">
        <v>1</v>
      </c>
      <c r="Z93" s="95">
        <v>1</v>
      </c>
      <c r="AA93" s="95">
        <v>1</v>
      </c>
      <c r="AB93" s="95">
        <v>1</v>
      </c>
      <c r="AC93" s="95">
        <v>1</v>
      </c>
      <c r="AD93" s="95">
        <v>1</v>
      </c>
      <c r="AE93" s="95">
        <v>1</v>
      </c>
      <c r="AF93" s="125">
        <v>1</v>
      </c>
      <c r="AG93" s="95">
        <v>1</v>
      </c>
      <c r="AH93" s="95">
        <v>1</v>
      </c>
      <c r="AI93" s="95">
        <v>1</v>
      </c>
      <c r="AJ93" s="95">
        <v>1</v>
      </c>
      <c r="AK93" s="95">
        <v>1</v>
      </c>
      <c r="AL93" s="95">
        <v>1</v>
      </c>
      <c r="AM93" s="95">
        <v>1</v>
      </c>
      <c r="AN93" s="125">
        <v>1</v>
      </c>
      <c r="AO93" s="95"/>
      <c r="AP93" s="11">
        <v>32</v>
      </c>
      <c r="AQ93" s="85">
        <f t="shared" si="3"/>
        <v>32</v>
      </c>
      <c r="AR93" s="102" t="s">
        <v>76</v>
      </c>
      <c r="AS93" s="8">
        <v>1</v>
      </c>
      <c r="AT93" s="67">
        <f t="shared" si="4"/>
        <v>0</v>
      </c>
      <c r="AU93" s="67">
        <f t="shared" si="5"/>
        <v>0</v>
      </c>
      <c r="AV93" s="8">
        <v>1</v>
      </c>
      <c r="AW93" s="13">
        <v>1</v>
      </c>
      <c r="AX93" s="13">
        <v>1</v>
      </c>
      <c r="AY93" s="13"/>
      <c r="AZ93" s="13">
        <v>1</v>
      </c>
      <c r="BA93" s="13">
        <v>1</v>
      </c>
      <c r="BB93" s="13">
        <v>1</v>
      </c>
      <c r="BC93" s="13"/>
      <c r="BD93" s="13"/>
      <c r="BE93" s="13"/>
      <c r="BF93" s="13"/>
      <c r="BG93" s="13"/>
      <c r="BH93" s="13"/>
      <c r="BI93" s="13"/>
      <c r="BJ93" s="13"/>
      <c r="BK93" s="13"/>
      <c r="BL93" s="13">
        <v>1</v>
      </c>
      <c r="BM93" s="13"/>
      <c r="BN93" s="13"/>
      <c r="BO93" s="13"/>
      <c r="BP93" s="13"/>
      <c r="BQ93" s="13">
        <v>1</v>
      </c>
      <c r="BR93" s="13"/>
      <c r="BS93" s="13">
        <v>1</v>
      </c>
      <c r="BT93" s="13"/>
      <c r="BU93" s="13"/>
      <c r="BV93" s="13">
        <v>1</v>
      </c>
      <c r="BW93" s="13"/>
      <c r="BX93" s="13"/>
      <c r="BY93" s="13"/>
      <c r="BZ93" s="13" t="s">
        <v>326</v>
      </c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X93" s="8">
        <v>68</v>
      </c>
    </row>
    <row r="94" spans="1:103">
      <c r="A94">
        <v>69</v>
      </c>
      <c r="B94" t="s">
        <v>13</v>
      </c>
      <c r="C94" t="s">
        <v>78</v>
      </c>
      <c r="D94" s="8" t="s">
        <v>359</v>
      </c>
      <c r="E94" s="67" t="s">
        <v>15</v>
      </c>
      <c r="F94">
        <v>22</v>
      </c>
      <c r="G94">
        <v>22</v>
      </c>
      <c r="H94">
        <v>22</v>
      </c>
      <c r="I94" s="149" t="s">
        <v>49</v>
      </c>
      <c r="J94" s="95" t="s">
        <v>49</v>
      </c>
      <c r="K94" s="95">
        <v>1</v>
      </c>
      <c r="L94" s="95">
        <v>1</v>
      </c>
      <c r="M94" s="95">
        <v>1</v>
      </c>
      <c r="N94" s="95">
        <v>1</v>
      </c>
      <c r="O94" s="95" t="s">
        <v>373</v>
      </c>
      <c r="P94" s="150" t="s">
        <v>373</v>
      </c>
      <c r="Q94" s="149" t="s">
        <v>373</v>
      </c>
      <c r="R94" s="95" t="s">
        <v>9</v>
      </c>
      <c r="S94" s="95">
        <v>1</v>
      </c>
      <c r="T94" s="95">
        <v>1</v>
      </c>
      <c r="U94" s="95">
        <v>1</v>
      </c>
      <c r="V94" s="95">
        <v>1</v>
      </c>
      <c r="W94" s="96" t="s">
        <v>49</v>
      </c>
      <c r="X94" s="150" t="s">
        <v>49</v>
      </c>
      <c r="Y94" s="149"/>
      <c r="Z94" s="96" t="s">
        <v>49</v>
      </c>
      <c r="AA94" s="95">
        <v>1</v>
      </c>
      <c r="AB94" s="95">
        <v>1</v>
      </c>
      <c r="AC94" s="95">
        <v>1</v>
      </c>
      <c r="AD94" s="95">
        <v>1</v>
      </c>
      <c r="AE94" s="95">
        <v>1</v>
      </c>
      <c r="AF94" s="125">
        <v>1</v>
      </c>
      <c r="AG94" s="95">
        <v>1</v>
      </c>
      <c r="AH94" s="95">
        <v>1</v>
      </c>
      <c r="AI94" s="95">
        <v>1</v>
      </c>
      <c r="AJ94" s="95">
        <v>1</v>
      </c>
      <c r="AK94" s="95">
        <v>1</v>
      </c>
      <c r="AL94" s="95">
        <v>1</v>
      </c>
      <c r="AM94" s="96" t="s">
        <v>49</v>
      </c>
      <c r="AN94" s="150"/>
      <c r="AO94" s="96">
        <v>16</v>
      </c>
      <c r="AP94" s="56">
        <v>7</v>
      </c>
      <c r="AQ94" s="85">
        <f>SUM(COUNTIF(I94:AN94,"1")+COUNTIF(I94:AN94,"*1*"))</f>
        <v>23</v>
      </c>
      <c r="AR94" s="19" t="s">
        <v>79</v>
      </c>
      <c r="AS94">
        <v>1</v>
      </c>
      <c r="AT94" s="67">
        <f t="shared" si="4"/>
        <v>0</v>
      </c>
      <c r="AU94" s="67">
        <f t="shared" si="5"/>
        <v>1</v>
      </c>
      <c r="AV94" s="66"/>
      <c r="AW94" s="12"/>
      <c r="BA94" s="12">
        <v>1</v>
      </c>
      <c r="CK94"/>
      <c r="CX94">
        <v>69</v>
      </c>
    </row>
    <row r="95" spans="1:103">
      <c r="A95">
        <v>70</v>
      </c>
      <c r="B95" t="s">
        <v>13</v>
      </c>
      <c r="C95" t="s">
        <v>80</v>
      </c>
      <c r="D95" s="8" t="s">
        <v>346</v>
      </c>
      <c r="E95" s="67" t="s">
        <v>15</v>
      </c>
      <c r="F95">
        <v>19</v>
      </c>
      <c r="G95">
        <v>20</v>
      </c>
      <c r="H95">
        <v>20</v>
      </c>
      <c r="I95" s="149"/>
      <c r="J95" s="96" t="s">
        <v>49</v>
      </c>
      <c r="K95" s="95" t="s">
        <v>49</v>
      </c>
      <c r="L95" s="95">
        <v>1</v>
      </c>
      <c r="M95" s="95">
        <v>1</v>
      </c>
      <c r="N95" s="95">
        <v>1</v>
      </c>
      <c r="O95" s="95">
        <v>1</v>
      </c>
      <c r="P95" s="125">
        <v>1</v>
      </c>
      <c r="Q95" s="124">
        <v>1</v>
      </c>
      <c r="R95" s="95">
        <v>1</v>
      </c>
      <c r="S95" s="95">
        <v>1</v>
      </c>
      <c r="T95" s="95">
        <v>1</v>
      </c>
      <c r="U95" s="95">
        <v>1</v>
      </c>
      <c r="V95" s="95" t="s">
        <v>49</v>
      </c>
      <c r="W95" s="96" t="s">
        <v>49</v>
      </c>
      <c r="X95" s="150"/>
      <c r="Y95" s="149"/>
      <c r="Z95" s="95" t="s">
        <v>49</v>
      </c>
      <c r="AA95" s="95" t="s">
        <v>49</v>
      </c>
      <c r="AB95" s="95">
        <v>1</v>
      </c>
      <c r="AC95" s="95">
        <v>1</v>
      </c>
      <c r="AD95" s="95">
        <v>1</v>
      </c>
      <c r="AE95" s="95">
        <v>1</v>
      </c>
      <c r="AF95" s="150" t="s">
        <v>9</v>
      </c>
      <c r="AG95" s="95">
        <v>1</v>
      </c>
      <c r="AH95" s="95">
        <v>1</v>
      </c>
      <c r="AI95" s="95">
        <v>1</v>
      </c>
      <c r="AJ95" s="95">
        <v>1</v>
      </c>
      <c r="AK95" s="95">
        <v>1</v>
      </c>
      <c r="AL95" s="95" t="s">
        <v>49</v>
      </c>
      <c r="AM95" s="96" t="s">
        <v>49</v>
      </c>
      <c r="AN95" s="150"/>
      <c r="AO95" s="96">
        <v>19</v>
      </c>
      <c r="AQ95" s="85">
        <f t="shared" si="3"/>
        <v>19</v>
      </c>
      <c r="AR95" s="19"/>
      <c r="AS95"/>
      <c r="AT95" s="67">
        <f t="shared" si="4"/>
        <v>0</v>
      </c>
      <c r="AU95" s="67">
        <f t="shared" si="5"/>
        <v>1</v>
      </c>
      <c r="AV95" s="66"/>
      <c r="AW95" s="12"/>
      <c r="BC95" s="12">
        <v>1</v>
      </c>
      <c r="CK95"/>
      <c r="CX95">
        <v>70</v>
      </c>
    </row>
    <row r="96" spans="1:103">
      <c r="A96" t="s">
        <v>82</v>
      </c>
      <c r="B96" t="s">
        <v>13</v>
      </c>
      <c r="C96" t="s">
        <v>55</v>
      </c>
      <c r="D96" s="8" t="s">
        <v>346</v>
      </c>
      <c r="E96" s="67" t="s">
        <v>15</v>
      </c>
      <c r="F96">
        <v>20</v>
      </c>
      <c r="G96">
        <v>20</v>
      </c>
      <c r="H96">
        <v>20</v>
      </c>
      <c r="I96" s="149"/>
      <c r="J96" s="96"/>
      <c r="K96" s="96"/>
      <c r="L96" s="95">
        <v>1</v>
      </c>
      <c r="M96" s="95">
        <v>1</v>
      </c>
      <c r="N96" s="95">
        <v>1</v>
      </c>
      <c r="O96" s="95">
        <v>1</v>
      </c>
      <c r="P96" s="125">
        <v>1</v>
      </c>
      <c r="Q96" s="124">
        <v>1</v>
      </c>
      <c r="R96" s="95">
        <v>1</v>
      </c>
      <c r="S96" s="95">
        <v>1</v>
      </c>
      <c r="T96" s="95">
        <v>1</v>
      </c>
      <c r="U96" s="95">
        <v>1</v>
      </c>
      <c r="V96" s="96"/>
      <c r="W96" s="96"/>
      <c r="X96" s="150"/>
      <c r="Y96" s="149"/>
      <c r="Z96" s="96"/>
      <c r="AA96" s="96"/>
      <c r="AB96" s="95">
        <v>1</v>
      </c>
      <c r="AC96" s="95">
        <v>1</v>
      </c>
      <c r="AD96" s="95">
        <v>1</v>
      </c>
      <c r="AE96" s="95">
        <v>1</v>
      </c>
      <c r="AF96" s="125">
        <v>1</v>
      </c>
      <c r="AG96" s="95">
        <v>1</v>
      </c>
      <c r="AH96" s="95">
        <v>1</v>
      </c>
      <c r="AI96" s="95">
        <v>1</v>
      </c>
      <c r="AJ96" s="95">
        <v>1</v>
      </c>
      <c r="AK96" s="95">
        <v>1</v>
      </c>
      <c r="AL96" s="96"/>
      <c r="AM96" s="96"/>
      <c r="AN96" s="150"/>
      <c r="AO96" s="96">
        <v>20</v>
      </c>
      <c r="AQ96" s="85">
        <f t="shared" si="3"/>
        <v>20</v>
      </c>
      <c r="AR96" s="19" t="s">
        <v>81</v>
      </c>
      <c r="AS96">
        <v>1</v>
      </c>
      <c r="AT96" s="67">
        <f t="shared" si="4"/>
        <v>0</v>
      </c>
      <c r="AU96" s="67">
        <f t="shared" si="5"/>
        <v>0</v>
      </c>
      <c r="AV96" s="66"/>
      <c r="AW96" s="12"/>
      <c r="BA96" s="12">
        <v>1</v>
      </c>
      <c r="CK96"/>
      <c r="CX96" t="s">
        <v>82</v>
      </c>
    </row>
    <row r="97" spans="1:103" s="8" customFormat="1">
      <c r="A97" s="8" t="s">
        <v>83</v>
      </c>
      <c r="B97" s="8" t="s">
        <v>13</v>
      </c>
      <c r="C97" s="8" t="s">
        <v>14</v>
      </c>
      <c r="D97" s="8" t="s">
        <v>345</v>
      </c>
      <c r="E97" s="67" t="s">
        <v>15</v>
      </c>
      <c r="I97" s="124"/>
      <c r="J97" s="95"/>
      <c r="K97" s="95"/>
      <c r="L97" s="95"/>
      <c r="M97" s="95"/>
      <c r="N97" s="95"/>
      <c r="O97" s="95"/>
      <c r="P97" s="125"/>
      <c r="Q97" s="124"/>
      <c r="R97" s="95"/>
      <c r="S97" s="95"/>
      <c r="T97" s="95"/>
      <c r="U97" s="95"/>
      <c r="V97" s="95"/>
      <c r="W97" s="95"/>
      <c r="X97" s="125"/>
      <c r="Y97" s="124"/>
      <c r="Z97" s="95"/>
      <c r="AA97" s="95"/>
      <c r="AB97" s="95"/>
      <c r="AC97" s="95"/>
      <c r="AD97" s="95"/>
      <c r="AE97" s="95"/>
      <c r="AF97" s="125"/>
      <c r="AG97" s="95"/>
      <c r="AH97" s="95"/>
      <c r="AI97" s="95"/>
      <c r="AJ97" s="95"/>
      <c r="AK97" s="95"/>
      <c r="AL97" s="95"/>
      <c r="AM97" s="95"/>
      <c r="AN97" s="125"/>
      <c r="AO97" s="95"/>
      <c r="AP97" s="11"/>
      <c r="AQ97" s="85">
        <f t="shared" si="3"/>
        <v>0</v>
      </c>
      <c r="AR97" s="102"/>
      <c r="AT97" s="67">
        <f t="shared" si="4"/>
        <v>0</v>
      </c>
      <c r="AU97" s="67">
        <f t="shared" si="5"/>
        <v>0</v>
      </c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 t="s">
        <v>209</v>
      </c>
      <c r="CF97" s="13"/>
      <c r="CG97" s="13" t="s">
        <v>209</v>
      </c>
      <c r="CH97" s="13"/>
      <c r="CI97" s="13"/>
      <c r="CJ97" s="13"/>
      <c r="CX97" s="8" t="s">
        <v>83</v>
      </c>
      <c r="CY97" s="8" t="s">
        <v>210</v>
      </c>
    </row>
    <row r="98" spans="1:103">
      <c r="A98" t="s">
        <v>84</v>
      </c>
      <c r="B98" t="s">
        <v>13</v>
      </c>
      <c r="C98" t="s">
        <v>85</v>
      </c>
      <c r="D98" s="58" t="s">
        <v>325</v>
      </c>
      <c r="E98" s="67" t="s">
        <v>15</v>
      </c>
      <c r="I98" s="149"/>
      <c r="J98" s="96"/>
      <c r="K98" s="96"/>
      <c r="L98" s="95"/>
      <c r="M98" s="95"/>
      <c r="N98" s="95"/>
      <c r="O98" s="95"/>
      <c r="P98" s="125"/>
      <c r="Q98" s="124"/>
      <c r="R98" s="95"/>
      <c r="S98" s="95"/>
      <c r="T98" s="95"/>
      <c r="U98" s="95"/>
      <c r="V98" s="96"/>
      <c r="W98" s="96"/>
      <c r="X98" s="150"/>
      <c r="Y98" s="149"/>
      <c r="Z98" s="96"/>
      <c r="AA98" s="96"/>
      <c r="AB98" s="95"/>
      <c r="AC98" s="95"/>
      <c r="AD98" s="95"/>
      <c r="AE98" s="95"/>
      <c r="AF98" s="125"/>
      <c r="AG98" s="95"/>
      <c r="AH98" s="95"/>
      <c r="AI98" s="95"/>
      <c r="AJ98" s="95"/>
      <c r="AK98" s="95"/>
      <c r="AL98" s="96"/>
      <c r="AM98" s="96"/>
      <c r="AN98" s="150"/>
      <c r="AQ98" s="85">
        <f t="shared" si="3"/>
        <v>0</v>
      </c>
      <c r="AR98" s="19"/>
      <c r="AS98"/>
      <c r="AT98" s="67">
        <f t="shared" si="4"/>
        <v>0</v>
      </c>
      <c r="AU98" s="67">
        <f t="shared" si="5"/>
        <v>0</v>
      </c>
      <c r="AV98" s="66"/>
      <c r="AW98" s="12"/>
      <c r="CK98"/>
      <c r="CX98" t="s">
        <v>84</v>
      </c>
    </row>
    <row r="99" spans="1:103">
      <c r="A99">
        <v>72</v>
      </c>
      <c r="B99" t="s">
        <v>12</v>
      </c>
      <c r="C99" t="s">
        <v>5</v>
      </c>
      <c r="D99" s="8" t="s">
        <v>42</v>
      </c>
      <c r="E99" t="s">
        <v>42</v>
      </c>
      <c r="F99">
        <v>28</v>
      </c>
      <c r="G99">
        <v>28</v>
      </c>
      <c r="H99">
        <v>31</v>
      </c>
      <c r="I99" s="149"/>
      <c r="J99" s="96">
        <v>1</v>
      </c>
      <c r="K99" s="96" t="s">
        <v>10</v>
      </c>
      <c r="L99" s="95">
        <v>1</v>
      </c>
      <c r="M99" s="95">
        <v>1</v>
      </c>
      <c r="N99" s="95">
        <v>1</v>
      </c>
      <c r="O99" s="95">
        <v>1</v>
      </c>
      <c r="P99" s="125">
        <v>1</v>
      </c>
      <c r="Q99" s="124">
        <v>1</v>
      </c>
      <c r="R99" s="95">
        <v>1</v>
      </c>
      <c r="S99" s="95">
        <v>1</v>
      </c>
      <c r="T99" s="95">
        <v>1</v>
      </c>
      <c r="U99" s="95" t="s">
        <v>10</v>
      </c>
      <c r="V99" s="95" t="s">
        <v>10</v>
      </c>
      <c r="W99" s="95">
        <v>1</v>
      </c>
      <c r="X99" s="125">
        <v>1</v>
      </c>
      <c r="Y99" s="124">
        <v>1</v>
      </c>
      <c r="Z99" s="95">
        <v>1</v>
      </c>
      <c r="AA99" s="95">
        <v>1</v>
      </c>
      <c r="AB99" s="95">
        <v>1</v>
      </c>
      <c r="AC99" s="95">
        <v>1</v>
      </c>
      <c r="AD99" s="95">
        <v>1</v>
      </c>
      <c r="AE99" s="95">
        <v>1</v>
      </c>
      <c r="AF99" s="125">
        <v>1</v>
      </c>
      <c r="AG99" s="95">
        <v>1</v>
      </c>
      <c r="AH99" s="95">
        <v>1</v>
      </c>
      <c r="AI99" s="95">
        <v>1</v>
      </c>
      <c r="AJ99" s="95">
        <v>1</v>
      </c>
      <c r="AK99" s="95">
        <v>1</v>
      </c>
      <c r="AL99" s="95">
        <v>1</v>
      </c>
      <c r="AM99" s="95">
        <v>1</v>
      </c>
      <c r="AN99" s="125">
        <v>1</v>
      </c>
      <c r="AO99" s="95"/>
      <c r="AP99" s="11">
        <v>28</v>
      </c>
      <c r="AQ99" s="85">
        <f t="shared" si="3"/>
        <v>28</v>
      </c>
      <c r="AR99" s="19" t="s">
        <v>86</v>
      </c>
      <c r="AS99"/>
      <c r="AT99" s="67">
        <f t="shared" si="4"/>
        <v>3</v>
      </c>
      <c r="AU99" s="67">
        <f t="shared" si="5"/>
        <v>0</v>
      </c>
      <c r="AV99" s="66"/>
      <c r="AW99" s="12">
        <v>1</v>
      </c>
      <c r="AX99" s="12">
        <v>1</v>
      </c>
      <c r="AY99" s="12">
        <v>1</v>
      </c>
      <c r="AZ99" s="12">
        <v>1</v>
      </c>
      <c r="BA99" s="12">
        <v>1</v>
      </c>
      <c r="BB99" s="12">
        <v>1</v>
      </c>
      <c r="BK99" s="12">
        <v>1</v>
      </c>
      <c r="BL99" s="12">
        <v>1</v>
      </c>
      <c r="BO99" s="12">
        <v>2</v>
      </c>
      <c r="BP99" s="12">
        <v>1</v>
      </c>
      <c r="BS99" s="12">
        <v>1</v>
      </c>
      <c r="BV99" s="12">
        <v>1</v>
      </c>
      <c r="BY99" s="12">
        <v>1</v>
      </c>
      <c r="BZ99" s="12" t="s">
        <v>328</v>
      </c>
      <c r="CH99" s="12">
        <v>1</v>
      </c>
      <c r="CK99"/>
      <c r="CX99">
        <v>72</v>
      </c>
    </row>
    <row r="100" spans="1:103">
      <c r="A100">
        <v>73</v>
      </c>
      <c r="B100" t="s">
        <v>12</v>
      </c>
      <c r="C100" t="s">
        <v>44</v>
      </c>
      <c r="D100" s="8" t="s">
        <v>349</v>
      </c>
      <c r="E100" t="s">
        <v>6</v>
      </c>
      <c r="F100">
        <v>7</v>
      </c>
      <c r="G100" t="s">
        <v>15</v>
      </c>
      <c r="H100" t="s">
        <v>15</v>
      </c>
      <c r="I100" s="149" t="s">
        <v>15</v>
      </c>
      <c r="J100" s="95" t="s">
        <v>10</v>
      </c>
      <c r="K100" s="95" t="s">
        <v>10</v>
      </c>
      <c r="L100" s="95" t="s">
        <v>10</v>
      </c>
      <c r="M100" s="95" t="s">
        <v>10</v>
      </c>
      <c r="N100" s="95">
        <v>1</v>
      </c>
      <c r="O100" s="95" t="s">
        <v>10</v>
      </c>
      <c r="P100" s="125" t="s">
        <v>10</v>
      </c>
      <c r="Q100" s="124" t="s">
        <v>10</v>
      </c>
      <c r="R100" s="95" t="s">
        <v>10</v>
      </c>
      <c r="S100" s="95" t="s">
        <v>10</v>
      </c>
      <c r="T100" s="95" t="s">
        <v>10</v>
      </c>
      <c r="U100" s="95" t="s">
        <v>10</v>
      </c>
      <c r="V100" s="95" t="s">
        <v>10</v>
      </c>
      <c r="W100" s="95" t="s">
        <v>10</v>
      </c>
      <c r="X100" s="150" t="s">
        <v>15</v>
      </c>
      <c r="Y100" s="149" t="s">
        <v>15</v>
      </c>
      <c r="Z100" s="95" t="s">
        <v>10</v>
      </c>
      <c r="AA100" s="95" t="s">
        <v>10</v>
      </c>
      <c r="AB100" s="95" t="s">
        <v>10</v>
      </c>
      <c r="AC100" s="95" t="s">
        <v>10</v>
      </c>
      <c r="AD100" s="95">
        <v>1</v>
      </c>
      <c r="AE100" s="95">
        <v>1</v>
      </c>
      <c r="AF100" s="125">
        <v>1</v>
      </c>
      <c r="AG100" s="96" t="s">
        <v>10</v>
      </c>
      <c r="AH100" s="95">
        <v>1</v>
      </c>
      <c r="AI100" s="95">
        <v>1</v>
      </c>
      <c r="AJ100" s="95">
        <v>1</v>
      </c>
      <c r="AK100" s="95" t="s">
        <v>10</v>
      </c>
      <c r="AL100" s="95" t="s">
        <v>10</v>
      </c>
      <c r="AM100" s="95" t="s">
        <v>10</v>
      </c>
      <c r="AN100" s="150" t="s">
        <v>15</v>
      </c>
      <c r="AP100" s="56">
        <v>7</v>
      </c>
      <c r="AQ100" s="85">
        <f t="shared" si="3"/>
        <v>7</v>
      </c>
      <c r="AR100" s="19"/>
      <c r="AS100"/>
      <c r="AT100" s="67">
        <f t="shared" si="4"/>
        <v>21</v>
      </c>
      <c r="AU100" s="67">
        <f t="shared" si="5"/>
        <v>0</v>
      </c>
      <c r="AV100" s="66"/>
      <c r="AW100" s="12">
        <v>1</v>
      </c>
      <c r="AY100" s="12">
        <v>1</v>
      </c>
      <c r="BE100" s="12">
        <v>1</v>
      </c>
      <c r="BK100" s="12">
        <v>1</v>
      </c>
      <c r="BV100" s="12">
        <v>1</v>
      </c>
      <c r="BW100" s="12">
        <v>1</v>
      </c>
      <c r="BY100" s="12">
        <v>1</v>
      </c>
      <c r="CK100"/>
      <c r="CX100">
        <v>73</v>
      </c>
    </row>
    <row r="101" spans="1:103">
      <c r="A101">
        <v>74</v>
      </c>
      <c r="B101" t="s">
        <v>12</v>
      </c>
      <c r="C101" t="s">
        <v>88</v>
      </c>
      <c r="D101" s="8" t="s">
        <v>12</v>
      </c>
      <c r="E101" t="s">
        <v>6</v>
      </c>
      <c r="F101">
        <v>31</v>
      </c>
      <c r="G101">
        <v>32</v>
      </c>
      <c r="H101">
        <v>32</v>
      </c>
      <c r="I101" s="124">
        <v>1</v>
      </c>
      <c r="J101" s="95">
        <v>1</v>
      </c>
      <c r="K101" s="95">
        <v>1</v>
      </c>
      <c r="L101" s="95">
        <v>1</v>
      </c>
      <c r="M101" s="95">
        <v>1</v>
      </c>
      <c r="N101" s="95">
        <v>1</v>
      </c>
      <c r="O101" s="95">
        <v>1</v>
      </c>
      <c r="P101" s="125">
        <v>1</v>
      </c>
      <c r="Q101" s="149" t="s">
        <v>9</v>
      </c>
      <c r="R101" s="95">
        <v>1</v>
      </c>
      <c r="S101" s="95">
        <v>1</v>
      </c>
      <c r="T101" s="95">
        <v>1</v>
      </c>
      <c r="U101" s="95">
        <v>1</v>
      </c>
      <c r="V101" s="95">
        <v>1</v>
      </c>
      <c r="W101" s="95">
        <v>1</v>
      </c>
      <c r="X101" s="125">
        <v>1</v>
      </c>
      <c r="Y101" s="124">
        <v>1</v>
      </c>
      <c r="Z101" s="95">
        <v>1</v>
      </c>
      <c r="AA101" s="95">
        <v>1</v>
      </c>
      <c r="AB101" s="95">
        <v>1</v>
      </c>
      <c r="AC101" s="95">
        <v>1</v>
      </c>
      <c r="AD101" s="95">
        <v>1</v>
      </c>
      <c r="AE101" s="95">
        <v>1</v>
      </c>
      <c r="AF101" s="125">
        <v>1</v>
      </c>
      <c r="AG101" s="95">
        <v>1</v>
      </c>
      <c r="AH101" s="95">
        <v>1</v>
      </c>
      <c r="AI101" s="95">
        <v>1</v>
      </c>
      <c r="AJ101" s="95">
        <v>1</v>
      </c>
      <c r="AK101" s="95">
        <v>1</v>
      </c>
      <c r="AL101" s="95">
        <v>1</v>
      </c>
      <c r="AM101" s="95">
        <v>1</v>
      </c>
      <c r="AN101" s="125">
        <v>1</v>
      </c>
      <c r="AO101" s="95"/>
      <c r="AP101" s="11">
        <v>31</v>
      </c>
      <c r="AQ101" s="85">
        <f t="shared" si="3"/>
        <v>31</v>
      </c>
      <c r="AR101" s="19" t="s">
        <v>87</v>
      </c>
      <c r="AS101"/>
      <c r="AT101" s="67">
        <f t="shared" si="4"/>
        <v>0</v>
      </c>
      <c r="AU101" s="67">
        <f t="shared" si="5"/>
        <v>1</v>
      </c>
      <c r="AV101" s="66"/>
      <c r="AW101" s="12"/>
      <c r="AZ101" s="12">
        <v>1</v>
      </c>
      <c r="BA101" s="12">
        <v>1</v>
      </c>
      <c r="BB101" s="12">
        <v>1</v>
      </c>
      <c r="BV101" s="12">
        <v>1</v>
      </c>
      <c r="BZ101" s="12" t="s">
        <v>326</v>
      </c>
      <c r="CK101"/>
      <c r="CX101">
        <v>74</v>
      </c>
    </row>
    <row r="102" spans="1:103" s="8" customFormat="1">
      <c r="A102" s="8">
        <v>75</v>
      </c>
      <c r="B102" s="8" t="s">
        <v>13</v>
      </c>
      <c r="C102" s="8" t="s">
        <v>14</v>
      </c>
      <c r="D102" s="8" t="s">
        <v>345</v>
      </c>
      <c r="E102" s="67" t="s">
        <v>15</v>
      </c>
      <c r="I102" s="124"/>
      <c r="J102" s="95"/>
      <c r="K102" s="95"/>
      <c r="L102" s="95"/>
      <c r="M102" s="95"/>
      <c r="N102" s="95"/>
      <c r="O102" s="95"/>
      <c r="P102" s="125"/>
      <c r="Q102" s="124"/>
      <c r="R102" s="95"/>
      <c r="S102" s="95"/>
      <c r="T102" s="95"/>
      <c r="U102" s="95"/>
      <c r="V102" s="95"/>
      <c r="W102" s="95"/>
      <c r="X102" s="125"/>
      <c r="Y102" s="124"/>
      <c r="Z102" s="95"/>
      <c r="AA102" s="95"/>
      <c r="AB102" s="95"/>
      <c r="AC102" s="95"/>
      <c r="AD102" s="95"/>
      <c r="AE102" s="95"/>
      <c r="AF102" s="125"/>
      <c r="AG102" s="95"/>
      <c r="AH102" s="95"/>
      <c r="AI102" s="95"/>
      <c r="AJ102" s="95"/>
      <c r="AK102" s="95"/>
      <c r="AL102" s="95"/>
      <c r="AM102" s="95"/>
      <c r="AN102" s="125"/>
      <c r="AO102" s="95"/>
      <c r="AP102" s="11"/>
      <c r="AQ102" s="85">
        <f t="shared" si="3"/>
        <v>0</v>
      </c>
      <c r="AR102" s="102"/>
      <c r="AT102" s="67">
        <f t="shared" si="4"/>
        <v>0</v>
      </c>
      <c r="AU102" s="67">
        <f t="shared" si="5"/>
        <v>0</v>
      </c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X102" s="8">
        <v>75</v>
      </c>
    </row>
    <row r="103" spans="1:103">
      <c r="A103">
        <v>76</v>
      </c>
      <c r="B103" t="s">
        <v>12</v>
      </c>
      <c r="C103" t="s">
        <v>73</v>
      </c>
      <c r="D103" s="8" t="s">
        <v>165</v>
      </c>
      <c r="E103" t="s">
        <v>42</v>
      </c>
      <c r="F103">
        <v>31</v>
      </c>
      <c r="G103">
        <v>31</v>
      </c>
      <c r="H103">
        <v>32</v>
      </c>
      <c r="I103" s="124">
        <v>1</v>
      </c>
      <c r="J103" s="95">
        <v>1</v>
      </c>
      <c r="K103" s="95">
        <v>1</v>
      </c>
      <c r="L103" s="95">
        <v>1</v>
      </c>
      <c r="M103" s="95">
        <v>1</v>
      </c>
      <c r="N103" s="95">
        <v>1</v>
      </c>
      <c r="O103" s="95">
        <v>1</v>
      </c>
      <c r="P103" s="125">
        <v>1</v>
      </c>
      <c r="Q103" s="124">
        <v>1</v>
      </c>
      <c r="R103" s="95">
        <v>1</v>
      </c>
      <c r="S103" s="95">
        <v>1</v>
      </c>
      <c r="T103" s="95">
        <v>1</v>
      </c>
      <c r="U103" s="95">
        <v>1</v>
      </c>
      <c r="V103" s="95">
        <v>1</v>
      </c>
      <c r="W103" s="95">
        <v>1</v>
      </c>
      <c r="X103" s="125">
        <v>1</v>
      </c>
      <c r="Y103" s="124">
        <v>1</v>
      </c>
      <c r="Z103" s="95">
        <v>1</v>
      </c>
      <c r="AA103" s="95">
        <v>1</v>
      </c>
      <c r="AB103" s="95">
        <v>1</v>
      </c>
      <c r="AC103" s="95">
        <v>1</v>
      </c>
      <c r="AD103" s="95">
        <v>1</v>
      </c>
      <c r="AE103" s="95">
        <v>1</v>
      </c>
      <c r="AF103" s="125">
        <v>1</v>
      </c>
      <c r="AG103" s="95">
        <v>1</v>
      </c>
      <c r="AH103" s="95">
        <v>1</v>
      </c>
      <c r="AI103" s="95">
        <v>1</v>
      </c>
      <c r="AJ103" s="95">
        <v>1</v>
      </c>
      <c r="AK103" s="95">
        <v>1</v>
      </c>
      <c r="AL103" s="95" t="s">
        <v>10</v>
      </c>
      <c r="AM103" s="95">
        <v>1</v>
      </c>
      <c r="AN103" s="125">
        <v>1</v>
      </c>
      <c r="AO103" s="95"/>
      <c r="AP103" s="11">
        <v>31</v>
      </c>
      <c r="AQ103" s="85">
        <f t="shared" si="3"/>
        <v>31</v>
      </c>
      <c r="AR103" s="19" t="s">
        <v>89</v>
      </c>
      <c r="AS103"/>
      <c r="AT103" s="67">
        <f t="shared" si="4"/>
        <v>1</v>
      </c>
      <c r="AU103" s="67">
        <f t="shared" si="5"/>
        <v>0</v>
      </c>
      <c r="AV103" s="66"/>
      <c r="AW103" s="12">
        <v>1</v>
      </c>
      <c r="CK103"/>
      <c r="CX103">
        <v>76</v>
      </c>
    </row>
    <row r="104" spans="1:103">
      <c r="A104">
        <v>77</v>
      </c>
      <c r="B104" t="s">
        <v>13</v>
      </c>
      <c r="C104" t="s">
        <v>78</v>
      </c>
      <c r="D104" s="8" t="s">
        <v>359</v>
      </c>
      <c r="E104" s="67" t="s">
        <v>15</v>
      </c>
      <c r="F104">
        <v>22</v>
      </c>
      <c r="G104">
        <v>22</v>
      </c>
      <c r="H104">
        <v>22</v>
      </c>
      <c r="I104" s="149"/>
      <c r="J104" s="95" t="s">
        <v>49</v>
      </c>
      <c r="K104" s="95">
        <v>1</v>
      </c>
      <c r="L104" s="95">
        <v>1</v>
      </c>
      <c r="M104" s="95">
        <v>1</v>
      </c>
      <c r="N104" s="95">
        <v>1</v>
      </c>
      <c r="O104" s="95">
        <v>1</v>
      </c>
      <c r="P104" s="125">
        <v>1</v>
      </c>
      <c r="Q104" s="124">
        <v>1</v>
      </c>
      <c r="R104" s="95">
        <v>1</v>
      </c>
      <c r="S104" s="95">
        <v>1</v>
      </c>
      <c r="T104" s="95">
        <v>1</v>
      </c>
      <c r="U104" s="95">
        <v>1</v>
      </c>
      <c r="V104" s="95">
        <v>1</v>
      </c>
      <c r="W104" s="95" t="s">
        <v>49</v>
      </c>
      <c r="X104" s="150"/>
      <c r="Y104" s="149"/>
      <c r="Z104" s="95" t="s">
        <v>49</v>
      </c>
      <c r="AA104" s="95">
        <v>1</v>
      </c>
      <c r="AB104" s="95">
        <v>1</v>
      </c>
      <c r="AC104" s="95">
        <v>1</v>
      </c>
      <c r="AD104" s="95">
        <v>1</v>
      </c>
      <c r="AE104" s="95" t="s">
        <v>49</v>
      </c>
      <c r="AF104" s="125">
        <v>1</v>
      </c>
      <c r="AG104" s="95">
        <v>1</v>
      </c>
      <c r="AH104" s="95" t="s">
        <v>49</v>
      </c>
      <c r="AI104" s="95">
        <v>1</v>
      </c>
      <c r="AJ104" s="95">
        <v>1</v>
      </c>
      <c r="AK104" s="95">
        <v>1</v>
      </c>
      <c r="AL104" s="95">
        <v>1</v>
      </c>
      <c r="AM104" s="95" t="s">
        <v>49</v>
      </c>
      <c r="AN104" s="150"/>
      <c r="AO104" s="96">
        <v>16</v>
      </c>
      <c r="AP104" s="56">
        <v>6</v>
      </c>
      <c r="AQ104" s="85">
        <f t="shared" si="3"/>
        <v>22</v>
      </c>
      <c r="AR104" s="19"/>
      <c r="AS104">
        <v>1</v>
      </c>
      <c r="AT104" s="67">
        <f t="shared" si="4"/>
        <v>0</v>
      </c>
      <c r="AU104" s="67">
        <f t="shared" si="5"/>
        <v>0</v>
      </c>
      <c r="AV104" s="66"/>
      <c r="AW104" s="12"/>
      <c r="BA104" s="12">
        <v>1</v>
      </c>
      <c r="CK104"/>
      <c r="CX104">
        <v>77</v>
      </c>
    </row>
    <row r="105" spans="1:103">
      <c r="A105">
        <v>78</v>
      </c>
      <c r="B105" t="s">
        <v>12</v>
      </c>
      <c r="C105" t="s">
        <v>40</v>
      </c>
      <c r="D105" s="8" t="s">
        <v>40</v>
      </c>
      <c r="E105" s="67" t="s">
        <v>15</v>
      </c>
      <c r="I105" s="149"/>
      <c r="J105" s="96"/>
      <c r="K105" s="96"/>
      <c r="L105" s="96"/>
      <c r="M105" s="96"/>
      <c r="N105" s="96"/>
      <c r="O105" s="96"/>
      <c r="P105" s="150"/>
      <c r="Q105" s="149"/>
      <c r="R105" s="96"/>
      <c r="S105" s="96"/>
      <c r="T105" s="96"/>
      <c r="U105" s="96"/>
      <c r="V105" s="96"/>
      <c r="W105" s="96"/>
      <c r="X105" s="150"/>
      <c r="Y105" s="149"/>
      <c r="Z105" s="96"/>
      <c r="AA105" s="96"/>
      <c r="AB105" s="96"/>
      <c r="AC105" s="96"/>
      <c r="AD105" s="96"/>
      <c r="AE105" s="96"/>
      <c r="AF105" s="150"/>
      <c r="AH105" s="96"/>
      <c r="AI105" s="96"/>
      <c r="AJ105" s="96"/>
      <c r="AK105" s="96"/>
      <c r="AL105" s="96"/>
      <c r="AM105" s="96"/>
      <c r="AN105" s="150"/>
      <c r="AQ105" s="85">
        <f t="shared" si="3"/>
        <v>0</v>
      </c>
      <c r="AR105" s="19"/>
      <c r="AS105"/>
      <c r="AT105" s="67">
        <f t="shared" si="4"/>
        <v>0</v>
      </c>
      <c r="AU105" s="67">
        <f t="shared" si="5"/>
        <v>0</v>
      </c>
      <c r="AV105" s="66"/>
      <c r="AW105" s="12"/>
      <c r="BK105" s="12">
        <v>1</v>
      </c>
      <c r="BL105" s="12">
        <v>1</v>
      </c>
      <c r="CK105"/>
      <c r="CN105">
        <v>1</v>
      </c>
      <c r="CX105">
        <v>78</v>
      </c>
    </row>
    <row r="106" spans="1:103">
      <c r="A106">
        <v>79</v>
      </c>
      <c r="B106" t="s">
        <v>12</v>
      </c>
      <c r="C106" t="s">
        <v>71</v>
      </c>
      <c r="D106" s="8" t="s">
        <v>366</v>
      </c>
      <c r="E106" t="s">
        <v>42</v>
      </c>
      <c r="F106">
        <v>30</v>
      </c>
      <c r="G106">
        <v>30</v>
      </c>
      <c r="H106">
        <v>30</v>
      </c>
      <c r="I106" s="149"/>
      <c r="J106" s="95">
        <v>1</v>
      </c>
      <c r="K106" s="95">
        <v>1</v>
      </c>
      <c r="L106" s="95">
        <v>1</v>
      </c>
      <c r="M106" s="95">
        <v>1</v>
      </c>
      <c r="N106" s="95">
        <v>1</v>
      </c>
      <c r="O106" s="95">
        <v>1</v>
      </c>
      <c r="P106" s="125">
        <v>1</v>
      </c>
      <c r="Q106" s="124">
        <v>1</v>
      </c>
      <c r="R106" s="95">
        <v>1</v>
      </c>
      <c r="S106" s="95">
        <v>1</v>
      </c>
      <c r="T106" s="95">
        <v>1</v>
      </c>
      <c r="U106" s="95">
        <v>1</v>
      </c>
      <c r="V106" s="95">
        <v>1</v>
      </c>
      <c r="W106" s="95">
        <v>1</v>
      </c>
      <c r="X106" s="150"/>
      <c r="Y106" s="124">
        <v>1</v>
      </c>
      <c r="Z106" s="95">
        <v>1</v>
      </c>
      <c r="AA106" s="95">
        <v>1</v>
      </c>
      <c r="AB106" s="95">
        <v>1</v>
      </c>
      <c r="AC106" s="95">
        <v>1</v>
      </c>
      <c r="AD106" s="95">
        <v>1</v>
      </c>
      <c r="AE106" s="95">
        <v>1</v>
      </c>
      <c r="AF106" s="125">
        <v>1</v>
      </c>
      <c r="AG106" s="95">
        <v>1</v>
      </c>
      <c r="AH106" s="95">
        <v>1</v>
      </c>
      <c r="AI106" s="95">
        <v>1</v>
      </c>
      <c r="AJ106" s="95">
        <v>1</v>
      </c>
      <c r="AK106" s="95">
        <v>1</v>
      </c>
      <c r="AL106" s="95">
        <v>1</v>
      </c>
      <c r="AM106" s="95">
        <v>1</v>
      </c>
      <c r="AN106" s="125">
        <v>1</v>
      </c>
      <c r="AO106" s="95"/>
      <c r="AP106" s="11">
        <v>30</v>
      </c>
      <c r="AQ106" s="85">
        <f t="shared" si="3"/>
        <v>30</v>
      </c>
      <c r="AR106" s="19" t="s">
        <v>90</v>
      </c>
      <c r="AS106">
        <v>1</v>
      </c>
      <c r="AT106" s="67">
        <f t="shared" si="4"/>
        <v>0</v>
      </c>
      <c r="AU106" s="67">
        <f t="shared" si="5"/>
        <v>0</v>
      </c>
      <c r="AV106" s="66"/>
      <c r="AW106" s="12"/>
      <c r="AX106" s="12">
        <v>1</v>
      </c>
      <c r="AZ106" s="12">
        <v>1</v>
      </c>
      <c r="BA106" s="12">
        <v>1</v>
      </c>
      <c r="BB106" s="12">
        <v>1</v>
      </c>
      <c r="BQ106" s="12">
        <v>2</v>
      </c>
      <c r="BS106" s="12">
        <v>1</v>
      </c>
      <c r="BV106" s="12">
        <v>1</v>
      </c>
      <c r="BY106" s="12">
        <v>1</v>
      </c>
      <c r="BZ106" s="12">
        <v>1</v>
      </c>
      <c r="CK106"/>
      <c r="CX106">
        <v>79</v>
      </c>
    </row>
    <row r="107" spans="1:103">
      <c r="A107">
        <v>80</v>
      </c>
      <c r="B107" t="s">
        <v>12</v>
      </c>
      <c r="C107" t="s">
        <v>91</v>
      </c>
      <c r="D107" s="8" t="s">
        <v>366</v>
      </c>
      <c r="E107" t="s">
        <v>42</v>
      </c>
      <c r="I107" s="149"/>
      <c r="J107" s="96"/>
      <c r="K107" s="96"/>
      <c r="L107" s="96"/>
      <c r="M107" s="96"/>
      <c r="N107" s="96"/>
      <c r="O107" s="96"/>
      <c r="P107" s="150"/>
      <c r="Q107" s="149"/>
      <c r="R107" s="96"/>
      <c r="S107" s="96"/>
      <c r="T107" s="96"/>
      <c r="U107" s="96"/>
      <c r="V107" s="96"/>
      <c r="W107" s="96"/>
      <c r="X107" s="150"/>
      <c r="Y107" s="149"/>
      <c r="Z107" s="96"/>
      <c r="AA107" s="96"/>
      <c r="AB107" s="96"/>
      <c r="AC107" s="96"/>
      <c r="AD107" s="96"/>
      <c r="AE107" s="96"/>
      <c r="AF107" s="150"/>
      <c r="AH107" s="96"/>
      <c r="AI107" s="96"/>
      <c r="AJ107" s="96"/>
      <c r="AK107" s="96"/>
      <c r="AL107" s="96"/>
      <c r="AM107" s="96"/>
      <c r="AN107" s="150"/>
      <c r="AQ107" s="85">
        <f t="shared" si="3"/>
        <v>0</v>
      </c>
      <c r="AR107" s="19"/>
      <c r="AS107"/>
      <c r="AT107" s="67">
        <f t="shared" si="4"/>
        <v>0</v>
      </c>
      <c r="AU107" s="67">
        <f t="shared" si="5"/>
        <v>0</v>
      </c>
      <c r="AV107" s="66"/>
      <c r="AW107" s="12"/>
      <c r="BK107" s="12">
        <v>1</v>
      </c>
      <c r="CK107"/>
      <c r="CX107">
        <v>80</v>
      </c>
    </row>
    <row r="108" spans="1:103" s="8" customFormat="1">
      <c r="A108" s="8">
        <v>81</v>
      </c>
      <c r="B108" s="8" t="s">
        <v>13</v>
      </c>
      <c r="C108" s="8" t="s">
        <v>17</v>
      </c>
      <c r="D108" s="8" t="s">
        <v>345</v>
      </c>
      <c r="E108" s="67" t="s">
        <v>15</v>
      </c>
      <c r="I108" s="124"/>
      <c r="J108" s="95"/>
      <c r="K108" s="95"/>
      <c r="L108" s="95"/>
      <c r="M108" s="95"/>
      <c r="N108" s="95"/>
      <c r="O108" s="95"/>
      <c r="P108" s="125"/>
      <c r="Q108" s="124"/>
      <c r="R108" s="95"/>
      <c r="S108" s="95"/>
      <c r="T108" s="95"/>
      <c r="U108" s="95"/>
      <c r="V108" s="95"/>
      <c r="W108" s="95"/>
      <c r="X108" s="125"/>
      <c r="Y108" s="124"/>
      <c r="Z108" s="95"/>
      <c r="AA108" s="95"/>
      <c r="AB108" s="95"/>
      <c r="AC108" s="95"/>
      <c r="AD108" s="95"/>
      <c r="AE108" s="95"/>
      <c r="AF108" s="125"/>
      <c r="AG108" s="95"/>
      <c r="AH108" s="95"/>
      <c r="AI108" s="95"/>
      <c r="AJ108" s="95"/>
      <c r="AK108" s="95"/>
      <c r="AL108" s="95"/>
      <c r="AM108" s="95"/>
      <c r="AN108" s="125"/>
      <c r="AO108" s="95"/>
      <c r="AP108" s="11"/>
      <c r="AQ108" s="85">
        <f t="shared" si="3"/>
        <v>0</v>
      </c>
      <c r="AR108" s="102"/>
      <c r="AT108" s="67">
        <f t="shared" si="4"/>
        <v>0</v>
      </c>
      <c r="AU108" s="67">
        <f t="shared" si="5"/>
        <v>0</v>
      </c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 t="s">
        <v>209</v>
      </c>
      <c r="CF108" s="13"/>
      <c r="CG108" s="13" t="s">
        <v>209</v>
      </c>
      <c r="CH108" s="13"/>
      <c r="CI108" s="13"/>
      <c r="CJ108" s="13"/>
      <c r="CX108" s="8">
        <v>81</v>
      </c>
      <c r="CY108" s="8" t="s">
        <v>210</v>
      </c>
    </row>
    <row r="109" spans="1:103" s="8" customFormat="1">
      <c r="A109" s="8">
        <v>82</v>
      </c>
      <c r="B109" s="8" t="s">
        <v>13</v>
      </c>
      <c r="C109" s="55" t="s">
        <v>56</v>
      </c>
      <c r="D109" s="8" t="s">
        <v>360</v>
      </c>
      <c r="E109" s="67" t="s">
        <v>15</v>
      </c>
      <c r="F109" s="8">
        <v>3</v>
      </c>
      <c r="G109" s="8">
        <v>8</v>
      </c>
      <c r="H109" s="8">
        <v>8</v>
      </c>
      <c r="I109" s="124"/>
      <c r="J109" s="95"/>
      <c r="K109" s="95" t="s">
        <v>49</v>
      </c>
      <c r="L109" s="95" t="s">
        <v>49</v>
      </c>
      <c r="M109" s="95" t="s">
        <v>49</v>
      </c>
      <c r="N109" s="95" t="s">
        <v>49</v>
      </c>
      <c r="O109" s="95" t="s">
        <v>9</v>
      </c>
      <c r="P109" s="125">
        <v>1</v>
      </c>
      <c r="Q109" s="124">
        <v>1</v>
      </c>
      <c r="R109" s="95">
        <v>1</v>
      </c>
      <c r="S109" s="95" t="s">
        <v>49</v>
      </c>
      <c r="T109" s="95" t="s">
        <v>49</v>
      </c>
      <c r="U109" s="95" t="s">
        <v>49</v>
      </c>
      <c r="V109" s="95" t="s">
        <v>49</v>
      </c>
      <c r="W109" s="95"/>
      <c r="X109" s="125"/>
      <c r="Y109" s="124"/>
      <c r="Z109" s="95"/>
      <c r="AA109" s="95" t="s">
        <v>49</v>
      </c>
      <c r="AB109" s="95" t="s">
        <v>49</v>
      </c>
      <c r="AC109" s="95" t="s">
        <v>49</v>
      </c>
      <c r="AD109" s="95" t="s">
        <v>49</v>
      </c>
      <c r="AE109" s="95" t="s">
        <v>9</v>
      </c>
      <c r="AF109" s="125" t="s">
        <v>9</v>
      </c>
      <c r="AG109" s="95" t="s">
        <v>9</v>
      </c>
      <c r="AH109" s="95" t="s">
        <v>9</v>
      </c>
      <c r="AI109" s="95" t="s">
        <v>49</v>
      </c>
      <c r="AJ109" s="95" t="s">
        <v>49</v>
      </c>
      <c r="AK109" s="95" t="s">
        <v>49</v>
      </c>
      <c r="AL109" s="95" t="s">
        <v>49</v>
      </c>
      <c r="AM109" s="95"/>
      <c r="AN109" s="125"/>
      <c r="AO109" s="95">
        <v>3</v>
      </c>
      <c r="AP109" s="11"/>
      <c r="AQ109" s="85">
        <f t="shared" si="3"/>
        <v>3</v>
      </c>
      <c r="AR109" s="102"/>
      <c r="AT109" s="67">
        <f t="shared" si="4"/>
        <v>0</v>
      </c>
      <c r="AU109" s="67">
        <f t="shared" si="5"/>
        <v>5</v>
      </c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 t="s">
        <v>209</v>
      </c>
      <c r="CF109" s="13"/>
      <c r="CG109" s="13" t="s">
        <v>209</v>
      </c>
      <c r="CH109" s="13"/>
      <c r="CI109" s="13"/>
      <c r="CJ109" s="13"/>
      <c r="CX109" s="8">
        <v>82</v>
      </c>
      <c r="CY109" s="8" t="s">
        <v>210</v>
      </c>
    </row>
    <row r="110" spans="1:103">
      <c r="A110">
        <v>83</v>
      </c>
      <c r="B110" t="s">
        <v>12</v>
      </c>
      <c r="C110" t="s">
        <v>92</v>
      </c>
      <c r="D110" s="8" t="s">
        <v>165</v>
      </c>
      <c r="E110" t="s">
        <v>77</v>
      </c>
      <c r="I110" s="149"/>
      <c r="J110" s="96"/>
      <c r="K110" s="96"/>
      <c r="L110" s="96"/>
      <c r="M110" s="96"/>
      <c r="N110" s="96"/>
      <c r="O110" s="96"/>
      <c r="P110" s="150"/>
      <c r="Q110" s="149"/>
      <c r="R110" s="96"/>
      <c r="S110" s="96"/>
      <c r="T110" s="96"/>
      <c r="U110" s="96"/>
      <c r="V110" s="96"/>
      <c r="W110" s="96"/>
      <c r="X110" s="150"/>
      <c r="Y110" s="149"/>
      <c r="Z110" s="96"/>
      <c r="AA110" s="96"/>
      <c r="AB110" s="96"/>
      <c r="AC110" s="96"/>
      <c r="AD110" s="96"/>
      <c r="AE110" s="96"/>
      <c r="AF110" s="150"/>
      <c r="AH110" s="96"/>
      <c r="AI110" s="96"/>
      <c r="AJ110" s="96"/>
      <c r="AK110" s="96"/>
      <c r="AL110" s="96"/>
      <c r="AM110" s="96"/>
      <c r="AN110" s="150"/>
      <c r="AQ110" s="85">
        <f t="shared" si="3"/>
        <v>0</v>
      </c>
      <c r="AR110" s="19"/>
      <c r="AS110"/>
      <c r="AT110" s="67">
        <f t="shared" si="4"/>
        <v>0</v>
      </c>
      <c r="AU110" s="67">
        <f t="shared" si="5"/>
        <v>0</v>
      </c>
      <c r="AV110" s="66"/>
      <c r="AW110" s="12"/>
      <c r="BV110" s="12">
        <v>1</v>
      </c>
      <c r="BY110" s="12">
        <v>1</v>
      </c>
      <c r="BZ110" s="12" t="s">
        <v>328</v>
      </c>
      <c r="CK110"/>
      <c r="CX110">
        <v>83</v>
      </c>
    </row>
    <row r="111" spans="1:103">
      <c r="A111">
        <v>84</v>
      </c>
      <c r="B111" t="s">
        <v>12</v>
      </c>
      <c r="C111" t="s">
        <v>5</v>
      </c>
      <c r="D111" s="8" t="s">
        <v>42</v>
      </c>
      <c r="E111" t="s">
        <v>42</v>
      </c>
      <c r="I111" s="149"/>
      <c r="J111" s="96"/>
      <c r="K111" s="96"/>
      <c r="L111" s="96"/>
      <c r="M111" s="96"/>
      <c r="N111" s="96"/>
      <c r="O111" s="96"/>
      <c r="P111" s="150"/>
      <c r="Q111" s="149"/>
      <c r="R111" s="96"/>
      <c r="S111" s="96"/>
      <c r="T111" s="96"/>
      <c r="U111" s="96"/>
      <c r="V111" s="96"/>
      <c r="W111" s="96"/>
      <c r="X111" s="150"/>
      <c r="Y111" s="149"/>
      <c r="Z111" s="96"/>
      <c r="AA111" s="96"/>
      <c r="AB111" s="96"/>
      <c r="AC111" s="96"/>
      <c r="AD111" s="96"/>
      <c r="AE111" s="96"/>
      <c r="AF111" s="150"/>
      <c r="AH111" s="96"/>
      <c r="AI111" s="96"/>
      <c r="AJ111" s="96"/>
      <c r="AK111" s="96"/>
      <c r="AL111" s="96"/>
      <c r="AM111" s="96"/>
      <c r="AN111" s="150"/>
      <c r="AQ111" s="85">
        <f t="shared" si="3"/>
        <v>0</v>
      </c>
      <c r="AR111" s="19"/>
      <c r="AS111"/>
      <c r="AT111" s="67">
        <f t="shared" si="4"/>
        <v>0</v>
      </c>
      <c r="AU111" s="67">
        <f t="shared" si="5"/>
        <v>0</v>
      </c>
      <c r="AV111" s="66"/>
      <c r="AW111" s="12"/>
      <c r="BK111" s="12">
        <v>1</v>
      </c>
      <c r="BQ111" s="12">
        <v>1</v>
      </c>
      <c r="BY111" s="12">
        <v>1</v>
      </c>
      <c r="CK111">
        <v>1</v>
      </c>
      <c r="CX111">
        <v>84</v>
      </c>
    </row>
    <row r="112" spans="1:103">
      <c r="A112">
        <v>85</v>
      </c>
      <c r="B112" t="s">
        <v>12</v>
      </c>
      <c r="C112" t="s">
        <v>93</v>
      </c>
      <c r="D112" s="8" t="s">
        <v>12</v>
      </c>
      <c r="E112" t="s">
        <v>6</v>
      </c>
      <c r="F112">
        <v>31</v>
      </c>
      <c r="G112">
        <v>31</v>
      </c>
      <c r="H112">
        <v>32</v>
      </c>
      <c r="I112" s="124">
        <v>1</v>
      </c>
      <c r="J112" s="95">
        <v>1</v>
      </c>
      <c r="K112" s="95">
        <v>1</v>
      </c>
      <c r="L112" s="95">
        <v>1</v>
      </c>
      <c r="M112" s="95">
        <v>1</v>
      </c>
      <c r="N112" s="95">
        <v>1</v>
      </c>
      <c r="O112" s="95">
        <v>1</v>
      </c>
      <c r="P112" s="125">
        <v>1</v>
      </c>
      <c r="Q112" s="124">
        <v>1</v>
      </c>
      <c r="R112" s="95">
        <v>1</v>
      </c>
      <c r="S112" s="95">
        <v>1</v>
      </c>
      <c r="T112" s="95">
        <v>1</v>
      </c>
      <c r="U112" s="95">
        <v>1</v>
      </c>
      <c r="V112" s="95">
        <v>1</v>
      </c>
      <c r="W112" s="95">
        <v>1</v>
      </c>
      <c r="X112" s="125">
        <v>1</v>
      </c>
      <c r="Y112" s="124">
        <v>1</v>
      </c>
      <c r="Z112" s="95">
        <v>1</v>
      </c>
      <c r="AA112" s="95">
        <v>1</v>
      </c>
      <c r="AB112" s="95" t="s">
        <v>10</v>
      </c>
      <c r="AC112" s="95">
        <v>1</v>
      </c>
      <c r="AD112" s="95">
        <v>1</v>
      </c>
      <c r="AE112" s="95">
        <v>1</v>
      </c>
      <c r="AF112" s="125">
        <v>1</v>
      </c>
      <c r="AG112" s="95">
        <v>1</v>
      </c>
      <c r="AH112" s="95">
        <v>1</v>
      </c>
      <c r="AI112" s="95">
        <v>1</v>
      </c>
      <c r="AJ112" s="95">
        <v>1</v>
      </c>
      <c r="AK112" s="95">
        <v>1</v>
      </c>
      <c r="AL112" s="95">
        <v>1</v>
      </c>
      <c r="AM112" s="95">
        <v>1</v>
      </c>
      <c r="AN112" s="125">
        <v>1</v>
      </c>
      <c r="AO112" s="95"/>
      <c r="AP112" s="11">
        <v>31</v>
      </c>
      <c r="AQ112" s="85">
        <f t="shared" si="3"/>
        <v>31</v>
      </c>
      <c r="AR112" s="19" t="s">
        <v>94</v>
      </c>
      <c r="AS112"/>
      <c r="AT112" s="67">
        <f t="shared" si="4"/>
        <v>1</v>
      </c>
      <c r="AU112" s="67">
        <f t="shared" si="5"/>
        <v>0</v>
      </c>
      <c r="AV112" s="66"/>
      <c r="AW112" s="12">
        <v>1</v>
      </c>
      <c r="AY112" s="12">
        <v>1</v>
      </c>
      <c r="AZ112" s="12">
        <v>1</v>
      </c>
      <c r="BA112" s="12">
        <v>1</v>
      </c>
      <c r="BB112" s="12">
        <v>1</v>
      </c>
      <c r="BJ112" s="12">
        <v>1</v>
      </c>
      <c r="BV112" s="12">
        <v>1</v>
      </c>
      <c r="CK112"/>
      <c r="CX112">
        <v>85</v>
      </c>
    </row>
    <row r="113" spans="1:103">
      <c r="A113">
        <v>86</v>
      </c>
      <c r="B113" t="s">
        <v>12</v>
      </c>
      <c r="C113" t="s">
        <v>44</v>
      </c>
      <c r="D113" s="8" t="s">
        <v>349</v>
      </c>
      <c r="E113" t="s">
        <v>6</v>
      </c>
      <c r="F113">
        <v>23</v>
      </c>
      <c r="G113" t="s">
        <v>15</v>
      </c>
      <c r="H113" t="s">
        <v>15</v>
      </c>
      <c r="I113" s="149"/>
      <c r="J113" s="95">
        <v>1</v>
      </c>
      <c r="K113" s="95">
        <v>1</v>
      </c>
      <c r="L113" s="95">
        <v>1</v>
      </c>
      <c r="M113" s="95">
        <v>1</v>
      </c>
      <c r="N113" s="95">
        <v>1</v>
      </c>
      <c r="O113" s="95">
        <v>1</v>
      </c>
      <c r="P113" s="125">
        <v>1</v>
      </c>
      <c r="Q113" s="149" t="s">
        <v>10</v>
      </c>
      <c r="R113" s="95">
        <v>1</v>
      </c>
      <c r="S113" s="95">
        <v>1</v>
      </c>
      <c r="T113" s="95">
        <v>1</v>
      </c>
      <c r="U113" s="95" t="s">
        <v>10</v>
      </c>
      <c r="V113" s="95">
        <v>1</v>
      </c>
      <c r="W113" s="95">
        <v>1</v>
      </c>
      <c r="X113" s="150" t="s">
        <v>15</v>
      </c>
      <c r="Y113" s="149" t="s">
        <v>15</v>
      </c>
      <c r="Z113" s="95" t="s">
        <v>10</v>
      </c>
      <c r="AA113" s="95">
        <v>1</v>
      </c>
      <c r="AB113" s="95">
        <v>1</v>
      </c>
      <c r="AC113" s="95">
        <v>1</v>
      </c>
      <c r="AD113" s="95">
        <v>1</v>
      </c>
      <c r="AE113" s="95">
        <v>1</v>
      </c>
      <c r="AF113" s="125">
        <v>1</v>
      </c>
      <c r="AG113" s="95">
        <v>1</v>
      </c>
      <c r="AH113" s="95">
        <v>1</v>
      </c>
      <c r="AI113" s="95">
        <v>1</v>
      </c>
      <c r="AJ113" s="95">
        <v>1</v>
      </c>
      <c r="AK113" s="95">
        <v>1</v>
      </c>
      <c r="AL113" s="96" t="s">
        <v>10</v>
      </c>
      <c r="AM113" s="96" t="s">
        <v>10</v>
      </c>
      <c r="AN113" s="150" t="s">
        <v>15</v>
      </c>
      <c r="AP113" s="56">
        <v>23</v>
      </c>
      <c r="AQ113" s="85">
        <f t="shared" si="3"/>
        <v>23</v>
      </c>
      <c r="AR113" s="19" t="s">
        <v>95</v>
      </c>
      <c r="AS113"/>
      <c r="AT113" s="67">
        <f t="shared" si="4"/>
        <v>5</v>
      </c>
      <c r="AU113" s="67">
        <f t="shared" si="5"/>
        <v>0</v>
      </c>
      <c r="AV113" s="66"/>
      <c r="AW113" s="12">
        <v>1</v>
      </c>
      <c r="AX113" s="12">
        <v>1</v>
      </c>
      <c r="AY113" s="12">
        <v>1</v>
      </c>
      <c r="AZ113" s="12">
        <v>1</v>
      </c>
      <c r="BA113" s="12">
        <v>1</v>
      </c>
      <c r="BB113" s="12">
        <v>1</v>
      </c>
      <c r="BD113" s="12">
        <v>1</v>
      </c>
      <c r="BK113" s="12">
        <v>1</v>
      </c>
      <c r="BQ113" s="12">
        <v>2</v>
      </c>
      <c r="BW113" s="12">
        <v>1</v>
      </c>
      <c r="BY113" s="12">
        <v>1</v>
      </c>
      <c r="CK113"/>
      <c r="CX113">
        <v>86</v>
      </c>
    </row>
    <row r="114" spans="1:103">
      <c r="A114">
        <v>87</v>
      </c>
      <c r="B114" t="s">
        <v>13</v>
      </c>
      <c r="C114" t="s">
        <v>96</v>
      </c>
      <c r="D114" s="8" t="s">
        <v>325</v>
      </c>
      <c r="E114" s="67" t="s">
        <v>15</v>
      </c>
      <c r="I114" s="149"/>
      <c r="J114" s="96"/>
      <c r="K114" s="96"/>
      <c r="L114" s="96"/>
      <c r="M114" s="96"/>
      <c r="N114" s="96"/>
      <c r="O114" s="96"/>
      <c r="P114" s="150"/>
      <c r="Q114" s="149"/>
      <c r="R114" s="96"/>
      <c r="S114" s="96"/>
      <c r="T114" s="96"/>
      <c r="U114" s="96"/>
      <c r="V114" s="96"/>
      <c r="W114" s="96"/>
      <c r="X114" s="150"/>
      <c r="Y114" s="149"/>
      <c r="Z114" s="96"/>
      <c r="AA114" s="96"/>
      <c r="AB114" s="96"/>
      <c r="AC114" s="96"/>
      <c r="AD114" s="96"/>
      <c r="AE114" s="96"/>
      <c r="AF114" s="150"/>
      <c r="AH114" s="96"/>
      <c r="AI114" s="96"/>
      <c r="AJ114" s="96"/>
      <c r="AK114" s="96"/>
      <c r="AL114" s="96"/>
      <c r="AM114" s="96"/>
      <c r="AN114" s="150"/>
      <c r="AQ114" s="85">
        <f t="shared" si="3"/>
        <v>0</v>
      </c>
      <c r="AR114" s="19"/>
      <c r="AS114"/>
      <c r="AT114" s="67">
        <f t="shared" si="4"/>
        <v>0</v>
      </c>
      <c r="AU114" s="67">
        <f t="shared" si="5"/>
        <v>0</v>
      </c>
      <c r="AV114" s="66"/>
      <c r="AW114" s="12"/>
      <c r="CK114"/>
      <c r="CX114">
        <v>87</v>
      </c>
    </row>
    <row r="115" spans="1:103">
      <c r="A115">
        <v>88</v>
      </c>
      <c r="B115" t="s">
        <v>13</v>
      </c>
      <c r="C115" t="s">
        <v>55</v>
      </c>
      <c r="D115" s="8" t="s">
        <v>346</v>
      </c>
      <c r="E115" s="67" t="s">
        <v>15</v>
      </c>
      <c r="F115">
        <v>20</v>
      </c>
      <c r="G115">
        <v>20</v>
      </c>
      <c r="H115">
        <v>20</v>
      </c>
      <c r="I115" s="149"/>
      <c r="J115" s="96"/>
      <c r="K115" s="96" t="s">
        <v>49</v>
      </c>
      <c r="L115" s="95">
        <v>1</v>
      </c>
      <c r="M115" s="95">
        <v>1</v>
      </c>
      <c r="N115" s="95">
        <v>1</v>
      </c>
      <c r="O115" s="95">
        <v>1</v>
      </c>
      <c r="P115" s="125">
        <v>1</v>
      </c>
      <c r="Q115" s="124">
        <v>1</v>
      </c>
      <c r="R115" s="95">
        <v>1</v>
      </c>
      <c r="S115" s="95">
        <v>1</v>
      </c>
      <c r="T115" s="95">
        <v>1</v>
      </c>
      <c r="U115" s="95">
        <v>1</v>
      </c>
      <c r="V115" s="95" t="s">
        <v>49</v>
      </c>
      <c r="W115" s="96"/>
      <c r="X115" s="150"/>
      <c r="Y115" s="149"/>
      <c r="Z115" s="96"/>
      <c r="AA115" s="96" t="s">
        <v>49</v>
      </c>
      <c r="AB115" s="95">
        <v>1</v>
      </c>
      <c r="AC115" s="95">
        <v>1</v>
      </c>
      <c r="AD115" s="95">
        <v>1</v>
      </c>
      <c r="AE115" s="95">
        <v>1</v>
      </c>
      <c r="AF115" s="125">
        <v>1</v>
      </c>
      <c r="AG115" s="95">
        <v>1</v>
      </c>
      <c r="AH115" s="95">
        <v>1</v>
      </c>
      <c r="AI115" s="95">
        <v>1</v>
      </c>
      <c r="AJ115" s="95">
        <v>1</v>
      </c>
      <c r="AK115" s="95">
        <v>1</v>
      </c>
      <c r="AL115" s="96" t="s">
        <v>49</v>
      </c>
      <c r="AM115" s="96"/>
      <c r="AN115" s="150"/>
      <c r="AO115" s="96">
        <v>20</v>
      </c>
      <c r="AQ115" s="85">
        <f t="shared" si="3"/>
        <v>20</v>
      </c>
      <c r="AR115" s="19"/>
      <c r="AS115">
        <v>1</v>
      </c>
      <c r="AT115" s="67">
        <f t="shared" si="4"/>
        <v>0</v>
      </c>
      <c r="AU115" s="67">
        <f t="shared" si="5"/>
        <v>0</v>
      </c>
      <c r="AV115" s="66"/>
      <c r="AW115" s="12"/>
      <c r="BC115" s="12">
        <v>1</v>
      </c>
      <c r="CK115"/>
      <c r="CX115">
        <v>88</v>
      </c>
    </row>
    <row r="116" spans="1:103">
      <c r="A116">
        <v>89</v>
      </c>
      <c r="B116" t="s">
        <v>13</v>
      </c>
      <c r="C116" t="s">
        <v>17</v>
      </c>
      <c r="D116" s="8" t="s">
        <v>345</v>
      </c>
      <c r="E116" s="67" t="s">
        <v>15</v>
      </c>
      <c r="I116" s="149"/>
      <c r="J116" s="96"/>
      <c r="K116" s="96"/>
      <c r="L116" s="96"/>
      <c r="M116" s="96"/>
      <c r="N116" s="96"/>
      <c r="O116" s="96"/>
      <c r="P116" s="150"/>
      <c r="Q116" s="149"/>
      <c r="R116" s="96"/>
      <c r="S116" s="96"/>
      <c r="T116" s="96"/>
      <c r="U116" s="96"/>
      <c r="V116" s="96"/>
      <c r="W116" s="96"/>
      <c r="X116" s="150"/>
      <c r="Y116" s="149"/>
      <c r="Z116" s="96"/>
      <c r="AA116" s="96"/>
      <c r="AB116" s="96"/>
      <c r="AC116" s="96"/>
      <c r="AD116" s="96"/>
      <c r="AE116" s="96"/>
      <c r="AF116" s="150"/>
      <c r="AH116" s="96"/>
      <c r="AI116" s="96"/>
      <c r="AJ116" s="96"/>
      <c r="AK116" s="96"/>
      <c r="AL116" s="96"/>
      <c r="AM116" s="96"/>
      <c r="AN116" s="150"/>
      <c r="AQ116" s="85">
        <f t="shared" si="3"/>
        <v>0</v>
      </c>
      <c r="AR116" s="19"/>
      <c r="AS116"/>
      <c r="AT116" s="67">
        <f t="shared" si="4"/>
        <v>0</v>
      </c>
      <c r="AU116" s="67">
        <f t="shared" si="5"/>
        <v>0</v>
      </c>
      <c r="AV116" s="66"/>
      <c r="AW116" s="12"/>
      <c r="CE116" s="12">
        <v>1</v>
      </c>
      <c r="CK116"/>
      <c r="CX116">
        <v>89</v>
      </c>
    </row>
    <row r="117" spans="1:103">
      <c r="A117">
        <v>90</v>
      </c>
      <c r="B117" t="s">
        <v>12</v>
      </c>
      <c r="C117" t="s">
        <v>91</v>
      </c>
      <c r="D117" s="8" t="s">
        <v>366</v>
      </c>
      <c r="E117" t="s">
        <v>42</v>
      </c>
      <c r="I117" s="149"/>
      <c r="J117" s="96"/>
      <c r="K117" s="96"/>
      <c r="L117" s="96"/>
      <c r="M117" s="96"/>
      <c r="N117" s="96"/>
      <c r="O117" s="96"/>
      <c r="P117" s="150"/>
      <c r="Q117" s="149"/>
      <c r="R117" s="96"/>
      <c r="S117" s="96"/>
      <c r="T117" s="96"/>
      <c r="U117" s="96"/>
      <c r="V117" s="96"/>
      <c r="W117" s="96"/>
      <c r="X117" s="150"/>
      <c r="Y117" s="149"/>
      <c r="Z117" s="96"/>
      <c r="AA117" s="96"/>
      <c r="AB117" s="96"/>
      <c r="AC117" s="96"/>
      <c r="AD117" s="96"/>
      <c r="AE117" s="96"/>
      <c r="AF117" s="150"/>
      <c r="AH117" s="96"/>
      <c r="AI117" s="96"/>
      <c r="AJ117" s="96"/>
      <c r="AK117" s="96"/>
      <c r="AL117" s="96"/>
      <c r="AM117" s="96"/>
      <c r="AN117" s="150"/>
      <c r="AQ117" s="85">
        <f t="shared" si="3"/>
        <v>0</v>
      </c>
      <c r="AR117" s="19"/>
      <c r="AS117"/>
      <c r="AT117" s="67">
        <f t="shared" si="4"/>
        <v>0</v>
      </c>
      <c r="AU117" s="67">
        <f t="shared" si="5"/>
        <v>0</v>
      </c>
      <c r="AV117" s="66"/>
      <c r="AW117" s="12"/>
      <c r="BK117" s="12">
        <v>1</v>
      </c>
      <c r="CK117"/>
      <c r="CX117">
        <v>90</v>
      </c>
    </row>
    <row r="118" spans="1:103">
      <c r="A118" t="s">
        <v>97</v>
      </c>
      <c r="B118" t="s">
        <v>12</v>
      </c>
      <c r="C118" t="s">
        <v>71</v>
      </c>
      <c r="D118" s="8" t="s">
        <v>366</v>
      </c>
      <c r="E118" t="s">
        <v>6</v>
      </c>
      <c r="I118" s="149"/>
      <c r="J118" s="96"/>
      <c r="K118" s="96"/>
      <c r="L118" s="96"/>
      <c r="M118" s="96"/>
      <c r="N118" s="96"/>
      <c r="O118" s="96"/>
      <c r="P118" s="150"/>
      <c r="Q118" s="149"/>
      <c r="R118" s="96"/>
      <c r="S118" s="96"/>
      <c r="T118" s="96"/>
      <c r="U118" s="96"/>
      <c r="V118" s="96"/>
      <c r="W118" s="96"/>
      <c r="X118" s="150"/>
      <c r="Y118" s="149"/>
      <c r="Z118" s="96"/>
      <c r="AA118" s="96"/>
      <c r="AB118" s="96"/>
      <c r="AC118" s="96"/>
      <c r="AD118" s="96"/>
      <c r="AE118" s="96"/>
      <c r="AF118" s="150"/>
      <c r="AH118" s="96"/>
      <c r="AI118" s="96"/>
      <c r="AJ118" s="96"/>
      <c r="AK118" s="96"/>
      <c r="AL118" s="96"/>
      <c r="AM118" s="96"/>
      <c r="AN118" s="150"/>
      <c r="AQ118" s="85">
        <f t="shared" si="3"/>
        <v>0</v>
      </c>
      <c r="AR118" s="19"/>
      <c r="AS118"/>
      <c r="AT118" s="67">
        <f t="shared" si="4"/>
        <v>0</v>
      </c>
      <c r="AU118" s="67">
        <f t="shared" si="5"/>
        <v>0</v>
      </c>
      <c r="AV118" s="66"/>
      <c r="AW118" s="12"/>
      <c r="BK118" s="12">
        <v>1</v>
      </c>
      <c r="CK118"/>
      <c r="CX118" t="s">
        <v>97</v>
      </c>
    </row>
    <row r="119" spans="1:103">
      <c r="A119" t="s">
        <v>98</v>
      </c>
      <c r="B119" t="s">
        <v>12</v>
      </c>
      <c r="C119" t="s">
        <v>40</v>
      </c>
      <c r="D119" s="8" t="s">
        <v>40</v>
      </c>
      <c r="E119" t="s">
        <v>42</v>
      </c>
      <c r="I119" s="149"/>
      <c r="J119" s="96"/>
      <c r="K119" s="96"/>
      <c r="L119" s="96"/>
      <c r="M119" s="96"/>
      <c r="N119" s="96"/>
      <c r="O119" s="96"/>
      <c r="P119" s="150"/>
      <c r="Q119" s="149"/>
      <c r="R119" s="96"/>
      <c r="S119" s="96"/>
      <c r="T119" s="96"/>
      <c r="U119" s="96"/>
      <c r="V119" s="96"/>
      <c r="W119" s="96"/>
      <c r="X119" s="150"/>
      <c r="Y119" s="149"/>
      <c r="Z119" s="96"/>
      <c r="AA119" s="96"/>
      <c r="AB119" s="96"/>
      <c r="AC119" s="96"/>
      <c r="AD119" s="96"/>
      <c r="AE119" s="96"/>
      <c r="AF119" s="150"/>
      <c r="AH119" s="96"/>
      <c r="AI119" s="96"/>
      <c r="AJ119" s="96"/>
      <c r="AK119" s="96"/>
      <c r="AL119" s="96"/>
      <c r="AM119" s="96"/>
      <c r="AN119" s="150"/>
      <c r="AQ119" s="85">
        <f t="shared" si="3"/>
        <v>0</v>
      </c>
      <c r="AR119" s="19"/>
      <c r="AS119"/>
      <c r="AT119" s="67">
        <f t="shared" si="4"/>
        <v>0</v>
      </c>
      <c r="AU119" s="67">
        <f t="shared" si="5"/>
        <v>0</v>
      </c>
      <c r="AV119" s="66"/>
      <c r="AW119" s="12"/>
      <c r="BS119" s="12">
        <v>1</v>
      </c>
      <c r="CK119"/>
      <c r="CX119" t="s">
        <v>98</v>
      </c>
    </row>
    <row r="120" spans="1:103">
      <c r="A120">
        <v>92</v>
      </c>
      <c r="B120" t="s">
        <v>13</v>
      </c>
      <c r="C120" t="s">
        <v>99</v>
      </c>
      <c r="D120" s="8" t="s">
        <v>346</v>
      </c>
      <c r="E120" s="67" t="s">
        <v>15</v>
      </c>
      <c r="I120" s="149"/>
      <c r="J120" s="96"/>
      <c r="K120" s="96"/>
      <c r="L120" s="96"/>
      <c r="M120" s="96"/>
      <c r="N120" s="96"/>
      <c r="O120" s="96"/>
      <c r="P120" s="150"/>
      <c r="Q120" s="149"/>
      <c r="R120" s="96"/>
      <c r="S120" s="96"/>
      <c r="T120" s="96"/>
      <c r="U120" s="96"/>
      <c r="V120" s="96"/>
      <c r="W120" s="96"/>
      <c r="X120" s="150"/>
      <c r="Y120" s="149"/>
      <c r="Z120" s="96"/>
      <c r="AA120" s="96"/>
      <c r="AB120" s="96"/>
      <c r="AC120" s="96"/>
      <c r="AD120" s="96"/>
      <c r="AE120" s="96"/>
      <c r="AF120" s="150"/>
      <c r="AH120" s="96"/>
      <c r="AI120" s="96"/>
      <c r="AJ120" s="96"/>
      <c r="AK120" s="96"/>
      <c r="AL120" s="96"/>
      <c r="AM120" s="96"/>
      <c r="AN120" s="150"/>
      <c r="AQ120" s="85">
        <f t="shared" si="3"/>
        <v>0</v>
      </c>
      <c r="AR120" s="19"/>
      <c r="AS120"/>
      <c r="AT120" s="67">
        <f t="shared" si="4"/>
        <v>0</v>
      </c>
      <c r="AU120" s="67">
        <f t="shared" si="5"/>
        <v>0</v>
      </c>
      <c r="AV120" s="66"/>
      <c r="AW120" s="12"/>
      <c r="CK120"/>
      <c r="CX120">
        <v>92</v>
      </c>
    </row>
    <row r="121" spans="1:103">
      <c r="A121">
        <v>93</v>
      </c>
      <c r="B121" t="s">
        <v>13</v>
      </c>
      <c r="C121" t="s">
        <v>63</v>
      </c>
      <c r="D121" s="8" t="s">
        <v>346</v>
      </c>
      <c r="E121" s="67" t="s">
        <v>15</v>
      </c>
      <c r="F121">
        <v>10</v>
      </c>
      <c r="G121">
        <v>16</v>
      </c>
      <c r="H121">
        <v>16</v>
      </c>
      <c r="I121" s="149"/>
      <c r="J121" s="96"/>
      <c r="K121" s="96" t="s">
        <v>49</v>
      </c>
      <c r="L121" s="96" t="s">
        <v>49</v>
      </c>
      <c r="M121" s="95">
        <v>1</v>
      </c>
      <c r="N121" s="95">
        <v>1</v>
      </c>
      <c r="O121" s="95">
        <v>1</v>
      </c>
      <c r="P121" s="125">
        <v>1</v>
      </c>
      <c r="Q121" s="124">
        <v>1</v>
      </c>
      <c r="R121" s="95">
        <v>1</v>
      </c>
      <c r="S121" s="95">
        <v>1</v>
      </c>
      <c r="T121" s="95">
        <v>1</v>
      </c>
      <c r="U121" s="95" t="s">
        <v>49</v>
      </c>
      <c r="V121" s="95" t="s">
        <v>49</v>
      </c>
      <c r="W121" s="96"/>
      <c r="X121" s="150"/>
      <c r="Y121" s="149"/>
      <c r="Z121" s="96"/>
      <c r="AA121" s="96" t="s">
        <v>49</v>
      </c>
      <c r="AB121" s="96" t="s">
        <v>49</v>
      </c>
      <c r="AC121" s="96">
        <v>1</v>
      </c>
      <c r="AD121" s="95" t="s">
        <v>9</v>
      </c>
      <c r="AE121" s="95" t="s">
        <v>9</v>
      </c>
      <c r="AF121" s="150" t="s">
        <v>9</v>
      </c>
      <c r="AG121" s="96" t="s">
        <v>9</v>
      </c>
      <c r="AH121" s="95" t="s">
        <v>9</v>
      </c>
      <c r="AI121" s="95" t="s">
        <v>9</v>
      </c>
      <c r="AJ121" s="95">
        <v>1</v>
      </c>
      <c r="AK121" s="95" t="s">
        <v>49</v>
      </c>
      <c r="AL121" s="95" t="s">
        <v>49</v>
      </c>
      <c r="AM121" s="96"/>
      <c r="AN121" s="150"/>
      <c r="AO121" s="96">
        <v>10</v>
      </c>
      <c r="AQ121" s="85">
        <f t="shared" si="3"/>
        <v>10</v>
      </c>
      <c r="AR121" s="19"/>
      <c r="AS121"/>
      <c r="AT121" s="67">
        <f t="shared" si="4"/>
        <v>0</v>
      </c>
      <c r="AU121" s="67">
        <f t="shared" si="5"/>
        <v>6</v>
      </c>
      <c r="AV121" s="66"/>
      <c r="AW121" s="12"/>
      <c r="CK121"/>
      <c r="CX121">
        <v>93</v>
      </c>
    </row>
    <row r="122" spans="1:103">
      <c r="A122">
        <v>94</v>
      </c>
      <c r="B122" t="s">
        <v>13</v>
      </c>
      <c r="C122" t="s">
        <v>100</v>
      </c>
      <c r="D122" s="8" t="s">
        <v>357</v>
      </c>
      <c r="E122" s="67" t="s">
        <v>15</v>
      </c>
      <c r="I122" s="149"/>
      <c r="J122" s="96"/>
      <c r="K122" s="96"/>
      <c r="L122" s="96"/>
      <c r="M122" s="96"/>
      <c r="N122" s="96"/>
      <c r="O122" s="96"/>
      <c r="P122" s="150"/>
      <c r="Q122" s="149"/>
      <c r="R122" s="96"/>
      <c r="S122" s="96"/>
      <c r="T122" s="96"/>
      <c r="U122" s="96"/>
      <c r="V122" s="96"/>
      <c r="W122" s="96"/>
      <c r="X122" s="150"/>
      <c r="Y122" s="149"/>
      <c r="Z122" s="96"/>
      <c r="AA122" s="96"/>
      <c r="AB122" s="96"/>
      <c r="AC122" s="96"/>
      <c r="AD122" s="96"/>
      <c r="AE122" s="96"/>
      <c r="AF122" s="150"/>
      <c r="AH122" s="96"/>
      <c r="AI122" s="96"/>
      <c r="AJ122" s="96"/>
      <c r="AK122" s="96"/>
      <c r="AL122" s="96"/>
      <c r="AM122" s="96"/>
      <c r="AN122" s="150"/>
      <c r="AQ122" s="85">
        <f t="shared" si="3"/>
        <v>0</v>
      </c>
      <c r="AR122" s="19"/>
      <c r="AS122"/>
      <c r="AT122" s="67">
        <f t="shared" si="4"/>
        <v>0</v>
      </c>
      <c r="AU122" s="67">
        <f t="shared" si="5"/>
        <v>0</v>
      </c>
      <c r="AV122" s="66"/>
      <c r="AW122" s="12"/>
      <c r="CK122"/>
      <c r="CX122">
        <v>94</v>
      </c>
    </row>
    <row r="123" spans="1:103">
      <c r="A123">
        <v>95</v>
      </c>
      <c r="B123" t="s">
        <v>13</v>
      </c>
      <c r="C123" t="s">
        <v>53</v>
      </c>
      <c r="D123" s="8" t="s">
        <v>346</v>
      </c>
      <c r="E123" s="67" t="s">
        <v>15</v>
      </c>
      <c r="F123">
        <v>23</v>
      </c>
      <c r="G123">
        <v>24</v>
      </c>
      <c r="H123">
        <v>24</v>
      </c>
      <c r="I123" s="149"/>
      <c r="J123" s="96" t="s">
        <v>49</v>
      </c>
      <c r="K123" s="95">
        <v>1</v>
      </c>
      <c r="L123" s="95">
        <v>1</v>
      </c>
      <c r="M123" s="95">
        <v>1</v>
      </c>
      <c r="N123" s="95">
        <v>1</v>
      </c>
      <c r="O123" s="95">
        <v>1</v>
      </c>
      <c r="P123" s="125">
        <v>1</v>
      </c>
      <c r="Q123" s="124">
        <v>1</v>
      </c>
      <c r="R123" s="95">
        <v>1</v>
      </c>
      <c r="S123" s="95">
        <v>1</v>
      </c>
      <c r="T123" s="95">
        <v>1</v>
      </c>
      <c r="U123" s="95">
        <v>1</v>
      </c>
      <c r="V123" s="95">
        <v>1</v>
      </c>
      <c r="W123" s="95" t="s">
        <v>49</v>
      </c>
      <c r="X123" s="150"/>
      <c r="Y123" s="149"/>
      <c r="Z123" s="95" t="s">
        <v>49</v>
      </c>
      <c r="AA123" s="96">
        <v>1</v>
      </c>
      <c r="AB123" s="96">
        <v>1</v>
      </c>
      <c r="AC123" s="96">
        <v>1</v>
      </c>
      <c r="AD123" s="95" t="s">
        <v>9</v>
      </c>
      <c r="AE123" s="96">
        <v>1</v>
      </c>
      <c r="AF123" s="150">
        <v>1</v>
      </c>
      <c r="AG123" s="96">
        <v>1</v>
      </c>
      <c r="AH123" s="96">
        <v>1</v>
      </c>
      <c r="AI123" s="96">
        <v>1</v>
      </c>
      <c r="AJ123" s="96">
        <v>1</v>
      </c>
      <c r="AK123" s="96">
        <v>1</v>
      </c>
      <c r="AL123" s="96">
        <v>1</v>
      </c>
      <c r="AM123" s="95" t="s">
        <v>49</v>
      </c>
      <c r="AN123" s="150"/>
      <c r="AO123" s="96">
        <v>19</v>
      </c>
      <c r="AP123" s="56">
        <v>4</v>
      </c>
      <c r="AQ123" s="85">
        <f t="shared" si="3"/>
        <v>23</v>
      </c>
      <c r="AR123" s="19" t="s">
        <v>101</v>
      </c>
      <c r="AS123"/>
      <c r="AT123" s="67">
        <f t="shared" si="4"/>
        <v>0</v>
      </c>
      <c r="AU123" s="67">
        <f t="shared" si="5"/>
        <v>1</v>
      </c>
      <c r="AV123" s="66"/>
      <c r="AW123" s="12">
        <v>1</v>
      </c>
      <c r="BA123" s="12">
        <v>1</v>
      </c>
      <c r="BB123" s="12">
        <v>1</v>
      </c>
      <c r="CK123"/>
      <c r="CX123">
        <v>95</v>
      </c>
    </row>
    <row r="124" spans="1:103">
      <c r="A124">
        <v>96</v>
      </c>
      <c r="B124" t="s">
        <v>12</v>
      </c>
      <c r="C124" t="s">
        <v>71</v>
      </c>
      <c r="D124" s="8" t="s">
        <v>366</v>
      </c>
      <c r="E124" t="s">
        <v>6</v>
      </c>
      <c r="I124" s="149"/>
      <c r="J124" s="96"/>
      <c r="K124" s="96"/>
      <c r="L124" s="96"/>
      <c r="M124" s="96"/>
      <c r="N124" s="96"/>
      <c r="O124" s="96"/>
      <c r="P124" s="150"/>
      <c r="Q124" s="149"/>
      <c r="R124" s="96"/>
      <c r="S124" s="96"/>
      <c r="T124" s="96"/>
      <c r="U124" s="96"/>
      <c r="V124" s="96"/>
      <c r="W124" s="96"/>
      <c r="X124" s="150"/>
      <c r="Y124" s="149"/>
      <c r="Z124" s="96"/>
      <c r="AA124" s="96"/>
      <c r="AB124" s="96"/>
      <c r="AC124" s="96"/>
      <c r="AD124" s="96"/>
      <c r="AE124" s="96"/>
      <c r="AF124" s="150"/>
      <c r="AH124" s="96"/>
      <c r="AI124" s="96"/>
      <c r="AJ124" s="96"/>
      <c r="AK124" s="96"/>
      <c r="AL124" s="96"/>
      <c r="AM124" s="96"/>
      <c r="AN124" s="150"/>
      <c r="AQ124" s="85">
        <f t="shared" si="3"/>
        <v>0</v>
      </c>
      <c r="AR124" s="19"/>
      <c r="AS124"/>
      <c r="AT124" s="67">
        <f t="shared" si="4"/>
        <v>0</v>
      </c>
      <c r="AU124" s="67">
        <f t="shared" si="5"/>
        <v>0</v>
      </c>
      <c r="AV124" s="66"/>
      <c r="AW124" s="12"/>
      <c r="BE124" s="12">
        <v>1</v>
      </c>
      <c r="BK124" s="12">
        <v>1</v>
      </c>
      <c r="BS124" s="12">
        <v>1</v>
      </c>
      <c r="BV124" s="12">
        <v>1</v>
      </c>
      <c r="BY124" s="12">
        <v>1</v>
      </c>
      <c r="CK124"/>
      <c r="CX124">
        <v>96</v>
      </c>
    </row>
    <row r="125" spans="1:103">
      <c r="A125">
        <v>97</v>
      </c>
      <c r="B125" t="s">
        <v>12</v>
      </c>
      <c r="C125" t="s">
        <v>44</v>
      </c>
      <c r="D125" s="8" t="s">
        <v>349</v>
      </c>
      <c r="E125" t="s">
        <v>42</v>
      </c>
      <c r="F125">
        <v>27</v>
      </c>
      <c r="G125">
        <v>27</v>
      </c>
      <c r="H125">
        <v>32</v>
      </c>
      <c r="I125" s="124">
        <v>1</v>
      </c>
      <c r="J125" s="95">
        <v>1</v>
      </c>
      <c r="K125" s="96" t="s">
        <v>10</v>
      </c>
      <c r="L125" s="95">
        <v>1</v>
      </c>
      <c r="M125" s="95">
        <v>1</v>
      </c>
      <c r="N125" s="95">
        <v>1</v>
      </c>
      <c r="O125" s="95">
        <v>1</v>
      </c>
      <c r="P125" s="125">
        <v>1</v>
      </c>
      <c r="Q125" s="124">
        <v>1</v>
      </c>
      <c r="R125" s="95">
        <v>1</v>
      </c>
      <c r="S125" s="95">
        <v>1</v>
      </c>
      <c r="T125" s="95">
        <v>1</v>
      </c>
      <c r="U125" s="95">
        <v>1</v>
      </c>
      <c r="V125" s="95">
        <v>1</v>
      </c>
      <c r="W125" s="95">
        <v>1</v>
      </c>
      <c r="X125" s="125">
        <v>1</v>
      </c>
      <c r="Y125" s="149" t="s">
        <v>10</v>
      </c>
      <c r="Z125" s="95" t="s">
        <v>10</v>
      </c>
      <c r="AA125" s="96">
        <v>1</v>
      </c>
      <c r="AB125" s="96">
        <v>1</v>
      </c>
      <c r="AC125" s="96">
        <v>1</v>
      </c>
      <c r="AD125" s="96">
        <v>1</v>
      </c>
      <c r="AE125" s="96">
        <v>1</v>
      </c>
      <c r="AF125" s="150">
        <v>1</v>
      </c>
      <c r="AG125" s="96">
        <v>1</v>
      </c>
      <c r="AH125" s="96">
        <v>1</v>
      </c>
      <c r="AI125" s="96">
        <v>1</v>
      </c>
      <c r="AJ125" s="96">
        <v>1</v>
      </c>
      <c r="AK125" s="96">
        <v>1</v>
      </c>
      <c r="AL125" s="96">
        <v>1</v>
      </c>
      <c r="AM125" s="95" t="s">
        <v>10</v>
      </c>
      <c r="AN125" s="150" t="s">
        <v>10</v>
      </c>
      <c r="AP125" s="56">
        <v>27</v>
      </c>
      <c r="AQ125" s="85">
        <f t="shared" si="3"/>
        <v>27</v>
      </c>
      <c r="AR125" s="19" t="s">
        <v>45</v>
      </c>
      <c r="AS125"/>
      <c r="AT125" s="67">
        <f t="shared" si="4"/>
        <v>5</v>
      </c>
      <c r="AU125" s="67">
        <f t="shared" si="5"/>
        <v>0</v>
      </c>
      <c r="AV125" s="66"/>
      <c r="AW125" s="12">
        <v>1</v>
      </c>
      <c r="AX125" s="12">
        <v>1</v>
      </c>
      <c r="AY125" s="12">
        <v>1</v>
      </c>
      <c r="BA125" s="12">
        <v>1</v>
      </c>
      <c r="BB125" s="12">
        <v>1</v>
      </c>
      <c r="BE125" s="12">
        <v>1</v>
      </c>
      <c r="BK125" s="12">
        <v>1</v>
      </c>
      <c r="BO125" s="12">
        <v>2</v>
      </c>
      <c r="BQ125" s="12">
        <v>1</v>
      </c>
      <c r="BS125" s="12">
        <v>1</v>
      </c>
      <c r="BV125" s="12">
        <v>1</v>
      </c>
      <c r="BW125" s="12">
        <v>1</v>
      </c>
      <c r="BY125" s="12">
        <v>1</v>
      </c>
      <c r="BZ125" s="12">
        <v>1</v>
      </c>
      <c r="CK125"/>
      <c r="CX125">
        <v>97</v>
      </c>
      <c r="CY125" t="s">
        <v>212</v>
      </c>
    </row>
    <row r="126" spans="1:103">
      <c r="A126">
        <v>98</v>
      </c>
      <c r="B126" t="s">
        <v>12</v>
      </c>
      <c r="C126" t="s">
        <v>62</v>
      </c>
      <c r="D126" s="8" t="s">
        <v>42</v>
      </c>
      <c r="E126" t="s">
        <v>42</v>
      </c>
      <c r="F126">
        <v>10</v>
      </c>
      <c r="G126" t="s">
        <v>15</v>
      </c>
      <c r="H126" t="s">
        <v>15</v>
      </c>
      <c r="I126" s="149"/>
      <c r="J126" s="96"/>
      <c r="K126" s="96"/>
      <c r="L126" s="96"/>
      <c r="M126" s="96"/>
      <c r="N126" s="96"/>
      <c r="O126" s="96"/>
      <c r="P126" s="150"/>
      <c r="Q126" s="149"/>
      <c r="R126" s="96"/>
      <c r="S126" s="96"/>
      <c r="T126" s="96"/>
      <c r="U126" s="96"/>
      <c r="V126" s="96"/>
      <c r="W126" s="96"/>
      <c r="X126" s="150"/>
      <c r="Y126" s="149"/>
      <c r="Z126" s="96"/>
      <c r="AA126" s="96"/>
      <c r="AB126" s="96"/>
      <c r="AC126" s="96"/>
      <c r="AD126" s="95" t="s">
        <v>9</v>
      </c>
      <c r="AE126" s="96">
        <v>1</v>
      </c>
      <c r="AF126" s="150">
        <v>1</v>
      </c>
      <c r="AG126" s="96">
        <v>1</v>
      </c>
      <c r="AH126" s="96">
        <v>1</v>
      </c>
      <c r="AI126" s="96">
        <v>1</v>
      </c>
      <c r="AJ126" s="96">
        <v>1</v>
      </c>
      <c r="AK126" s="96">
        <v>1</v>
      </c>
      <c r="AL126" s="96">
        <v>1</v>
      </c>
      <c r="AM126" s="96">
        <v>1</v>
      </c>
      <c r="AN126" s="150">
        <v>1</v>
      </c>
      <c r="AP126" s="56">
        <v>10</v>
      </c>
      <c r="AQ126" s="85">
        <f t="shared" si="3"/>
        <v>10</v>
      </c>
      <c r="AR126" s="19" t="s">
        <v>102</v>
      </c>
      <c r="AS126"/>
      <c r="AT126" s="67">
        <f t="shared" si="4"/>
        <v>0</v>
      </c>
      <c r="AU126" s="67">
        <f t="shared" si="5"/>
        <v>1</v>
      </c>
      <c r="AV126" s="66"/>
      <c r="AW126" s="12">
        <v>1</v>
      </c>
      <c r="AX126" s="12">
        <v>1</v>
      </c>
      <c r="AZ126" s="12">
        <v>1</v>
      </c>
      <c r="BA126" s="12">
        <v>1</v>
      </c>
      <c r="BB126" s="12">
        <v>1</v>
      </c>
      <c r="BD126" s="12">
        <v>1</v>
      </c>
      <c r="BE126" s="12">
        <v>1</v>
      </c>
      <c r="BQ126" s="12">
        <v>3</v>
      </c>
      <c r="BV126" s="12">
        <v>1</v>
      </c>
      <c r="BW126" s="12">
        <v>1</v>
      </c>
      <c r="BY126" s="12">
        <v>1</v>
      </c>
      <c r="BZ126" s="12" t="s">
        <v>209</v>
      </c>
      <c r="CK126"/>
      <c r="CX126">
        <v>98</v>
      </c>
    </row>
    <row r="127" spans="1:103">
      <c r="A127">
        <v>99</v>
      </c>
      <c r="B127" t="s">
        <v>13</v>
      </c>
      <c r="C127" t="s">
        <v>103</v>
      </c>
      <c r="D127" s="8" t="s">
        <v>357</v>
      </c>
      <c r="E127" t="s">
        <v>6</v>
      </c>
      <c r="I127" s="149"/>
      <c r="J127" s="96"/>
      <c r="K127" s="96"/>
      <c r="L127" s="96"/>
      <c r="M127" s="96"/>
      <c r="N127" s="96"/>
      <c r="O127" s="96"/>
      <c r="P127" s="150"/>
      <c r="Q127" s="149"/>
      <c r="R127" s="96"/>
      <c r="S127" s="96"/>
      <c r="T127" s="96"/>
      <c r="U127" s="96"/>
      <c r="V127" s="96"/>
      <c r="W127" s="96"/>
      <c r="X127" s="150"/>
      <c r="Y127" s="149"/>
      <c r="Z127" s="96"/>
      <c r="AA127" s="96"/>
      <c r="AB127" s="96"/>
      <c r="AC127" s="96"/>
      <c r="AD127" s="96"/>
      <c r="AE127" s="96"/>
      <c r="AF127" s="150"/>
      <c r="AH127" s="96"/>
      <c r="AI127" s="96"/>
      <c r="AJ127" s="96"/>
      <c r="AK127" s="96"/>
      <c r="AL127" s="96"/>
      <c r="AM127" s="96"/>
      <c r="AN127" s="150"/>
      <c r="AQ127" s="85">
        <f t="shared" si="3"/>
        <v>0</v>
      </c>
      <c r="AR127" s="19"/>
      <c r="AS127"/>
      <c r="AT127" s="67">
        <f t="shared" si="4"/>
        <v>0</v>
      </c>
      <c r="AU127" s="67">
        <f t="shared" si="5"/>
        <v>0</v>
      </c>
      <c r="AV127" s="66"/>
      <c r="AW127" s="12"/>
      <c r="BV127" s="12">
        <v>1</v>
      </c>
      <c r="CK127"/>
      <c r="CX127">
        <v>99</v>
      </c>
    </row>
    <row r="128" spans="1:103">
      <c r="A128">
        <v>100</v>
      </c>
      <c r="B128" t="s">
        <v>12</v>
      </c>
      <c r="C128" t="s">
        <v>62</v>
      </c>
      <c r="D128" s="8" t="s">
        <v>42</v>
      </c>
      <c r="E128" t="s">
        <v>77</v>
      </c>
      <c r="F128">
        <v>32</v>
      </c>
      <c r="G128">
        <v>32</v>
      </c>
      <c r="H128">
        <v>32</v>
      </c>
      <c r="I128" s="124">
        <v>1</v>
      </c>
      <c r="J128" s="95">
        <v>1</v>
      </c>
      <c r="K128" s="95">
        <v>1</v>
      </c>
      <c r="L128" s="95">
        <v>1</v>
      </c>
      <c r="M128" s="95">
        <v>1</v>
      </c>
      <c r="N128" s="95">
        <v>1</v>
      </c>
      <c r="O128" s="95">
        <v>1</v>
      </c>
      <c r="P128" s="125">
        <v>1</v>
      </c>
      <c r="Q128" s="124">
        <v>1</v>
      </c>
      <c r="R128" s="95">
        <v>1</v>
      </c>
      <c r="S128" s="95">
        <v>1</v>
      </c>
      <c r="T128" s="95">
        <v>1</v>
      </c>
      <c r="U128" s="95">
        <v>1</v>
      </c>
      <c r="V128" s="95">
        <v>1</v>
      </c>
      <c r="W128" s="95">
        <v>1</v>
      </c>
      <c r="X128" s="125">
        <v>1</v>
      </c>
      <c r="Y128" s="124">
        <v>1</v>
      </c>
      <c r="Z128" s="95">
        <v>1</v>
      </c>
      <c r="AA128" s="95">
        <v>1</v>
      </c>
      <c r="AB128" s="95">
        <v>1</v>
      </c>
      <c r="AC128" s="95">
        <v>1</v>
      </c>
      <c r="AD128" s="95">
        <v>1</v>
      </c>
      <c r="AE128" s="95">
        <v>1</v>
      </c>
      <c r="AF128" s="125">
        <v>1</v>
      </c>
      <c r="AG128" s="95">
        <v>1</v>
      </c>
      <c r="AH128" s="95">
        <v>1</v>
      </c>
      <c r="AI128" s="95">
        <v>1</v>
      </c>
      <c r="AJ128" s="95">
        <v>1</v>
      </c>
      <c r="AK128" s="95">
        <v>1</v>
      </c>
      <c r="AL128" s="95">
        <v>1</v>
      </c>
      <c r="AM128" s="95">
        <v>1</v>
      </c>
      <c r="AN128" s="125">
        <v>1</v>
      </c>
      <c r="AO128" s="95"/>
      <c r="AP128" s="11">
        <v>32</v>
      </c>
      <c r="AQ128" s="85">
        <f t="shared" si="3"/>
        <v>32</v>
      </c>
      <c r="AR128" s="19" t="s">
        <v>104</v>
      </c>
      <c r="AS128">
        <v>1</v>
      </c>
      <c r="AT128" s="67">
        <f t="shared" si="4"/>
        <v>0</v>
      </c>
      <c r="AU128" s="67">
        <f t="shared" si="5"/>
        <v>0</v>
      </c>
      <c r="AV128" s="66">
        <v>1</v>
      </c>
      <c r="AW128" s="12">
        <v>1</v>
      </c>
      <c r="AX128" s="12">
        <v>1</v>
      </c>
      <c r="BA128" s="12">
        <v>1</v>
      </c>
      <c r="BB128" s="12">
        <v>1</v>
      </c>
      <c r="BG128" s="12">
        <v>1</v>
      </c>
      <c r="BV128" s="12">
        <v>1</v>
      </c>
      <c r="BW128" s="12">
        <v>1</v>
      </c>
      <c r="BY128" s="12">
        <v>1</v>
      </c>
      <c r="CK128"/>
      <c r="CX128">
        <v>100</v>
      </c>
    </row>
    <row r="129" spans="1:102">
      <c r="A129">
        <v>101</v>
      </c>
      <c r="B129" t="s">
        <v>13</v>
      </c>
      <c r="C129" t="s">
        <v>105</v>
      </c>
      <c r="D129" s="8" t="s">
        <v>359</v>
      </c>
      <c r="E129" s="67" t="s">
        <v>15</v>
      </c>
      <c r="I129" s="149"/>
      <c r="J129" s="96"/>
      <c r="K129" s="96"/>
      <c r="L129" s="96"/>
      <c r="M129" s="96"/>
      <c r="N129" s="96"/>
      <c r="O129" s="96"/>
      <c r="P129" s="150"/>
      <c r="Q129" s="149"/>
      <c r="R129" s="96"/>
      <c r="S129" s="96"/>
      <c r="T129" s="96"/>
      <c r="U129" s="96"/>
      <c r="V129" s="96"/>
      <c r="W129" s="96"/>
      <c r="X129" s="150"/>
      <c r="Y129" s="149"/>
      <c r="Z129" s="96"/>
      <c r="AA129" s="96"/>
      <c r="AB129" s="96"/>
      <c r="AC129" s="96"/>
      <c r="AD129" s="96"/>
      <c r="AE129" s="96"/>
      <c r="AF129" s="150"/>
      <c r="AH129" s="96"/>
      <c r="AI129" s="96"/>
      <c r="AJ129" s="96"/>
      <c r="AK129" s="96"/>
      <c r="AL129" s="96"/>
      <c r="AM129" s="96"/>
      <c r="AN129" s="150"/>
      <c r="AQ129" s="85">
        <f t="shared" si="3"/>
        <v>0</v>
      </c>
      <c r="AR129" s="19"/>
      <c r="AS129"/>
      <c r="AT129" s="67">
        <f t="shared" si="4"/>
        <v>0</v>
      </c>
      <c r="AU129" s="67">
        <f t="shared" si="5"/>
        <v>0</v>
      </c>
      <c r="AV129" s="66"/>
      <c r="AW129" s="12"/>
      <c r="CK129"/>
      <c r="CX129">
        <v>101</v>
      </c>
    </row>
    <row r="130" spans="1:102">
      <c r="A130">
        <v>102</v>
      </c>
      <c r="B130" t="s">
        <v>13</v>
      </c>
      <c r="C130" t="s">
        <v>78</v>
      </c>
      <c r="D130" s="8" t="s">
        <v>359</v>
      </c>
      <c r="E130" s="67" t="s">
        <v>15</v>
      </c>
      <c r="I130" s="149"/>
      <c r="J130" s="96"/>
      <c r="K130" s="96"/>
      <c r="L130" s="96"/>
      <c r="M130" s="96"/>
      <c r="N130" s="96"/>
      <c r="O130" s="96"/>
      <c r="P130" s="150"/>
      <c r="Q130" s="149"/>
      <c r="R130" s="96"/>
      <c r="S130" s="96"/>
      <c r="T130" s="96"/>
      <c r="U130" s="96"/>
      <c r="V130" s="96"/>
      <c r="W130" s="96"/>
      <c r="X130" s="150"/>
      <c r="Y130" s="149"/>
      <c r="Z130" s="96"/>
      <c r="AA130" s="96"/>
      <c r="AB130" s="96"/>
      <c r="AC130" s="96"/>
      <c r="AD130" s="96"/>
      <c r="AE130" s="96"/>
      <c r="AF130" s="150"/>
      <c r="AH130" s="96"/>
      <c r="AI130" s="96"/>
      <c r="AJ130" s="96"/>
      <c r="AK130" s="96"/>
      <c r="AL130" s="96"/>
      <c r="AM130" s="96"/>
      <c r="AN130" s="150"/>
      <c r="AQ130" s="85">
        <f t="shared" si="3"/>
        <v>0</v>
      </c>
      <c r="AR130" s="19"/>
      <c r="AS130"/>
      <c r="AT130" s="67">
        <f t="shared" si="4"/>
        <v>0</v>
      </c>
      <c r="AU130" s="67">
        <f t="shared" si="5"/>
        <v>0</v>
      </c>
      <c r="AV130" s="66"/>
      <c r="AW130" s="12"/>
      <c r="CK130"/>
      <c r="CX130">
        <v>102</v>
      </c>
    </row>
    <row r="131" spans="1:102">
      <c r="A131">
        <v>103</v>
      </c>
      <c r="B131" t="s">
        <v>13</v>
      </c>
      <c r="C131" t="s">
        <v>55</v>
      </c>
      <c r="D131" s="8" t="s">
        <v>346</v>
      </c>
      <c r="E131" s="67" t="s">
        <v>15</v>
      </c>
      <c r="I131" s="149"/>
      <c r="J131" s="96"/>
      <c r="K131" s="96"/>
      <c r="L131" s="96"/>
      <c r="M131" s="96"/>
      <c r="N131" s="96"/>
      <c r="O131" s="96"/>
      <c r="P131" s="150"/>
      <c r="Q131" s="149"/>
      <c r="R131" s="96"/>
      <c r="S131" s="96"/>
      <c r="T131" s="96"/>
      <c r="U131" s="96"/>
      <c r="V131" s="96"/>
      <c r="W131" s="96"/>
      <c r="X131" s="150"/>
      <c r="Y131" s="149"/>
      <c r="Z131" s="96"/>
      <c r="AA131" s="96"/>
      <c r="AB131" s="96"/>
      <c r="AC131" s="96"/>
      <c r="AD131" s="96"/>
      <c r="AE131" s="96"/>
      <c r="AF131" s="150"/>
      <c r="AH131" s="96"/>
      <c r="AI131" s="96"/>
      <c r="AJ131" s="96"/>
      <c r="AK131" s="96"/>
      <c r="AL131" s="96"/>
      <c r="AM131" s="96"/>
      <c r="AN131" s="150"/>
      <c r="AQ131" s="85">
        <f t="shared" si="3"/>
        <v>0</v>
      </c>
      <c r="AR131" s="19"/>
      <c r="AS131"/>
      <c r="AT131" s="67">
        <f t="shared" si="4"/>
        <v>0</v>
      </c>
      <c r="AU131" s="67">
        <f t="shared" si="5"/>
        <v>0</v>
      </c>
      <c r="AV131" s="66"/>
      <c r="AW131" s="12"/>
      <c r="CK131"/>
      <c r="CX131">
        <v>103</v>
      </c>
    </row>
    <row r="132" spans="1:102">
      <c r="A132">
        <v>104</v>
      </c>
      <c r="B132" t="s">
        <v>12</v>
      </c>
      <c r="C132" t="s">
        <v>106</v>
      </c>
      <c r="D132" s="8" t="s">
        <v>349</v>
      </c>
      <c r="E132" t="s">
        <v>42</v>
      </c>
      <c r="F132">
        <v>18</v>
      </c>
      <c r="G132" t="s">
        <v>15</v>
      </c>
      <c r="H132" t="s">
        <v>15</v>
      </c>
      <c r="I132" s="149" t="s">
        <v>15</v>
      </c>
      <c r="J132" s="95" t="s">
        <v>10</v>
      </c>
      <c r="K132" s="95" t="s">
        <v>10</v>
      </c>
      <c r="L132" s="95">
        <v>1</v>
      </c>
      <c r="M132" s="95">
        <v>1</v>
      </c>
      <c r="N132" s="95">
        <v>1</v>
      </c>
      <c r="O132" s="95" t="s">
        <v>10</v>
      </c>
      <c r="P132" s="150" t="s">
        <v>10</v>
      </c>
      <c r="Q132" s="149">
        <v>1</v>
      </c>
      <c r="R132" s="95">
        <v>1</v>
      </c>
      <c r="S132" s="95">
        <v>1</v>
      </c>
      <c r="T132" s="95">
        <v>1</v>
      </c>
      <c r="U132" s="95" t="s">
        <v>10</v>
      </c>
      <c r="V132" s="95" t="s">
        <v>10</v>
      </c>
      <c r="W132" s="95" t="s">
        <v>10</v>
      </c>
      <c r="X132" s="150" t="s">
        <v>15</v>
      </c>
      <c r="Y132" s="149" t="s">
        <v>10</v>
      </c>
      <c r="Z132" s="95">
        <v>1</v>
      </c>
      <c r="AA132" s="95" t="s">
        <v>10</v>
      </c>
      <c r="AB132" s="95" t="s">
        <v>10</v>
      </c>
      <c r="AC132" s="95">
        <v>1</v>
      </c>
      <c r="AD132" s="95">
        <v>1</v>
      </c>
      <c r="AE132" s="95">
        <v>1</v>
      </c>
      <c r="AF132" s="150">
        <v>1</v>
      </c>
      <c r="AG132" s="96">
        <v>1</v>
      </c>
      <c r="AH132" s="95">
        <v>1</v>
      </c>
      <c r="AI132" s="95">
        <v>1</v>
      </c>
      <c r="AJ132" s="95">
        <v>1</v>
      </c>
      <c r="AK132" s="95">
        <v>1</v>
      </c>
      <c r="AL132" s="95" t="s">
        <v>10</v>
      </c>
      <c r="AM132" s="95" t="s">
        <v>10</v>
      </c>
      <c r="AN132" s="150">
        <v>1</v>
      </c>
      <c r="AP132" s="56">
        <v>18</v>
      </c>
      <c r="AQ132" s="85">
        <f t="shared" si="3"/>
        <v>18</v>
      </c>
      <c r="AR132" s="103" t="s">
        <v>45</v>
      </c>
      <c r="AS132" s="5"/>
      <c r="AT132" s="67">
        <f t="shared" si="4"/>
        <v>12</v>
      </c>
      <c r="AU132" s="67">
        <f t="shared" si="5"/>
        <v>0</v>
      </c>
      <c r="AV132" s="5"/>
      <c r="AW132" s="12">
        <v>1</v>
      </c>
      <c r="AX132" s="12">
        <v>1</v>
      </c>
      <c r="AY132" s="12">
        <v>1</v>
      </c>
      <c r="BA132" s="12">
        <v>1</v>
      </c>
      <c r="BB132" s="12">
        <v>1</v>
      </c>
      <c r="BO132" s="12">
        <v>2</v>
      </c>
      <c r="BY132" s="12">
        <v>1</v>
      </c>
      <c r="BZ132" s="12">
        <v>2</v>
      </c>
      <c r="CK132"/>
      <c r="CX132">
        <v>104</v>
      </c>
    </row>
    <row r="133" spans="1:102">
      <c r="A133">
        <v>105</v>
      </c>
      <c r="B133" t="s">
        <v>13</v>
      </c>
      <c r="C133" t="s">
        <v>55</v>
      </c>
      <c r="D133" s="8" t="s">
        <v>346</v>
      </c>
      <c r="E133" s="67" t="s">
        <v>15</v>
      </c>
      <c r="F133">
        <v>20</v>
      </c>
      <c r="G133">
        <v>20</v>
      </c>
      <c r="H133">
        <v>20</v>
      </c>
      <c r="I133" s="149"/>
      <c r="J133" s="96"/>
      <c r="K133" s="96" t="s">
        <v>49</v>
      </c>
      <c r="L133" s="96">
        <v>1</v>
      </c>
      <c r="M133" s="96">
        <v>1</v>
      </c>
      <c r="N133" s="95">
        <v>1</v>
      </c>
      <c r="O133" s="95">
        <v>1</v>
      </c>
      <c r="P133" s="150">
        <v>1</v>
      </c>
      <c r="Q133" s="149">
        <v>1</v>
      </c>
      <c r="R133" s="95">
        <v>1</v>
      </c>
      <c r="S133" s="95">
        <v>1</v>
      </c>
      <c r="T133" s="95">
        <v>1</v>
      </c>
      <c r="U133" s="95">
        <v>1</v>
      </c>
      <c r="V133" s="95" t="s">
        <v>49</v>
      </c>
      <c r="W133" s="96"/>
      <c r="X133" s="150"/>
      <c r="Y133" s="149"/>
      <c r="Z133" s="96"/>
      <c r="AA133" s="96" t="s">
        <v>49</v>
      </c>
      <c r="AB133" s="96">
        <v>1</v>
      </c>
      <c r="AC133" s="96">
        <v>1</v>
      </c>
      <c r="AD133" s="95">
        <v>1</v>
      </c>
      <c r="AE133" s="95">
        <v>1</v>
      </c>
      <c r="AF133" s="150">
        <v>1</v>
      </c>
      <c r="AG133" s="96">
        <v>1</v>
      </c>
      <c r="AH133" s="95">
        <v>1</v>
      </c>
      <c r="AI133" s="95">
        <v>1</v>
      </c>
      <c r="AJ133" s="95">
        <v>1</v>
      </c>
      <c r="AK133" s="95">
        <v>1</v>
      </c>
      <c r="AL133" s="95" t="s">
        <v>49</v>
      </c>
      <c r="AM133" s="96"/>
      <c r="AN133" s="150"/>
      <c r="AO133" s="96">
        <v>20</v>
      </c>
      <c r="AQ133" s="85">
        <f t="shared" si="3"/>
        <v>20</v>
      </c>
      <c r="AR133" s="19"/>
      <c r="AS133">
        <v>1</v>
      </c>
      <c r="AT133" s="67">
        <f t="shared" si="4"/>
        <v>0</v>
      </c>
      <c r="AU133" s="67">
        <f t="shared" si="5"/>
        <v>0</v>
      </c>
      <c r="AV133" s="66"/>
      <c r="AW133" s="12"/>
      <c r="CK133"/>
      <c r="CX133">
        <v>105</v>
      </c>
    </row>
    <row r="134" spans="1:102">
      <c r="A134">
        <v>106</v>
      </c>
      <c r="B134" t="s">
        <v>13</v>
      </c>
      <c r="C134" t="s">
        <v>55</v>
      </c>
      <c r="D134" s="8" t="s">
        <v>346</v>
      </c>
      <c r="E134" s="67" t="s">
        <v>15</v>
      </c>
      <c r="F134">
        <v>19</v>
      </c>
      <c r="G134">
        <v>20</v>
      </c>
      <c r="H134">
        <v>20</v>
      </c>
      <c r="I134" s="149"/>
      <c r="J134" s="96"/>
      <c r="K134" s="96" t="s">
        <v>49</v>
      </c>
      <c r="L134" s="96">
        <v>1</v>
      </c>
      <c r="M134" s="96">
        <v>1</v>
      </c>
      <c r="N134" s="95">
        <v>1</v>
      </c>
      <c r="O134" s="95">
        <v>1</v>
      </c>
      <c r="P134" s="150">
        <v>1</v>
      </c>
      <c r="Q134" s="149" t="s">
        <v>9</v>
      </c>
      <c r="R134" s="95">
        <v>1</v>
      </c>
      <c r="S134" s="95">
        <v>1</v>
      </c>
      <c r="T134" s="95">
        <v>1</v>
      </c>
      <c r="U134" s="95">
        <v>1</v>
      </c>
      <c r="V134" s="95" t="s">
        <v>49</v>
      </c>
      <c r="W134" s="96"/>
      <c r="X134" s="150"/>
      <c r="Y134" s="149"/>
      <c r="Z134" s="96"/>
      <c r="AA134" s="96" t="s">
        <v>49</v>
      </c>
      <c r="AB134" s="96">
        <v>1</v>
      </c>
      <c r="AC134" s="96">
        <v>1</v>
      </c>
      <c r="AD134" s="95">
        <v>1</v>
      </c>
      <c r="AE134" s="95">
        <v>1</v>
      </c>
      <c r="AF134" s="150">
        <v>1</v>
      </c>
      <c r="AG134" s="96">
        <v>1</v>
      </c>
      <c r="AH134" s="95">
        <v>1</v>
      </c>
      <c r="AI134" s="95">
        <v>1</v>
      </c>
      <c r="AJ134" s="95">
        <v>1</v>
      </c>
      <c r="AK134" s="95">
        <v>1</v>
      </c>
      <c r="AL134" s="95" t="s">
        <v>49</v>
      </c>
      <c r="AM134" s="96"/>
      <c r="AN134" s="150"/>
      <c r="AO134" s="96">
        <v>19</v>
      </c>
      <c r="AQ134" s="85">
        <f t="shared" ref="AQ134:AQ197" si="6">SUM(I134:AN134)</f>
        <v>19</v>
      </c>
      <c r="AR134" s="19"/>
      <c r="AS134"/>
      <c r="AT134" s="67">
        <f t="shared" ref="AT134:AT197" si="7">COUNTIF(I134:AN134,"*am*")</f>
        <v>0</v>
      </c>
      <c r="AU134" s="67">
        <f t="shared" ref="AU134:AU197" si="8">COUNTIF(I134:AN134,"pm")</f>
        <v>1</v>
      </c>
      <c r="AV134" s="66"/>
      <c r="AW134" s="12"/>
      <c r="CK134"/>
      <c r="CX134">
        <v>106</v>
      </c>
    </row>
    <row r="135" spans="1:102">
      <c r="A135">
        <v>107</v>
      </c>
      <c r="B135" t="s">
        <v>13</v>
      </c>
      <c r="C135" t="s">
        <v>17</v>
      </c>
      <c r="D135" s="8" t="s">
        <v>345</v>
      </c>
      <c r="E135" s="67" t="s">
        <v>15</v>
      </c>
      <c r="I135" s="149"/>
      <c r="J135" s="96"/>
      <c r="K135" s="96"/>
      <c r="L135" s="96"/>
      <c r="M135" s="96"/>
      <c r="N135" s="96"/>
      <c r="O135" s="96"/>
      <c r="P135" s="150"/>
      <c r="Q135" s="149"/>
      <c r="R135" s="96"/>
      <c r="S135" s="96"/>
      <c r="T135" s="96"/>
      <c r="U135" s="96"/>
      <c r="V135" s="96"/>
      <c r="W135" s="96"/>
      <c r="X135" s="150"/>
      <c r="Y135" s="149"/>
      <c r="Z135" s="96"/>
      <c r="AA135" s="96"/>
      <c r="AB135" s="96"/>
      <c r="AC135" s="96"/>
      <c r="AD135" s="96"/>
      <c r="AE135" s="96"/>
      <c r="AF135" s="150"/>
      <c r="AH135" s="96"/>
      <c r="AI135" s="96"/>
      <c r="AJ135" s="96"/>
      <c r="AK135" s="96"/>
      <c r="AL135" s="96"/>
      <c r="AM135" s="96"/>
      <c r="AN135" s="150"/>
      <c r="AQ135" s="85">
        <f t="shared" si="6"/>
        <v>0</v>
      </c>
      <c r="AR135" s="19"/>
      <c r="AS135"/>
      <c r="AT135" s="67">
        <f t="shared" si="7"/>
        <v>0</v>
      </c>
      <c r="AU135" s="67">
        <f t="shared" si="8"/>
        <v>0</v>
      </c>
      <c r="AV135" s="66"/>
      <c r="AW135" s="12"/>
      <c r="CE135" s="12">
        <v>1</v>
      </c>
      <c r="CK135"/>
      <c r="CX135">
        <v>107</v>
      </c>
    </row>
    <row r="136" spans="1:102">
      <c r="A136">
        <v>108</v>
      </c>
      <c r="B136" t="s">
        <v>13</v>
      </c>
      <c r="C136" t="s">
        <v>99</v>
      </c>
      <c r="D136" s="8" t="s">
        <v>346</v>
      </c>
      <c r="E136" s="67" t="s">
        <v>15</v>
      </c>
      <c r="F136">
        <v>17</v>
      </c>
      <c r="G136">
        <v>24</v>
      </c>
      <c r="H136">
        <v>24</v>
      </c>
      <c r="I136" s="149"/>
      <c r="J136" s="96" t="s">
        <v>49</v>
      </c>
      <c r="K136" s="95">
        <v>1</v>
      </c>
      <c r="L136" s="95">
        <v>1</v>
      </c>
      <c r="M136" s="95">
        <v>1</v>
      </c>
      <c r="N136" s="95">
        <v>1</v>
      </c>
      <c r="O136" s="95">
        <v>1</v>
      </c>
      <c r="P136" s="150" t="s">
        <v>9</v>
      </c>
      <c r="Q136" s="149" t="s">
        <v>9</v>
      </c>
      <c r="R136" s="95" t="s">
        <v>9</v>
      </c>
      <c r="S136" s="95">
        <v>1</v>
      </c>
      <c r="T136" s="95">
        <v>1</v>
      </c>
      <c r="U136" s="95">
        <v>1</v>
      </c>
      <c r="V136" s="95">
        <v>1</v>
      </c>
      <c r="W136" s="95" t="s">
        <v>49</v>
      </c>
      <c r="X136" s="150"/>
      <c r="Y136" s="149"/>
      <c r="Z136" s="96" t="s">
        <v>49</v>
      </c>
      <c r="AA136" s="95">
        <v>1</v>
      </c>
      <c r="AB136" s="95">
        <v>1</v>
      </c>
      <c r="AC136" s="95">
        <v>1</v>
      </c>
      <c r="AD136" s="95">
        <v>1</v>
      </c>
      <c r="AE136" s="95">
        <v>1</v>
      </c>
      <c r="AF136" s="150" t="s">
        <v>9</v>
      </c>
      <c r="AG136" s="96" t="s">
        <v>9</v>
      </c>
      <c r="AH136" s="95" t="s">
        <v>9</v>
      </c>
      <c r="AI136" s="95" t="s">
        <v>9</v>
      </c>
      <c r="AJ136" s="95">
        <v>1</v>
      </c>
      <c r="AK136" s="95">
        <v>1</v>
      </c>
      <c r="AL136" s="95">
        <v>1</v>
      </c>
      <c r="AM136" s="95" t="s">
        <v>49</v>
      </c>
      <c r="AN136" s="150"/>
      <c r="AO136" s="96">
        <v>13</v>
      </c>
      <c r="AP136" s="56">
        <v>4</v>
      </c>
      <c r="AQ136" s="85">
        <f t="shared" si="6"/>
        <v>17</v>
      </c>
      <c r="AR136" s="19"/>
      <c r="AS136"/>
      <c r="AT136" s="67">
        <f t="shared" si="7"/>
        <v>0</v>
      </c>
      <c r="AU136" s="67">
        <f t="shared" si="8"/>
        <v>7</v>
      </c>
      <c r="AV136" s="66"/>
      <c r="AW136" s="12"/>
      <c r="BA136" s="12">
        <v>1</v>
      </c>
      <c r="CK136"/>
      <c r="CX136">
        <v>108</v>
      </c>
    </row>
    <row r="137" spans="1:102">
      <c r="A137">
        <v>109</v>
      </c>
      <c r="B137" t="s">
        <v>13</v>
      </c>
      <c r="C137" t="s">
        <v>107</v>
      </c>
      <c r="D137" s="8" t="s">
        <v>358</v>
      </c>
      <c r="E137" t="s">
        <v>6</v>
      </c>
      <c r="F137">
        <v>27</v>
      </c>
      <c r="G137">
        <v>28</v>
      </c>
      <c r="H137">
        <v>28</v>
      </c>
      <c r="I137" s="149" t="s">
        <v>49</v>
      </c>
      <c r="J137" s="95">
        <v>1</v>
      </c>
      <c r="K137" s="95">
        <v>1</v>
      </c>
      <c r="L137" s="95">
        <v>1</v>
      </c>
      <c r="M137" s="95">
        <v>1</v>
      </c>
      <c r="N137" s="95">
        <v>1</v>
      </c>
      <c r="O137" s="95">
        <v>1</v>
      </c>
      <c r="P137" s="125">
        <v>1</v>
      </c>
      <c r="Q137" s="124">
        <v>1</v>
      </c>
      <c r="R137" s="95">
        <v>1</v>
      </c>
      <c r="S137" s="95">
        <v>1</v>
      </c>
      <c r="T137" s="95">
        <v>1</v>
      </c>
      <c r="U137" s="95">
        <v>1</v>
      </c>
      <c r="V137" s="95">
        <v>1</v>
      </c>
      <c r="W137" s="95">
        <v>1</v>
      </c>
      <c r="X137" s="125" t="s">
        <v>49</v>
      </c>
      <c r="Y137" s="124" t="s">
        <v>49</v>
      </c>
      <c r="Z137" s="95">
        <v>1</v>
      </c>
      <c r="AA137" s="95">
        <v>1</v>
      </c>
      <c r="AB137" s="95" t="s">
        <v>9</v>
      </c>
      <c r="AC137" s="95">
        <v>1</v>
      </c>
      <c r="AD137" s="95">
        <v>1</v>
      </c>
      <c r="AE137" s="95">
        <v>1</v>
      </c>
      <c r="AF137" s="125">
        <v>1</v>
      </c>
      <c r="AG137" s="95">
        <v>1</v>
      </c>
      <c r="AH137" s="95">
        <v>1</v>
      </c>
      <c r="AI137" s="95">
        <v>1</v>
      </c>
      <c r="AJ137" s="95">
        <v>1</v>
      </c>
      <c r="AK137" s="95">
        <v>1</v>
      </c>
      <c r="AL137" s="95">
        <v>1</v>
      </c>
      <c r="AM137" s="95">
        <v>1</v>
      </c>
      <c r="AN137" s="125" t="s">
        <v>49</v>
      </c>
      <c r="AO137" s="95">
        <v>3</v>
      </c>
      <c r="AP137" s="11">
        <v>24</v>
      </c>
      <c r="AQ137" s="85">
        <f t="shared" si="6"/>
        <v>27</v>
      </c>
      <c r="AR137" s="19" t="s">
        <v>108</v>
      </c>
      <c r="AS137"/>
      <c r="AT137" s="67">
        <f t="shared" si="7"/>
        <v>0</v>
      </c>
      <c r="AU137" s="67">
        <f t="shared" si="8"/>
        <v>1</v>
      </c>
      <c r="AV137" s="66"/>
      <c r="AW137" s="12"/>
      <c r="AZ137" s="12">
        <v>1</v>
      </c>
      <c r="BA137" s="12">
        <v>1</v>
      </c>
      <c r="BG137" s="12">
        <v>1</v>
      </c>
      <c r="BV137" s="12">
        <v>1</v>
      </c>
      <c r="CK137"/>
      <c r="CX137">
        <v>109</v>
      </c>
    </row>
    <row r="138" spans="1:102">
      <c r="A138">
        <v>110</v>
      </c>
      <c r="B138" t="s">
        <v>12</v>
      </c>
      <c r="C138" t="s">
        <v>40</v>
      </c>
      <c r="D138" s="8" t="s">
        <v>40</v>
      </c>
      <c r="E138" t="s">
        <v>42</v>
      </c>
      <c r="I138" s="149"/>
      <c r="J138" s="96"/>
      <c r="K138" s="96"/>
      <c r="L138" s="96"/>
      <c r="M138" s="96"/>
      <c r="N138" s="96"/>
      <c r="O138" s="96"/>
      <c r="P138" s="150"/>
      <c r="Q138" s="149"/>
      <c r="R138" s="96"/>
      <c r="S138" s="96"/>
      <c r="T138" s="96"/>
      <c r="U138" s="96"/>
      <c r="V138" s="96"/>
      <c r="W138" s="96"/>
      <c r="X138" s="150"/>
      <c r="Y138" s="149"/>
      <c r="Z138" s="96"/>
      <c r="AA138" s="96"/>
      <c r="AB138" s="96"/>
      <c r="AC138" s="96"/>
      <c r="AD138" s="96"/>
      <c r="AE138" s="96"/>
      <c r="AF138" s="150"/>
      <c r="AH138" s="96"/>
      <c r="AI138" s="96"/>
      <c r="AJ138" s="96"/>
      <c r="AK138" s="96"/>
      <c r="AL138" s="96"/>
      <c r="AM138" s="96"/>
      <c r="AN138" s="150"/>
      <c r="AQ138" s="85">
        <f t="shared" si="6"/>
        <v>0</v>
      </c>
      <c r="AR138" s="104"/>
      <c r="AS138" s="20"/>
      <c r="AT138" s="67">
        <f t="shared" si="7"/>
        <v>0</v>
      </c>
      <c r="AU138" s="67">
        <f t="shared" si="8"/>
        <v>0</v>
      </c>
      <c r="AV138" s="20"/>
      <c r="AW138" s="12"/>
      <c r="CK138"/>
      <c r="CX138">
        <v>110</v>
      </c>
    </row>
    <row r="139" spans="1:102">
      <c r="A139">
        <v>111</v>
      </c>
      <c r="B139" t="s">
        <v>13</v>
      </c>
      <c r="C139" t="s">
        <v>109</v>
      </c>
      <c r="D139" s="8" t="s">
        <v>346</v>
      </c>
      <c r="E139" s="67" t="s">
        <v>15</v>
      </c>
      <c r="I139" s="149"/>
      <c r="J139" s="96"/>
      <c r="K139" s="96"/>
      <c r="L139" s="96"/>
      <c r="M139" s="96"/>
      <c r="N139" s="96"/>
      <c r="O139" s="96"/>
      <c r="P139" s="150"/>
      <c r="Q139" s="149"/>
      <c r="R139" s="96"/>
      <c r="S139" s="96"/>
      <c r="T139" s="96"/>
      <c r="U139" s="96"/>
      <c r="V139" s="96"/>
      <c r="W139" s="96"/>
      <c r="X139" s="150"/>
      <c r="Y139" s="149"/>
      <c r="Z139" s="96"/>
      <c r="AA139" s="96"/>
      <c r="AB139" s="96"/>
      <c r="AC139" s="96"/>
      <c r="AD139" s="96"/>
      <c r="AE139" s="96"/>
      <c r="AF139" s="150"/>
      <c r="AH139" s="96"/>
      <c r="AI139" s="96"/>
      <c r="AJ139" s="96"/>
      <c r="AK139" s="96"/>
      <c r="AL139" s="96"/>
      <c r="AM139" s="96"/>
      <c r="AN139" s="150"/>
      <c r="AQ139" s="85">
        <f t="shared" si="6"/>
        <v>0</v>
      </c>
      <c r="AR139" s="19"/>
      <c r="AS139"/>
      <c r="AT139" s="67">
        <f t="shared" si="7"/>
        <v>0</v>
      </c>
      <c r="AU139" s="67">
        <f t="shared" si="8"/>
        <v>0</v>
      </c>
      <c r="AV139" s="66"/>
      <c r="AW139" s="12"/>
      <c r="CK139"/>
      <c r="CX139">
        <v>111</v>
      </c>
    </row>
    <row r="140" spans="1:102">
      <c r="A140">
        <v>112</v>
      </c>
      <c r="B140" t="s">
        <v>12</v>
      </c>
      <c r="C140" t="s">
        <v>62</v>
      </c>
      <c r="D140" s="8" t="s">
        <v>42</v>
      </c>
      <c r="E140" t="s">
        <v>42</v>
      </c>
      <c r="F140">
        <v>25</v>
      </c>
      <c r="G140" t="s">
        <v>15</v>
      </c>
      <c r="H140" t="s">
        <v>15</v>
      </c>
      <c r="I140" s="149" t="s">
        <v>15</v>
      </c>
      <c r="J140" s="95" t="s">
        <v>10</v>
      </c>
      <c r="K140" s="95" t="s">
        <v>10</v>
      </c>
      <c r="L140" s="95">
        <v>1</v>
      </c>
      <c r="M140" s="95">
        <v>1</v>
      </c>
      <c r="N140" s="95" t="s">
        <v>10</v>
      </c>
      <c r="O140" s="95">
        <v>1</v>
      </c>
      <c r="P140" s="150">
        <v>1</v>
      </c>
      <c r="Q140" s="149">
        <v>1</v>
      </c>
      <c r="R140" s="95">
        <v>1</v>
      </c>
      <c r="S140" s="95" t="s">
        <v>10</v>
      </c>
      <c r="T140" s="95">
        <v>1</v>
      </c>
      <c r="U140" s="95">
        <v>1</v>
      </c>
      <c r="V140" s="95" t="s">
        <v>10</v>
      </c>
      <c r="W140" s="95" t="s">
        <v>10</v>
      </c>
      <c r="X140" s="150">
        <v>1</v>
      </c>
      <c r="Y140" s="124">
        <v>1</v>
      </c>
      <c r="Z140" s="95">
        <v>1</v>
      </c>
      <c r="AA140" s="95">
        <v>1</v>
      </c>
      <c r="AB140" s="95">
        <v>1</v>
      </c>
      <c r="AC140" s="95">
        <v>1</v>
      </c>
      <c r="AD140" s="95">
        <v>1</v>
      </c>
      <c r="AE140" s="95">
        <v>1</v>
      </c>
      <c r="AF140" s="125">
        <v>1</v>
      </c>
      <c r="AG140" s="95">
        <v>1</v>
      </c>
      <c r="AH140" s="95">
        <v>1</v>
      </c>
      <c r="AI140" s="95">
        <v>1</v>
      </c>
      <c r="AJ140" s="95">
        <v>1</v>
      </c>
      <c r="AK140" s="95">
        <v>1</v>
      </c>
      <c r="AL140" s="95">
        <v>1</v>
      </c>
      <c r="AM140" s="95">
        <v>1</v>
      </c>
      <c r="AN140" s="125">
        <v>1</v>
      </c>
      <c r="AO140" s="95"/>
      <c r="AP140" s="11">
        <v>25</v>
      </c>
      <c r="AQ140" s="85">
        <f t="shared" si="6"/>
        <v>25</v>
      </c>
      <c r="AR140" s="19" t="s">
        <v>110</v>
      </c>
      <c r="AS140"/>
      <c r="AT140" s="67">
        <f t="shared" si="7"/>
        <v>6</v>
      </c>
      <c r="AU140" s="67">
        <f t="shared" si="8"/>
        <v>0</v>
      </c>
      <c r="AV140" s="66"/>
      <c r="AW140" s="12">
        <v>1</v>
      </c>
      <c r="AX140" s="12">
        <v>1</v>
      </c>
      <c r="AY140" s="12">
        <v>1</v>
      </c>
      <c r="BA140" s="12">
        <v>1</v>
      </c>
      <c r="BE140" s="12">
        <v>1</v>
      </c>
      <c r="BK140" s="12">
        <v>1</v>
      </c>
      <c r="BQ140" s="12">
        <v>1</v>
      </c>
      <c r="BS140" s="12">
        <v>1</v>
      </c>
      <c r="BV140" s="12">
        <v>1</v>
      </c>
      <c r="BW140" s="12">
        <v>1</v>
      </c>
      <c r="BY140" s="12">
        <v>1</v>
      </c>
      <c r="BZ140" s="12">
        <v>1</v>
      </c>
      <c r="CK140">
        <v>1</v>
      </c>
      <c r="CX140">
        <v>112</v>
      </c>
    </row>
    <row r="141" spans="1:102">
      <c r="A141">
        <v>113</v>
      </c>
      <c r="B141" t="s">
        <v>13</v>
      </c>
      <c r="C141" t="s">
        <v>16</v>
      </c>
      <c r="D141" s="8" t="s">
        <v>345</v>
      </c>
      <c r="E141" s="67" t="s">
        <v>15</v>
      </c>
      <c r="I141" s="149"/>
      <c r="J141" s="96"/>
      <c r="K141" s="96"/>
      <c r="L141" s="96"/>
      <c r="M141" s="96"/>
      <c r="N141" s="96"/>
      <c r="O141" s="96"/>
      <c r="P141" s="150"/>
      <c r="Q141" s="149"/>
      <c r="R141" s="96"/>
      <c r="S141" s="96"/>
      <c r="T141" s="96"/>
      <c r="U141" s="96"/>
      <c r="V141" s="96"/>
      <c r="W141" s="96"/>
      <c r="X141" s="150"/>
      <c r="Y141" s="149"/>
      <c r="Z141" s="96"/>
      <c r="AA141" s="96"/>
      <c r="AB141" s="96"/>
      <c r="AC141" s="96"/>
      <c r="AD141" s="96"/>
      <c r="AE141" s="96"/>
      <c r="AF141" s="150"/>
      <c r="AH141" s="96"/>
      <c r="AI141" s="96"/>
      <c r="AJ141" s="96"/>
      <c r="AK141" s="96"/>
      <c r="AL141" s="96"/>
      <c r="AM141" s="96"/>
      <c r="AN141" s="150"/>
      <c r="AQ141" s="85">
        <f t="shared" si="6"/>
        <v>0</v>
      </c>
      <c r="AR141" s="19"/>
      <c r="AS141"/>
      <c r="AT141" s="67">
        <f t="shared" si="7"/>
        <v>0</v>
      </c>
      <c r="AU141" s="67">
        <f t="shared" si="8"/>
        <v>0</v>
      </c>
      <c r="AV141" s="66"/>
      <c r="AW141" s="12"/>
      <c r="CK141"/>
      <c r="CX141">
        <v>113</v>
      </c>
    </row>
    <row r="142" spans="1:102">
      <c r="A142">
        <v>114</v>
      </c>
      <c r="B142" t="s">
        <v>13</v>
      </c>
      <c r="C142" t="s">
        <v>54</v>
      </c>
      <c r="D142" s="8" t="s">
        <v>345</v>
      </c>
      <c r="E142" s="67" t="s">
        <v>15</v>
      </c>
      <c r="I142" s="149"/>
      <c r="J142" s="96"/>
      <c r="K142" s="96"/>
      <c r="L142" s="96"/>
      <c r="M142" s="96"/>
      <c r="N142" s="96"/>
      <c r="O142" s="96"/>
      <c r="P142" s="150"/>
      <c r="Q142" s="149"/>
      <c r="R142" s="96"/>
      <c r="S142" s="96"/>
      <c r="T142" s="96"/>
      <c r="U142" s="96"/>
      <c r="V142" s="96"/>
      <c r="W142" s="96"/>
      <c r="X142" s="150"/>
      <c r="Y142" s="149"/>
      <c r="Z142" s="96"/>
      <c r="AA142" s="96"/>
      <c r="AB142" s="96"/>
      <c r="AC142" s="96"/>
      <c r="AD142" s="96"/>
      <c r="AE142" s="96"/>
      <c r="AF142" s="150"/>
      <c r="AH142" s="96"/>
      <c r="AI142" s="96"/>
      <c r="AJ142" s="96"/>
      <c r="AK142" s="96"/>
      <c r="AL142" s="96"/>
      <c r="AM142" s="96"/>
      <c r="AN142" s="150"/>
      <c r="AQ142" s="85">
        <f t="shared" si="6"/>
        <v>0</v>
      </c>
      <c r="AR142" s="19"/>
      <c r="AS142"/>
      <c r="AT142" s="67">
        <f t="shared" si="7"/>
        <v>0</v>
      </c>
      <c r="AU142" s="67">
        <f t="shared" si="8"/>
        <v>0</v>
      </c>
      <c r="AV142" s="66"/>
      <c r="AW142" s="12"/>
      <c r="CK142"/>
      <c r="CX142">
        <v>114</v>
      </c>
    </row>
    <row r="143" spans="1:102">
      <c r="A143">
        <v>115</v>
      </c>
      <c r="B143" t="s">
        <v>13</v>
      </c>
      <c r="C143" t="s">
        <v>68</v>
      </c>
      <c r="D143" s="8" t="s">
        <v>357</v>
      </c>
      <c r="E143" s="67" t="s">
        <v>15</v>
      </c>
      <c r="F143">
        <v>22</v>
      </c>
      <c r="G143">
        <v>24</v>
      </c>
      <c r="H143">
        <v>24</v>
      </c>
      <c r="I143" s="149" t="s">
        <v>49</v>
      </c>
      <c r="J143" s="96" t="s">
        <v>49</v>
      </c>
      <c r="K143" s="96">
        <v>1</v>
      </c>
      <c r="L143" s="95">
        <v>1</v>
      </c>
      <c r="M143" s="95" t="s">
        <v>9</v>
      </c>
      <c r="N143" s="95" t="s">
        <v>9</v>
      </c>
      <c r="O143" s="95">
        <v>1</v>
      </c>
      <c r="P143" s="150">
        <v>1</v>
      </c>
      <c r="Q143" s="124">
        <v>1</v>
      </c>
      <c r="R143" s="95">
        <v>1</v>
      </c>
      <c r="S143" s="95">
        <v>1</v>
      </c>
      <c r="T143" s="95">
        <v>1</v>
      </c>
      <c r="U143" s="95">
        <v>1</v>
      </c>
      <c r="V143" s="95">
        <v>1</v>
      </c>
      <c r="W143" s="95" t="s">
        <v>49</v>
      </c>
      <c r="X143" s="150" t="s">
        <v>49</v>
      </c>
      <c r="Y143" s="149"/>
      <c r="Z143" s="95" t="s">
        <v>49</v>
      </c>
      <c r="AA143" s="95">
        <v>1</v>
      </c>
      <c r="AB143" s="95">
        <v>1</v>
      </c>
      <c r="AC143" s="95">
        <v>1</v>
      </c>
      <c r="AD143" s="95">
        <v>1</v>
      </c>
      <c r="AE143" s="95">
        <v>1</v>
      </c>
      <c r="AF143" s="125">
        <v>1</v>
      </c>
      <c r="AG143" s="95">
        <v>1</v>
      </c>
      <c r="AH143" s="95">
        <v>1</v>
      </c>
      <c r="AI143" s="95">
        <v>1</v>
      </c>
      <c r="AJ143" s="95">
        <v>1</v>
      </c>
      <c r="AK143" s="95">
        <v>1</v>
      </c>
      <c r="AL143" s="95">
        <v>1</v>
      </c>
      <c r="AM143" s="95" t="s">
        <v>49</v>
      </c>
      <c r="AN143" s="150"/>
      <c r="AO143" s="96">
        <v>10</v>
      </c>
      <c r="AP143" s="56">
        <v>12</v>
      </c>
      <c r="AQ143" s="85">
        <f t="shared" si="6"/>
        <v>22</v>
      </c>
      <c r="AR143" s="19" t="s">
        <v>111</v>
      </c>
      <c r="AS143"/>
      <c r="AT143" s="67">
        <f t="shared" si="7"/>
        <v>0</v>
      </c>
      <c r="AU143" s="67">
        <f t="shared" si="8"/>
        <v>2</v>
      </c>
      <c r="AV143" s="66"/>
      <c r="AW143" s="12"/>
      <c r="AZ143" s="12">
        <v>1</v>
      </c>
      <c r="BA143" s="12">
        <v>1</v>
      </c>
      <c r="BB143" s="12">
        <v>1</v>
      </c>
      <c r="BC143" s="12">
        <v>1</v>
      </c>
      <c r="CK143"/>
      <c r="CX143">
        <v>115</v>
      </c>
    </row>
    <row r="144" spans="1:102">
      <c r="A144">
        <v>116</v>
      </c>
      <c r="B144" t="s">
        <v>12</v>
      </c>
      <c r="C144" t="s">
        <v>62</v>
      </c>
      <c r="D144" s="8" t="s">
        <v>42</v>
      </c>
      <c r="E144" t="s">
        <v>42</v>
      </c>
      <c r="F144">
        <v>22</v>
      </c>
      <c r="G144">
        <v>31</v>
      </c>
      <c r="H144">
        <v>31</v>
      </c>
      <c r="I144" s="149">
        <v>1</v>
      </c>
      <c r="J144" s="96" t="s">
        <v>9</v>
      </c>
      <c r="K144" s="95">
        <v>1</v>
      </c>
      <c r="L144" s="95">
        <v>1</v>
      </c>
      <c r="M144" s="95">
        <v>1</v>
      </c>
      <c r="N144" s="95">
        <v>1</v>
      </c>
      <c r="O144" s="95">
        <v>1</v>
      </c>
      <c r="P144" s="125">
        <v>1</v>
      </c>
      <c r="Q144" s="124">
        <v>1</v>
      </c>
      <c r="R144" s="95">
        <v>1</v>
      </c>
      <c r="S144" s="95">
        <v>1</v>
      </c>
      <c r="T144" s="95">
        <v>1</v>
      </c>
      <c r="U144" s="95">
        <v>1</v>
      </c>
      <c r="V144" s="95">
        <v>1</v>
      </c>
      <c r="W144" s="96" t="s">
        <v>9</v>
      </c>
      <c r="X144" s="150" t="s">
        <v>9</v>
      </c>
      <c r="Y144" s="149" t="s">
        <v>9</v>
      </c>
      <c r="Z144" s="95">
        <v>1</v>
      </c>
      <c r="AA144" s="95">
        <v>1</v>
      </c>
      <c r="AB144" s="95" t="s">
        <v>9</v>
      </c>
      <c r="AC144" s="95" t="s">
        <v>9</v>
      </c>
      <c r="AD144" s="95">
        <v>1</v>
      </c>
      <c r="AE144" s="95">
        <v>1</v>
      </c>
      <c r="AF144" s="150" t="s">
        <v>9</v>
      </c>
      <c r="AG144" s="95">
        <v>1</v>
      </c>
      <c r="AH144" s="95">
        <v>1</v>
      </c>
      <c r="AI144" s="95">
        <v>1</v>
      </c>
      <c r="AJ144" s="95">
        <v>1</v>
      </c>
      <c r="AK144" s="95" t="s">
        <v>9</v>
      </c>
      <c r="AL144" s="95">
        <v>1</v>
      </c>
      <c r="AM144" s="95" t="s">
        <v>9</v>
      </c>
      <c r="AN144" s="150"/>
      <c r="AP144" s="56">
        <v>22</v>
      </c>
      <c r="AQ144" s="85">
        <f t="shared" si="6"/>
        <v>22</v>
      </c>
      <c r="AR144" s="19" t="s">
        <v>112</v>
      </c>
      <c r="AS144"/>
      <c r="AT144" s="67">
        <f t="shared" si="7"/>
        <v>0</v>
      </c>
      <c r="AU144" s="67">
        <f t="shared" si="8"/>
        <v>9</v>
      </c>
      <c r="AV144" s="66"/>
      <c r="AW144" s="12">
        <v>1</v>
      </c>
      <c r="AX144" s="12">
        <v>1</v>
      </c>
      <c r="BA144" s="12">
        <v>1</v>
      </c>
      <c r="BE144" s="12">
        <v>1</v>
      </c>
      <c r="BQ144" s="12">
        <v>2</v>
      </c>
      <c r="BV144" s="12">
        <v>1</v>
      </c>
      <c r="BW144" s="12">
        <v>1</v>
      </c>
      <c r="BX144" s="12">
        <v>1</v>
      </c>
      <c r="BY144" s="12">
        <v>1</v>
      </c>
      <c r="CK144"/>
      <c r="CX144">
        <v>116</v>
      </c>
    </row>
    <row r="145" spans="1:102">
      <c r="A145">
        <v>117</v>
      </c>
      <c r="B145" t="s">
        <v>13</v>
      </c>
      <c r="C145" t="s">
        <v>55</v>
      </c>
      <c r="D145" s="8" t="s">
        <v>346</v>
      </c>
      <c r="E145" s="67" t="s">
        <v>15</v>
      </c>
      <c r="F145">
        <v>19</v>
      </c>
      <c r="G145">
        <v>20</v>
      </c>
      <c r="H145">
        <v>20</v>
      </c>
      <c r="I145" s="149"/>
      <c r="J145" s="96"/>
      <c r="K145" s="95" t="s">
        <v>49</v>
      </c>
      <c r="L145" s="95">
        <v>1</v>
      </c>
      <c r="M145" s="95">
        <v>1</v>
      </c>
      <c r="N145" s="95">
        <v>1</v>
      </c>
      <c r="O145" s="95">
        <v>1</v>
      </c>
      <c r="P145" s="125">
        <v>1</v>
      </c>
      <c r="Q145" s="124">
        <v>1</v>
      </c>
      <c r="R145" s="95">
        <v>1</v>
      </c>
      <c r="S145" s="95">
        <v>1</v>
      </c>
      <c r="T145" s="95">
        <v>1</v>
      </c>
      <c r="U145" s="95">
        <v>1</v>
      </c>
      <c r="V145" s="95" t="s">
        <v>49</v>
      </c>
      <c r="W145" s="96"/>
      <c r="X145" s="150"/>
      <c r="Y145" s="149"/>
      <c r="Z145" s="96"/>
      <c r="AA145" s="95" t="s">
        <v>49</v>
      </c>
      <c r="AB145" s="95">
        <v>1</v>
      </c>
      <c r="AC145" s="95">
        <v>1</v>
      </c>
      <c r="AD145" s="95">
        <v>1</v>
      </c>
      <c r="AE145" s="95">
        <v>1</v>
      </c>
      <c r="AF145" s="125">
        <v>1</v>
      </c>
      <c r="AG145" s="95" t="s">
        <v>9</v>
      </c>
      <c r="AH145" s="95">
        <v>1</v>
      </c>
      <c r="AI145" s="95">
        <v>1</v>
      </c>
      <c r="AJ145" s="95">
        <v>1</v>
      </c>
      <c r="AK145" s="95">
        <v>1</v>
      </c>
      <c r="AL145" s="95" t="s">
        <v>49</v>
      </c>
      <c r="AM145" s="96"/>
      <c r="AN145" s="150"/>
      <c r="AO145" s="96">
        <v>19</v>
      </c>
      <c r="AQ145" s="85">
        <f t="shared" si="6"/>
        <v>19</v>
      </c>
      <c r="AR145" s="19"/>
      <c r="AS145"/>
      <c r="AT145" s="67">
        <f t="shared" si="7"/>
        <v>0</v>
      </c>
      <c r="AU145" s="67">
        <f t="shared" si="8"/>
        <v>1</v>
      </c>
      <c r="AV145" s="66"/>
      <c r="AW145" s="12"/>
      <c r="BA145" s="12">
        <v>1</v>
      </c>
      <c r="CK145"/>
      <c r="CX145">
        <v>117</v>
      </c>
    </row>
    <row r="146" spans="1:102">
      <c r="A146">
        <v>118</v>
      </c>
      <c r="B146" t="s">
        <v>12</v>
      </c>
      <c r="C146" t="s">
        <v>91</v>
      </c>
      <c r="D146" s="8" t="s">
        <v>366</v>
      </c>
      <c r="E146" t="s">
        <v>42</v>
      </c>
      <c r="I146" s="149"/>
      <c r="J146" s="96"/>
      <c r="K146" s="96"/>
      <c r="L146" s="96"/>
      <c r="M146" s="96"/>
      <c r="N146" s="96"/>
      <c r="O146" s="96"/>
      <c r="P146" s="150"/>
      <c r="Q146" s="149"/>
      <c r="R146" s="96"/>
      <c r="S146" s="96"/>
      <c r="T146" s="96"/>
      <c r="U146" s="96"/>
      <c r="V146" s="96"/>
      <c r="W146" s="96"/>
      <c r="X146" s="150"/>
      <c r="Y146" s="149"/>
      <c r="Z146" s="96"/>
      <c r="AA146" s="96"/>
      <c r="AB146" s="96"/>
      <c r="AC146" s="96"/>
      <c r="AD146" s="96"/>
      <c r="AE146" s="96"/>
      <c r="AF146" s="150"/>
      <c r="AH146" s="96"/>
      <c r="AI146" s="96"/>
      <c r="AJ146" s="96"/>
      <c r="AK146" s="96"/>
      <c r="AL146" s="96"/>
      <c r="AM146" s="96"/>
      <c r="AN146" s="150"/>
      <c r="AQ146" s="85">
        <f t="shared" si="6"/>
        <v>0</v>
      </c>
      <c r="AR146" s="19"/>
      <c r="AS146"/>
      <c r="AT146" s="67">
        <f t="shared" si="7"/>
        <v>0</v>
      </c>
      <c r="AU146" s="67">
        <f t="shared" si="8"/>
        <v>0</v>
      </c>
      <c r="AV146" s="66"/>
      <c r="AW146" s="12"/>
      <c r="BK146" s="12">
        <v>1</v>
      </c>
      <c r="CK146"/>
      <c r="CX146">
        <v>118</v>
      </c>
    </row>
    <row r="147" spans="1:102">
      <c r="A147">
        <v>119</v>
      </c>
      <c r="B147" t="s">
        <v>12</v>
      </c>
      <c r="C147" t="s">
        <v>91</v>
      </c>
      <c r="D147" s="8" t="s">
        <v>366</v>
      </c>
      <c r="E147" t="s">
        <v>6</v>
      </c>
      <c r="I147" s="149"/>
      <c r="J147" s="96"/>
      <c r="K147" s="96"/>
      <c r="L147" s="96"/>
      <c r="M147" s="96"/>
      <c r="N147" s="96"/>
      <c r="O147" s="96"/>
      <c r="P147" s="150"/>
      <c r="Q147" s="149"/>
      <c r="R147" s="96"/>
      <c r="S147" s="96"/>
      <c r="T147" s="96"/>
      <c r="U147" s="96"/>
      <c r="V147" s="96"/>
      <c r="W147" s="96"/>
      <c r="X147" s="150"/>
      <c r="Y147" s="149"/>
      <c r="Z147" s="96"/>
      <c r="AA147" s="96"/>
      <c r="AB147" s="96"/>
      <c r="AC147" s="96"/>
      <c r="AD147" s="96"/>
      <c r="AE147" s="96"/>
      <c r="AF147" s="150"/>
      <c r="AH147" s="96"/>
      <c r="AI147" s="96"/>
      <c r="AJ147" s="96"/>
      <c r="AK147" s="96"/>
      <c r="AL147" s="96"/>
      <c r="AM147" s="96"/>
      <c r="AN147" s="150"/>
      <c r="AQ147" s="85">
        <f t="shared" si="6"/>
        <v>0</v>
      </c>
      <c r="AR147" s="19"/>
      <c r="AS147"/>
      <c r="AT147" s="67">
        <f t="shared" si="7"/>
        <v>0</v>
      </c>
      <c r="AU147" s="67">
        <f t="shared" si="8"/>
        <v>0</v>
      </c>
      <c r="AV147" s="66"/>
      <c r="AW147" s="12"/>
      <c r="BY147" s="12">
        <v>1</v>
      </c>
      <c r="CK147"/>
      <c r="CX147">
        <v>119</v>
      </c>
    </row>
    <row r="148" spans="1:102" ht="17.25">
      <c r="A148">
        <v>120</v>
      </c>
      <c r="B148" t="s">
        <v>12</v>
      </c>
      <c r="C148" t="s">
        <v>73</v>
      </c>
      <c r="D148" s="8" t="s">
        <v>165</v>
      </c>
      <c r="E148" t="s">
        <v>42</v>
      </c>
      <c r="F148">
        <v>18</v>
      </c>
      <c r="G148" t="s">
        <v>15</v>
      </c>
      <c r="H148" t="s">
        <v>15</v>
      </c>
      <c r="I148" s="149"/>
      <c r="J148" s="96"/>
      <c r="K148" s="96"/>
      <c r="L148" s="95" t="s">
        <v>10</v>
      </c>
      <c r="M148" s="95">
        <v>1</v>
      </c>
      <c r="N148" s="95">
        <v>1</v>
      </c>
      <c r="O148" s="95">
        <v>1</v>
      </c>
      <c r="P148" s="150">
        <v>1</v>
      </c>
      <c r="Q148" s="149">
        <v>1</v>
      </c>
      <c r="R148" s="95">
        <v>1</v>
      </c>
      <c r="S148" s="95">
        <v>1</v>
      </c>
      <c r="T148" s="95">
        <v>1</v>
      </c>
      <c r="U148" s="95">
        <v>1</v>
      </c>
      <c r="V148" s="95" t="s">
        <v>10</v>
      </c>
      <c r="W148" s="95">
        <v>1</v>
      </c>
      <c r="X148" s="150">
        <v>1</v>
      </c>
      <c r="Y148" s="149"/>
      <c r="Z148" s="96"/>
      <c r="AA148" s="96"/>
      <c r="AB148" s="96"/>
      <c r="AC148" s="96"/>
      <c r="AD148" s="96"/>
      <c r="AE148" s="96"/>
      <c r="AF148" s="150"/>
      <c r="AG148" s="96" t="s">
        <v>9</v>
      </c>
      <c r="AH148" s="95">
        <v>1</v>
      </c>
      <c r="AI148" s="95">
        <v>1</v>
      </c>
      <c r="AJ148" s="95">
        <v>1</v>
      </c>
      <c r="AK148" s="95">
        <v>1</v>
      </c>
      <c r="AL148" s="95">
        <v>1</v>
      </c>
      <c r="AM148" s="95">
        <v>1</v>
      </c>
      <c r="AN148" s="150">
        <v>1</v>
      </c>
      <c r="AP148" s="56">
        <v>18</v>
      </c>
      <c r="AQ148" s="85">
        <f t="shared" si="6"/>
        <v>18</v>
      </c>
      <c r="AR148" s="106" t="s">
        <v>387</v>
      </c>
      <c r="AS148" s="65"/>
      <c r="AT148" s="67">
        <f t="shared" si="7"/>
        <v>2</v>
      </c>
      <c r="AU148" s="67">
        <f t="shared" si="8"/>
        <v>1</v>
      </c>
      <c r="AV148" s="65"/>
      <c r="AW148" s="11">
        <v>1</v>
      </c>
      <c r="AX148" s="11">
        <v>1</v>
      </c>
      <c r="AY148" s="11">
        <v>1</v>
      </c>
      <c r="AZ148" s="11">
        <v>1</v>
      </c>
      <c r="BA148" s="11">
        <v>1</v>
      </c>
      <c r="BB148" s="11">
        <v>1</v>
      </c>
      <c r="BG148" s="12">
        <v>1</v>
      </c>
      <c r="BJ148" s="12">
        <v>1</v>
      </c>
      <c r="BP148" s="12" t="s">
        <v>326</v>
      </c>
      <c r="BW148" s="12">
        <v>1</v>
      </c>
      <c r="CK148"/>
      <c r="CO148" t="s">
        <v>326</v>
      </c>
      <c r="CX148">
        <v>120</v>
      </c>
    </row>
    <row r="149" spans="1:102">
      <c r="A149">
        <v>121</v>
      </c>
      <c r="B149" t="s">
        <v>13</v>
      </c>
      <c r="C149" t="s">
        <v>113</v>
      </c>
      <c r="D149" s="8" t="s">
        <v>357</v>
      </c>
      <c r="E149" s="67" t="s">
        <v>15</v>
      </c>
      <c r="F149">
        <v>28</v>
      </c>
      <c r="G149">
        <v>28</v>
      </c>
      <c r="H149">
        <v>28</v>
      </c>
      <c r="I149" s="149" t="s">
        <v>49</v>
      </c>
      <c r="J149" s="95">
        <v>1</v>
      </c>
      <c r="K149" s="95">
        <v>1</v>
      </c>
      <c r="L149" s="95">
        <v>1</v>
      </c>
      <c r="M149" s="95">
        <v>1</v>
      </c>
      <c r="N149" s="95">
        <v>1</v>
      </c>
      <c r="O149" s="95">
        <v>1</v>
      </c>
      <c r="P149" s="125">
        <v>1</v>
      </c>
      <c r="Q149" s="124">
        <v>1</v>
      </c>
      <c r="R149" s="95">
        <v>1</v>
      </c>
      <c r="S149" s="95">
        <v>1</v>
      </c>
      <c r="T149" s="95">
        <v>1</v>
      </c>
      <c r="U149" s="95">
        <v>1</v>
      </c>
      <c r="V149" s="95">
        <v>1</v>
      </c>
      <c r="W149" s="95">
        <v>1</v>
      </c>
      <c r="X149" s="150" t="s">
        <v>49</v>
      </c>
      <c r="Y149" s="149" t="s">
        <v>49</v>
      </c>
      <c r="Z149" s="95">
        <v>1</v>
      </c>
      <c r="AA149" s="95">
        <v>1</v>
      </c>
      <c r="AB149" s="95">
        <v>1</v>
      </c>
      <c r="AC149" s="95">
        <v>1</v>
      </c>
      <c r="AD149" s="95">
        <v>1</v>
      </c>
      <c r="AE149" s="95">
        <v>1</v>
      </c>
      <c r="AF149" s="125">
        <v>1</v>
      </c>
      <c r="AG149" s="95">
        <v>1</v>
      </c>
      <c r="AH149" s="95">
        <v>1</v>
      </c>
      <c r="AI149" s="95">
        <v>1</v>
      </c>
      <c r="AJ149" s="95">
        <v>1</v>
      </c>
      <c r="AK149" s="95">
        <v>1</v>
      </c>
      <c r="AL149" s="95">
        <v>1</v>
      </c>
      <c r="AM149" s="95">
        <v>1</v>
      </c>
      <c r="AN149" s="150" t="s">
        <v>49</v>
      </c>
      <c r="AP149" s="56">
        <v>28</v>
      </c>
      <c r="AQ149" s="85">
        <f t="shared" si="6"/>
        <v>28</v>
      </c>
      <c r="AR149" s="19" t="s">
        <v>114</v>
      </c>
      <c r="AS149">
        <v>1</v>
      </c>
      <c r="AT149" s="67">
        <f t="shared" si="7"/>
        <v>0</v>
      </c>
      <c r="AU149" s="67">
        <f t="shared" si="8"/>
        <v>0</v>
      </c>
      <c r="AV149" s="66"/>
      <c r="AW149" s="12"/>
      <c r="AZ149" s="12">
        <v>1</v>
      </c>
      <c r="BA149" s="11">
        <v>1</v>
      </c>
      <c r="BB149" s="12">
        <v>1</v>
      </c>
      <c r="BI149" s="12">
        <v>1</v>
      </c>
      <c r="BL149" s="12">
        <v>1</v>
      </c>
      <c r="CK149"/>
      <c r="CX149">
        <v>121</v>
      </c>
    </row>
    <row r="150" spans="1:102">
      <c r="A150">
        <v>122</v>
      </c>
      <c r="B150" t="s">
        <v>13</v>
      </c>
      <c r="C150" t="s">
        <v>115</v>
      </c>
      <c r="D150" s="8" t="s">
        <v>357</v>
      </c>
      <c r="E150" t="s">
        <v>6</v>
      </c>
      <c r="F150">
        <v>28</v>
      </c>
      <c r="G150">
        <v>28</v>
      </c>
      <c r="H150">
        <v>28</v>
      </c>
      <c r="I150" s="149"/>
      <c r="J150" s="95">
        <v>1</v>
      </c>
      <c r="K150" s="95">
        <v>1</v>
      </c>
      <c r="L150" s="95">
        <v>1</v>
      </c>
      <c r="M150" s="95">
        <v>1</v>
      </c>
      <c r="N150" s="95">
        <v>1</v>
      </c>
      <c r="O150" s="95">
        <v>1</v>
      </c>
      <c r="P150" s="125">
        <v>1</v>
      </c>
      <c r="Q150" s="124">
        <v>1</v>
      </c>
      <c r="R150" s="95">
        <v>1</v>
      </c>
      <c r="S150" s="95">
        <v>1</v>
      </c>
      <c r="T150" s="95">
        <v>1</v>
      </c>
      <c r="U150" s="95">
        <v>1</v>
      </c>
      <c r="V150" s="95">
        <v>1</v>
      </c>
      <c r="W150" s="95">
        <v>1</v>
      </c>
      <c r="X150" s="150"/>
      <c r="Y150" s="149"/>
      <c r="Z150" s="95">
        <v>1</v>
      </c>
      <c r="AA150" s="95">
        <v>1</v>
      </c>
      <c r="AB150" s="95">
        <v>1</v>
      </c>
      <c r="AC150" s="95">
        <v>1</v>
      </c>
      <c r="AD150" s="95">
        <v>1</v>
      </c>
      <c r="AE150" s="95">
        <v>1</v>
      </c>
      <c r="AF150" s="125">
        <v>1</v>
      </c>
      <c r="AG150" s="95">
        <v>1</v>
      </c>
      <c r="AH150" s="95">
        <v>1</v>
      </c>
      <c r="AI150" s="95">
        <v>1</v>
      </c>
      <c r="AJ150" s="95">
        <v>1</v>
      </c>
      <c r="AK150" s="95">
        <v>1</v>
      </c>
      <c r="AL150" s="95">
        <v>1</v>
      </c>
      <c r="AM150" s="95">
        <v>1</v>
      </c>
      <c r="AN150" s="150"/>
      <c r="AO150" s="96">
        <v>2</v>
      </c>
      <c r="AP150" s="56">
        <v>26</v>
      </c>
      <c r="AQ150" s="85">
        <f t="shared" si="6"/>
        <v>28</v>
      </c>
      <c r="AR150" s="19" t="s">
        <v>116</v>
      </c>
      <c r="AS150" s="62">
        <v>1</v>
      </c>
      <c r="AT150" s="67">
        <f t="shared" si="7"/>
        <v>0</v>
      </c>
      <c r="AU150" s="67">
        <f t="shared" si="8"/>
        <v>0</v>
      </c>
      <c r="AV150" s="64"/>
      <c r="AW150" s="12"/>
      <c r="BA150" s="11">
        <v>1</v>
      </c>
      <c r="BC150" s="12">
        <v>1</v>
      </c>
      <c r="CK150"/>
      <c r="CX150">
        <v>122</v>
      </c>
    </row>
    <row r="151" spans="1:102">
      <c r="A151">
        <v>123</v>
      </c>
      <c r="B151" t="s">
        <v>13</v>
      </c>
      <c r="C151" t="s">
        <v>117</v>
      </c>
      <c r="D151" s="8" t="s">
        <v>365</v>
      </c>
      <c r="E151" s="67" t="s">
        <v>15</v>
      </c>
      <c r="I151" s="149"/>
      <c r="J151" s="96"/>
      <c r="K151" s="96"/>
      <c r="L151" s="96"/>
      <c r="M151" s="96"/>
      <c r="N151" s="96"/>
      <c r="O151" s="96"/>
      <c r="P151" s="150"/>
      <c r="Q151" s="149"/>
      <c r="R151" s="96"/>
      <c r="S151" s="96"/>
      <c r="T151" s="96"/>
      <c r="U151" s="96"/>
      <c r="V151" s="96"/>
      <c r="W151" s="96"/>
      <c r="X151" s="150"/>
      <c r="Y151" s="149"/>
      <c r="Z151" s="96"/>
      <c r="AA151" s="96"/>
      <c r="AB151" s="96"/>
      <c r="AC151" s="96"/>
      <c r="AD151" s="96"/>
      <c r="AE151" s="96"/>
      <c r="AF151" s="150"/>
      <c r="AH151" s="96"/>
      <c r="AI151" s="96"/>
      <c r="AJ151" s="96"/>
      <c r="AK151" s="96"/>
      <c r="AL151" s="96"/>
      <c r="AM151" s="96"/>
      <c r="AN151" s="150"/>
      <c r="AQ151" s="85">
        <f t="shared" si="6"/>
        <v>0</v>
      </c>
      <c r="AR151" s="19"/>
      <c r="AS151"/>
      <c r="AT151" s="67">
        <f t="shared" si="7"/>
        <v>0</v>
      </c>
      <c r="AU151" s="67">
        <f t="shared" si="8"/>
        <v>0</v>
      </c>
      <c r="AV151" s="66"/>
      <c r="AW151" s="12"/>
      <c r="CE151" s="12">
        <v>1</v>
      </c>
      <c r="CK151"/>
      <c r="CX151">
        <v>123</v>
      </c>
    </row>
    <row r="152" spans="1:102">
      <c r="A152">
        <v>124</v>
      </c>
      <c r="B152" t="s">
        <v>13</v>
      </c>
      <c r="C152" t="s">
        <v>118</v>
      </c>
      <c r="D152" s="8" t="s">
        <v>345</v>
      </c>
      <c r="E152" s="67" t="s">
        <v>15</v>
      </c>
      <c r="I152" s="149"/>
      <c r="J152" s="96"/>
      <c r="K152" s="96"/>
      <c r="L152" s="96"/>
      <c r="M152" s="96"/>
      <c r="N152" s="96"/>
      <c r="O152" s="96"/>
      <c r="P152" s="150"/>
      <c r="Q152" s="149"/>
      <c r="R152" s="96"/>
      <c r="S152" s="96"/>
      <c r="T152" s="96"/>
      <c r="U152" s="96"/>
      <c r="V152" s="96"/>
      <c r="W152" s="96"/>
      <c r="X152" s="150"/>
      <c r="Y152" s="149"/>
      <c r="Z152" s="96"/>
      <c r="AA152" s="96"/>
      <c r="AB152" s="96"/>
      <c r="AC152" s="96"/>
      <c r="AD152" s="96"/>
      <c r="AE152" s="96"/>
      <c r="AF152" s="150"/>
      <c r="AH152" s="96"/>
      <c r="AI152" s="96"/>
      <c r="AJ152" s="96"/>
      <c r="AK152" s="96"/>
      <c r="AL152" s="96"/>
      <c r="AM152" s="96"/>
      <c r="AN152" s="150"/>
      <c r="AQ152" s="85">
        <f t="shared" si="6"/>
        <v>0</v>
      </c>
      <c r="AR152" s="19"/>
      <c r="AS152"/>
      <c r="AT152" s="67">
        <f t="shared" si="7"/>
        <v>0</v>
      </c>
      <c r="AU152" s="67">
        <f t="shared" si="8"/>
        <v>0</v>
      </c>
      <c r="AV152" s="66"/>
      <c r="AW152" s="12"/>
      <c r="CE152" s="12">
        <v>1</v>
      </c>
      <c r="CK152"/>
      <c r="CX152">
        <v>124</v>
      </c>
    </row>
    <row r="153" spans="1:102">
      <c r="A153">
        <v>125</v>
      </c>
      <c r="B153" t="s">
        <v>13</v>
      </c>
      <c r="C153" t="s">
        <v>78</v>
      </c>
      <c r="D153" s="8" t="s">
        <v>359</v>
      </c>
      <c r="E153" s="67" t="s">
        <v>15</v>
      </c>
      <c r="F153">
        <v>17</v>
      </c>
      <c r="G153" t="s">
        <v>15</v>
      </c>
      <c r="H153" t="s">
        <v>15</v>
      </c>
      <c r="I153" s="149"/>
      <c r="J153" s="96"/>
      <c r="K153" s="96"/>
      <c r="L153" s="96"/>
      <c r="M153" s="96"/>
      <c r="N153" s="95">
        <v>1</v>
      </c>
      <c r="O153" s="95">
        <v>1</v>
      </c>
      <c r="P153" s="150"/>
      <c r="Q153" s="149">
        <v>1</v>
      </c>
      <c r="R153" s="95">
        <v>1</v>
      </c>
      <c r="S153" s="95">
        <v>1</v>
      </c>
      <c r="T153" s="95">
        <v>1</v>
      </c>
      <c r="U153" s="95">
        <v>1</v>
      </c>
      <c r="V153" s="95">
        <v>1</v>
      </c>
      <c r="W153" s="95" t="s">
        <v>49</v>
      </c>
      <c r="X153" s="150"/>
      <c r="Y153" s="149"/>
      <c r="Z153" s="95" t="s">
        <v>49</v>
      </c>
      <c r="AA153" s="96">
        <v>1</v>
      </c>
      <c r="AB153" s="96">
        <v>1</v>
      </c>
      <c r="AC153" s="96">
        <v>1</v>
      </c>
      <c r="AD153" s="96" t="s">
        <v>9</v>
      </c>
      <c r="AE153" s="96">
        <v>1</v>
      </c>
      <c r="AF153" s="150">
        <v>1</v>
      </c>
      <c r="AG153" s="96">
        <v>1</v>
      </c>
      <c r="AH153" s="95">
        <v>1</v>
      </c>
      <c r="AI153" s="95" t="s">
        <v>9</v>
      </c>
      <c r="AJ153" s="95" t="s">
        <v>9</v>
      </c>
      <c r="AK153" s="95">
        <v>1</v>
      </c>
      <c r="AL153" s="95">
        <v>1</v>
      </c>
      <c r="AM153" s="95" t="s">
        <v>49</v>
      </c>
      <c r="AN153" s="150"/>
      <c r="AO153" s="96">
        <v>9</v>
      </c>
      <c r="AP153" s="56">
        <v>8</v>
      </c>
      <c r="AQ153" s="85">
        <f t="shared" si="6"/>
        <v>17</v>
      </c>
      <c r="AR153" s="19"/>
      <c r="AS153"/>
      <c r="AT153" s="67">
        <f t="shared" si="7"/>
        <v>0</v>
      </c>
      <c r="AU153" s="67">
        <f t="shared" si="8"/>
        <v>3</v>
      </c>
      <c r="AV153" s="66"/>
      <c r="AW153" s="12"/>
      <c r="BI153" s="12">
        <v>1</v>
      </c>
      <c r="CK153"/>
      <c r="CX153">
        <v>125</v>
      </c>
    </row>
    <row r="154" spans="1:102">
      <c r="A154">
        <v>126</v>
      </c>
      <c r="B154" t="s">
        <v>12</v>
      </c>
      <c r="C154" t="s">
        <v>106</v>
      </c>
      <c r="D154" s="8" t="s">
        <v>349</v>
      </c>
      <c r="E154" t="s">
        <v>42</v>
      </c>
      <c r="I154" s="149"/>
      <c r="J154" s="96"/>
      <c r="K154" s="96"/>
      <c r="L154" s="96"/>
      <c r="M154" s="96"/>
      <c r="N154" s="96"/>
      <c r="O154" s="96"/>
      <c r="P154" s="150"/>
      <c r="Q154" s="149"/>
      <c r="R154" s="96"/>
      <c r="S154" s="96"/>
      <c r="T154" s="96"/>
      <c r="U154" s="96"/>
      <c r="V154" s="96"/>
      <c r="W154" s="96"/>
      <c r="X154" s="150"/>
      <c r="Y154" s="149"/>
      <c r="Z154" s="96"/>
      <c r="AA154" s="96"/>
      <c r="AB154" s="96"/>
      <c r="AC154" s="96"/>
      <c r="AD154" s="96"/>
      <c r="AE154" s="96"/>
      <c r="AF154" s="150"/>
      <c r="AH154" s="96"/>
      <c r="AI154" s="96"/>
      <c r="AJ154" s="96"/>
      <c r="AK154" s="96"/>
      <c r="AL154" s="96"/>
      <c r="AM154" s="96"/>
      <c r="AN154" s="150"/>
      <c r="AQ154" s="85">
        <f t="shared" si="6"/>
        <v>0</v>
      </c>
      <c r="AR154" s="19"/>
      <c r="AS154"/>
      <c r="AT154" s="67">
        <f t="shared" si="7"/>
        <v>0</v>
      </c>
      <c r="AU154" s="67">
        <f t="shared" si="8"/>
        <v>0</v>
      </c>
      <c r="AV154" s="66"/>
      <c r="AW154" s="12"/>
      <c r="BK154" s="12">
        <v>1</v>
      </c>
      <c r="BQ154" s="12">
        <v>2</v>
      </c>
      <c r="BW154" s="12">
        <v>1</v>
      </c>
      <c r="BY154" s="12">
        <v>1</v>
      </c>
      <c r="CK154"/>
      <c r="CX154">
        <v>126</v>
      </c>
    </row>
    <row r="155" spans="1:102">
      <c r="A155">
        <v>127</v>
      </c>
      <c r="B155" t="s">
        <v>12</v>
      </c>
      <c r="C155" t="s">
        <v>62</v>
      </c>
      <c r="D155" s="8" t="s">
        <v>42</v>
      </c>
      <c r="E155" t="s">
        <v>42</v>
      </c>
      <c r="F155">
        <v>32</v>
      </c>
      <c r="G155">
        <v>32</v>
      </c>
      <c r="H155">
        <v>32</v>
      </c>
      <c r="I155" s="124">
        <v>1</v>
      </c>
      <c r="J155" s="95">
        <v>1</v>
      </c>
      <c r="K155" s="95">
        <v>1</v>
      </c>
      <c r="L155" s="95">
        <v>1</v>
      </c>
      <c r="M155" s="95">
        <v>1</v>
      </c>
      <c r="N155" s="95">
        <v>1</v>
      </c>
      <c r="O155" s="95">
        <v>1</v>
      </c>
      <c r="P155" s="125">
        <v>1</v>
      </c>
      <c r="Q155" s="124">
        <v>1</v>
      </c>
      <c r="R155" s="95">
        <v>1</v>
      </c>
      <c r="S155" s="95">
        <v>1</v>
      </c>
      <c r="T155" s="95">
        <v>1</v>
      </c>
      <c r="U155" s="95">
        <v>1</v>
      </c>
      <c r="V155" s="95">
        <v>1</v>
      </c>
      <c r="W155" s="95">
        <v>1</v>
      </c>
      <c r="X155" s="125">
        <v>1</v>
      </c>
      <c r="Y155" s="124">
        <v>1</v>
      </c>
      <c r="Z155" s="95">
        <v>1</v>
      </c>
      <c r="AA155" s="95">
        <v>1</v>
      </c>
      <c r="AB155" s="95">
        <v>1</v>
      </c>
      <c r="AC155" s="95">
        <v>1</v>
      </c>
      <c r="AD155" s="95">
        <v>1</v>
      </c>
      <c r="AE155" s="95">
        <v>1</v>
      </c>
      <c r="AF155" s="125">
        <v>1</v>
      </c>
      <c r="AG155" s="95">
        <v>1</v>
      </c>
      <c r="AH155" s="95">
        <v>1</v>
      </c>
      <c r="AI155" s="95">
        <v>1</v>
      </c>
      <c r="AJ155" s="95">
        <v>1</v>
      </c>
      <c r="AK155" s="95">
        <v>1</v>
      </c>
      <c r="AL155" s="95">
        <v>1</v>
      </c>
      <c r="AM155" s="95">
        <v>1</v>
      </c>
      <c r="AN155" s="125">
        <v>1</v>
      </c>
      <c r="AO155" s="95"/>
      <c r="AP155" s="11">
        <v>32</v>
      </c>
      <c r="AQ155" s="85">
        <f t="shared" si="6"/>
        <v>32</v>
      </c>
      <c r="AR155" s="19" t="s">
        <v>119</v>
      </c>
      <c r="AS155">
        <v>1</v>
      </c>
      <c r="AT155" s="67">
        <f t="shared" si="7"/>
        <v>0</v>
      </c>
      <c r="AU155" s="67">
        <f t="shared" si="8"/>
        <v>0</v>
      </c>
      <c r="AV155" s="66">
        <v>1</v>
      </c>
      <c r="AW155" s="12">
        <v>1</v>
      </c>
      <c r="BA155" s="12">
        <v>1</v>
      </c>
      <c r="BB155" s="12">
        <v>1</v>
      </c>
      <c r="BE155" s="12">
        <v>1</v>
      </c>
      <c r="BK155" s="12">
        <v>1</v>
      </c>
      <c r="BV155" s="12">
        <v>1</v>
      </c>
      <c r="BW155" s="12" t="s">
        <v>326</v>
      </c>
      <c r="BY155" s="12">
        <v>1</v>
      </c>
      <c r="BZ155" s="12" t="s">
        <v>328</v>
      </c>
      <c r="CK155"/>
      <c r="CX155">
        <v>127</v>
      </c>
    </row>
    <row r="156" spans="1:102">
      <c r="A156">
        <v>128</v>
      </c>
      <c r="B156" t="s">
        <v>12</v>
      </c>
      <c r="C156" t="s">
        <v>40</v>
      </c>
      <c r="D156" s="8" t="s">
        <v>40</v>
      </c>
      <c r="E156" t="s">
        <v>6</v>
      </c>
      <c r="I156" s="149"/>
      <c r="J156" s="96"/>
      <c r="K156" s="96"/>
      <c r="L156" s="96"/>
      <c r="M156" s="96"/>
      <c r="N156" s="96"/>
      <c r="O156" s="96"/>
      <c r="P156" s="150"/>
      <c r="Q156" s="149"/>
      <c r="R156" s="96"/>
      <c r="S156" s="96"/>
      <c r="T156" s="96"/>
      <c r="U156" s="96"/>
      <c r="V156" s="96"/>
      <c r="W156" s="96"/>
      <c r="X156" s="150"/>
      <c r="Y156" s="149"/>
      <c r="Z156" s="96"/>
      <c r="AA156" s="96"/>
      <c r="AB156" s="96"/>
      <c r="AC156" s="96"/>
      <c r="AD156" s="96"/>
      <c r="AE156" s="96"/>
      <c r="AF156" s="150"/>
      <c r="AH156" s="96"/>
      <c r="AI156" s="96"/>
      <c r="AJ156" s="96"/>
      <c r="AK156" s="96"/>
      <c r="AL156" s="96"/>
      <c r="AM156" s="96"/>
      <c r="AN156" s="150"/>
      <c r="AQ156" s="85">
        <f t="shared" si="6"/>
        <v>0</v>
      </c>
      <c r="AR156" s="19"/>
      <c r="AS156"/>
      <c r="AT156" s="67">
        <f t="shared" si="7"/>
        <v>0</v>
      </c>
      <c r="AU156" s="67">
        <f t="shared" si="8"/>
        <v>0</v>
      </c>
      <c r="AV156" s="66"/>
      <c r="AW156" s="12"/>
      <c r="CK156"/>
      <c r="CX156">
        <v>128</v>
      </c>
    </row>
    <row r="157" spans="1:102">
      <c r="A157">
        <v>129</v>
      </c>
      <c r="B157" t="s">
        <v>12</v>
      </c>
      <c r="C157" t="s">
        <v>88</v>
      </c>
      <c r="D157" s="8" t="s">
        <v>12</v>
      </c>
      <c r="E157" t="s">
        <v>6</v>
      </c>
      <c r="F157">
        <v>26</v>
      </c>
      <c r="G157">
        <v>26</v>
      </c>
      <c r="H157">
        <v>26</v>
      </c>
      <c r="I157" s="149"/>
      <c r="J157" s="96"/>
      <c r="K157" s="95">
        <v>1</v>
      </c>
      <c r="L157" s="95">
        <v>1</v>
      </c>
      <c r="M157" s="95">
        <v>1</v>
      </c>
      <c r="N157" s="95">
        <v>1</v>
      </c>
      <c r="O157" s="95">
        <v>1</v>
      </c>
      <c r="P157" s="125">
        <v>1</v>
      </c>
      <c r="Q157" s="124">
        <v>1</v>
      </c>
      <c r="R157" s="95">
        <v>1</v>
      </c>
      <c r="S157" s="95">
        <v>1</v>
      </c>
      <c r="T157" s="95">
        <v>1</v>
      </c>
      <c r="U157" s="95">
        <v>1</v>
      </c>
      <c r="V157" s="95">
        <v>1</v>
      </c>
      <c r="W157" s="96"/>
      <c r="X157" s="150"/>
      <c r="Y157" s="149"/>
      <c r="Z157" s="95">
        <v>1</v>
      </c>
      <c r="AA157" s="95">
        <v>1</v>
      </c>
      <c r="AB157" s="95">
        <v>1</v>
      </c>
      <c r="AC157" s="95">
        <v>1</v>
      </c>
      <c r="AD157" s="95">
        <v>1</v>
      </c>
      <c r="AE157" s="95">
        <v>1</v>
      </c>
      <c r="AF157" s="125">
        <v>1</v>
      </c>
      <c r="AG157" s="95">
        <v>1</v>
      </c>
      <c r="AH157" s="95">
        <v>1</v>
      </c>
      <c r="AI157" s="95">
        <v>1</v>
      </c>
      <c r="AJ157" s="95">
        <v>1</v>
      </c>
      <c r="AK157" s="95">
        <v>1</v>
      </c>
      <c r="AL157" s="95">
        <v>1</v>
      </c>
      <c r="AM157" s="95">
        <v>1</v>
      </c>
      <c r="AN157" s="150"/>
      <c r="AP157" s="56">
        <v>26</v>
      </c>
      <c r="AQ157" s="85">
        <f t="shared" si="6"/>
        <v>26</v>
      </c>
      <c r="AR157" s="19"/>
      <c r="AS157">
        <v>1</v>
      </c>
      <c r="AT157" s="67">
        <f t="shared" si="7"/>
        <v>0</v>
      </c>
      <c r="AU157" s="67">
        <f t="shared" si="8"/>
        <v>0</v>
      </c>
      <c r="AV157" s="66"/>
      <c r="AW157" s="12"/>
      <c r="AZ157" s="12">
        <v>1</v>
      </c>
      <c r="BA157" s="12">
        <v>1</v>
      </c>
      <c r="BK157" s="12" t="s">
        <v>209</v>
      </c>
      <c r="BO157" s="12">
        <v>1</v>
      </c>
      <c r="BY157" s="12">
        <v>1</v>
      </c>
      <c r="BZ157" s="12" t="s">
        <v>328</v>
      </c>
      <c r="CK157"/>
      <c r="CX157">
        <v>129</v>
      </c>
    </row>
    <row r="158" spans="1:102">
      <c r="A158">
        <v>130</v>
      </c>
      <c r="B158" t="s">
        <v>12</v>
      </c>
      <c r="C158" t="s">
        <v>41</v>
      </c>
      <c r="D158" s="8" t="s">
        <v>42</v>
      </c>
      <c r="E158" t="s">
        <v>42</v>
      </c>
      <c r="F158">
        <v>30</v>
      </c>
      <c r="G158">
        <v>30</v>
      </c>
      <c r="H158">
        <v>30</v>
      </c>
      <c r="I158" s="149"/>
      <c r="J158" s="95">
        <v>1</v>
      </c>
      <c r="K158" s="95">
        <v>1</v>
      </c>
      <c r="L158" s="95">
        <v>1</v>
      </c>
      <c r="M158" s="95">
        <v>1</v>
      </c>
      <c r="N158" s="95">
        <v>1</v>
      </c>
      <c r="O158" s="95">
        <v>1</v>
      </c>
      <c r="P158" s="125">
        <v>1</v>
      </c>
      <c r="Q158" s="124">
        <v>1</v>
      </c>
      <c r="R158" s="95">
        <v>1</v>
      </c>
      <c r="S158" s="95">
        <v>1</v>
      </c>
      <c r="T158" s="95">
        <v>1</v>
      </c>
      <c r="U158" s="95">
        <v>1</v>
      </c>
      <c r="V158" s="95">
        <v>1</v>
      </c>
      <c r="W158" s="95">
        <v>1</v>
      </c>
      <c r="X158" s="150"/>
      <c r="Y158" s="149">
        <v>1</v>
      </c>
      <c r="Z158" s="95">
        <v>1</v>
      </c>
      <c r="AA158" s="95">
        <v>1</v>
      </c>
      <c r="AB158" s="95">
        <v>1</v>
      </c>
      <c r="AC158" s="95">
        <v>1</v>
      </c>
      <c r="AD158" s="95">
        <v>1</v>
      </c>
      <c r="AE158" s="95">
        <v>1</v>
      </c>
      <c r="AF158" s="125">
        <v>1</v>
      </c>
      <c r="AG158" s="95">
        <v>1</v>
      </c>
      <c r="AH158" s="95">
        <v>1</v>
      </c>
      <c r="AI158" s="95">
        <v>1</v>
      </c>
      <c r="AJ158" s="95">
        <v>1</v>
      </c>
      <c r="AK158" s="95">
        <v>1</v>
      </c>
      <c r="AL158" s="95">
        <v>1</v>
      </c>
      <c r="AM158" s="95">
        <v>1</v>
      </c>
      <c r="AN158" s="150">
        <v>1</v>
      </c>
      <c r="AP158" s="56">
        <v>30</v>
      </c>
      <c r="AQ158" s="85">
        <f t="shared" si="6"/>
        <v>30</v>
      </c>
      <c r="AR158" s="19"/>
      <c r="AS158">
        <v>1</v>
      </c>
      <c r="AT158" s="67">
        <f t="shared" si="7"/>
        <v>0</v>
      </c>
      <c r="AU158" s="67">
        <f t="shared" si="8"/>
        <v>0</v>
      </c>
      <c r="AV158" s="66"/>
      <c r="AW158" s="12"/>
      <c r="AX158" s="12">
        <v>1</v>
      </c>
      <c r="BA158" s="12">
        <v>1</v>
      </c>
      <c r="BE158" s="12">
        <v>1</v>
      </c>
      <c r="BI158" s="12">
        <v>1</v>
      </c>
      <c r="BS158" s="12">
        <v>1</v>
      </c>
      <c r="BV158" s="12">
        <v>1</v>
      </c>
      <c r="CK158"/>
      <c r="CX158">
        <v>130</v>
      </c>
    </row>
    <row r="159" spans="1:102">
      <c r="A159">
        <v>131</v>
      </c>
      <c r="B159" t="s">
        <v>13</v>
      </c>
      <c r="C159" t="s">
        <v>63</v>
      </c>
      <c r="D159" s="8" t="s">
        <v>346</v>
      </c>
      <c r="E159" s="67" t="s">
        <v>15</v>
      </c>
      <c r="F159">
        <v>3</v>
      </c>
      <c r="G159">
        <v>8</v>
      </c>
      <c r="H159">
        <v>8</v>
      </c>
      <c r="I159" s="149"/>
      <c r="J159" s="96"/>
      <c r="K159" s="95" t="s">
        <v>49</v>
      </c>
      <c r="L159" s="95" t="s">
        <v>49</v>
      </c>
      <c r="M159" s="95" t="s">
        <v>49</v>
      </c>
      <c r="N159" s="95" t="s">
        <v>49</v>
      </c>
      <c r="O159" s="95">
        <v>1</v>
      </c>
      <c r="P159" s="150" t="s">
        <v>9</v>
      </c>
      <c r="Q159" s="149">
        <v>1</v>
      </c>
      <c r="R159" s="95">
        <v>1</v>
      </c>
      <c r="S159" s="95" t="s">
        <v>49</v>
      </c>
      <c r="T159" s="95" t="s">
        <v>49</v>
      </c>
      <c r="U159" s="95" t="s">
        <v>49</v>
      </c>
      <c r="V159" s="95" t="s">
        <v>49</v>
      </c>
      <c r="W159" s="96"/>
      <c r="X159" s="150"/>
      <c r="Y159" s="149"/>
      <c r="Z159" s="96"/>
      <c r="AA159" s="95" t="s">
        <v>49</v>
      </c>
      <c r="AB159" s="95" t="s">
        <v>49</v>
      </c>
      <c r="AC159" s="95" t="s">
        <v>49</v>
      </c>
      <c r="AD159" s="95" t="s">
        <v>49</v>
      </c>
      <c r="AE159" s="95" t="s">
        <v>9</v>
      </c>
      <c r="AF159" s="150" t="s">
        <v>9</v>
      </c>
      <c r="AG159" s="96" t="s">
        <v>9</v>
      </c>
      <c r="AH159" s="95" t="s">
        <v>9</v>
      </c>
      <c r="AI159" s="95" t="s">
        <v>49</v>
      </c>
      <c r="AJ159" s="95" t="s">
        <v>49</v>
      </c>
      <c r="AK159" s="95" t="s">
        <v>49</v>
      </c>
      <c r="AL159" s="95" t="s">
        <v>49</v>
      </c>
      <c r="AM159" s="96"/>
      <c r="AN159" s="150"/>
      <c r="AO159" s="96">
        <v>3</v>
      </c>
      <c r="AQ159" s="85">
        <f t="shared" si="6"/>
        <v>3</v>
      </c>
      <c r="AR159" s="19"/>
      <c r="AS159"/>
      <c r="AT159" s="67">
        <f t="shared" si="7"/>
        <v>0</v>
      </c>
      <c r="AU159" s="67">
        <f t="shared" si="8"/>
        <v>5</v>
      </c>
      <c r="AV159" s="66"/>
      <c r="AW159" s="12"/>
      <c r="CK159"/>
      <c r="CX159">
        <v>131</v>
      </c>
    </row>
    <row r="160" spans="1:102">
      <c r="A160">
        <v>132</v>
      </c>
      <c r="B160" t="s">
        <v>13</v>
      </c>
      <c r="C160" t="s">
        <v>99</v>
      </c>
      <c r="D160" s="8" t="s">
        <v>346</v>
      </c>
      <c r="E160" s="67" t="s">
        <v>15</v>
      </c>
      <c r="F160">
        <v>20</v>
      </c>
      <c r="G160">
        <v>24</v>
      </c>
      <c r="H160">
        <v>24</v>
      </c>
      <c r="I160" s="149"/>
      <c r="J160" s="96" t="s">
        <v>49</v>
      </c>
      <c r="K160" s="95">
        <v>1</v>
      </c>
      <c r="L160" s="95">
        <v>1</v>
      </c>
      <c r="M160" s="95">
        <v>1</v>
      </c>
      <c r="N160" s="95">
        <v>1</v>
      </c>
      <c r="O160" s="95" t="s">
        <v>9</v>
      </c>
      <c r="P160" s="150" t="s">
        <v>9</v>
      </c>
      <c r="Q160" s="149">
        <v>1</v>
      </c>
      <c r="R160" s="95">
        <v>1</v>
      </c>
      <c r="S160" s="95">
        <v>1</v>
      </c>
      <c r="T160" s="95">
        <v>1</v>
      </c>
      <c r="U160" s="95">
        <v>1</v>
      </c>
      <c r="V160" s="95">
        <v>1</v>
      </c>
      <c r="W160" s="95" t="s">
        <v>49</v>
      </c>
      <c r="X160" s="150"/>
      <c r="Y160" s="149"/>
      <c r="Z160" s="95" t="s">
        <v>49</v>
      </c>
      <c r="AA160" s="95">
        <v>1</v>
      </c>
      <c r="AB160" s="95">
        <v>1</v>
      </c>
      <c r="AC160" s="95">
        <v>1</v>
      </c>
      <c r="AD160" s="95">
        <v>1</v>
      </c>
      <c r="AE160" s="95">
        <v>1</v>
      </c>
      <c r="AF160" s="150" t="s">
        <v>9</v>
      </c>
      <c r="AG160" s="96" t="s">
        <v>9</v>
      </c>
      <c r="AH160" s="95">
        <v>1</v>
      </c>
      <c r="AI160" s="95">
        <v>1</v>
      </c>
      <c r="AJ160" s="95">
        <v>1</v>
      </c>
      <c r="AK160" s="95">
        <v>1</v>
      </c>
      <c r="AL160" s="95">
        <v>1</v>
      </c>
      <c r="AM160" s="95" t="s">
        <v>49</v>
      </c>
      <c r="AN160" s="150"/>
      <c r="AO160" s="96">
        <v>16</v>
      </c>
      <c r="AP160" s="56">
        <v>4</v>
      </c>
      <c r="AQ160" s="85">
        <f t="shared" si="6"/>
        <v>20</v>
      </c>
      <c r="AR160" s="19"/>
      <c r="AS160"/>
      <c r="AT160" s="67">
        <f t="shared" si="7"/>
        <v>0</v>
      </c>
      <c r="AU160" s="67">
        <f t="shared" si="8"/>
        <v>4</v>
      </c>
      <c r="AV160" s="66"/>
      <c r="AW160" s="12"/>
      <c r="BA160" s="12">
        <v>1</v>
      </c>
      <c r="BI160" s="12">
        <v>1</v>
      </c>
      <c r="CK160"/>
      <c r="CX160">
        <v>132</v>
      </c>
    </row>
    <row r="161" spans="1:102">
      <c r="A161">
        <v>133</v>
      </c>
      <c r="B161" t="s">
        <v>12</v>
      </c>
      <c r="C161" t="s">
        <v>41</v>
      </c>
      <c r="D161" s="8" t="s">
        <v>42</v>
      </c>
      <c r="E161" t="s">
        <v>6</v>
      </c>
      <c r="F161">
        <v>26</v>
      </c>
      <c r="G161">
        <v>28</v>
      </c>
      <c r="H161">
        <v>28</v>
      </c>
      <c r="I161" s="149"/>
      <c r="J161" s="96">
        <v>1</v>
      </c>
      <c r="K161" s="95">
        <v>1</v>
      </c>
      <c r="L161" s="95">
        <v>1</v>
      </c>
      <c r="M161" s="95">
        <v>1</v>
      </c>
      <c r="N161" s="95">
        <v>1</v>
      </c>
      <c r="O161" s="95">
        <v>1</v>
      </c>
      <c r="P161" s="150" t="s">
        <v>9</v>
      </c>
      <c r="Q161" s="149" t="s">
        <v>9</v>
      </c>
      <c r="R161" s="95">
        <v>1</v>
      </c>
      <c r="S161" s="95">
        <v>1</v>
      </c>
      <c r="T161" s="95">
        <v>1</v>
      </c>
      <c r="U161" s="95">
        <v>1</v>
      </c>
      <c r="V161" s="95">
        <v>1</v>
      </c>
      <c r="W161" s="95">
        <v>1</v>
      </c>
      <c r="X161" s="150"/>
      <c r="Y161" s="149"/>
      <c r="Z161" s="95">
        <v>1</v>
      </c>
      <c r="AA161" s="95">
        <v>1</v>
      </c>
      <c r="AB161" s="95">
        <v>1</v>
      </c>
      <c r="AC161" s="95">
        <v>1</v>
      </c>
      <c r="AD161" s="95">
        <v>1</v>
      </c>
      <c r="AE161" s="95">
        <v>1</v>
      </c>
      <c r="AF161" s="150">
        <v>1</v>
      </c>
      <c r="AG161" s="96">
        <v>1</v>
      </c>
      <c r="AH161" s="95">
        <v>1</v>
      </c>
      <c r="AI161" s="95">
        <v>1</v>
      </c>
      <c r="AJ161" s="95">
        <v>1</v>
      </c>
      <c r="AK161" s="95">
        <v>1</v>
      </c>
      <c r="AL161" s="95">
        <v>1</v>
      </c>
      <c r="AM161" s="95">
        <v>1</v>
      </c>
      <c r="AN161" s="150"/>
      <c r="AP161" s="56">
        <v>26</v>
      </c>
      <c r="AQ161" s="85">
        <f t="shared" si="6"/>
        <v>26</v>
      </c>
      <c r="AR161" s="19" t="s">
        <v>120</v>
      </c>
      <c r="AS161"/>
      <c r="AT161" s="67">
        <f t="shared" si="7"/>
        <v>0</v>
      </c>
      <c r="AU161" s="67">
        <f t="shared" si="8"/>
        <v>2</v>
      </c>
      <c r="AV161" s="66"/>
      <c r="AW161" s="12"/>
      <c r="AX161" s="12">
        <v>1</v>
      </c>
      <c r="AZ161" s="12">
        <v>1</v>
      </c>
      <c r="BA161" s="12">
        <v>1</v>
      </c>
      <c r="BB161" s="12">
        <v>1</v>
      </c>
      <c r="BV161" s="12">
        <v>1</v>
      </c>
      <c r="BY161" s="12">
        <v>1</v>
      </c>
      <c r="BZ161" s="12" t="s">
        <v>326</v>
      </c>
      <c r="CK161"/>
      <c r="CX161">
        <v>133</v>
      </c>
    </row>
    <row r="162" spans="1:102">
      <c r="A162">
        <v>134</v>
      </c>
      <c r="B162" t="s">
        <v>13</v>
      </c>
      <c r="C162" t="s">
        <v>74</v>
      </c>
      <c r="D162" s="8" t="s">
        <v>346</v>
      </c>
      <c r="E162" s="67" t="s">
        <v>15</v>
      </c>
      <c r="F162">
        <v>20</v>
      </c>
      <c r="G162">
        <v>20</v>
      </c>
      <c r="H162">
        <v>20</v>
      </c>
      <c r="I162" s="149"/>
      <c r="J162" s="96"/>
      <c r="K162" s="95" t="s">
        <v>49</v>
      </c>
      <c r="L162" s="95">
        <v>1</v>
      </c>
      <c r="M162" s="95">
        <v>1</v>
      </c>
      <c r="N162" s="95">
        <v>1</v>
      </c>
      <c r="O162" s="95">
        <v>1</v>
      </c>
      <c r="P162" s="150">
        <v>1</v>
      </c>
      <c r="Q162" s="149">
        <v>1</v>
      </c>
      <c r="R162" s="95">
        <v>1</v>
      </c>
      <c r="S162" s="95">
        <v>1</v>
      </c>
      <c r="T162" s="95">
        <v>1</v>
      </c>
      <c r="U162" s="95">
        <v>1</v>
      </c>
      <c r="V162" s="95" t="s">
        <v>49</v>
      </c>
      <c r="W162" s="96"/>
      <c r="X162" s="150"/>
      <c r="Y162" s="149"/>
      <c r="Z162" s="96"/>
      <c r="AA162" s="95" t="s">
        <v>49</v>
      </c>
      <c r="AB162" s="95">
        <v>1</v>
      </c>
      <c r="AC162" s="95">
        <v>1</v>
      </c>
      <c r="AD162" s="95">
        <v>1</v>
      </c>
      <c r="AE162" s="95">
        <v>1</v>
      </c>
      <c r="AF162" s="150">
        <v>1</v>
      </c>
      <c r="AG162" s="96">
        <v>1</v>
      </c>
      <c r="AH162" s="95">
        <v>1</v>
      </c>
      <c r="AI162" s="95">
        <v>1</v>
      </c>
      <c r="AJ162" s="95">
        <v>1</v>
      </c>
      <c r="AK162" s="95">
        <v>1</v>
      </c>
      <c r="AL162" s="95" t="s">
        <v>49</v>
      </c>
      <c r="AM162" s="96"/>
      <c r="AN162" s="150"/>
      <c r="AO162" s="96">
        <v>20</v>
      </c>
      <c r="AQ162" s="85">
        <f t="shared" si="6"/>
        <v>20</v>
      </c>
      <c r="AR162" s="19" t="s">
        <v>121</v>
      </c>
      <c r="AS162">
        <v>1</v>
      </c>
      <c r="AT162" s="67">
        <f t="shared" si="7"/>
        <v>0</v>
      </c>
      <c r="AU162" s="67">
        <f t="shared" si="8"/>
        <v>0</v>
      </c>
      <c r="AV162" s="66"/>
      <c r="AW162" s="12"/>
      <c r="BA162" s="12">
        <v>1</v>
      </c>
      <c r="BC162" s="12">
        <v>1</v>
      </c>
      <c r="CF162" s="12">
        <v>1</v>
      </c>
      <c r="CK162"/>
      <c r="CX162">
        <v>134</v>
      </c>
    </row>
    <row r="163" spans="1:102">
      <c r="A163">
        <v>135</v>
      </c>
      <c r="B163" t="s">
        <v>13</v>
      </c>
      <c r="C163" t="s">
        <v>63</v>
      </c>
      <c r="D163" s="8" t="s">
        <v>346</v>
      </c>
      <c r="E163" s="67" t="s">
        <v>15</v>
      </c>
      <c r="F163">
        <v>12</v>
      </c>
      <c r="G163">
        <v>12</v>
      </c>
      <c r="H163">
        <v>12</v>
      </c>
      <c r="I163" s="149"/>
      <c r="J163" s="96"/>
      <c r="K163" s="95" t="s">
        <v>49</v>
      </c>
      <c r="L163" s="95" t="s">
        <v>49</v>
      </c>
      <c r="M163" s="95">
        <v>1</v>
      </c>
      <c r="N163" s="95">
        <v>1</v>
      </c>
      <c r="O163" s="95">
        <v>1</v>
      </c>
      <c r="P163" s="150">
        <v>1</v>
      </c>
      <c r="Q163" s="149">
        <v>1</v>
      </c>
      <c r="R163" s="95">
        <v>1</v>
      </c>
      <c r="S163" s="95">
        <v>1</v>
      </c>
      <c r="T163" s="95">
        <v>1</v>
      </c>
      <c r="U163" s="95" t="s">
        <v>49</v>
      </c>
      <c r="V163" s="95" t="s">
        <v>49</v>
      </c>
      <c r="W163" s="96"/>
      <c r="X163" s="150"/>
      <c r="Y163" s="149"/>
      <c r="Z163" s="96"/>
      <c r="AA163" s="95" t="s">
        <v>49</v>
      </c>
      <c r="AB163" s="95" t="s">
        <v>49</v>
      </c>
      <c r="AC163" s="95" t="s">
        <v>49</v>
      </c>
      <c r="AD163" s="95" t="s">
        <v>49</v>
      </c>
      <c r="AE163" s="95">
        <v>1</v>
      </c>
      <c r="AF163" s="150">
        <v>1</v>
      </c>
      <c r="AG163" s="96">
        <v>1</v>
      </c>
      <c r="AH163" s="95">
        <v>1</v>
      </c>
      <c r="AI163" s="95" t="s">
        <v>49</v>
      </c>
      <c r="AJ163" s="95" t="s">
        <v>49</v>
      </c>
      <c r="AK163" s="95" t="s">
        <v>49</v>
      </c>
      <c r="AL163" s="95" t="s">
        <v>49</v>
      </c>
      <c r="AM163" s="96"/>
      <c r="AN163" s="150"/>
      <c r="AO163" s="96">
        <v>12</v>
      </c>
      <c r="AQ163" s="85">
        <f t="shared" si="6"/>
        <v>12</v>
      </c>
      <c r="AR163" s="19"/>
      <c r="AS163">
        <v>1</v>
      </c>
      <c r="AT163" s="67">
        <f t="shared" si="7"/>
        <v>0</v>
      </c>
      <c r="AU163" s="67">
        <f t="shared" si="8"/>
        <v>0</v>
      </c>
      <c r="AV163" s="66"/>
      <c r="AW163" s="12"/>
      <c r="CF163" s="12" t="s">
        <v>326</v>
      </c>
      <c r="CK163"/>
      <c r="CX163">
        <v>135</v>
      </c>
    </row>
    <row r="164" spans="1:102">
      <c r="A164">
        <v>136</v>
      </c>
      <c r="B164" t="s">
        <v>13</v>
      </c>
      <c r="C164" t="s">
        <v>54</v>
      </c>
      <c r="D164" s="8" t="s">
        <v>345</v>
      </c>
      <c r="E164" s="67" t="s">
        <v>15</v>
      </c>
      <c r="F164">
        <v>7</v>
      </c>
      <c r="G164">
        <v>8</v>
      </c>
      <c r="H164">
        <v>8</v>
      </c>
      <c r="I164" s="149"/>
      <c r="J164" s="96"/>
      <c r="K164" s="96"/>
      <c r="L164" s="95" t="s">
        <v>49</v>
      </c>
      <c r="M164" s="95" t="s">
        <v>49</v>
      </c>
      <c r="N164" s="95" t="s">
        <v>49</v>
      </c>
      <c r="O164" s="95">
        <v>1</v>
      </c>
      <c r="P164" s="150">
        <v>1</v>
      </c>
      <c r="Q164" s="149">
        <v>1</v>
      </c>
      <c r="R164" s="95">
        <v>1</v>
      </c>
      <c r="S164" s="95" t="s">
        <v>49</v>
      </c>
      <c r="T164" s="95" t="s">
        <v>49</v>
      </c>
      <c r="U164" s="95" t="s">
        <v>49</v>
      </c>
      <c r="V164" s="96"/>
      <c r="W164" s="96"/>
      <c r="X164" s="150"/>
      <c r="Y164" s="149"/>
      <c r="Z164" s="96"/>
      <c r="AA164" s="96"/>
      <c r="AB164" s="95" t="s">
        <v>49</v>
      </c>
      <c r="AC164" s="95" t="s">
        <v>49</v>
      </c>
      <c r="AD164" s="95" t="s">
        <v>49</v>
      </c>
      <c r="AE164" s="95" t="s">
        <v>9</v>
      </c>
      <c r="AF164" s="150">
        <v>1</v>
      </c>
      <c r="AG164" s="96">
        <v>1</v>
      </c>
      <c r="AH164" s="95">
        <v>1</v>
      </c>
      <c r="AI164" s="95" t="s">
        <v>49</v>
      </c>
      <c r="AJ164" s="95" t="s">
        <v>49</v>
      </c>
      <c r="AK164" s="95" t="s">
        <v>49</v>
      </c>
      <c r="AL164" s="96"/>
      <c r="AM164" s="96"/>
      <c r="AN164" s="150"/>
      <c r="AO164" s="96">
        <v>7</v>
      </c>
      <c r="AQ164" s="85">
        <f t="shared" si="6"/>
        <v>7</v>
      </c>
      <c r="AR164" s="19"/>
      <c r="AS164"/>
      <c r="AT164" s="67">
        <f t="shared" si="7"/>
        <v>0</v>
      </c>
      <c r="AU164" s="67">
        <f t="shared" si="8"/>
        <v>1</v>
      </c>
      <c r="AV164" s="66"/>
      <c r="AW164" s="12"/>
      <c r="CG164" s="12" t="s">
        <v>326</v>
      </c>
      <c r="CK164"/>
      <c r="CX164">
        <v>136</v>
      </c>
    </row>
    <row r="165" spans="1:102">
      <c r="A165">
        <v>137</v>
      </c>
      <c r="B165" t="s">
        <v>13</v>
      </c>
      <c r="C165" t="s">
        <v>14</v>
      </c>
      <c r="D165" s="8" t="s">
        <v>345</v>
      </c>
      <c r="E165" s="67" t="s">
        <v>15</v>
      </c>
      <c r="I165" s="149"/>
      <c r="J165" s="96"/>
      <c r="K165" s="96"/>
      <c r="L165" s="96"/>
      <c r="M165" s="96"/>
      <c r="N165" s="96"/>
      <c r="O165" s="96"/>
      <c r="P165" s="150"/>
      <c r="Q165" s="149"/>
      <c r="R165" s="96"/>
      <c r="S165" s="96"/>
      <c r="T165" s="96"/>
      <c r="U165" s="96"/>
      <c r="V165" s="96"/>
      <c r="W165" s="96"/>
      <c r="X165" s="150"/>
      <c r="Y165" s="149"/>
      <c r="Z165" s="96"/>
      <c r="AA165" s="96"/>
      <c r="AB165" s="96"/>
      <c r="AC165" s="96"/>
      <c r="AD165" s="96"/>
      <c r="AE165" s="96"/>
      <c r="AF165" s="150"/>
      <c r="AH165" s="96"/>
      <c r="AI165" s="96"/>
      <c r="AJ165" s="96"/>
      <c r="AK165" s="96"/>
      <c r="AL165" s="96"/>
      <c r="AM165" s="96"/>
      <c r="AN165" s="150"/>
      <c r="AQ165" s="85">
        <f t="shared" si="6"/>
        <v>0</v>
      </c>
      <c r="AR165" s="19"/>
      <c r="AS165"/>
      <c r="AT165" s="67">
        <f t="shared" si="7"/>
        <v>0</v>
      </c>
      <c r="AU165" s="67">
        <f t="shared" si="8"/>
        <v>0</v>
      </c>
      <c r="AV165" s="66"/>
      <c r="AW165" s="12"/>
      <c r="CK165"/>
      <c r="CX165">
        <v>137</v>
      </c>
    </row>
    <row r="166" spans="1:102">
      <c r="A166">
        <v>138</v>
      </c>
      <c r="B166" t="s">
        <v>13</v>
      </c>
      <c r="C166" t="s">
        <v>122</v>
      </c>
      <c r="D166" s="8" t="s">
        <v>357</v>
      </c>
      <c r="E166" s="67" t="s">
        <v>15</v>
      </c>
      <c r="I166" s="149"/>
      <c r="J166" s="96"/>
      <c r="K166" s="96"/>
      <c r="L166" s="96"/>
      <c r="M166" s="96"/>
      <c r="N166" s="96"/>
      <c r="O166" s="96"/>
      <c r="P166" s="150"/>
      <c r="Q166" s="149"/>
      <c r="R166" s="96"/>
      <c r="S166" s="96"/>
      <c r="T166" s="96"/>
      <c r="U166" s="96"/>
      <c r="V166" s="96"/>
      <c r="W166" s="96"/>
      <c r="X166" s="150"/>
      <c r="Y166" s="149"/>
      <c r="Z166" s="96"/>
      <c r="AA166" s="96"/>
      <c r="AB166" s="96"/>
      <c r="AC166" s="96"/>
      <c r="AD166" s="96"/>
      <c r="AE166" s="96"/>
      <c r="AF166" s="150"/>
      <c r="AH166" s="96"/>
      <c r="AI166" s="96"/>
      <c r="AJ166" s="96"/>
      <c r="AK166" s="96"/>
      <c r="AL166" s="96"/>
      <c r="AM166" s="96"/>
      <c r="AN166" s="150"/>
      <c r="AQ166" s="85">
        <f t="shared" si="6"/>
        <v>0</v>
      </c>
      <c r="AR166" s="19"/>
      <c r="AS166"/>
      <c r="AT166" s="67">
        <f t="shared" si="7"/>
        <v>0</v>
      </c>
      <c r="AU166" s="67">
        <f t="shared" si="8"/>
        <v>0</v>
      </c>
      <c r="AV166" s="66"/>
      <c r="AW166" s="12"/>
      <c r="CK166"/>
      <c r="CX166">
        <v>138</v>
      </c>
    </row>
    <row r="167" spans="1:102">
      <c r="A167">
        <v>139</v>
      </c>
      <c r="B167" t="s">
        <v>12</v>
      </c>
      <c r="C167" t="s">
        <v>123</v>
      </c>
      <c r="D167" s="8" t="s">
        <v>366</v>
      </c>
      <c r="E167" t="s">
        <v>42</v>
      </c>
      <c r="F167">
        <v>32</v>
      </c>
      <c r="G167">
        <v>32</v>
      </c>
      <c r="H167">
        <v>32</v>
      </c>
      <c r="I167" s="124">
        <v>1</v>
      </c>
      <c r="J167" s="95">
        <v>1</v>
      </c>
      <c r="K167" s="95">
        <v>1</v>
      </c>
      <c r="L167" s="95">
        <v>1</v>
      </c>
      <c r="M167" s="95">
        <v>1</v>
      </c>
      <c r="N167" s="95">
        <v>1</v>
      </c>
      <c r="O167" s="95">
        <v>1</v>
      </c>
      <c r="P167" s="125">
        <v>1</v>
      </c>
      <c r="Q167" s="124">
        <v>1</v>
      </c>
      <c r="R167" s="95">
        <v>1</v>
      </c>
      <c r="S167" s="95">
        <v>1</v>
      </c>
      <c r="T167" s="95">
        <v>1</v>
      </c>
      <c r="U167" s="95">
        <v>1</v>
      </c>
      <c r="V167" s="95">
        <v>1</v>
      </c>
      <c r="W167" s="95">
        <v>1</v>
      </c>
      <c r="X167" s="125">
        <v>1</v>
      </c>
      <c r="Y167" s="124">
        <v>1</v>
      </c>
      <c r="Z167" s="95">
        <v>1</v>
      </c>
      <c r="AA167" s="95">
        <v>1</v>
      </c>
      <c r="AB167" s="95">
        <v>1</v>
      </c>
      <c r="AC167" s="95">
        <v>1</v>
      </c>
      <c r="AD167" s="95">
        <v>1</v>
      </c>
      <c r="AE167" s="95">
        <v>1</v>
      </c>
      <c r="AF167" s="125">
        <v>1</v>
      </c>
      <c r="AG167" s="95">
        <v>1</v>
      </c>
      <c r="AH167" s="95">
        <v>1</v>
      </c>
      <c r="AI167" s="95">
        <v>1</v>
      </c>
      <c r="AJ167" s="95">
        <v>1</v>
      </c>
      <c r="AK167" s="95">
        <v>1</v>
      </c>
      <c r="AL167" s="95">
        <v>1</v>
      </c>
      <c r="AM167" s="95">
        <v>1</v>
      </c>
      <c r="AN167" s="125">
        <v>1</v>
      </c>
      <c r="AO167" s="95"/>
      <c r="AP167" s="11">
        <v>32</v>
      </c>
      <c r="AQ167" s="85">
        <f t="shared" si="6"/>
        <v>32</v>
      </c>
      <c r="AR167" s="19" t="s">
        <v>124</v>
      </c>
      <c r="AS167">
        <v>1</v>
      </c>
      <c r="AT167" s="67">
        <f t="shared" si="7"/>
        <v>0</v>
      </c>
      <c r="AU167" s="67">
        <f t="shared" si="8"/>
        <v>0</v>
      </c>
      <c r="AV167" s="66">
        <v>1</v>
      </c>
      <c r="AW167" s="12">
        <v>1</v>
      </c>
      <c r="AX167" s="12">
        <v>1</v>
      </c>
      <c r="AZ167" s="12">
        <v>1</v>
      </c>
      <c r="BA167" s="12">
        <v>1</v>
      </c>
      <c r="BB167" s="12">
        <v>1</v>
      </c>
      <c r="BD167" s="12">
        <v>1</v>
      </c>
      <c r="BE167" s="12">
        <v>1</v>
      </c>
      <c r="BK167" s="12">
        <v>1</v>
      </c>
      <c r="BO167" s="12">
        <v>1</v>
      </c>
      <c r="BQ167" s="12">
        <v>1</v>
      </c>
      <c r="BV167" s="12">
        <v>1</v>
      </c>
      <c r="BW167" s="12">
        <v>1</v>
      </c>
      <c r="BY167" s="12">
        <v>1</v>
      </c>
      <c r="BZ167" s="12">
        <v>1</v>
      </c>
      <c r="CH167" s="12">
        <v>1</v>
      </c>
      <c r="CK167"/>
      <c r="CM167" t="s">
        <v>326</v>
      </c>
      <c r="CX167">
        <v>139</v>
      </c>
    </row>
    <row r="168" spans="1:102" s="8" customFormat="1">
      <c r="A168" s="8">
        <v>140</v>
      </c>
      <c r="B168" s="8" t="s">
        <v>12</v>
      </c>
      <c r="C168" s="8" t="s">
        <v>216</v>
      </c>
      <c r="D168" s="8" t="s">
        <v>42</v>
      </c>
      <c r="E168" s="8" t="s">
        <v>42</v>
      </c>
      <c r="F168" s="8">
        <v>9</v>
      </c>
      <c r="G168" s="8" t="s">
        <v>15</v>
      </c>
      <c r="H168" s="8" t="s">
        <v>15</v>
      </c>
      <c r="I168" s="124"/>
      <c r="J168" s="95"/>
      <c r="K168" s="95"/>
      <c r="L168" s="95"/>
      <c r="M168" s="95"/>
      <c r="N168" s="95"/>
      <c r="O168" s="95"/>
      <c r="P168" s="125"/>
      <c r="Q168" s="124"/>
      <c r="R168" s="95"/>
      <c r="S168" s="95"/>
      <c r="T168" s="95"/>
      <c r="U168" s="95"/>
      <c r="V168" s="95"/>
      <c r="W168" s="95"/>
      <c r="X168" s="125">
        <v>1</v>
      </c>
      <c r="Y168" s="124">
        <v>1</v>
      </c>
      <c r="Z168" s="95">
        <v>1</v>
      </c>
      <c r="AA168" s="95">
        <v>1</v>
      </c>
      <c r="AB168" s="95" t="s">
        <v>9</v>
      </c>
      <c r="AC168" s="95">
        <v>1</v>
      </c>
      <c r="AD168" s="95">
        <v>1</v>
      </c>
      <c r="AE168" s="95" t="s">
        <v>9</v>
      </c>
      <c r="AF168" s="125" t="s">
        <v>9</v>
      </c>
      <c r="AG168" s="95" t="s">
        <v>9</v>
      </c>
      <c r="AH168" s="95">
        <v>1</v>
      </c>
      <c r="AI168" s="95">
        <v>1</v>
      </c>
      <c r="AJ168" s="95">
        <v>1</v>
      </c>
      <c r="AK168" s="95" t="s">
        <v>9</v>
      </c>
      <c r="AL168" s="95" t="s">
        <v>9</v>
      </c>
      <c r="AM168" s="95" t="s">
        <v>9</v>
      </c>
      <c r="AN168" s="125" t="s">
        <v>9</v>
      </c>
      <c r="AO168" s="95"/>
      <c r="AP168" s="11">
        <v>9</v>
      </c>
      <c r="AQ168" s="85">
        <f t="shared" si="6"/>
        <v>9</v>
      </c>
      <c r="AR168" s="102" t="s">
        <v>215</v>
      </c>
      <c r="AT168" s="67">
        <f t="shared" si="7"/>
        <v>0</v>
      </c>
      <c r="AU168" s="67">
        <f t="shared" si="8"/>
        <v>8</v>
      </c>
      <c r="AW168" s="13"/>
      <c r="AX168" s="13"/>
      <c r="AY168" s="13"/>
      <c r="AZ168" s="13">
        <v>1</v>
      </c>
      <c r="BA168" s="13">
        <v>1</v>
      </c>
      <c r="BB168" s="13"/>
      <c r="BC168" s="13"/>
      <c r="BD168" s="13"/>
      <c r="BE168" s="13">
        <v>1</v>
      </c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>
        <v>1</v>
      </c>
      <c r="BT168" s="13"/>
      <c r="BU168" s="13"/>
      <c r="BV168" s="13">
        <v>1</v>
      </c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X168" s="8">
        <v>140</v>
      </c>
    </row>
    <row r="169" spans="1:102" s="8" customFormat="1">
      <c r="A169" s="8">
        <v>141</v>
      </c>
      <c r="B169" s="8" t="s">
        <v>12</v>
      </c>
      <c r="C169" s="8" t="s">
        <v>65</v>
      </c>
      <c r="D169" s="8" t="s">
        <v>12</v>
      </c>
      <c r="E169" s="8" t="s">
        <v>6</v>
      </c>
      <c r="F169" s="8">
        <v>30</v>
      </c>
      <c r="G169" s="8">
        <v>31</v>
      </c>
      <c r="H169" s="8">
        <v>32</v>
      </c>
      <c r="I169" s="124">
        <v>1</v>
      </c>
      <c r="J169" s="95">
        <v>1</v>
      </c>
      <c r="K169" s="95">
        <v>1</v>
      </c>
      <c r="L169" s="95">
        <v>1</v>
      </c>
      <c r="M169" s="95">
        <v>1</v>
      </c>
      <c r="N169" s="95">
        <v>1</v>
      </c>
      <c r="O169" s="95">
        <v>1</v>
      </c>
      <c r="P169" s="125">
        <v>1</v>
      </c>
      <c r="Q169" s="124">
        <v>1</v>
      </c>
      <c r="R169" s="95">
        <v>1</v>
      </c>
      <c r="S169" s="95">
        <v>1</v>
      </c>
      <c r="T169" s="95">
        <v>1</v>
      </c>
      <c r="U169" s="95">
        <v>1</v>
      </c>
      <c r="V169" s="95">
        <v>1</v>
      </c>
      <c r="W169" s="95">
        <v>1</v>
      </c>
      <c r="X169" s="125">
        <v>1</v>
      </c>
      <c r="Y169" s="124" t="s">
        <v>9</v>
      </c>
      <c r="Z169" s="95">
        <v>1</v>
      </c>
      <c r="AA169" s="95">
        <v>1</v>
      </c>
      <c r="AB169" s="95">
        <v>1</v>
      </c>
      <c r="AC169" s="95">
        <v>1</v>
      </c>
      <c r="AD169" s="95">
        <v>1</v>
      </c>
      <c r="AE169" s="95">
        <v>1</v>
      </c>
      <c r="AF169" s="125">
        <v>1</v>
      </c>
      <c r="AG169" s="95">
        <v>1</v>
      </c>
      <c r="AH169" s="95">
        <v>1</v>
      </c>
      <c r="AI169" s="95">
        <v>1</v>
      </c>
      <c r="AJ169" s="95">
        <v>1</v>
      </c>
      <c r="AK169" s="95">
        <v>1</v>
      </c>
      <c r="AL169" s="95" t="s">
        <v>10</v>
      </c>
      <c r="AM169" s="95">
        <v>1</v>
      </c>
      <c r="AN169" s="125">
        <v>1</v>
      </c>
      <c r="AO169" s="95"/>
      <c r="AP169" s="11">
        <v>30</v>
      </c>
      <c r="AQ169" s="85">
        <f t="shared" si="6"/>
        <v>30</v>
      </c>
      <c r="AR169" s="102" t="s">
        <v>125</v>
      </c>
      <c r="AT169" s="67">
        <f t="shared" si="7"/>
        <v>1</v>
      </c>
      <c r="AU169" s="67">
        <f t="shared" si="8"/>
        <v>1</v>
      </c>
      <c r="AW169" s="13">
        <v>1</v>
      </c>
      <c r="AX169" s="13">
        <v>1</v>
      </c>
      <c r="AY169" s="13">
        <v>1</v>
      </c>
      <c r="AZ169" s="13">
        <v>1</v>
      </c>
      <c r="BA169" s="13">
        <v>1</v>
      </c>
      <c r="BB169" s="13">
        <v>1</v>
      </c>
      <c r="BC169" s="13"/>
      <c r="BD169" s="13"/>
      <c r="BE169" s="13"/>
      <c r="BF169" s="13"/>
      <c r="BG169" s="13">
        <v>1</v>
      </c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>
        <v>1</v>
      </c>
      <c r="BU169" s="13"/>
      <c r="BV169" s="13">
        <v>1</v>
      </c>
      <c r="BW169" s="13"/>
      <c r="BX169" s="13"/>
      <c r="BY169" s="13"/>
      <c r="BZ169" s="13" t="s">
        <v>326</v>
      </c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P169" s="8" t="s">
        <v>209</v>
      </c>
      <c r="CX169" s="8">
        <v>141</v>
      </c>
    </row>
    <row r="170" spans="1:102">
      <c r="A170">
        <v>142</v>
      </c>
      <c r="B170" t="s">
        <v>12</v>
      </c>
      <c r="C170" t="s">
        <v>71</v>
      </c>
      <c r="D170" s="8" t="s">
        <v>366</v>
      </c>
      <c r="E170" t="s">
        <v>42</v>
      </c>
      <c r="F170">
        <v>30</v>
      </c>
      <c r="G170" t="s">
        <v>15</v>
      </c>
      <c r="H170" t="s">
        <v>15</v>
      </c>
      <c r="I170" s="124">
        <v>1</v>
      </c>
      <c r="J170" s="95">
        <v>1</v>
      </c>
      <c r="K170" s="95">
        <v>1</v>
      </c>
      <c r="L170" s="95">
        <v>1</v>
      </c>
      <c r="M170" s="95">
        <v>1</v>
      </c>
      <c r="N170" s="95">
        <v>1</v>
      </c>
      <c r="O170" s="95">
        <v>1</v>
      </c>
      <c r="P170" s="125">
        <v>1</v>
      </c>
      <c r="Q170" s="124">
        <v>1</v>
      </c>
      <c r="R170" s="95">
        <v>1</v>
      </c>
      <c r="S170" s="95">
        <v>1</v>
      </c>
      <c r="T170" s="95">
        <v>1</v>
      </c>
      <c r="U170" s="95">
        <v>1</v>
      </c>
      <c r="V170" s="95">
        <v>1</v>
      </c>
      <c r="W170" s="95">
        <v>1</v>
      </c>
      <c r="X170" s="125">
        <v>1</v>
      </c>
      <c r="Y170" s="124" t="s">
        <v>15</v>
      </c>
      <c r="Z170" s="95" t="s">
        <v>10</v>
      </c>
      <c r="AA170" s="95">
        <v>1</v>
      </c>
      <c r="AB170" s="95">
        <v>1</v>
      </c>
      <c r="AC170" s="95">
        <v>1</v>
      </c>
      <c r="AD170" s="95">
        <v>1</v>
      </c>
      <c r="AE170" s="95">
        <v>1</v>
      </c>
      <c r="AF170" s="125">
        <v>1</v>
      </c>
      <c r="AG170" s="95">
        <v>1</v>
      </c>
      <c r="AH170" s="95">
        <v>1</v>
      </c>
      <c r="AI170" s="95">
        <v>1</v>
      </c>
      <c r="AJ170" s="95">
        <v>1</v>
      </c>
      <c r="AK170" s="95">
        <v>1</v>
      </c>
      <c r="AL170" s="95">
        <v>1</v>
      </c>
      <c r="AM170" s="95">
        <v>1</v>
      </c>
      <c r="AN170" s="125">
        <v>1</v>
      </c>
      <c r="AO170" s="95"/>
      <c r="AP170" s="11">
        <v>30</v>
      </c>
      <c r="AQ170" s="85">
        <f t="shared" si="6"/>
        <v>30</v>
      </c>
      <c r="AR170" s="19" t="s">
        <v>126</v>
      </c>
      <c r="AS170"/>
      <c r="AT170" s="67">
        <f t="shared" si="7"/>
        <v>1</v>
      </c>
      <c r="AU170" s="67">
        <f t="shared" si="8"/>
        <v>0</v>
      </c>
      <c r="AV170" s="66"/>
      <c r="AW170" s="12">
        <v>1</v>
      </c>
      <c r="AX170" s="12">
        <v>1</v>
      </c>
      <c r="AY170" s="12">
        <v>1</v>
      </c>
      <c r="AZ170" s="12">
        <v>1</v>
      </c>
      <c r="BA170" s="12">
        <v>1</v>
      </c>
      <c r="BB170" s="12">
        <v>1</v>
      </c>
      <c r="BI170" s="12">
        <v>1</v>
      </c>
      <c r="BK170" s="12" t="s">
        <v>326</v>
      </c>
      <c r="BO170" s="12">
        <v>4</v>
      </c>
      <c r="BV170" s="12">
        <v>1</v>
      </c>
      <c r="BW170" s="12">
        <v>1</v>
      </c>
      <c r="BY170" s="12">
        <v>1</v>
      </c>
      <c r="CK170"/>
      <c r="CX170">
        <v>142</v>
      </c>
    </row>
    <row r="171" spans="1:102">
      <c r="A171">
        <v>143</v>
      </c>
      <c r="B171" t="s">
        <v>12</v>
      </c>
      <c r="C171" t="s">
        <v>106</v>
      </c>
      <c r="D171" s="8" t="s">
        <v>349</v>
      </c>
      <c r="E171" t="s">
        <v>42</v>
      </c>
      <c r="F171">
        <v>6</v>
      </c>
      <c r="G171" t="s">
        <v>15</v>
      </c>
      <c r="H171" t="s">
        <v>15</v>
      </c>
      <c r="I171" s="124" t="s">
        <v>15</v>
      </c>
      <c r="J171" s="95" t="s">
        <v>10</v>
      </c>
      <c r="K171" s="95" t="s">
        <v>10</v>
      </c>
      <c r="L171" s="95" t="s">
        <v>10</v>
      </c>
      <c r="M171" s="95" t="s">
        <v>10</v>
      </c>
      <c r="N171" s="95" t="s">
        <v>10</v>
      </c>
      <c r="O171" s="95" t="s">
        <v>10</v>
      </c>
      <c r="P171" s="125" t="s">
        <v>10</v>
      </c>
      <c r="Q171" s="124" t="s">
        <v>10</v>
      </c>
      <c r="R171" s="95" t="s">
        <v>10</v>
      </c>
      <c r="S171" s="95" t="s">
        <v>10</v>
      </c>
      <c r="T171" s="95" t="s">
        <v>10</v>
      </c>
      <c r="U171" s="95" t="s">
        <v>10</v>
      </c>
      <c r="V171" s="95" t="s">
        <v>10</v>
      </c>
      <c r="W171" s="95"/>
      <c r="X171" s="125"/>
      <c r="Y171" s="124" t="s">
        <v>15</v>
      </c>
      <c r="Z171" s="95" t="s">
        <v>10</v>
      </c>
      <c r="AA171" s="95" t="s">
        <v>10</v>
      </c>
      <c r="AB171" s="95" t="s">
        <v>10</v>
      </c>
      <c r="AC171" s="95">
        <v>1</v>
      </c>
      <c r="AD171" s="95">
        <v>1</v>
      </c>
      <c r="AE171" s="95">
        <v>1</v>
      </c>
      <c r="AF171" s="125" t="s">
        <v>9</v>
      </c>
      <c r="AG171" s="95" t="s">
        <v>9</v>
      </c>
      <c r="AH171" s="95" t="s">
        <v>9</v>
      </c>
      <c r="AI171" s="95">
        <v>1</v>
      </c>
      <c r="AJ171" s="95">
        <v>1</v>
      </c>
      <c r="AK171" s="95">
        <v>1</v>
      </c>
      <c r="AL171" s="95" t="s">
        <v>10</v>
      </c>
      <c r="AM171" s="95" t="s">
        <v>10</v>
      </c>
      <c r="AN171" s="125" t="s">
        <v>10</v>
      </c>
      <c r="AO171" s="95"/>
      <c r="AP171" s="11">
        <v>6</v>
      </c>
      <c r="AQ171" s="85">
        <f t="shared" si="6"/>
        <v>6</v>
      </c>
      <c r="AR171" s="19" t="s">
        <v>127</v>
      </c>
      <c r="AS171"/>
      <c r="AT171" s="67">
        <f t="shared" si="7"/>
        <v>19</v>
      </c>
      <c r="AU171" s="67">
        <f t="shared" si="8"/>
        <v>3</v>
      </c>
      <c r="AV171" s="66"/>
      <c r="AW171" s="12"/>
      <c r="AX171" s="12">
        <v>1</v>
      </c>
      <c r="AY171" s="12">
        <v>1</v>
      </c>
      <c r="BA171" s="12">
        <v>1</v>
      </c>
      <c r="BB171" s="12">
        <v>1</v>
      </c>
      <c r="BD171" s="12">
        <v>1</v>
      </c>
      <c r="BE171" s="12">
        <v>1</v>
      </c>
      <c r="BQ171" s="12">
        <v>1</v>
      </c>
      <c r="BV171" s="12">
        <v>1</v>
      </c>
      <c r="BW171" s="12">
        <v>1</v>
      </c>
      <c r="BY171" s="12">
        <v>1</v>
      </c>
      <c r="CK171"/>
      <c r="CO171">
        <v>1</v>
      </c>
      <c r="CX171">
        <v>143</v>
      </c>
    </row>
    <row r="172" spans="1:102">
      <c r="A172">
        <v>144</v>
      </c>
      <c r="B172" t="s">
        <v>13</v>
      </c>
      <c r="C172" t="s">
        <v>80</v>
      </c>
      <c r="D172" s="8" t="s">
        <v>346</v>
      </c>
      <c r="E172" s="67" t="s">
        <v>15</v>
      </c>
      <c r="F172">
        <v>20</v>
      </c>
      <c r="G172">
        <v>20</v>
      </c>
      <c r="H172">
        <v>20</v>
      </c>
      <c r="I172" s="149"/>
      <c r="J172" s="96" t="s">
        <v>49</v>
      </c>
      <c r="K172" s="96" t="s">
        <v>49</v>
      </c>
      <c r="L172" s="95">
        <v>1</v>
      </c>
      <c r="M172" s="95">
        <v>1</v>
      </c>
      <c r="N172" s="95">
        <v>1</v>
      </c>
      <c r="O172" s="95">
        <v>1</v>
      </c>
      <c r="P172" s="150">
        <v>1</v>
      </c>
      <c r="Q172" s="149">
        <v>1</v>
      </c>
      <c r="R172" s="95">
        <v>1</v>
      </c>
      <c r="S172" s="95">
        <v>1</v>
      </c>
      <c r="T172" s="95">
        <v>1</v>
      </c>
      <c r="U172" s="95">
        <v>1</v>
      </c>
      <c r="V172" s="96" t="s">
        <v>49</v>
      </c>
      <c r="W172" s="96" t="s">
        <v>49</v>
      </c>
      <c r="X172" s="150"/>
      <c r="Y172" s="149"/>
      <c r="Z172" s="96" t="s">
        <v>49</v>
      </c>
      <c r="AA172" s="96" t="s">
        <v>49</v>
      </c>
      <c r="AB172" s="95">
        <v>1</v>
      </c>
      <c r="AC172" s="95">
        <v>1</v>
      </c>
      <c r="AD172" s="95">
        <v>1</v>
      </c>
      <c r="AE172" s="95">
        <v>1</v>
      </c>
      <c r="AF172" s="150">
        <v>1</v>
      </c>
      <c r="AG172" s="96">
        <v>1</v>
      </c>
      <c r="AH172" s="95">
        <v>1</v>
      </c>
      <c r="AI172" s="95">
        <v>1</v>
      </c>
      <c r="AJ172" s="95">
        <v>1</v>
      </c>
      <c r="AK172" s="95">
        <v>1</v>
      </c>
      <c r="AL172" s="95" t="s">
        <v>49</v>
      </c>
      <c r="AM172" s="96" t="s">
        <v>49</v>
      </c>
      <c r="AN172" s="150"/>
      <c r="AO172" s="96">
        <v>20</v>
      </c>
      <c r="AQ172" s="85">
        <f t="shared" si="6"/>
        <v>20</v>
      </c>
      <c r="AR172" s="19" t="s">
        <v>218</v>
      </c>
      <c r="AS172">
        <v>1</v>
      </c>
      <c r="AT172" s="67">
        <f t="shared" si="7"/>
        <v>0</v>
      </c>
      <c r="AU172" s="67">
        <f t="shared" si="8"/>
        <v>0</v>
      </c>
      <c r="AV172" s="66"/>
      <c r="AW172" s="12"/>
      <c r="BA172" s="12">
        <v>1</v>
      </c>
      <c r="CK172"/>
      <c r="CM172">
        <v>1</v>
      </c>
      <c r="CX172">
        <v>144</v>
      </c>
    </row>
    <row r="173" spans="1:102">
      <c r="A173">
        <v>145</v>
      </c>
      <c r="B173" t="s">
        <v>13</v>
      </c>
      <c r="C173" t="s">
        <v>63</v>
      </c>
      <c r="D173" s="8" t="s">
        <v>346</v>
      </c>
      <c r="E173" s="67" t="s">
        <v>15</v>
      </c>
      <c r="F173">
        <v>11</v>
      </c>
      <c r="G173">
        <v>16</v>
      </c>
      <c r="H173">
        <v>16</v>
      </c>
      <c r="I173" s="149"/>
      <c r="J173" s="96"/>
      <c r="K173" s="96"/>
      <c r="L173" s="95" t="s">
        <v>49</v>
      </c>
      <c r="M173" s="95">
        <v>1</v>
      </c>
      <c r="N173" s="95" t="s">
        <v>9</v>
      </c>
      <c r="O173" s="95">
        <v>1</v>
      </c>
      <c r="P173" s="150">
        <v>1</v>
      </c>
      <c r="Q173" s="149">
        <v>1</v>
      </c>
      <c r="R173" s="95">
        <v>1</v>
      </c>
      <c r="S173" s="95" t="s">
        <v>9</v>
      </c>
      <c r="T173" s="95">
        <v>1</v>
      </c>
      <c r="U173" s="95" t="s">
        <v>49</v>
      </c>
      <c r="V173" s="96"/>
      <c r="W173" s="96"/>
      <c r="X173" s="150"/>
      <c r="Y173" s="149"/>
      <c r="Z173" s="96"/>
      <c r="AA173" s="96"/>
      <c r="AB173" s="95" t="s">
        <v>49</v>
      </c>
      <c r="AC173" s="95">
        <v>1</v>
      </c>
      <c r="AD173" s="95" t="s">
        <v>9</v>
      </c>
      <c r="AE173" s="95">
        <v>1</v>
      </c>
      <c r="AF173" s="150"/>
      <c r="AG173" s="96">
        <v>1</v>
      </c>
      <c r="AH173" s="95">
        <v>1</v>
      </c>
      <c r="AI173" s="95" t="s">
        <v>9</v>
      </c>
      <c r="AJ173" s="95">
        <v>1</v>
      </c>
      <c r="AK173" s="95" t="s">
        <v>49</v>
      </c>
      <c r="AL173" s="96"/>
      <c r="AM173" s="96"/>
      <c r="AN173" s="150"/>
      <c r="AO173" s="96">
        <v>11</v>
      </c>
      <c r="AQ173" s="85">
        <f t="shared" si="6"/>
        <v>11</v>
      </c>
      <c r="AR173" s="19"/>
      <c r="AS173"/>
      <c r="AT173" s="67">
        <f t="shared" si="7"/>
        <v>0</v>
      </c>
      <c r="AU173" s="67">
        <f t="shared" si="8"/>
        <v>4</v>
      </c>
      <c r="AV173" s="66"/>
      <c r="AW173" s="12"/>
      <c r="CK173"/>
      <c r="CX173">
        <v>145</v>
      </c>
    </row>
    <row r="174" spans="1:102">
      <c r="A174">
        <v>146</v>
      </c>
      <c r="B174" t="s">
        <v>12</v>
      </c>
      <c r="C174" t="s">
        <v>40</v>
      </c>
      <c r="D174" s="8" t="s">
        <v>40</v>
      </c>
      <c r="E174" s="67" t="s">
        <v>15</v>
      </c>
      <c r="I174" s="149"/>
      <c r="J174" s="96"/>
      <c r="K174" s="96"/>
      <c r="L174" s="96"/>
      <c r="M174" s="96"/>
      <c r="N174" s="96"/>
      <c r="O174" s="96"/>
      <c r="P174" s="150"/>
      <c r="Q174" s="149"/>
      <c r="R174" s="96"/>
      <c r="S174" s="96"/>
      <c r="T174" s="96"/>
      <c r="U174" s="96"/>
      <c r="V174" s="96"/>
      <c r="W174" s="96"/>
      <c r="X174" s="150"/>
      <c r="Y174" s="149"/>
      <c r="Z174" s="96"/>
      <c r="AA174" s="96"/>
      <c r="AB174" s="96"/>
      <c r="AC174" s="96"/>
      <c r="AD174" s="96"/>
      <c r="AE174" s="96"/>
      <c r="AF174" s="150"/>
      <c r="AH174" s="96"/>
      <c r="AI174" s="96"/>
      <c r="AJ174" s="96"/>
      <c r="AK174" s="96"/>
      <c r="AL174" s="96"/>
      <c r="AM174" s="96"/>
      <c r="AN174" s="150"/>
      <c r="AQ174" s="85">
        <f t="shared" si="6"/>
        <v>0</v>
      </c>
      <c r="AR174" s="19"/>
      <c r="AS174"/>
      <c r="AT174" s="67">
        <f t="shared" si="7"/>
        <v>0</v>
      </c>
      <c r="AU174" s="67">
        <f t="shared" si="8"/>
        <v>0</v>
      </c>
      <c r="AV174" s="66"/>
      <c r="AW174" s="12"/>
      <c r="CK174"/>
      <c r="CX174">
        <v>146</v>
      </c>
    </row>
    <row r="175" spans="1:102">
      <c r="A175">
        <v>147</v>
      </c>
      <c r="B175" t="s">
        <v>13</v>
      </c>
      <c r="C175" t="s">
        <v>68</v>
      </c>
      <c r="D175" s="8" t="s">
        <v>357</v>
      </c>
      <c r="E175" s="67" t="s">
        <v>15</v>
      </c>
      <c r="F175">
        <v>15</v>
      </c>
      <c r="G175">
        <v>24</v>
      </c>
      <c r="H175">
        <v>24</v>
      </c>
      <c r="I175" s="149" t="s">
        <v>49</v>
      </c>
      <c r="J175" s="96" t="s">
        <v>49</v>
      </c>
      <c r="K175" s="96">
        <v>1</v>
      </c>
      <c r="L175" s="95">
        <v>1</v>
      </c>
      <c r="M175" s="95" t="s">
        <v>9</v>
      </c>
      <c r="N175" s="95" t="s">
        <v>9</v>
      </c>
      <c r="O175" s="95" t="s">
        <v>9</v>
      </c>
      <c r="P175" s="150" t="s">
        <v>9</v>
      </c>
      <c r="Q175" s="149" t="s">
        <v>9</v>
      </c>
      <c r="R175" s="95" t="s">
        <v>9</v>
      </c>
      <c r="S175" s="95" t="s">
        <v>9</v>
      </c>
      <c r="T175" s="95" t="s">
        <v>9</v>
      </c>
      <c r="U175" s="95">
        <v>1</v>
      </c>
      <c r="V175" s="95">
        <v>1</v>
      </c>
      <c r="W175" s="95" t="s">
        <v>49</v>
      </c>
      <c r="X175" s="150" t="s">
        <v>49</v>
      </c>
      <c r="Y175" s="149" t="s">
        <v>49</v>
      </c>
      <c r="Z175" s="95" t="s">
        <v>49</v>
      </c>
      <c r="AA175" s="95">
        <v>1</v>
      </c>
      <c r="AB175" s="95">
        <v>1</v>
      </c>
      <c r="AC175" s="95">
        <v>1</v>
      </c>
      <c r="AD175" s="95" t="s">
        <v>9</v>
      </c>
      <c r="AE175" s="95">
        <v>1</v>
      </c>
      <c r="AF175" s="150">
        <v>1</v>
      </c>
      <c r="AG175" s="96">
        <v>1</v>
      </c>
      <c r="AH175" s="95">
        <v>1</v>
      </c>
      <c r="AI175" s="95">
        <v>1</v>
      </c>
      <c r="AJ175" s="95">
        <v>1</v>
      </c>
      <c r="AK175" s="95">
        <v>1</v>
      </c>
      <c r="AL175" s="95">
        <v>1</v>
      </c>
      <c r="AM175" s="95" t="s">
        <v>49</v>
      </c>
      <c r="AN175" s="150" t="s">
        <v>49</v>
      </c>
      <c r="AP175" s="56">
        <v>15</v>
      </c>
      <c r="AQ175" s="85">
        <f t="shared" si="6"/>
        <v>15</v>
      </c>
      <c r="AR175" s="19" t="s">
        <v>128</v>
      </c>
      <c r="AS175"/>
      <c r="AT175" s="67">
        <f t="shared" si="7"/>
        <v>0</v>
      </c>
      <c r="AU175" s="67">
        <f t="shared" si="8"/>
        <v>9</v>
      </c>
      <c r="AV175" s="66"/>
      <c r="AW175" s="12"/>
      <c r="BA175" s="12">
        <v>1</v>
      </c>
      <c r="CF175" s="12" t="s">
        <v>326</v>
      </c>
      <c r="CK175"/>
      <c r="CX175">
        <v>147</v>
      </c>
    </row>
    <row r="176" spans="1:102">
      <c r="A176">
        <v>148</v>
      </c>
      <c r="B176" t="s">
        <v>13</v>
      </c>
      <c r="C176" t="s">
        <v>68</v>
      </c>
      <c r="D176" s="8" t="s">
        <v>357</v>
      </c>
      <c r="E176" s="67" t="s">
        <v>15</v>
      </c>
      <c r="F176">
        <v>22</v>
      </c>
      <c r="G176" t="s">
        <v>15</v>
      </c>
      <c r="H176" t="s">
        <v>15</v>
      </c>
      <c r="I176" s="149" t="s">
        <v>49</v>
      </c>
      <c r="J176" s="96" t="s">
        <v>49</v>
      </c>
      <c r="K176" s="95">
        <v>1</v>
      </c>
      <c r="L176" s="95">
        <v>1</v>
      </c>
      <c r="M176" s="95">
        <v>1</v>
      </c>
      <c r="N176" s="95">
        <v>1</v>
      </c>
      <c r="O176" s="95" t="s">
        <v>9</v>
      </c>
      <c r="P176" s="150" t="s">
        <v>9</v>
      </c>
      <c r="Q176" s="149">
        <v>1</v>
      </c>
      <c r="R176" s="95" t="s">
        <v>9</v>
      </c>
      <c r="S176" s="95" t="s">
        <v>49</v>
      </c>
      <c r="T176" s="95">
        <v>1</v>
      </c>
      <c r="U176" s="95">
        <v>1</v>
      </c>
      <c r="V176" s="95">
        <v>1</v>
      </c>
      <c r="W176" s="95" t="s">
        <v>49</v>
      </c>
      <c r="X176" s="150" t="s">
        <v>49</v>
      </c>
      <c r="Y176" s="149" t="s">
        <v>49</v>
      </c>
      <c r="Z176" s="95" t="s">
        <v>49</v>
      </c>
      <c r="AA176" s="95">
        <v>1</v>
      </c>
      <c r="AB176" s="95">
        <v>1</v>
      </c>
      <c r="AC176" s="95">
        <v>1</v>
      </c>
      <c r="AD176" s="95">
        <v>1</v>
      </c>
      <c r="AE176" s="95">
        <v>1</v>
      </c>
      <c r="AF176" s="125">
        <v>1</v>
      </c>
      <c r="AG176" s="95">
        <v>1</v>
      </c>
      <c r="AH176" s="95">
        <v>1</v>
      </c>
      <c r="AI176" s="95">
        <v>1</v>
      </c>
      <c r="AJ176" s="95">
        <v>1</v>
      </c>
      <c r="AK176" s="95">
        <v>1</v>
      </c>
      <c r="AL176" s="95">
        <v>1</v>
      </c>
      <c r="AM176" s="95" t="s">
        <v>49</v>
      </c>
      <c r="AN176" s="150" t="s">
        <v>49</v>
      </c>
      <c r="AO176" s="96">
        <v>7</v>
      </c>
      <c r="AP176" s="56">
        <v>13</v>
      </c>
      <c r="AQ176" s="85">
        <f t="shared" si="6"/>
        <v>20</v>
      </c>
      <c r="AR176" s="19" t="s">
        <v>129</v>
      </c>
      <c r="AS176"/>
      <c r="AT176" s="67">
        <f t="shared" si="7"/>
        <v>0</v>
      </c>
      <c r="AU176" s="67">
        <f t="shared" si="8"/>
        <v>3</v>
      </c>
      <c r="AV176" s="66"/>
      <c r="AW176" s="12">
        <v>1</v>
      </c>
      <c r="BA176" s="12">
        <v>1</v>
      </c>
      <c r="BB176" s="12">
        <v>1</v>
      </c>
      <c r="BG176" s="12">
        <v>1</v>
      </c>
      <c r="CK176"/>
      <c r="CL176">
        <v>1</v>
      </c>
      <c r="CX176">
        <v>148</v>
      </c>
    </row>
    <row r="177" spans="1:102">
      <c r="A177">
        <v>149</v>
      </c>
      <c r="B177" t="s">
        <v>13</v>
      </c>
      <c r="C177" t="s">
        <v>80</v>
      </c>
      <c r="D177" s="8" t="s">
        <v>346</v>
      </c>
      <c r="E177" s="67" t="s">
        <v>15</v>
      </c>
      <c r="F177">
        <v>20</v>
      </c>
      <c r="G177">
        <v>20</v>
      </c>
      <c r="H177">
        <v>20</v>
      </c>
      <c r="I177" s="149"/>
      <c r="J177" s="96" t="s">
        <v>49</v>
      </c>
      <c r="K177" s="96" t="s">
        <v>49</v>
      </c>
      <c r="L177" s="95">
        <v>1</v>
      </c>
      <c r="M177" s="95">
        <v>1</v>
      </c>
      <c r="N177" s="95">
        <v>1</v>
      </c>
      <c r="O177" s="95">
        <v>1</v>
      </c>
      <c r="P177" s="125">
        <v>1</v>
      </c>
      <c r="Q177" s="124">
        <v>1</v>
      </c>
      <c r="R177" s="95">
        <v>1</v>
      </c>
      <c r="S177" s="95">
        <v>1</v>
      </c>
      <c r="T177" s="95">
        <v>1</v>
      </c>
      <c r="U177" s="95">
        <v>1</v>
      </c>
      <c r="V177" s="95" t="s">
        <v>49</v>
      </c>
      <c r="W177" s="95" t="s">
        <v>49</v>
      </c>
      <c r="X177" s="150"/>
      <c r="Y177" s="149"/>
      <c r="Z177" s="95" t="s">
        <v>49</v>
      </c>
      <c r="AA177" s="95" t="s">
        <v>49</v>
      </c>
      <c r="AB177" s="95">
        <v>1</v>
      </c>
      <c r="AC177" s="95">
        <v>1</v>
      </c>
      <c r="AD177" s="95">
        <v>1</v>
      </c>
      <c r="AE177" s="95">
        <v>1</v>
      </c>
      <c r="AF177" s="125">
        <v>1</v>
      </c>
      <c r="AG177" s="95">
        <v>1</v>
      </c>
      <c r="AH177" s="95">
        <v>1</v>
      </c>
      <c r="AI177" s="95">
        <v>1</v>
      </c>
      <c r="AJ177" s="95">
        <v>1</v>
      </c>
      <c r="AK177" s="95">
        <v>1</v>
      </c>
      <c r="AL177" s="95" t="s">
        <v>49</v>
      </c>
      <c r="AM177" s="95" t="s">
        <v>49</v>
      </c>
      <c r="AN177" s="150"/>
      <c r="AO177" s="96">
        <v>20</v>
      </c>
      <c r="AQ177" s="85">
        <f t="shared" si="6"/>
        <v>20</v>
      </c>
      <c r="AR177" s="19" t="s">
        <v>129</v>
      </c>
      <c r="AS177">
        <v>1</v>
      </c>
      <c r="AT177" s="67">
        <f t="shared" si="7"/>
        <v>0</v>
      </c>
      <c r="AU177" s="67">
        <f t="shared" si="8"/>
        <v>0</v>
      </c>
      <c r="AV177" s="66"/>
      <c r="AW177" s="12"/>
      <c r="BA177" s="12">
        <v>1</v>
      </c>
      <c r="CK177"/>
      <c r="CX177">
        <v>149</v>
      </c>
    </row>
    <row r="178" spans="1:102">
      <c r="A178">
        <v>150</v>
      </c>
      <c r="B178" t="s">
        <v>13</v>
      </c>
      <c r="C178" t="s">
        <v>56</v>
      </c>
      <c r="D178" s="8" t="s">
        <v>360</v>
      </c>
      <c r="E178" s="67" t="s">
        <v>15</v>
      </c>
      <c r="I178" s="149"/>
      <c r="J178" s="96"/>
      <c r="K178" s="96"/>
      <c r="L178" s="96"/>
      <c r="M178" s="96"/>
      <c r="N178" s="96"/>
      <c r="O178" s="96"/>
      <c r="P178" s="150"/>
      <c r="Q178" s="149"/>
      <c r="R178" s="96"/>
      <c r="S178" s="96"/>
      <c r="T178" s="96"/>
      <c r="U178" s="96"/>
      <c r="V178" s="96"/>
      <c r="W178" s="96"/>
      <c r="X178" s="150"/>
      <c r="Y178" s="149"/>
      <c r="Z178" s="96"/>
      <c r="AA178" s="96"/>
      <c r="AB178" s="96"/>
      <c r="AC178" s="96"/>
      <c r="AD178" s="96"/>
      <c r="AE178" s="96"/>
      <c r="AF178" s="150"/>
      <c r="AG178" s="96" t="s">
        <v>49</v>
      </c>
      <c r="AH178" s="96" t="s">
        <v>49</v>
      </c>
      <c r="AI178" s="96" t="s">
        <v>49</v>
      </c>
      <c r="AJ178" s="96" t="s">
        <v>49</v>
      </c>
      <c r="AK178" s="95" t="s">
        <v>49</v>
      </c>
      <c r="AL178" s="95" t="s">
        <v>49</v>
      </c>
      <c r="AM178" s="96"/>
      <c r="AN178" s="150"/>
      <c r="AQ178" s="85">
        <f t="shared" si="6"/>
        <v>0</v>
      </c>
      <c r="AR178" s="19"/>
      <c r="AS178"/>
      <c r="AT178" s="67">
        <f t="shared" si="7"/>
        <v>0</v>
      </c>
      <c r="AU178" s="67">
        <f t="shared" si="8"/>
        <v>0</v>
      </c>
      <c r="AV178" s="66"/>
      <c r="AW178" s="12"/>
      <c r="CK178"/>
      <c r="CX178">
        <v>150</v>
      </c>
    </row>
    <row r="179" spans="1:102">
      <c r="A179">
        <v>151</v>
      </c>
      <c r="B179" t="s">
        <v>13</v>
      </c>
      <c r="C179" t="s">
        <v>130</v>
      </c>
      <c r="D179" s="8" t="s">
        <v>357</v>
      </c>
      <c r="E179" s="67" t="s">
        <v>15</v>
      </c>
      <c r="F179">
        <v>28</v>
      </c>
      <c r="G179">
        <v>28</v>
      </c>
      <c r="H179">
        <v>28</v>
      </c>
      <c r="I179" s="149" t="s">
        <v>49</v>
      </c>
      <c r="J179" s="95">
        <v>1</v>
      </c>
      <c r="K179" s="95">
        <v>1</v>
      </c>
      <c r="L179" s="95">
        <v>1</v>
      </c>
      <c r="M179" s="95">
        <v>1</v>
      </c>
      <c r="N179" s="95">
        <v>1</v>
      </c>
      <c r="O179" s="95">
        <v>1</v>
      </c>
      <c r="P179" s="125">
        <v>1</v>
      </c>
      <c r="Q179" s="124">
        <v>1</v>
      </c>
      <c r="R179" s="95">
        <v>1</v>
      </c>
      <c r="S179" s="95">
        <v>1</v>
      </c>
      <c r="T179" s="95">
        <v>1</v>
      </c>
      <c r="U179" s="95">
        <v>1</v>
      </c>
      <c r="V179" s="95">
        <v>1</v>
      </c>
      <c r="W179" s="95">
        <v>1</v>
      </c>
      <c r="X179" s="150" t="s">
        <v>49</v>
      </c>
      <c r="Y179" s="149" t="s">
        <v>49</v>
      </c>
      <c r="Z179" s="95">
        <v>1</v>
      </c>
      <c r="AA179" s="95">
        <v>1</v>
      </c>
      <c r="AB179" s="95">
        <v>1</v>
      </c>
      <c r="AC179" s="95">
        <v>1</v>
      </c>
      <c r="AD179" s="95">
        <v>1</v>
      </c>
      <c r="AE179" s="95">
        <v>1</v>
      </c>
      <c r="AF179" s="125">
        <v>1</v>
      </c>
      <c r="AG179" s="95">
        <v>1</v>
      </c>
      <c r="AH179" s="95">
        <v>1</v>
      </c>
      <c r="AI179" s="95">
        <v>1</v>
      </c>
      <c r="AJ179" s="95">
        <v>1</v>
      </c>
      <c r="AK179" s="95">
        <v>1</v>
      </c>
      <c r="AL179" s="95">
        <v>1</v>
      </c>
      <c r="AM179" s="95">
        <v>1</v>
      </c>
      <c r="AN179" s="150" t="s">
        <v>49</v>
      </c>
      <c r="AP179" s="56">
        <v>28</v>
      </c>
      <c r="AQ179" s="85">
        <f t="shared" si="6"/>
        <v>28</v>
      </c>
      <c r="AR179" s="19" t="s">
        <v>219</v>
      </c>
      <c r="AS179">
        <v>1</v>
      </c>
      <c r="AT179" s="67">
        <f t="shared" si="7"/>
        <v>0</v>
      </c>
      <c r="AU179" s="67">
        <f t="shared" si="8"/>
        <v>0</v>
      </c>
      <c r="AV179" s="66"/>
      <c r="AW179" s="12"/>
      <c r="BA179" s="12">
        <v>1</v>
      </c>
      <c r="BB179" s="12">
        <v>1</v>
      </c>
      <c r="BC179" s="12">
        <v>1</v>
      </c>
      <c r="BL179" s="12" t="s">
        <v>326</v>
      </c>
      <c r="CF179" s="12" t="s">
        <v>326</v>
      </c>
      <c r="CK179"/>
      <c r="CX179">
        <v>151</v>
      </c>
    </row>
    <row r="180" spans="1:102">
      <c r="A180">
        <v>152</v>
      </c>
      <c r="B180" t="s">
        <v>13</v>
      </c>
      <c r="C180" t="s">
        <v>131</v>
      </c>
      <c r="D180" s="8" t="s">
        <v>358</v>
      </c>
      <c r="E180" s="67" t="s">
        <v>15</v>
      </c>
      <c r="I180" s="149"/>
      <c r="J180" s="96"/>
      <c r="K180" s="96"/>
      <c r="L180" s="96"/>
      <c r="M180" s="96"/>
      <c r="N180" s="96"/>
      <c r="O180" s="96"/>
      <c r="P180" s="150"/>
      <c r="Q180" s="149"/>
      <c r="R180" s="96"/>
      <c r="S180" s="96"/>
      <c r="T180" s="96"/>
      <c r="U180" s="96"/>
      <c r="V180" s="96"/>
      <c r="W180" s="96"/>
      <c r="X180" s="150"/>
      <c r="Y180" s="149"/>
      <c r="Z180" s="96"/>
      <c r="AA180" s="96"/>
      <c r="AB180" s="96"/>
      <c r="AC180" s="96"/>
      <c r="AD180" s="96"/>
      <c r="AE180" s="96"/>
      <c r="AF180" s="150"/>
      <c r="AH180" s="96"/>
      <c r="AI180" s="96"/>
      <c r="AJ180" s="96"/>
      <c r="AK180" s="96"/>
      <c r="AL180" s="96"/>
      <c r="AM180" s="96"/>
      <c r="AN180" s="150"/>
      <c r="AQ180" s="85">
        <f t="shared" si="6"/>
        <v>0</v>
      </c>
      <c r="AR180" s="19"/>
      <c r="AS180"/>
      <c r="AT180" s="67">
        <f t="shared" si="7"/>
        <v>0</v>
      </c>
      <c r="AU180" s="67">
        <f t="shared" si="8"/>
        <v>0</v>
      </c>
      <c r="AV180" s="66"/>
      <c r="AW180" s="12"/>
      <c r="CK180"/>
      <c r="CX180">
        <v>152</v>
      </c>
    </row>
    <row r="181" spans="1:102">
      <c r="A181">
        <v>153</v>
      </c>
      <c r="B181" t="s">
        <v>12</v>
      </c>
      <c r="C181" t="s">
        <v>40</v>
      </c>
      <c r="D181" s="8" t="s">
        <v>40</v>
      </c>
      <c r="E181" t="s">
        <v>42</v>
      </c>
      <c r="I181" s="149"/>
      <c r="J181" s="96"/>
      <c r="K181" s="96"/>
      <c r="L181" s="96"/>
      <c r="M181" s="96"/>
      <c r="N181" s="96"/>
      <c r="O181" s="96"/>
      <c r="P181" s="150"/>
      <c r="Q181" s="149"/>
      <c r="R181" s="96"/>
      <c r="S181" s="96"/>
      <c r="T181" s="96"/>
      <c r="U181" s="96"/>
      <c r="V181" s="96"/>
      <c r="W181" s="96"/>
      <c r="X181" s="150"/>
      <c r="Y181" s="149"/>
      <c r="Z181" s="96"/>
      <c r="AA181" s="96"/>
      <c r="AB181" s="96"/>
      <c r="AC181" s="96"/>
      <c r="AD181" s="96"/>
      <c r="AE181" s="96"/>
      <c r="AF181" s="150"/>
      <c r="AH181" s="96"/>
      <c r="AI181" s="96"/>
      <c r="AJ181" s="96"/>
      <c r="AK181" s="96"/>
      <c r="AL181" s="96"/>
      <c r="AM181" s="96"/>
      <c r="AN181" s="150"/>
      <c r="AQ181" s="85">
        <f t="shared" si="6"/>
        <v>0</v>
      </c>
      <c r="AR181" s="19"/>
      <c r="AS181"/>
      <c r="AT181" s="67">
        <f t="shared" si="7"/>
        <v>0</v>
      </c>
      <c r="AU181" s="67">
        <f t="shared" si="8"/>
        <v>0</v>
      </c>
      <c r="AV181" s="66"/>
      <c r="AW181" s="12"/>
      <c r="CK181"/>
      <c r="CX181">
        <v>153</v>
      </c>
    </row>
    <row r="182" spans="1:102">
      <c r="A182">
        <v>154</v>
      </c>
      <c r="B182" t="s">
        <v>12</v>
      </c>
      <c r="C182" t="s">
        <v>88</v>
      </c>
      <c r="D182" s="8" t="s">
        <v>12</v>
      </c>
      <c r="E182" s="67" t="s">
        <v>15</v>
      </c>
      <c r="I182" s="149"/>
      <c r="J182" s="96"/>
      <c r="K182" s="96"/>
      <c r="L182" s="96"/>
      <c r="M182" s="96"/>
      <c r="N182" s="96"/>
      <c r="O182" s="96"/>
      <c r="P182" s="150"/>
      <c r="Q182" s="149"/>
      <c r="R182" s="96"/>
      <c r="S182" s="96"/>
      <c r="T182" s="96"/>
      <c r="U182" s="96"/>
      <c r="V182" s="96"/>
      <c r="W182" s="96"/>
      <c r="X182" s="150"/>
      <c r="Y182" s="149"/>
      <c r="Z182" s="96"/>
      <c r="AA182" s="96"/>
      <c r="AB182" s="96"/>
      <c r="AC182" s="96"/>
      <c r="AD182" s="96"/>
      <c r="AE182" s="96"/>
      <c r="AF182" s="150"/>
      <c r="AH182" s="96"/>
      <c r="AI182" s="96"/>
      <c r="AJ182" s="96"/>
      <c r="AK182" s="96"/>
      <c r="AL182" s="96"/>
      <c r="AM182" s="96"/>
      <c r="AN182" s="150"/>
      <c r="AQ182" s="85">
        <f t="shared" si="6"/>
        <v>0</v>
      </c>
      <c r="AR182" s="19"/>
      <c r="AS182"/>
      <c r="AT182" s="67">
        <f t="shared" si="7"/>
        <v>0</v>
      </c>
      <c r="AU182" s="67">
        <f t="shared" si="8"/>
        <v>0</v>
      </c>
      <c r="AV182" s="66"/>
      <c r="AW182" s="12"/>
      <c r="BE182" s="12">
        <v>1</v>
      </c>
      <c r="BK182" s="12">
        <v>1</v>
      </c>
      <c r="BV182" s="12">
        <v>1</v>
      </c>
      <c r="BW182" s="12">
        <v>1</v>
      </c>
      <c r="BY182" s="12">
        <v>1</v>
      </c>
      <c r="CK182"/>
      <c r="CX182">
        <v>154</v>
      </c>
    </row>
    <row r="183" spans="1:102">
      <c r="A183">
        <v>155</v>
      </c>
      <c r="B183" t="s">
        <v>12</v>
      </c>
      <c r="C183" t="s">
        <v>40</v>
      </c>
      <c r="D183" s="8" t="s">
        <v>40</v>
      </c>
      <c r="E183" t="s">
        <v>42</v>
      </c>
      <c r="I183" s="149"/>
      <c r="J183" s="96"/>
      <c r="K183" s="96"/>
      <c r="L183" s="96"/>
      <c r="M183" s="96"/>
      <c r="N183" s="96"/>
      <c r="O183" s="96"/>
      <c r="P183" s="150"/>
      <c r="Q183" s="149"/>
      <c r="R183" s="96"/>
      <c r="S183" s="96"/>
      <c r="T183" s="96"/>
      <c r="U183" s="96"/>
      <c r="V183" s="96"/>
      <c r="W183" s="96"/>
      <c r="X183" s="150"/>
      <c r="Y183" s="149"/>
      <c r="Z183" s="96"/>
      <c r="AA183" s="96"/>
      <c r="AB183" s="96"/>
      <c r="AC183" s="96"/>
      <c r="AD183" s="96"/>
      <c r="AE183" s="96"/>
      <c r="AF183" s="150"/>
      <c r="AH183" s="96"/>
      <c r="AI183" s="96"/>
      <c r="AJ183" s="96"/>
      <c r="AK183" s="96"/>
      <c r="AL183" s="96"/>
      <c r="AM183" s="96"/>
      <c r="AN183" s="150"/>
      <c r="AQ183" s="85">
        <f t="shared" si="6"/>
        <v>0</v>
      </c>
      <c r="AR183" s="19"/>
      <c r="AS183"/>
      <c r="AT183" s="67">
        <f t="shared" si="7"/>
        <v>0</v>
      </c>
      <c r="AU183" s="67">
        <f t="shared" si="8"/>
        <v>0</v>
      </c>
      <c r="AV183" s="66"/>
      <c r="AW183" s="12"/>
      <c r="CK183"/>
      <c r="CX183">
        <v>155</v>
      </c>
    </row>
    <row r="184" spans="1:102">
      <c r="A184">
        <v>156</v>
      </c>
      <c r="B184" t="s">
        <v>12</v>
      </c>
      <c r="C184" t="s">
        <v>40</v>
      </c>
      <c r="D184" s="8" t="s">
        <v>40</v>
      </c>
      <c r="E184" t="s">
        <v>6</v>
      </c>
      <c r="I184" s="149"/>
      <c r="J184" s="96"/>
      <c r="K184" s="96"/>
      <c r="L184" s="96"/>
      <c r="M184" s="96"/>
      <c r="N184" s="96"/>
      <c r="O184" s="96"/>
      <c r="P184" s="150"/>
      <c r="Q184" s="149"/>
      <c r="R184" s="96"/>
      <c r="S184" s="96"/>
      <c r="T184" s="96"/>
      <c r="U184" s="96"/>
      <c r="V184" s="96"/>
      <c r="W184" s="96"/>
      <c r="X184" s="150"/>
      <c r="Y184" s="149"/>
      <c r="Z184" s="96"/>
      <c r="AA184" s="96"/>
      <c r="AB184" s="96"/>
      <c r="AC184" s="96"/>
      <c r="AD184" s="96"/>
      <c r="AE184" s="96"/>
      <c r="AF184" s="150"/>
      <c r="AH184" s="96"/>
      <c r="AI184" s="96"/>
      <c r="AJ184" s="96"/>
      <c r="AK184" s="96"/>
      <c r="AL184" s="96"/>
      <c r="AM184" s="96"/>
      <c r="AN184" s="150"/>
      <c r="AQ184" s="85">
        <f t="shared" si="6"/>
        <v>0</v>
      </c>
      <c r="AR184" s="19"/>
      <c r="AS184"/>
      <c r="AT184" s="67">
        <f t="shared" si="7"/>
        <v>0</v>
      </c>
      <c r="AU184" s="67">
        <f t="shared" si="8"/>
        <v>0</v>
      </c>
      <c r="AV184" s="66"/>
      <c r="AW184" s="12"/>
      <c r="CK184"/>
      <c r="CX184">
        <v>156</v>
      </c>
    </row>
    <row r="185" spans="1:102">
      <c r="A185">
        <v>157</v>
      </c>
      <c r="B185" t="s">
        <v>13</v>
      </c>
      <c r="C185" t="s">
        <v>55</v>
      </c>
      <c r="D185" s="8" t="s">
        <v>346</v>
      </c>
      <c r="E185" s="67" t="s">
        <v>15</v>
      </c>
      <c r="F185">
        <v>10</v>
      </c>
      <c r="G185">
        <v>20</v>
      </c>
      <c r="H185">
        <v>20</v>
      </c>
      <c r="I185" s="149"/>
      <c r="J185" s="96"/>
      <c r="K185" s="96"/>
      <c r="L185" s="96"/>
      <c r="M185" s="96"/>
      <c r="N185" s="96"/>
      <c r="O185" s="96"/>
      <c r="P185" s="150"/>
      <c r="Q185" s="149"/>
      <c r="R185" s="96"/>
      <c r="S185" s="96"/>
      <c r="T185" s="96"/>
      <c r="U185" s="96"/>
      <c r="V185" s="96"/>
      <c r="W185" s="96"/>
      <c r="X185" s="150"/>
      <c r="Y185" s="149"/>
      <c r="Z185" s="96"/>
      <c r="AA185" s="96"/>
      <c r="AB185" s="96">
        <v>1</v>
      </c>
      <c r="AC185" s="96">
        <v>1</v>
      </c>
      <c r="AD185" s="96">
        <v>1</v>
      </c>
      <c r="AE185" s="96">
        <v>1</v>
      </c>
      <c r="AF185" s="150">
        <v>1</v>
      </c>
      <c r="AG185" s="96">
        <v>1</v>
      </c>
      <c r="AH185" s="96">
        <v>1</v>
      </c>
      <c r="AI185" s="96">
        <v>1</v>
      </c>
      <c r="AJ185" s="96">
        <v>1</v>
      </c>
      <c r="AK185" s="96">
        <v>1</v>
      </c>
      <c r="AL185" s="96"/>
      <c r="AM185" s="96"/>
      <c r="AN185" s="150"/>
      <c r="AO185" s="96">
        <v>10</v>
      </c>
      <c r="AQ185" s="85">
        <f t="shared" si="6"/>
        <v>10</v>
      </c>
      <c r="AR185" s="19" t="s">
        <v>218</v>
      </c>
      <c r="AS185"/>
      <c r="AT185" s="67">
        <f t="shared" si="7"/>
        <v>0</v>
      </c>
      <c r="AU185" s="67">
        <f t="shared" si="8"/>
        <v>0</v>
      </c>
      <c r="AV185" s="66"/>
      <c r="AW185" s="12"/>
      <c r="CK185"/>
      <c r="CX185">
        <v>157</v>
      </c>
    </row>
    <row r="186" spans="1:102">
      <c r="A186">
        <v>158</v>
      </c>
      <c r="B186" t="s">
        <v>13</v>
      </c>
      <c r="C186" t="s">
        <v>99</v>
      </c>
      <c r="D186" s="8" t="s">
        <v>346</v>
      </c>
      <c r="E186" s="67" t="s">
        <v>15</v>
      </c>
      <c r="I186" s="149"/>
      <c r="J186" s="96"/>
      <c r="K186" s="96"/>
      <c r="L186" s="96"/>
      <c r="M186" s="96"/>
      <c r="N186" s="96"/>
      <c r="O186" s="96"/>
      <c r="P186" s="150"/>
      <c r="Q186" s="149"/>
      <c r="R186" s="96"/>
      <c r="S186" s="96"/>
      <c r="T186" s="96"/>
      <c r="U186" s="96"/>
      <c r="V186" s="96"/>
      <c r="W186" s="96"/>
      <c r="X186" s="150"/>
      <c r="Y186" s="149"/>
      <c r="Z186" s="96"/>
      <c r="AA186" s="96"/>
      <c r="AB186" s="96"/>
      <c r="AC186" s="96"/>
      <c r="AD186" s="96"/>
      <c r="AE186" s="96"/>
      <c r="AF186" s="150"/>
      <c r="AH186" s="96"/>
      <c r="AI186" s="96"/>
      <c r="AJ186" s="96"/>
      <c r="AK186" s="96"/>
      <c r="AL186" s="96"/>
      <c r="AM186" s="96"/>
      <c r="AN186" s="150"/>
      <c r="AQ186" s="85">
        <f t="shared" si="6"/>
        <v>0</v>
      </c>
      <c r="AR186" s="19"/>
      <c r="AS186"/>
      <c r="AT186" s="67">
        <f t="shared" si="7"/>
        <v>0</v>
      </c>
      <c r="AU186" s="67">
        <f t="shared" si="8"/>
        <v>0</v>
      </c>
      <c r="AV186" s="66"/>
      <c r="AW186" s="12"/>
      <c r="CF186" s="12" t="s">
        <v>326</v>
      </c>
      <c r="CK186"/>
      <c r="CX186">
        <v>158</v>
      </c>
    </row>
    <row r="187" spans="1:102" s="8" customFormat="1">
      <c r="A187" s="8">
        <v>159</v>
      </c>
      <c r="B187" s="8" t="s">
        <v>12</v>
      </c>
      <c r="C187" s="8" t="s">
        <v>132</v>
      </c>
      <c r="D187" s="8" t="s">
        <v>12</v>
      </c>
      <c r="E187" s="8" t="s">
        <v>6</v>
      </c>
      <c r="I187" s="124"/>
      <c r="J187" s="95"/>
      <c r="K187" s="95"/>
      <c r="L187" s="95"/>
      <c r="M187" s="95"/>
      <c r="N187" s="95"/>
      <c r="O187" s="95"/>
      <c r="P187" s="125"/>
      <c r="Q187" s="124"/>
      <c r="R187" s="95"/>
      <c r="S187" s="95"/>
      <c r="T187" s="95"/>
      <c r="U187" s="95"/>
      <c r="V187" s="95"/>
      <c r="W187" s="95"/>
      <c r="X187" s="125"/>
      <c r="Y187" s="124"/>
      <c r="Z187" s="95"/>
      <c r="AA187" s="95"/>
      <c r="AB187" s="95"/>
      <c r="AC187" s="95"/>
      <c r="AD187" s="95"/>
      <c r="AE187" s="95"/>
      <c r="AF187" s="125"/>
      <c r="AG187" s="95"/>
      <c r="AH187" s="95"/>
      <c r="AI187" s="95"/>
      <c r="AJ187" s="95"/>
      <c r="AK187" s="95"/>
      <c r="AL187" s="95"/>
      <c r="AM187" s="95"/>
      <c r="AN187" s="125"/>
      <c r="AO187" s="95"/>
      <c r="AP187" s="11"/>
      <c r="AQ187" s="85">
        <f t="shared" si="6"/>
        <v>0</v>
      </c>
      <c r="AR187" s="102"/>
      <c r="AT187" s="67">
        <f t="shared" si="7"/>
        <v>0</v>
      </c>
      <c r="AU187" s="67">
        <f t="shared" si="8"/>
        <v>0</v>
      </c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>
        <v>1</v>
      </c>
      <c r="BN187" s="13">
        <v>1</v>
      </c>
      <c r="BO187" s="13"/>
      <c r="BP187" s="13">
        <v>1</v>
      </c>
      <c r="BQ187" s="13"/>
      <c r="BR187" s="13"/>
      <c r="BS187" s="13">
        <v>1</v>
      </c>
      <c r="BT187" s="13">
        <v>1</v>
      </c>
      <c r="BU187" s="13"/>
      <c r="BV187" s="13"/>
      <c r="BW187" s="13"/>
      <c r="BX187" s="13"/>
      <c r="BY187" s="13"/>
      <c r="BZ187" s="13" t="s">
        <v>326</v>
      </c>
      <c r="CA187" s="13"/>
      <c r="CB187" s="13"/>
      <c r="CC187" s="13" t="s">
        <v>326</v>
      </c>
      <c r="CD187" s="13"/>
      <c r="CE187" s="13"/>
      <c r="CF187" s="13"/>
      <c r="CG187" s="13"/>
      <c r="CH187" s="13"/>
      <c r="CI187" s="13"/>
      <c r="CJ187" s="13"/>
      <c r="CT187" s="8">
        <v>1</v>
      </c>
      <c r="CX187" s="8">
        <v>159</v>
      </c>
    </row>
    <row r="188" spans="1:102" s="8" customFormat="1">
      <c r="A188" s="8">
        <v>160</v>
      </c>
      <c r="B188" s="8" t="s">
        <v>13</v>
      </c>
      <c r="C188" s="8" t="s">
        <v>133</v>
      </c>
      <c r="D188" s="8" t="s">
        <v>358</v>
      </c>
      <c r="E188" s="8" t="s">
        <v>42</v>
      </c>
      <c r="I188" s="124"/>
      <c r="J188" s="95"/>
      <c r="K188" s="95"/>
      <c r="L188" s="95"/>
      <c r="M188" s="95"/>
      <c r="N188" s="95"/>
      <c r="O188" s="95"/>
      <c r="P188" s="125"/>
      <c r="Q188" s="124"/>
      <c r="R188" s="95"/>
      <c r="S188" s="95"/>
      <c r="T188" s="95"/>
      <c r="U188" s="95"/>
      <c r="V188" s="95"/>
      <c r="W188" s="95"/>
      <c r="X188" s="125"/>
      <c r="Y188" s="124"/>
      <c r="Z188" s="95"/>
      <c r="AA188" s="95"/>
      <c r="AB188" s="95"/>
      <c r="AC188" s="95"/>
      <c r="AD188" s="95"/>
      <c r="AE188" s="95"/>
      <c r="AF188" s="125"/>
      <c r="AG188" s="95"/>
      <c r="AH188" s="95"/>
      <c r="AI188" s="95"/>
      <c r="AJ188" s="95"/>
      <c r="AK188" s="95"/>
      <c r="AL188" s="95"/>
      <c r="AM188" s="95"/>
      <c r="AN188" s="125"/>
      <c r="AO188" s="95"/>
      <c r="AP188" s="11"/>
      <c r="AQ188" s="85">
        <f t="shared" si="6"/>
        <v>0</v>
      </c>
      <c r="AR188" s="102"/>
      <c r="AT188" s="67">
        <f t="shared" si="7"/>
        <v>0</v>
      </c>
      <c r="AU188" s="67">
        <f t="shared" si="8"/>
        <v>0</v>
      </c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X188" s="8">
        <v>160</v>
      </c>
    </row>
    <row r="189" spans="1:102">
      <c r="A189">
        <v>161</v>
      </c>
      <c r="B189" t="s">
        <v>12</v>
      </c>
      <c r="C189" t="s">
        <v>91</v>
      </c>
      <c r="D189" s="8" t="s">
        <v>366</v>
      </c>
      <c r="E189" t="s">
        <v>42</v>
      </c>
      <c r="I189" s="149"/>
      <c r="J189" s="96"/>
      <c r="K189" s="96"/>
      <c r="L189" s="96"/>
      <c r="M189" s="96"/>
      <c r="N189" s="96"/>
      <c r="O189" s="96"/>
      <c r="P189" s="150"/>
      <c r="Q189" s="149"/>
      <c r="R189" s="96"/>
      <c r="S189" s="96"/>
      <c r="T189" s="96"/>
      <c r="U189" s="96"/>
      <c r="V189" s="96"/>
      <c r="W189" s="96"/>
      <c r="X189" s="150"/>
      <c r="Y189" s="149"/>
      <c r="Z189" s="96"/>
      <c r="AA189" s="96"/>
      <c r="AB189" s="96"/>
      <c r="AC189" s="96"/>
      <c r="AD189" s="96"/>
      <c r="AE189" s="96"/>
      <c r="AF189" s="150"/>
      <c r="AH189" s="96"/>
      <c r="AI189" s="96"/>
      <c r="AJ189" s="96"/>
      <c r="AK189" s="96"/>
      <c r="AL189" s="96"/>
      <c r="AM189" s="96"/>
      <c r="AN189" s="150"/>
      <c r="AQ189" s="85">
        <f t="shared" si="6"/>
        <v>0</v>
      </c>
      <c r="AR189" s="19"/>
      <c r="AS189"/>
      <c r="AT189" s="67">
        <f t="shared" si="7"/>
        <v>0</v>
      </c>
      <c r="AU189" s="67">
        <f t="shared" si="8"/>
        <v>0</v>
      </c>
      <c r="AV189" s="66"/>
      <c r="AW189" s="12"/>
      <c r="BK189" s="12">
        <v>1</v>
      </c>
      <c r="BQ189" s="12">
        <v>1</v>
      </c>
      <c r="BS189" s="12">
        <v>1</v>
      </c>
      <c r="CK189"/>
      <c r="CX189">
        <v>161</v>
      </c>
    </row>
    <row r="190" spans="1:102">
      <c r="A190">
        <v>162</v>
      </c>
      <c r="B190" t="s">
        <v>13</v>
      </c>
      <c r="C190" t="s">
        <v>80</v>
      </c>
      <c r="D190" s="8" t="s">
        <v>346</v>
      </c>
      <c r="E190" s="67" t="s">
        <v>15</v>
      </c>
      <c r="F190">
        <v>20</v>
      </c>
      <c r="G190">
        <v>20</v>
      </c>
      <c r="H190">
        <v>20</v>
      </c>
      <c r="I190" s="149"/>
      <c r="J190" s="96" t="s">
        <v>49</v>
      </c>
      <c r="K190" s="96" t="s">
        <v>49</v>
      </c>
      <c r="L190" s="96">
        <v>1</v>
      </c>
      <c r="M190" s="95">
        <v>1</v>
      </c>
      <c r="N190" s="95">
        <v>1</v>
      </c>
      <c r="O190" s="95">
        <v>1</v>
      </c>
      <c r="P190" s="150">
        <v>1</v>
      </c>
      <c r="Q190" s="149">
        <v>1</v>
      </c>
      <c r="R190" s="95">
        <v>1</v>
      </c>
      <c r="S190" s="95">
        <v>1</v>
      </c>
      <c r="T190" s="95">
        <v>1</v>
      </c>
      <c r="U190" s="95">
        <v>1</v>
      </c>
      <c r="V190" s="95" t="s">
        <v>49</v>
      </c>
      <c r="W190" s="95" t="s">
        <v>49</v>
      </c>
      <c r="X190" s="150"/>
      <c r="Y190" s="149"/>
      <c r="Z190" s="96" t="s">
        <v>49</v>
      </c>
      <c r="AA190" s="96" t="s">
        <v>49</v>
      </c>
      <c r="AB190" s="96">
        <v>1</v>
      </c>
      <c r="AC190" s="95">
        <v>1</v>
      </c>
      <c r="AD190" s="95">
        <v>1</v>
      </c>
      <c r="AE190" s="95">
        <v>1</v>
      </c>
      <c r="AF190" s="150">
        <v>1</v>
      </c>
      <c r="AG190" s="96">
        <v>1</v>
      </c>
      <c r="AH190" s="95">
        <v>1</v>
      </c>
      <c r="AI190" s="95">
        <v>1</v>
      </c>
      <c r="AJ190" s="95">
        <v>1</v>
      </c>
      <c r="AK190" s="95">
        <v>1</v>
      </c>
      <c r="AL190" s="95" t="s">
        <v>49</v>
      </c>
      <c r="AM190" s="95" t="s">
        <v>49</v>
      </c>
      <c r="AN190" s="150"/>
      <c r="AO190" s="96">
        <v>20</v>
      </c>
      <c r="AQ190" s="85">
        <f t="shared" si="6"/>
        <v>20</v>
      </c>
      <c r="AR190" s="19" t="s">
        <v>129</v>
      </c>
      <c r="AS190">
        <v>1</v>
      </c>
      <c r="AT190" s="67">
        <f t="shared" si="7"/>
        <v>0</v>
      </c>
      <c r="AU190" s="67">
        <f t="shared" si="8"/>
        <v>0</v>
      </c>
      <c r="AV190" s="66"/>
      <c r="AW190" s="12"/>
      <c r="BA190" s="12">
        <v>1</v>
      </c>
      <c r="CK190"/>
      <c r="CX190">
        <v>162</v>
      </c>
    </row>
    <row r="191" spans="1:102">
      <c r="A191">
        <v>163</v>
      </c>
      <c r="B191" t="s">
        <v>12</v>
      </c>
      <c r="C191" t="s">
        <v>62</v>
      </c>
      <c r="D191" s="8" t="s">
        <v>42</v>
      </c>
      <c r="E191" t="s">
        <v>42</v>
      </c>
      <c r="F191">
        <v>28</v>
      </c>
      <c r="G191">
        <v>28</v>
      </c>
      <c r="H191">
        <v>28</v>
      </c>
      <c r="I191" s="149"/>
      <c r="J191" s="96">
        <v>1</v>
      </c>
      <c r="K191" s="96">
        <v>1</v>
      </c>
      <c r="L191" s="96">
        <v>1</v>
      </c>
      <c r="M191" s="96">
        <v>1</v>
      </c>
      <c r="N191" s="96">
        <v>1</v>
      </c>
      <c r="O191" s="96">
        <v>1</v>
      </c>
      <c r="P191" s="150">
        <v>1</v>
      </c>
      <c r="Q191" s="149">
        <v>1</v>
      </c>
      <c r="R191" s="96">
        <v>1</v>
      </c>
      <c r="S191" s="96">
        <v>1</v>
      </c>
      <c r="T191" s="96">
        <v>1</v>
      </c>
      <c r="U191" s="96">
        <v>1</v>
      </c>
      <c r="V191" s="96">
        <v>1</v>
      </c>
      <c r="W191" s="96">
        <v>1</v>
      </c>
      <c r="X191" s="150"/>
      <c r="Y191" s="149"/>
      <c r="Z191" s="96">
        <v>1</v>
      </c>
      <c r="AA191" s="96">
        <v>1</v>
      </c>
      <c r="AB191" s="96">
        <v>1</v>
      </c>
      <c r="AC191" s="96">
        <v>1</v>
      </c>
      <c r="AD191" s="96">
        <v>1</v>
      </c>
      <c r="AE191" s="96">
        <v>1</v>
      </c>
      <c r="AF191" s="150">
        <v>1</v>
      </c>
      <c r="AG191" s="96">
        <v>1</v>
      </c>
      <c r="AH191" s="96">
        <v>1</v>
      </c>
      <c r="AI191" s="96">
        <v>1</v>
      </c>
      <c r="AJ191" s="96">
        <v>1</v>
      </c>
      <c r="AK191" s="96">
        <v>1</v>
      </c>
      <c r="AL191" s="96">
        <v>1</v>
      </c>
      <c r="AM191" s="96">
        <v>1</v>
      </c>
      <c r="AN191" s="150"/>
      <c r="AP191" s="56">
        <v>28</v>
      </c>
      <c r="AQ191" s="85">
        <f t="shared" si="6"/>
        <v>28</v>
      </c>
      <c r="AR191" s="19" t="s">
        <v>134</v>
      </c>
      <c r="AS191">
        <v>1</v>
      </c>
      <c r="AT191" s="67">
        <f t="shared" si="7"/>
        <v>0</v>
      </c>
      <c r="AU191" s="67">
        <f t="shared" si="8"/>
        <v>0</v>
      </c>
      <c r="AV191" s="66"/>
      <c r="AW191" s="12">
        <v>1</v>
      </c>
      <c r="AX191" s="12">
        <v>1</v>
      </c>
      <c r="AZ191" s="12">
        <v>1</v>
      </c>
      <c r="BA191" s="12">
        <v>1</v>
      </c>
      <c r="BB191" s="12">
        <v>1</v>
      </c>
      <c r="BK191" s="12">
        <v>1</v>
      </c>
      <c r="BN191" s="12">
        <v>1</v>
      </c>
      <c r="BQ191" s="12">
        <v>1</v>
      </c>
      <c r="BS191" s="12">
        <v>1</v>
      </c>
      <c r="BV191" s="12">
        <v>1</v>
      </c>
      <c r="BW191" s="12">
        <v>1</v>
      </c>
      <c r="BY191" s="12">
        <v>1</v>
      </c>
      <c r="BZ191" s="12" t="s">
        <v>328</v>
      </c>
      <c r="CC191" s="12" t="s">
        <v>326</v>
      </c>
      <c r="CK191"/>
      <c r="CX191">
        <v>163</v>
      </c>
    </row>
    <row r="192" spans="1:102">
      <c r="A192">
        <v>164</v>
      </c>
      <c r="B192" t="s">
        <v>12</v>
      </c>
      <c r="C192" t="s">
        <v>40</v>
      </c>
      <c r="D192" s="8" t="s">
        <v>40</v>
      </c>
      <c r="E192" t="s">
        <v>6</v>
      </c>
      <c r="I192" s="149"/>
      <c r="J192" s="96"/>
      <c r="K192" s="96"/>
      <c r="L192" s="96"/>
      <c r="M192" s="96"/>
      <c r="N192" s="96"/>
      <c r="O192" s="96"/>
      <c r="P192" s="150"/>
      <c r="Q192" s="149"/>
      <c r="R192" s="96"/>
      <c r="S192" s="96"/>
      <c r="T192" s="96"/>
      <c r="U192" s="96"/>
      <c r="V192" s="96"/>
      <c r="W192" s="96"/>
      <c r="X192" s="150"/>
      <c r="Y192" s="149"/>
      <c r="Z192" s="96"/>
      <c r="AA192" s="96"/>
      <c r="AB192" s="96"/>
      <c r="AC192" s="96"/>
      <c r="AD192" s="96"/>
      <c r="AE192" s="96"/>
      <c r="AF192" s="150"/>
      <c r="AH192" s="96"/>
      <c r="AI192" s="96"/>
      <c r="AJ192" s="96"/>
      <c r="AK192" s="96"/>
      <c r="AL192" s="96"/>
      <c r="AM192" s="96"/>
      <c r="AN192" s="150"/>
      <c r="AQ192" s="85">
        <f t="shared" si="6"/>
        <v>0</v>
      </c>
      <c r="AR192" s="19"/>
      <c r="AS192"/>
      <c r="AT192" s="67">
        <f t="shared" si="7"/>
        <v>0</v>
      </c>
      <c r="AU192" s="67">
        <f t="shared" si="8"/>
        <v>0</v>
      </c>
      <c r="AV192" s="66"/>
      <c r="AW192" s="12"/>
      <c r="BS192" s="12">
        <v>1</v>
      </c>
      <c r="CK192"/>
      <c r="CX192">
        <v>164</v>
      </c>
    </row>
    <row r="193" spans="1:102">
      <c r="A193">
        <v>165</v>
      </c>
      <c r="B193" t="s">
        <v>12</v>
      </c>
      <c r="C193" t="s">
        <v>40</v>
      </c>
      <c r="D193" s="8" t="s">
        <v>40</v>
      </c>
      <c r="E193" t="s">
        <v>77</v>
      </c>
      <c r="I193" s="149"/>
      <c r="J193" s="96"/>
      <c r="K193" s="96"/>
      <c r="L193" s="96"/>
      <c r="M193" s="96"/>
      <c r="N193" s="96"/>
      <c r="O193" s="96"/>
      <c r="P193" s="150"/>
      <c r="Q193" s="149"/>
      <c r="R193" s="96"/>
      <c r="S193" s="96"/>
      <c r="T193" s="96"/>
      <c r="U193" s="96"/>
      <c r="V193" s="96"/>
      <c r="W193" s="96"/>
      <c r="X193" s="150"/>
      <c r="Y193" s="149"/>
      <c r="Z193" s="96"/>
      <c r="AA193" s="96"/>
      <c r="AB193" s="96"/>
      <c r="AC193" s="96"/>
      <c r="AD193" s="96"/>
      <c r="AE193" s="96"/>
      <c r="AF193" s="150"/>
      <c r="AH193" s="96"/>
      <c r="AI193" s="96"/>
      <c r="AJ193" s="96"/>
      <c r="AK193" s="96"/>
      <c r="AL193" s="96"/>
      <c r="AM193" s="96"/>
      <c r="AN193" s="150"/>
      <c r="AQ193" s="85">
        <f t="shared" si="6"/>
        <v>0</v>
      </c>
      <c r="AR193" s="19"/>
      <c r="AS193"/>
      <c r="AT193" s="67">
        <f t="shared" si="7"/>
        <v>0</v>
      </c>
      <c r="AU193" s="67">
        <f t="shared" si="8"/>
        <v>0</v>
      </c>
      <c r="AV193" s="66"/>
      <c r="AW193" s="12"/>
      <c r="BS193" s="12">
        <v>1</v>
      </c>
      <c r="CK193"/>
      <c r="CX193">
        <v>165</v>
      </c>
    </row>
    <row r="194" spans="1:102">
      <c r="A194">
        <v>166</v>
      </c>
      <c r="B194" t="s">
        <v>12</v>
      </c>
      <c r="C194" t="s">
        <v>136</v>
      </c>
      <c r="D194" s="8" t="s">
        <v>12</v>
      </c>
      <c r="E194" t="s">
        <v>6</v>
      </c>
      <c r="F194">
        <v>32</v>
      </c>
      <c r="G194">
        <v>32</v>
      </c>
      <c r="H194">
        <v>32</v>
      </c>
      <c r="I194" s="149">
        <v>1</v>
      </c>
      <c r="J194" s="96">
        <v>1</v>
      </c>
      <c r="K194" s="96">
        <v>1</v>
      </c>
      <c r="L194" s="96">
        <v>1</v>
      </c>
      <c r="M194" s="96">
        <v>1</v>
      </c>
      <c r="N194" s="96">
        <v>1</v>
      </c>
      <c r="O194" s="96">
        <v>1</v>
      </c>
      <c r="P194" s="150">
        <v>1</v>
      </c>
      <c r="Q194" s="149">
        <v>1</v>
      </c>
      <c r="R194" s="96">
        <v>1</v>
      </c>
      <c r="S194" s="96">
        <v>1</v>
      </c>
      <c r="T194" s="96">
        <v>1</v>
      </c>
      <c r="U194" s="96">
        <v>1</v>
      </c>
      <c r="V194" s="96">
        <v>1</v>
      </c>
      <c r="W194" s="96">
        <v>1</v>
      </c>
      <c r="X194" s="150">
        <v>1</v>
      </c>
      <c r="Y194" s="149">
        <v>1</v>
      </c>
      <c r="Z194" s="96">
        <v>1</v>
      </c>
      <c r="AA194" s="96">
        <v>1</v>
      </c>
      <c r="AB194" s="96">
        <v>1</v>
      </c>
      <c r="AC194" s="96">
        <v>1</v>
      </c>
      <c r="AD194" s="96">
        <v>1</v>
      </c>
      <c r="AE194" s="96">
        <v>1</v>
      </c>
      <c r="AF194" s="150">
        <v>1</v>
      </c>
      <c r="AG194" s="96">
        <v>1</v>
      </c>
      <c r="AH194" s="96">
        <v>1</v>
      </c>
      <c r="AI194" s="96">
        <v>1</v>
      </c>
      <c r="AJ194" s="96">
        <v>1</v>
      </c>
      <c r="AK194" s="96">
        <v>1</v>
      </c>
      <c r="AL194" s="96">
        <v>1</v>
      </c>
      <c r="AM194" s="96">
        <v>1</v>
      </c>
      <c r="AN194" s="150">
        <v>1</v>
      </c>
      <c r="AP194" s="56">
        <v>32</v>
      </c>
      <c r="AQ194" s="85">
        <f t="shared" si="6"/>
        <v>32</v>
      </c>
      <c r="AR194" s="19" t="s">
        <v>135</v>
      </c>
      <c r="AS194">
        <v>1</v>
      </c>
      <c r="AT194" s="67">
        <f t="shared" si="7"/>
        <v>0</v>
      </c>
      <c r="AU194" s="67">
        <f t="shared" si="8"/>
        <v>0</v>
      </c>
      <c r="AV194" s="66">
        <v>1</v>
      </c>
      <c r="AW194" s="12">
        <v>1</v>
      </c>
      <c r="AZ194" s="12">
        <v>1</v>
      </c>
      <c r="BA194" s="12">
        <v>1</v>
      </c>
      <c r="BB194" s="12">
        <v>1</v>
      </c>
      <c r="BL194" s="12">
        <v>1</v>
      </c>
      <c r="BQ194" s="12">
        <v>1</v>
      </c>
      <c r="BT194" s="12">
        <v>1</v>
      </c>
      <c r="CK194"/>
      <c r="CX194">
        <v>166</v>
      </c>
    </row>
    <row r="195" spans="1:102">
      <c r="A195">
        <v>167</v>
      </c>
      <c r="B195" t="s">
        <v>12</v>
      </c>
      <c r="C195" t="s">
        <v>65</v>
      </c>
      <c r="D195" s="8" t="s">
        <v>12</v>
      </c>
      <c r="E195" s="67" t="s">
        <v>15</v>
      </c>
      <c r="I195" s="149"/>
      <c r="J195" s="96"/>
      <c r="K195" s="96"/>
      <c r="L195" s="96"/>
      <c r="M195" s="96"/>
      <c r="N195" s="96"/>
      <c r="O195" s="96"/>
      <c r="P195" s="150"/>
      <c r="Q195" s="149"/>
      <c r="R195" s="96"/>
      <c r="S195" s="96"/>
      <c r="T195" s="96"/>
      <c r="U195" s="96"/>
      <c r="V195" s="96"/>
      <c r="W195" s="96"/>
      <c r="X195" s="150"/>
      <c r="Y195" s="149"/>
      <c r="Z195" s="96"/>
      <c r="AA195" s="96"/>
      <c r="AB195" s="96"/>
      <c r="AC195" s="96"/>
      <c r="AD195" s="96"/>
      <c r="AE195" s="96"/>
      <c r="AF195" s="150"/>
      <c r="AH195" s="96"/>
      <c r="AI195" s="96"/>
      <c r="AJ195" s="96"/>
      <c r="AK195" s="96"/>
      <c r="AL195" s="96"/>
      <c r="AM195" s="96"/>
      <c r="AN195" s="150"/>
      <c r="AQ195" s="85">
        <f t="shared" si="6"/>
        <v>0</v>
      </c>
      <c r="AR195" s="19"/>
      <c r="AS195"/>
      <c r="AT195" s="67">
        <f t="shared" si="7"/>
        <v>0</v>
      </c>
      <c r="AU195" s="67">
        <f t="shared" si="8"/>
        <v>0</v>
      </c>
      <c r="AV195" s="66"/>
      <c r="AW195" s="12"/>
      <c r="BV195" s="12">
        <v>1</v>
      </c>
      <c r="CK195"/>
      <c r="CX195">
        <v>167</v>
      </c>
    </row>
    <row r="196" spans="1:102">
      <c r="A196">
        <v>168</v>
      </c>
      <c r="B196" t="s">
        <v>12</v>
      </c>
      <c r="C196" t="s">
        <v>136</v>
      </c>
      <c r="D196" s="8" t="s">
        <v>12</v>
      </c>
      <c r="E196" t="s">
        <v>42</v>
      </c>
      <c r="I196" s="149"/>
      <c r="J196" s="96"/>
      <c r="K196" s="96"/>
      <c r="L196" s="96"/>
      <c r="M196" s="96"/>
      <c r="N196" s="96"/>
      <c r="O196" s="96"/>
      <c r="P196" s="150"/>
      <c r="Q196" s="149"/>
      <c r="R196" s="96"/>
      <c r="S196" s="96"/>
      <c r="T196" s="96"/>
      <c r="U196" s="96"/>
      <c r="V196" s="96"/>
      <c r="W196" s="96"/>
      <c r="X196" s="150"/>
      <c r="Y196" s="149"/>
      <c r="Z196" s="96"/>
      <c r="AA196" s="96"/>
      <c r="AB196" s="96"/>
      <c r="AC196" s="96"/>
      <c r="AD196" s="96"/>
      <c r="AE196" s="96"/>
      <c r="AF196" s="150"/>
      <c r="AH196" s="96"/>
      <c r="AI196" s="96"/>
      <c r="AJ196" s="96"/>
      <c r="AK196" s="96"/>
      <c r="AL196" s="96"/>
      <c r="AM196" s="96"/>
      <c r="AN196" s="150"/>
      <c r="AQ196" s="85">
        <f t="shared" si="6"/>
        <v>0</v>
      </c>
      <c r="AR196" s="19"/>
      <c r="AS196"/>
      <c r="AT196" s="67">
        <f t="shared" si="7"/>
        <v>0</v>
      </c>
      <c r="AU196" s="67">
        <f t="shared" si="8"/>
        <v>0</v>
      </c>
      <c r="AV196" s="66"/>
      <c r="AW196" s="12"/>
      <c r="BV196" s="12">
        <v>1</v>
      </c>
      <c r="CK196"/>
      <c r="CX196">
        <v>168</v>
      </c>
    </row>
    <row r="197" spans="1:102">
      <c r="A197">
        <v>169</v>
      </c>
      <c r="B197" t="s">
        <v>13</v>
      </c>
      <c r="C197" t="s">
        <v>139</v>
      </c>
      <c r="D197" s="8" t="s">
        <v>357</v>
      </c>
      <c r="E197" s="67" t="s">
        <v>15</v>
      </c>
      <c r="F197">
        <v>24</v>
      </c>
      <c r="G197">
        <v>24</v>
      </c>
      <c r="H197">
        <v>24</v>
      </c>
      <c r="I197" s="149"/>
      <c r="J197" s="96" t="s">
        <v>49</v>
      </c>
      <c r="K197" s="96">
        <v>1</v>
      </c>
      <c r="L197" s="96">
        <v>1</v>
      </c>
      <c r="M197" s="96">
        <v>1</v>
      </c>
      <c r="N197" s="96">
        <v>1</v>
      </c>
      <c r="O197" s="96">
        <v>1</v>
      </c>
      <c r="P197" s="150">
        <v>1</v>
      </c>
      <c r="Q197" s="149">
        <v>1</v>
      </c>
      <c r="R197" s="96">
        <v>1</v>
      </c>
      <c r="S197" s="96">
        <v>1</v>
      </c>
      <c r="T197" s="96">
        <v>1</v>
      </c>
      <c r="U197" s="96">
        <v>1</v>
      </c>
      <c r="V197" s="96">
        <v>1</v>
      </c>
      <c r="W197" s="95" t="s">
        <v>49</v>
      </c>
      <c r="X197" s="150"/>
      <c r="Y197" s="149"/>
      <c r="Z197" s="95" t="s">
        <v>49</v>
      </c>
      <c r="AA197" s="96">
        <v>1</v>
      </c>
      <c r="AB197" s="96">
        <v>1</v>
      </c>
      <c r="AC197" s="96">
        <v>1</v>
      </c>
      <c r="AD197" s="96">
        <v>1</v>
      </c>
      <c r="AE197" s="96">
        <v>1</v>
      </c>
      <c r="AF197" s="150">
        <v>1</v>
      </c>
      <c r="AG197" s="96">
        <v>1</v>
      </c>
      <c r="AH197" s="96">
        <v>1</v>
      </c>
      <c r="AI197" s="96">
        <v>1</v>
      </c>
      <c r="AJ197" s="96">
        <v>1</v>
      </c>
      <c r="AK197" s="96">
        <v>1</v>
      </c>
      <c r="AL197" s="96">
        <v>1</v>
      </c>
      <c r="AM197" s="95" t="s">
        <v>49</v>
      </c>
      <c r="AN197" s="150"/>
      <c r="AO197" s="96">
        <v>16</v>
      </c>
      <c r="AP197" s="56">
        <v>8</v>
      </c>
      <c r="AQ197" s="85">
        <f t="shared" si="6"/>
        <v>24</v>
      </c>
      <c r="AR197" s="19" t="s">
        <v>137</v>
      </c>
      <c r="AS197">
        <v>1</v>
      </c>
      <c r="AT197" s="67">
        <f t="shared" si="7"/>
        <v>0</v>
      </c>
      <c r="AU197" s="67">
        <f t="shared" si="8"/>
        <v>0</v>
      </c>
      <c r="AV197" s="66"/>
      <c r="AW197" s="12"/>
      <c r="AZ197" s="12">
        <v>1</v>
      </c>
      <c r="BA197" s="12">
        <v>1</v>
      </c>
      <c r="BC197" s="12">
        <v>1</v>
      </c>
      <c r="CK197"/>
      <c r="CX197">
        <v>169</v>
      </c>
    </row>
    <row r="198" spans="1:102">
      <c r="A198">
        <v>170</v>
      </c>
      <c r="B198" t="s">
        <v>12</v>
      </c>
      <c r="C198" t="s">
        <v>5</v>
      </c>
      <c r="D198" s="8" t="s">
        <v>42</v>
      </c>
      <c r="E198" t="s">
        <v>6</v>
      </c>
      <c r="F198">
        <v>31</v>
      </c>
      <c r="G198">
        <v>31</v>
      </c>
      <c r="H198">
        <v>32</v>
      </c>
      <c r="I198" s="149">
        <v>1</v>
      </c>
      <c r="J198" s="96">
        <v>1</v>
      </c>
      <c r="K198" s="96">
        <v>1</v>
      </c>
      <c r="L198" s="96">
        <v>1</v>
      </c>
      <c r="M198" s="96">
        <v>1</v>
      </c>
      <c r="N198" s="96">
        <v>1</v>
      </c>
      <c r="O198" s="96">
        <v>1</v>
      </c>
      <c r="P198" s="150">
        <v>1</v>
      </c>
      <c r="Q198" s="149">
        <v>1</v>
      </c>
      <c r="R198" s="96">
        <v>1</v>
      </c>
      <c r="S198" s="96">
        <v>1</v>
      </c>
      <c r="T198" s="96">
        <v>1</v>
      </c>
      <c r="U198" s="96">
        <v>1</v>
      </c>
      <c r="V198" s="96">
        <v>1</v>
      </c>
      <c r="W198" s="96">
        <v>1</v>
      </c>
      <c r="X198" s="150">
        <v>1</v>
      </c>
      <c r="Y198" s="149">
        <v>1</v>
      </c>
      <c r="Z198" s="96" t="s">
        <v>10</v>
      </c>
      <c r="AA198" s="96">
        <v>1</v>
      </c>
      <c r="AB198" s="96">
        <v>1</v>
      </c>
      <c r="AC198" s="96">
        <v>1</v>
      </c>
      <c r="AD198" s="96">
        <v>1</v>
      </c>
      <c r="AE198" s="96">
        <v>1</v>
      </c>
      <c r="AF198" s="150">
        <v>1</v>
      </c>
      <c r="AG198" s="96">
        <v>1</v>
      </c>
      <c r="AH198" s="96">
        <v>1</v>
      </c>
      <c r="AI198" s="96">
        <v>1</v>
      </c>
      <c r="AJ198" s="96">
        <v>1</v>
      </c>
      <c r="AK198" s="96">
        <v>1</v>
      </c>
      <c r="AL198" s="96">
        <v>1</v>
      </c>
      <c r="AM198" s="96">
        <v>1</v>
      </c>
      <c r="AN198" s="150">
        <v>1</v>
      </c>
      <c r="AP198" s="56">
        <v>31</v>
      </c>
      <c r="AQ198" s="85">
        <f t="shared" ref="AQ198:AQ261" si="9">SUM(I198:AN198)</f>
        <v>31</v>
      </c>
      <c r="AR198" s="19" t="s">
        <v>138</v>
      </c>
      <c r="AS198"/>
      <c r="AT198" s="67">
        <f t="shared" ref="AT198:AT261" si="10">COUNTIF(I198:AN198,"*am*")</f>
        <v>1</v>
      </c>
      <c r="AU198" s="67">
        <f t="shared" ref="AU198:AU261" si="11">COUNTIF(I198:AN198,"pm")</f>
        <v>0</v>
      </c>
      <c r="AV198" s="66"/>
      <c r="AW198" s="12"/>
      <c r="AY198" s="12">
        <v>1</v>
      </c>
      <c r="AZ198" s="12">
        <v>1</v>
      </c>
      <c r="BA198" s="12">
        <v>1</v>
      </c>
      <c r="BB198" s="12">
        <v>1</v>
      </c>
      <c r="BO198" s="12">
        <v>1</v>
      </c>
      <c r="BV198" s="12">
        <v>1</v>
      </c>
      <c r="BY198" s="12">
        <v>1</v>
      </c>
      <c r="CK198"/>
      <c r="CX198">
        <v>170</v>
      </c>
    </row>
    <row r="199" spans="1:102" s="8" customFormat="1">
      <c r="A199" s="8">
        <v>171</v>
      </c>
      <c r="B199" s="8" t="s">
        <v>13</v>
      </c>
      <c r="C199" s="8" t="s">
        <v>58</v>
      </c>
      <c r="D199" s="8" t="s">
        <v>358</v>
      </c>
      <c r="E199" s="8" t="s">
        <v>6</v>
      </c>
      <c r="F199" s="8">
        <v>28</v>
      </c>
      <c r="G199" s="8">
        <v>30</v>
      </c>
      <c r="H199" s="8">
        <v>30</v>
      </c>
      <c r="I199" s="124"/>
      <c r="J199" s="95">
        <v>1</v>
      </c>
      <c r="K199" s="95">
        <v>1</v>
      </c>
      <c r="L199" s="95">
        <v>1</v>
      </c>
      <c r="M199" s="95">
        <v>1</v>
      </c>
      <c r="N199" s="95">
        <v>1</v>
      </c>
      <c r="O199" s="95">
        <v>1</v>
      </c>
      <c r="P199" s="125">
        <v>1</v>
      </c>
      <c r="Q199" s="124">
        <v>1</v>
      </c>
      <c r="R199" s="95">
        <v>1</v>
      </c>
      <c r="S199" s="95">
        <v>1</v>
      </c>
      <c r="T199" s="95">
        <v>1</v>
      </c>
      <c r="U199" s="95">
        <v>1</v>
      </c>
      <c r="V199" s="95">
        <v>1</v>
      </c>
      <c r="W199" s="95">
        <v>1</v>
      </c>
      <c r="X199" s="125"/>
      <c r="Y199" s="124" t="s">
        <v>49</v>
      </c>
      <c r="Z199" s="95">
        <v>1</v>
      </c>
      <c r="AA199" s="95">
        <v>1</v>
      </c>
      <c r="AB199" s="95">
        <v>1</v>
      </c>
      <c r="AC199" s="95">
        <v>1</v>
      </c>
      <c r="AD199" s="95">
        <v>1</v>
      </c>
      <c r="AE199" s="95">
        <v>1</v>
      </c>
      <c r="AF199" s="125">
        <v>1</v>
      </c>
      <c r="AG199" s="95">
        <v>1</v>
      </c>
      <c r="AH199" s="95">
        <v>1</v>
      </c>
      <c r="AI199" s="95">
        <v>1</v>
      </c>
      <c r="AJ199" s="95">
        <v>1</v>
      </c>
      <c r="AK199" s="95">
        <v>1</v>
      </c>
      <c r="AL199" s="95">
        <v>1</v>
      </c>
      <c r="AM199" s="95">
        <v>1</v>
      </c>
      <c r="AN199" s="125" t="s">
        <v>49</v>
      </c>
      <c r="AO199" s="95"/>
      <c r="AP199" s="11">
        <v>28</v>
      </c>
      <c r="AQ199" s="85">
        <f t="shared" si="9"/>
        <v>28</v>
      </c>
      <c r="AR199" s="102" t="s">
        <v>50</v>
      </c>
      <c r="AT199" s="67">
        <f t="shared" si="10"/>
        <v>0</v>
      </c>
      <c r="AU199" s="67">
        <f t="shared" si="11"/>
        <v>0</v>
      </c>
      <c r="AW199" s="11">
        <v>1</v>
      </c>
      <c r="AX199" s="13"/>
      <c r="AY199" s="13"/>
      <c r="AZ199" s="13">
        <v>1</v>
      </c>
      <c r="BA199" s="13">
        <v>1</v>
      </c>
      <c r="BB199" s="13">
        <v>1</v>
      </c>
      <c r="BC199" s="13"/>
      <c r="BD199" s="13"/>
      <c r="BE199" s="13"/>
      <c r="BF199" s="13"/>
      <c r="BG199" s="13" t="s">
        <v>209</v>
      </c>
      <c r="BH199" s="13"/>
      <c r="BI199" s="13">
        <v>1</v>
      </c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 t="s">
        <v>326</v>
      </c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X199" s="8">
        <v>171</v>
      </c>
    </row>
    <row r="200" spans="1:102">
      <c r="A200">
        <v>172</v>
      </c>
      <c r="B200" t="s">
        <v>12</v>
      </c>
      <c r="C200" t="s">
        <v>71</v>
      </c>
      <c r="D200" s="8" t="s">
        <v>366</v>
      </c>
      <c r="E200" t="s">
        <v>6</v>
      </c>
      <c r="F200">
        <v>31</v>
      </c>
      <c r="G200">
        <v>31</v>
      </c>
      <c r="H200" s="5">
        <v>32</v>
      </c>
      <c r="I200" s="149">
        <v>1</v>
      </c>
      <c r="J200" s="96">
        <v>1</v>
      </c>
      <c r="K200" s="96">
        <v>1</v>
      </c>
      <c r="L200" s="96">
        <v>1</v>
      </c>
      <c r="M200" s="96">
        <v>1</v>
      </c>
      <c r="N200" s="96">
        <v>1</v>
      </c>
      <c r="O200" s="96">
        <v>1</v>
      </c>
      <c r="P200" s="150">
        <v>1</v>
      </c>
      <c r="Q200" s="149">
        <v>1</v>
      </c>
      <c r="R200" s="96">
        <v>1</v>
      </c>
      <c r="S200" s="96">
        <v>1</v>
      </c>
      <c r="T200" s="96">
        <v>1</v>
      </c>
      <c r="U200" s="96">
        <v>1</v>
      </c>
      <c r="V200" s="96">
        <v>1</v>
      </c>
      <c r="W200" s="96">
        <v>1</v>
      </c>
      <c r="X200" s="150">
        <v>1</v>
      </c>
      <c r="Y200" s="149">
        <v>1</v>
      </c>
      <c r="Z200" s="96">
        <v>1</v>
      </c>
      <c r="AA200" s="96">
        <v>1</v>
      </c>
      <c r="AB200" s="96">
        <v>1</v>
      </c>
      <c r="AC200" s="96">
        <v>1</v>
      </c>
      <c r="AD200" s="96">
        <v>1</v>
      </c>
      <c r="AE200" s="96">
        <v>1</v>
      </c>
      <c r="AF200" s="150">
        <v>1</v>
      </c>
      <c r="AG200" s="96">
        <v>1</v>
      </c>
      <c r="AH200" s="96">
        <v>1</v>
      </c>
      <c r="AI200" s="96">
        <v>1</v>
      </c>
      <c r="AJ200" s="96">
        <v>1</v>
      </c>
      <c r="AK200" s="96">
        <v>1</v>
      </c>
      <c r="AL200" s="96" t="s">
        <v>10</v>
      </c>
      <c r="AM200" s="96">
        <v>1</v>
      </c>
      <c r="AN200" s="150">
        <v>1</v>
      </c>
      <c r="AP200" s="56">
        <v>31</v>
      </c>
      <c r="AQ200" s="85">
        <f t="shared" si="9"/>
        <v>31</v>
      </c>
      <c r="AR200" s="19" t="s">
        <v>140</v>
      </c>
      <c r="AS200"/>
      <c r="AT200" s="67">
        <f t="shared" si="10"/>
        <v>1</v>
      </c>
      <c r="AU200" s="67">
        <f t="shared" si="11"/>
        <v>0</v>
      </c>
      <c r="AV200" s="66"/>
      <c r="AW200" s="12"/>
      <c r="AX200" s="12">
        <v>1</v>
      </c>
      <c r="AY200" s="12">
        <v>1</v>
      </c>
      <c r="AZ200" s="13">
        <v>1</v>
      </c>
      <c r="BA200" s="13">
        <v>1</v>
      </c>
      <c r="BE200" s="12">
        <v>1</v>
      </c>
      <c r="BK200" s="12">
        <v>1</v>
      </c>
      <c r="BQ200" s="12">
        <v>1</v>
      </c>
      <c r="BV200" s="13">
        <v>1</v>
      </c>
      <c r="BW200" s="12">
        <v>1</v>
      </c>
      <c r="BY200" s="12">
        <v>1</v>
      </c>
      <c r="CK200"/>
      <c r="CX200">
        <v>172</v>
      </c>
    </row>
    <row r="201" spans="1:102">
      <c r="A201">
        <v>173</v>
      </c>
      <c r="B201" t="s">
        <v>12</v>
      </c>
      <c r="C201" t="s">
        <v>91</v>
      </c>
      <c r="D201" s="8" t="s">
        <v>366</v>
      </c>
      <c r="E201" t="s">
        <v>42</v>
      </c>
      <c r="I201" s="149"/>
      <c r="J201" s="96"/>
      <c r="K201" s="96"/>
      <c r="L201" s="96"/>
      <c r="M201" s="96"/>
      <c r="N201" s="96"/>
      <c r="O201" s="96"/>
      <c r="P201" s="150"/>
      <c r="Q201" s="149"/>
      <c r="R201" s="96"/>
      <c r="S201" s="96"/>
      <c r="T201" s="96"/>
      <c r="U201" s="96"/>
      <c r="V201" s="96"/>
      <c r="W201" s="96"/>
      <c r="X201" s="150"/>
      <c r="Y201" s="149"/>
      <c r="Z201" s="96"/>
      <c r="AA201" s="96"/>
      <c r="AB201" s="96"/>
      <c r="AC201" s="96"/>
      <c r="AD201" s="96"/>
      <c r="AE201" s="96"/>
      <c r="AF201" s="150"/>
      <c r="AH201" s="96"/>
      <c r="AI201" s="96"/>
      <c r="AJ201" s="96"/>
      <c r="AK201" s="96"/>
      <c r="AL201" s="96"/>
      <c r="AM201" s="96"/>
      <c r="AN201" s="150"/>
      <c r="AQ201" s="85">
        <f t="shared" si="9"/>
        <v>0</v>
      </c>
      <c r="AR201" s="19"/>
      <c r="AS201"/>
      <c r="AT201" s="67">
        <f t="shared" si="10"/>
        <v>0</v>
      </c>
      <c r="AU201" s="67">
        <f t="shared" si="11"/>
        <v>0</v>
      </c>
      <c r="AV201" s="66"/>
      <c r="AW201" s="12"/>
      <c r="BK201" s="12">
        <v>1</v>
      </c>
      <c r="BQ201" s="12">
        <v>1</v>
      </c>
      <c r="CK201"/>
      <c r="CX201">
        <v>173</v>
      </c>
    </row>
    <row r="202" spans="1:102">
      <c r="A202">
        <v>174</v>
      </c>
      <c r="B202" t="s">
        <v>13</v>
      </c>
      <c r="C202" t="s">
        <v>141</v>
      </c>
      <c r="D202" s="8" t="s">
        <v>346</v>
      </c>
      <c r="E202" s="67" t="s">
        <v>15</v>
      </c>
      <c r="F202">
        <v>20</v>
      </c>
      <c r="G202">
        <v>20</v>
      </c>
      <c r="H202">
        <v>20</v>
      </c>
      <c r="I202" s="149"/>
      <c r="J202" s="96"/>
      <c r="K202" s="95" t="s">
        <v>49</v>
      </c>
      <c r="L202" s="96">
        <v>1</v>
      </c>
      <c r="M202" s="96">
        <v>1</v>
      </c>
      <c r="N202" s="96">
        <v>1</v>
      </c>
      <c r="O202" s="96">
        <v>1</v>
      </c>
      <c r="P202" s="150">
        <v>1</v>
      </c>
      <c r="Q202" s="149">
        <v>1</v>
      </c>
      <c r="R202" s="96">
        <v>1</v>
      </c>
      <c r="S202" s="96">
        <v>1</v>
      </c>
      <c r="T202" s="96">
        <v>1</v>
      </c>
      <c r="U202" s="96">
        <v>1</v>
      </c>
      <c r="V202" s="95" t="s">
        <v>49</v>
      </c>
      <c r="W202" s="96"/>
      <c r="X202" s="150"/>
      <c r="Y202" s="149"/>
      <c r="Z202" s="96"/>
      <c r="AA202" s="95" t="s">
        <v>49</v>
      </c>
      <c r="AB202" s="96">
        <v>1</v>
      </c>
      <c r="AC202" s="96">
        <v>1</v>
      </c>
      <c r="AD202" s="96">
        <v>1</v>
      </c>
      <c r="AE202" s="96">
        <v>1</v>
      </c>
      <c r="AF202" s="150">
        <v>1</v>
      </c>
      <c r="AG202" s="96">
        <v>1</v>
      </c>
      <c r="AH202" s="96">
        <v>1</v>
      </c>
      <c r="AI202" s="96">
        <v>1</v>
      </c>
      <c r="AJ202" s="96">
        <v>1</v>
      </c>
      <c r="AK202" s="96">
        <v>1</v>
      </c>
      <c r="AL202" s="95" t="s">
        <v>49</v>
      </c>
      <c r="AM202" s="96"/>
      <c r="AN202" s="150"/>
      <c r="AO202" s="96">
        <v>20</v>
      </c>
      <c r="AQ202" s="85">
        <f t="shared" si="9"/>
        <v>20</v>
      </c>
      <c r="AR202" s="19"/>
      <c r="AS202">
        <v>1</v>
      </c>
      <c r="AT202" s="67">
        <f t="shared" si="10"/>
        <v>0</v>
      </c>
      <c r="AU202" s="67">
        <f t="shared" si="11"/>
        <v>0</v>
      </c>
      <c r="AV202" s="66"/>
      <c r="AW202" s="12"/>
      <c r="CK202"/>
      <c r="CX202">
        <v>174</v>
      </c>
    </row>
    <row r="203" spans="1:102">
      <c r="A203">
        <v>175</v>
      </c>
      <c r="B203" t="s">
        <v>12</v>
      </c>
      <c r="C203" t="s">
        <v>92</v>
      </c>
      <c r="D203" s="8" t="s">
        <v>165</v>
      </c>
      <c r="E203" t="s">
        <v>6</v>
      </c>
      <c r="I203" s="149"/>
      <c r="J203" s="96"/>
      <c r="K203" s="96"/>
      <c r="L203" s="96"/>
      <c r="M203" s="96"/>
      <c r="N203" s="96"/>
      <c r="O203" s="96"/>
      <c r="P203" s="150"/>
      <c r="Q203" s="149"/>
      <c r="R203" s="96"/>
      <c r="S203" s="96"/>
      <c r="T203" s="96"/>
      <c r="U203" s="96"/>
      <c r="V203" s="96"/>
      <c r="W203" s="96"/>
      <c r="X203" s="150"/>
      <c r="Y203" s="149"/>
      <c r="Z203" s="96"/>
      <c r="AA203" s="96"/>
      <c r="AB203" s="96"/>
      <c r="AC203" s="96"/>
      <c r="AD203" s="96"/>
      <c r="AE203" s="96"/>
      <c r="AF203" s="150"/>
      <c r="AH203" s="96"/>
      <c r="AI203" s="96"/>
      <c r="AJ203" s="96"/>
      <c r="AK203" s="96"/>
      <c r="AL203" s="96"/>
      <c r="AM203" s="96"/>
      <c r="AN203" s="150"/>
      <c r="AQ203" s="85">
        <f t="shared" si="9"/>
        <v>0</v>
      </c>
      <c r="AR203" s="19"/>
      <c r="AS203"/>
      <c r="AT203" s="67">
        <f t="shared" si="10"/>
        <v>0</v>
      </c>
      <c r="AU203" s="67">
        <f t="shared" si="11"/>
        <v>0</v>
      </c>
      <c r="AV203" s="66"/>
      <c r="AW203" s="12"/>
      <c r="BK203" s="12" t="s">
        <v>326</v>
      </c>
      <c r="BS203" s="12">
        <v>1</v>
      </c>
      <c r="CK203"/>
      <c r="CQ203" t="s">
        <v>326</v>
      </c>
      <c r="CX203">
        <v>175</v>
      </c>
    </row>
    <row r="204" spans="1:102">
      <c r="A204">
        <v>176</v>
      </c>
      <c r="B204" t="s">
        <v>12</v>
      </c>
      <c r="C204" t="s">
        <v>44</v>
      </c>
      <c r="D204" s="8" t="s">
        <v>349</v>
      </c>
      <c r="E204" t="s">
        <v>42</v>
      </c>
      <c r="F204">
        <v>15</v>
      </c>
      <c r="G204" t="s">
        <v>15</v>
      </c>
      <c r="I204" s="149" t="s">
        <v>15</v>
      </c>
      <c r="J204" s="96" t="s">
        <v>10</v>
      </c>
      <c r="K204" s="95">
        <v>1</v>
      </c>
      <c r="L204" s="95" t="s">
        <v>9</v>
      </c>
      <c r="M204" s="95">
        <v>1</v>
      </c>
      <c r="N204" s="95">
        <v>1</v>
      </c>
      <c r="O204" s="95" t="s">
        <v>9</v>
      </c>
      <c r="P204" s="150" t="s">
        <v>10</v>
      </c>
      <c r="Q204" s="149" t="s">
        <v>10</v>
      </c>
      <c r="R204" s="95">
        <v>1</v>
      </c>
      <c r="S204" s="95" t="s">
        <v>9</v>
      </c>
      <c r="T204" s="95">
        <v>1</v>
      </c>
      <c r="U204" s="95">
        <v>1</v>
      </c>
      <c r="V204" s="95" t="s">
        <v>10</v>
      </c>
      <c r="W204" s="96"/>
      <c r="X204" s="150"/>
      <c r="Y204" s="149">
        <v>1</v>
      </c>
      <c r="Z204" s="95">
        <v>1</v>
      </c>
      <c r="AA204" s="95" t="s">
        <v>10</v>
      </c>
      <c r="AB204" s="95" t="s">
        <v>9</v>
      </c>
      <c r="AC204" s="95">
        <v>1</v>
      </c>
      <c r="AD204" s="95" t="s">
        <v>9</v>
      </c>
      <c r="AE204" s="95">
        <v>1</v>
      </c>
      <c r="AF204" s="150" t="s">
        <v>9</v>
      </c>
      <c r="AG204" s="96" t="s">
        <v>9</v>
      </c>
      <c r="AH204" s="95" t="s">
        <v>9</v>
      </c>
      <c r="AI204" s="95">
        <v>1</v>
      </c>
      <c r="AJ204" s="95">
        <v>1</v>
      </c>
      <c r="AK204" s="95">
        <v>1</v>
      </c>
      <c r="AL204" s="95">
        <v>1</v>
      </c>
      <c r="AM204" s="95" t="s">
        <v>10</v>
      </c>
      <c r="AN204" s="150">
        <v>1</v>
      </c>
      <c r="AP204" s="56">
        <v>15</v>
      </c>
      <c r="AQ204" s="85">
        <f t="shared" si="9"/>
        <v>15</v>
      </c>
      <c r="AR204" s="19" t="s">
        <v>142</v>
      </c>
      <c r="AS204"/>
      <c r="AT204" s="67">
        <f t="shared" si="10"/>
        <v>6</v>
      </c>
      <c r="AU204" s="67">
        <f t="shared" si="11"/>
        <v>8</v>
      </c>
      <c r="AV204" s="66"/>
      <c r="AW204" s="12">
        <v>1</v>
      </c>
      <c r="AX204" s="12">
        <v>1</v>
      </c>
      <c r="AY204" s="12">
        <v>1</v>
      </c>
      <c r="AZ204" s="12">
        <v>1</v>
      </c>
      <c r="BA204" s="12">
        <v>1</v>
      </c>
      <c r="BB204" s="12">
        <v>1</v>
      </c>
      <c r="CK204"/>
      <c r="CX204">
        <v>176</v>
      </c>
    </row>
    <row r="205" spans="1:102">
      <c r="A205">
        <v>177</v>
      </c>
      <c r="B205" t="s">
        <v>12</v>
      </c>
      <c r="C205" t="s">
        <v>40</v>
      </c>
      <c r="D205" s="8" t="s">
        <v>40</v>
      </c>
      <c r="E205" t="s">
        <v>42</v>
      </c>
      <c r="I205" s="149"/>
      <c r="J205" s="96"/>
      <c r="K205" s="96"/>
      <c r="L205" s="96"/>
      <c r="M205" s="96"/>
      <c r="N205" s="96"/>
      <c r="O205" s="96"/>
      <c r="P205" s="150"/>
      <c r="Q205" s="149"/>
      <c r="R205" s="96"/>
      <c r="S205" s="96"/>
      <c r="T205" s="96"/>
      <c r="U205" s="96"/>
      <c r="V205" s="96"/>
      <c r="W205" s="96"/>
      <c r="X205" s="150"/>
      <c r="Y205" s="149"/>
      <c r="Z205" s="96"/>
      <c r="AA205" s="96"/>
      <c r="AB205" s="96"/>
      <c r="AC205" s="96"/>
      <c r="AD205" s="96"/>
      <c r="AE205" s="96"/>
      <c r="AF205" s="150"/>
      <c r="AH205" s="96"/>
      <c r="AI205" s="96"/>
      <c r="AJ205" s="96"/>
      <c r="AK205" s="96"/>
      <c r="AL205" s="96"/>
      <c r="AM205" s="96"/>
      <c r="AN205" s="150"/>
      <c r="AQ205" s="85">
        <f t="shared" si="9"/>
        <v>0</v>
      </c>
      <c r="AR205" s="19"/>
      <c r="AS205"/>
      <c r="AT205" s="67">
        <f t="shared" si="10"/>
        <v>0</v>
      </c>
      <c r="AU205" s="67">
        <f t="shared" si="11"/>
        <v>0</v>
      </c>
      <c r="AV205" s="66"/>
      <c r="AW205" s="12"/>
      <c r="CK205"/>
      <c r="CX205">
        <v>177</v>
      </c>
    </row>
    <row r="206" spans="1:102">
      <c r="A206">
        <v>178</v>
      </c>
      <c r="B206" t="s">
        <v>12</v>
      </c>
      <c r="C206" t="s">
        <v>5</v>
      </c>
      <c r="D206" s="8" t="s">
        <v>42</v>
      </c>
      <c r="E206" t="s">
        <v>6</v>
      </c>
      <c r="F206">
        <v>29</v>
      </c>
      <c r="G206">
        <v>31</v>
      </c>
      <c r="H206">
        <v>31</v>
      </c>
      <c r="I206" s="149">
        <v>1</v>
      </c>
      <c r="J206" s="96">
        <v>1</v>
      </c>
      <c r="K206" s="96">
        <v>1</v>
      </c>
      <c r="L206" s="96">
        <v>1</v>
      </c>
      <c r="M206" s="96">
        <v>1</v>
      </c>
      <c r="N206" s="96">
        <v>1</v>
      </c>
      <c r="O206" s="96">
        <v>1</v>
      </c>
      <c r="P206" s="150">
        <v>1</v>
      </c>
      <c r="Q206" s="149">
        <v>1</v>
      </c>
      <c r="R206" s="96">
        <v>1</v>
      </c>
      <c r="S206" s="96">
        <v>1</v>
      </c>
      <c r="T206" s="96">
        <v>1</v>
      </c>
      <c r="U206" s="96">
        <v>1</v>
      </c>
      <c r="V206" s="96">
        <v>1</v>
      </c>
      <c r="W206" s="96">
        <v>1</v>
      </c>
      <c r="X206" s="150"/>
      <c r="Y206" s="149">
        <v>1</v>
      </c>
      <c r="Z206" s="96">
        <v>1</v>
      </c>
      <c r="AA206" s="96">
        <v>1</v>
      </c>
      <c r="AB206" s="96">
        <v>1</v>
      </c>
      <c r="AC206" s="96">
        <v>1</v>
      </c>
      <c r="AD206" s="96">
        <v>1</v>
      </c>
      <c r="AE206" s="96">
        <v>1</v>
      </c>
      <c r="AF206" s="150">
        <v>1</v>
      </c>
      <c r="AG206" s="96">
        <v>1</v>
      </c>
      <c r="AH206" s="96">
        <v>1</v>
      </c>
      <c r="AI206" s="96">
        <v>1</v>
      </c>
      <c r="AJ206" s="96">
        <v>1</v>
      </c>
      <c r="AK206" s="96">
        <v>1</v>
      </c>
      <c r="AL206" s="96" t="s">
        <v>10</v>
      </c>
      <c r="AM206" s="96" t="s">
        <v>10</v>
      </c>
      <c r="AN206" s="150">
        <v>1</v>
      </c>
      <c r="AP206" s="56">
        <v>29</v>
      </c>
      <c r="AQ206" s="85">
        <f t="shared" si="9"/>
        <v>29</v>
      </c>
      <c r="AR206" s="19" t="s">
        <v>50</v>
      </c>
      <c r="AS206"/>
      <c r="AT206" s="67">
        <f t="shared" si="10"/>
        <v>2</v>
      </c>
      <c r="AU206" s="67">
        <f t="shared" si="11"/>
        <v>0</v>
      </c>
      <c r="AV206" s="66"/>
      <c r="AW206" s="12">
        <v>1</v>
      </c>
      <c r="AY206" s="12">
        <v>1</v>
      </c>
      <c r="BA206" s="12">
        <v>1</v>
      </c>
      <c r="BB206" s="12">
        <v>1</v>
      </c>
      <c r="BK206" s="12">
        <v>1</v>
      </c>
      <c r="BV206" s="12">
        <v>1</v>
      </c>
      <c r="BY206" s="12">
        <v>1</v>
      </c>
      <c r="CI206" s="12">
        <v>1</v>
      </c>
      <c r="CK206"/>
      <c r="CX206">
        <v>178</v>
      </c>
    </row>
    <row r="207" spans="1:102" s="8" customFormat="1">
      <c r="A207" s="8">
        <v>179</v>
      </c>
      <c r="B207" s="8" t="s">
        <v>13</v>
      </c>
      <c r="C207" s="8" t="s">
        <v>48</v>
      </c>
      <c r="D207" s="8" t="s">
        <v>357</v>
      </c>
      <c r="E207" s="67" t="s">
        <v>15</v>
      </c>
      <c r="F207" s="8">
        <v>21</v>
      </c>
      <c r="G207" s="8">
        <v>24</v>
      </c>
      <c r="H207" s="8">
        <v>24</v>
      </c>
      <c r="I207" s="124"/>
      <c r="J207" s="95" t="s">
        <v>49</v>
      </c>
      <c r="K207" s="95">
        <v>1</v>
      </c>
      <c r="L207" s="95">
        <v>1</v>
      </c>
      <c r="M207" s="95">
        <v>1</v>
      </c>
      <c r="N207" s="95">
        <v>1</v>
      </c>
      <c r="O207" s="95" t="s">
        <v>9</v>
      </c>
      <c r="P207" s="125">
        <v>1</v>
      </c>
      <c r="Q207" s="124">
        <v>1</v>
      </c>
      <c r="R207" s="95">
        <v>1</v>
      </c>
      <c r="S207" s="95">
        <v>1</v>
      </c>
      <c r="T207" s="95" t="s">
        <v>9</v>
      </c>
      <c r="U207" s="95">
        <v>1</v>
      </c>
      <c r="V207" s="95">
        <v>1</v>
      </c>
      <c r="W207" s="95" t="s">
        <v>49</v>
      </c>
      <c r="X207" s="125"/>
      <c r="Y207" s="124"/>
      <c r="Z207" s="95" t="s">
        <v>49</v>
      </c>
      <c r="AA207" s="95">
        <v>1</v>
      </c>
      <c r="AB207" s="95">
        <v>1</v>
      </c>
      <c r="AC207" s="95">
        <v>1</v>
      </c>
      <c r="AD207" s="95">
        <v>1</v>
      </c>
      <c r="AE207" s="95" t="s">
        <v>49</v>
      </c>
      <c r="AF207" s="125">
        <v>1</v>
      </c>
      <c r="AG207" s="95">
        <v>1</v>
      </c>
      <c r="AH207" s="95">
        <v>1</v>
      </c>
      <c r="AI207" s="95">
        <v>1</v>
      </c>
      <c r="AJ207" s="95">
        <v>1</v>
      </c>
      <c r="AK207" s="95">
        <v>1</v>
      </c>
      <c r="AL207" s="95">
        <v>1</v>
      </c>
      <c r="AM207" s="95" t="s">
        <v>49</v>
      </c>
      <c r="AN207" s="125"/>
      <c r="AO207" s="95"/>
      <c r="AP207" s="11">
        <v>21</v>
      </c>
      <c r="AQ207" s="85">
        <f t="shared" si="9"/>
        <v>21</v>
      </c>
      <c r="AR207" s="102"/>
      <c r="AT207" s="67">
        <f t="shared" si="10"/>
        <v>0</v>
      </c>
      <c r="AU207" s="67">
        <f t="shared" si="11"/>
        <v>2</v>
      </c>
      <c r="AW207" s="13">
        <v>1</v>
      </c>
      <c r="AX207" s="13"/>
      <c r="AY207" s="13"/>
      <c r="AZ207" s="13">
        <v>1</v>
      </c>
      <c r="BA207" s="13">
        <v>1</v>
      </c>
      <c r="BB207" s="13">
        <v>1</v>
      </c>
      <c r="BC207" s="13"/>
      <c r="BD207" s="13"/>
      <c r="BE207" s="13"/>
      <c r="BF207" s="13"/>
      <c r="BG207" s="13"/>
      <c r="BH207" s="13"/>
      <c r="BI207" s="13">
        <v>1</v>
      </c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X207" s="8">
        <v>179</v>
      </c>
    </row>
    <row r="208" spans="1:102">
      <c r="A208">
        <v>180</v>
      </c>
      <c r="B208" t="s">
        <v>13</v>
      </c>
      <c r="C208" t="s">
        <v>143</v>
      </c>
      <c r="D208" s="8" t="s">
        <v>357</v>
      </c>
      <c r="E208" s="67" t="s">
        <v>15</v>
      </c>
      <c r="F208">
        <v>22</v>
      </c>
      <c r="G208">
        <v>22</v>
      </c>
      <c r="H208">
        <v>22</v>
      </c>
      <c r="I208" s="149"/>
      <c r="J208" s="95" t="s">
        <v>49</v>
      </c>
      <c r="K208" s="96">
        <v>1</v>
      </c>
      <c r="L208" s="96">
        <v>1</v>
      </c>
      <c r="M208" s="96">
        <v>1</v>
      </c>
      <c r="N208" s="96">
        <v>1</v>
      </c>
      <c r="O208" s="96">
        <v>1</v>
      </c>
      <c r="P208" s="150" t="s">
        <v>49</v>
      </c>
      <c r="Q208" s="149" t="s">
        <v>49</v>
      </c>
      <c r="R208" s="96">
        <v>1</v>
      </c>
      <c r="S208" s="96">
        <v>1</v>
      </c>
      <c r="T208" s="96">
        <v>1</v>
      </c>
      <c r="U208" s="96">
        <v>1</v>
      </c>
      <c r="V208" s="96">
        <v>1</v>
      </c>
      <c r="W208" s="96" t="s">
        <v>49</v>
      </c>
      <c r="X208" s="150"/>
      <c r="Y208" s="149"/>
      <c r="Z208" s="95" t="s">
        <v>49</v>
      </c>
      <c r="AA208" s="96">
        <v>1</v>
      </c>
      <c r="AB208" s="96">
        <v>1</v>
      </c>
      <c r="AC208" s="96">
        <v>1</v>
      </c>
      <c r="AD208" s="96">
        <v>1</v>
      </c>
      <c r="AE208" s="96">
        <v>1</v>
      </c>
      <c r="AF208" s="150">
        <v>1</v>
      </c>
      <c r="AG208" s="96">
        <v>1</v>
      </c>
      <c r="AH208" s="96">
        <v>1</v>
      </c>
      <c r="AI208" s="96">
        <v>1</v>
      </c>
      <c r="AJ208" s="96">
        <v>1</v>
      </c>
      <c r="AK208" s="96">
        <v>1</v>
      </c>
      <c r="AL208" s="96">
        <v>1</v>
      </c>
      <c r="AM208" s="95" t="s">
        <v>49</v>
      </c>
      <c r="AN208" s="150"/>
      <c r="AP208" s="56">
        <v>22</v>
      </c>
      <c r="AQ208" s="85">
        <f t="shared" si="9"/>
        <v>22</v>
      </c>
      <c r="AR208" s="19" t="s">
        <v>218</v>
      </c>
      <c r="AS208">
        <v>1</v>
      </c>
      <c r="AT208" s="67">
        <f t="shared" si="10"/>
        <v>0</v>
      </c>
      <c r="AU208" s="67">
        <f t="shared" si="11"/>
        <v>0</v>
      </c>
      <c r="AV208" s="66"/>
      <c r="AW208" s="12"/>
      <c r="BA208" s="12">
        <v>1</v>
      </c>
      <c r="CK208"/>
      <c r="CX208">
        <v>180</v>
      </c>
    </row>
    <row r="209" spans="1:103">
      <c r="A209">
        <v>181</v>
      </c>
      <c r="B209" t="s">
        <v>13</v>
      </c>
      <c r="C209" t="s">
        <v>145</v>
      </c>
      <c r="D209" s="8" t="s">
        <v>357</v>
      </c>
      <c r="E209" s="67" t="s">
        <v>15</v>
      </c>
      <c r="F209">
        <v>28</v>
      </c>
      <c r="G209">
        <v>28</v>
      </c>
      <c r="H209">
        <v>28</v>
      </c>
      <c r="I209" s="149" t="s">
        <v>49</v>
      </c>
      <c r="J209" s="96">
        <v>1</v>
      </c>
      <c r="K209" s="96">
        <v>1</v>
      </c>
      <c r="L209" s="96">
        <v>1</v>
      </c>
      <c r="M209" s="96">
        <v>1</v>
      </c>
      <c r="N209" s="96">
        <v>1</v>
      </c>
      <c r="O209" s="96">
        <v>1</v>
      </c>
      <c r="P209" s="150">
        <v>1</v>
      </c>
      <c r="Q209" s="149">
        <v>1</v>
      </c>
      <c r="R209" s="96">
        <v>1</v>
      </c>
      <c r="S209" s="96">
        <v>1</v>
      </c>
      <c r="T209" s="96">
        <v>1</v>
      </c>
      <c r="U209" s="96">
        <v>1</v>
      </c>
      <c r="V209" s="96">
        <v>1</v>
      </c>
      <c r="W209" s="96">
        <v>1</v>
      </c>
      <c r="X209" s="150" t="s">
        <v>49</v>
      </c>
      <c r="Y209" s="149" t="s">
        <v>49</v>
      </c>
      <c r="Z209" s="96">
        <v>1</v>
      </c>
      <c r="AA209" s="96">
        <v>1</v>
      </c>
      <c r="AB209" s="96">
        <v>1</v>
      </c>
      <c r="AC209" s="96">
        <v>1</v>
      </c>
      <c r="AD209" s="96">
        <v>1</v>
      </c>
      <c r="AE209" s="96">
        <v>1</v>
      </c>
      <c r="AF209" s="150">
        <v>1</v>
      </c>
      <c r="AG209" s="96">
        <v>1</v>
      </c>
      <c r="AH209" s="96">
        <v>1</v>
      </c>
      <c r="AI209" s="96">
        <v>1</v>
      </c>
      <c r="AJ209" s="96">
        <v>1</v>
      </c>
      <c r="AK209" s="96">
        <v>1</v>
      </c>
      <c r="AL209" s="96">
        <v>1</v>
      </c>
      <c r="AM209" s="96">
        <v>1</v>
      </c>
      <c r="AN209" s="150" t="s">
        <v>49</v>
      </c>
      <c r="AP209" s="56">
        <v>28</v>
      </c>
      <c r="AQ209" s="85">
        <f t="shared" si="9"/>
        <v>28</v>
      </c>
      <c r="AR209" s="19" t="s">
        <v>144</v>
      </c>
      <c r="AS209">
        <v>1</v>
      </c>
      <c r="AT209" s="67">
        <f t="shared" si="10"/>
        <v>0</v>
      </c>
      <c r="AU209" s="67">
        <f t="shared" si="11"/>
        <v>0</v>
      </c>
      <c r="AV209" s="66"/>
      <c r="AW209" s="12">
        <v>1</v>
      </c>
      <c r="AZ209" s="12">
        <v>1</v>
      </c>
      <c r="BA209" s="12">
        <v>1</v>
      </c>
      <c r="BB209" s="12">
        <v>1</v>
      </c>
      <c r="CK209"/>
      <c r="CX209">
        <v>181</v>
      </c>
    </row>
    <row r="210" spans="1:103">
      <c r="A210">
        <v>182</v>
      </c>
      <c r="B210" t="s">
        <v>13</v>
      </c>
      <c r="C210" t="s">
        <v>113</v>
      </c>
      <c r="D210" s="8" t="s">
        <v>357</v>
      </c>
      <c r="E210" s="67" t="s">
        <v>15</v>
      </c>
      <c r="I210" s="149"/>
      <c r="J210" s="96"/>
      <c r="K210" s="96"/>
      <c r="L210" s="96"/>
      <c r="M210" s="96"/>
      <c r="N210" s="96"/>
      <c r="O210" s="96"/>
      <c r="P210" s="150"/>
      <c r="Q210" s="149"/>
      <c r="R210" s="96"/>
      <c r="S210" s="96"/>
      <c r="T210" s="96"/>
      <c r="U210" s="96"/>
      <c r="V210" s="96"/>
      <c r="W210" s="96"/>
      <c r="X210" s="150"/>
      <c r="Y210" s="149"/>
      <c r="Z210" s="96"/>
      <c r="AA210" s="96"/>
      <c r="AB210" s="96"/>
      <c r="AC210" s="96"/>
      <c r="AD210" s="96"/>
      <c r="AE210" s="96"/>
      <c r="AF210" s="150"/>
      <c r="AH210" s="96"/>
      <c r="AI210" s="96"/>
      <c r="AJ210" s="96"/>
      <c r="AK210" s="96"/>
      <c r="AL210" s="96"/>
      <c r="AM210" s="96"/>
      <c r="AN210" s="150"/>
      <c r="AQ210" s="85">
        <f t="shared" si="9"/>
        <v>0</v>
      </c>
      <c r="AR210" s="19"/>
      <c r="AS210"/>
      <c r="AT210" s="67">
        <f t="shared" si="10"/>
        <v>0</v>
      </c>
      <c r="AU210" s="67">
        <f t="shared" si="11"/>
        <v>0</v>
      </c>
      <c r="AV210" s="66"/>
      <c r="AW210" s="12"/>
      <c r="CK210"/>
      <c r="CX210">
        <v>182</v>
      </c>
    </row>
    <row r="211" spans="1:103" s="8" customFormat="1">
      <c r="A211" s="8">
        <v>183</v>
      </c>
      <c r="B211" s="8" t="s">
        <v>13</v>
      </c>
      <c r="C211" s="8" t="s">
        <v>222</v>
      </c>
      <c r="D211" s="8" t="s">
        <v>357</v>
      </c>
      <c r="E211" s="67" t="s">
        <v>15</v>
      </c>
      <c r="I211" s="124"/>
      <c r="J211" s="95"/>
      <c r="K211" s="95"/>
      <c r="L211" s="95"/>
      <c r="M211" s="95"/>
      <c r="N211" s="95"/>
      <c r="O211" s="95"/>
      <c r="P211" s="125"/>
      <c r="Q211" s="124"/>
      <c r="R211" s="95"/>
      <c r="S211" s="95"/>
      <c r="T211" s="95"/>
      <c r="U211" s="95"/>
      <c r="V211" s="95"/>
      <c r="W211" s="95"/>
      <c r="X211" s="125"/>
      <c r="Y211" s="124"/>
      <c r="Z211" s="95"/>
      <c r="AA211" s="95"/>
      <c r="AB211" s="95"/>
      <c r="AC211" s="95"/>
      <c r="AD211" s="95"/>
      <c r="AE211" s="95"/>
      <c r="AF211" s="125"/>
      <c r="AG211" s="95"/>
      <c r="AH211" s="95"/>
      <c r="AI211" s="95"/>
      <c r="AJ211" s="95"/>
      <c r="AK211" s="95"/>
      <c r="AL211" s="95"/>
      <c r="AM211" s="95"/>
      <c r="AN211" s="125"/>
      <c r="AO211" s="95"/>
      <c r="AP211" s="11"/>
      <c r="AQ211" s="85">
        <f t="shared" si="9"/>
        <v>0</v>
      </c>
      <c r="AR211" s="102"/>
      <c r="AT211" s="67">
        <f t="shared" si="10"/>
        <v>0</v>
      </c>
      <c r="AU211" s="67">
        <f t="shared" si="11"/>
        <v>0</v>
      </c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X211" s="8">
        <v>183</v>
      </c>
    </row>
    <row r="212" spans="1:103">
      <c r="A212">
        <v>185</v>
      </c>
      <c r="B212" t="s">
        <v>12</v>
      </c>
      <c r="C212" t="s">
        <v>5</v>
      </c>
      <c r="D212" s="8" t="s">
        <v>42</v>
      </c>
      <c r="E212" t="s">
        <v>42</v>
      </c>
      <c r="F212">
        <v>32</v>
      </c>
      <c r="G212">
        <v>32</v>
      </c>
      <c r="H212" s="8">
        <v>32</v>
      </c>
      <c r="I212" s="149">
        <v>1</v>
      </c>
      <c r="J212" s="96">
        <v>1</v>
      </c>
      <c r="K212" s="96">
        <v>1</v>
      </c>
      <c r="L212" s="96">
        <v>1</v>
      </c>
      <c r="M212" s="96">
        <v>1</v>
      </c>
      <c r="N212" s="96">
        <v>1</v>
      </c>
      <c r="O212" s="96">
        <v>1</v>
      </c>
      <c r="P212" s="150">
        <v>1</v>
      </c>
      <c r="Q212" s="149">
        <v>1</v>
      </c>
      <c r="R212" s="96">
        <v>1</v>
      </c>
      <c r="S212" s="96">
        <v>1</v>
      </c>
      <c r="T212" s="96">
        <v>1</v>
      </c>
      <c r="U212" s="96">
        <v>1</v>
      </c>
      <c r="V212" s="96">
        <v>1</v>
      </c>
      <c r="W212" s="96">
        <v>1</v>
      </c>
      <c r="X212" s="150">
        <v>1</v>
      </c>
      <c r="Y212" s="149">
        <v>1</v>
      </c>
      <c r="Z212" s="96">
        <v>1</v>
      </c>
      <c r="AA212" s="96">
        <v>1</v>
      </c>
      <c r="AB212" s="96">
        <v>1</v>
      </c>
      <c r="AC212" s="96">
        <v>1</v>
      </c>
      <c r="AD212" s="96">
        <v>1</v>
      </c>
      <c r="AE212" s="96">
        <v>1</v>
      </c>
      <c r="AF212" s="150">
        <v>1</v>
      </c>
      <c r="AG212" s="96">
        <v>1</v>
      </c>
      <c r="AH212" s="96">
        <v>1</v>
      </c>
      <c r="AI212" s="96">
        <v>1</v>
      </c>
      <c r="AJ212" s="96">
        <v>1</v>
      </c>
      <c r="AK212" s="96">
        <v>1</v>
      </c>
      <c r="AL212" s="96">
        <v>1</v>
      </c>
      <c r="AM212" s="96">
        <v>1</v>
      </c>
      <c r="AN212" s="150">
        <v>1</v>
      </c>
      <c r="AP212" s="56">
        <v>32</v>
      </c>
      <c r="AQ212" s="85">
        <f t="shared" si="9"/>
        <v>32</v>
      </c>
      <c r="AR212" s="19" t="s">
        <v>146</v>
      </c>
      <c r="AS212">
        <v>1</v>
      </c>
      <c r="AT212" s="67">
        <f t="shared" si="10"/>
        <v>0</v>
      </c>
      <c r="AU212" s="67">
        <f t="shared" si="11"/>
        <v>0</v>
      </c>
      <c r="AV212" s="66">
        <v>1</v>
      </c>
      <c r="AW212" s="12">
        <v>1</v>
      </c>
      <c r="AX212" s="12">
        <v>1</v>
      </c>
      <c r="BA212" s="12">
        <v>1</v>
      </c>
      <c r="BB212" s="12">
        <v>1</v>
      </c>
      <c r="BE212" s="12">
        <v>1</v>
      </c>
      <c r="BV212" s="12">
        <v>1</v>
      </c>
      <c r="BW212" s="12">
        <v>1</v>
      </c>
      <c r="BY212" s="12">
        <v>1</v>
      </c>
      <c r="CK212"/>
      <c r="CO212">
        <v>1</v>
      </c>
      <c r="CX212">
        <v>185</v>
      </c>
    </row>
    <row r="213" spans="1:103">
      <c r="A213">
        <v>186</v>
      </c>
      <c r="B213" t="s">
        <v>13</v>
      </c>
      <c r="C213" t="s">
        <v>147</v>
      </c>
      <c r="D213" s="8" t="s">
        <v>346</v>
      </c>
      <c r="E213" s="67" t="s">
        <v>15</v>
      </c>
      <c r="I213" s="149"/>
      <c r="J213" s="96"/>
      <c r="K213" s="96"/>
      <c r="L213" s="96"/>
      <c r="M213" s="96"/>
      <c r="N213" s="96"/>
      <c r="O213" s="96"/>
      <c r="P213" s="150"/>
      <c r="Q213" s="149"/>
      <c r="R213" s="96"/>
      <c r="S213" s="96"/>
      <c r="T213" s="96"/>
      <c r="U213" s="96"/>
      <c r="V213" s="96"/>
      <c r="W213" s="96"/>
      <c r="X213" s="150"/>
      <c r="Y213" s="149"/>
      <c r="Z213" s="96"/>
      <c r="AA213" s="96"/>
      <c r="AB213" s="96"/>
      <c r="AC213" s="96"/>
      <c r="AD213" s="96"/>
      <c r="AE213" s="96"/>
      <c r="AF213" s="150"/>
      <c r="AH213" s="96"/>
      <c r="AI213" s="96"/>
      <c r="AJ213" s="96"/>
      <c r="AK213" s="96"/>
      <c r="AL213" s="96"/>
      <c r="AM213" s="96"/>
      <c r="AN213" s="150"/>
      <c r="AQ213" s="85">
        <f t="shared" si="9"/>
        <v>0</v>
      </c>
      <c r="AR213" s="19"/>
      <c r="AS213"/>
      <c r="AT213" s="67">
        <f t="shared" si="10"/>
        <v>0</v>
      </c>
      <c r="AU213" s="67">
        <f t="shared" si="11"/>
        <v>0</v>
      </c>
      <c r="AV213" s="66"/>
      <c r="AW213" s="12"/>
      <c r="BG213" s="12">
        <v>1</v>
      </c>
      <c r="CK213"/>
      <c r="CX213">
        <v>186</v>
      </c>
    </row>
    <row r="214" spans="1:103">
      <c r="A214">
        <v>187</v>
      </c>
      <c r="B214" t="s">
        <v>12</v>
      </c>
      <c r="C214" t="s">
        <v>44</v>
      </c>
      <c r="D214" s="8" t="s">
        <v>349</v>
      </c>
      <c r="E214" t="s">
        <v>6</v>
      </c>
      <c r="F214">
        <v>20</v>
      </c>
      <c r="G214" t="s">
        <v>15</v>
      </c>
      <c r="I214" s="149">
        <v>1</v>
      </c>
      <c r="J214" s="96">
        <v>1</v>
      </c>
      <c r="K214" s="96">
        <v>1</v>
      </c>
      <c r="L214" s="96">
        <v>1</v>
      </c>
      <c r="M214" s="96" t="s">
        <v>9</v>
      </c>
      <c r="N214" s="96">
        <v>1</v>
      </c>
      <c r="O214" s="96">
        <v>1</v>
      </c>
      <c r="P214" s="150" t="s">
        <v>10</v>
      </c>
      <c r="Q214" s="149" t="s">
        <v>10</v>
      </c>
      <c r="R214" s="96" t="s">
        <v>10</v>
      </c>
      <c r="S214" s="96" t="s">
        <v>9</v>
      </c>
      <c r="T214" s="96">
        <v>1</v>
      </c>
      <c r="U214" s="96">
        <v>1</v>
      </c>
      <c r="V214" s="96">
        <v>1</v>
      </c>
      <c r="W214" s="96">
        <v>1</v>
      </c>
      <c r="X214" s="150">
        <v>1</v>
      </c>
      <c r="Y214" s="149">
        <v>1</v>
      </c>
      <c r="Z214" s="96" t="s">
        <v>10</v>
      </c>
      <c r="AA214" s="96" t="s">
        <v>10</v>
      </c>
      <c r="AB214" s="96" t="s">
        <v>10</v>
      </c>
      <c r="AC214" s="96">
        <v>1</v>
      </c>
      <c r="AD214" s="96">
        <v>1</v>
      </c>
      <c r="AE214" s="96">
        <v>1</v>
      </c>
      <c r="AF214" s="150" t="s">
        <v>9</v>
      </c>
      <c r="AG214" s="96">
        <v>1</v>
      </c>
      <c r="AH214" s="96">
        <v>1</v>
      </c>
      <c r="AI214" s="96">
        <v>1</v>
      </c>
      <c r="AJ214" s="96">
        <v>1</v>
      </c>
      <c r="AK214" s="96">
        <v>1</v>
      </c>
      <c r="AL214" s="96" t="s">
        <v>10</v>
      </c>
      <c r="AM214" s="96" t="s">
        <v>10</v>
      </c>
      <c r="AN214" s="150" t="s">
        <v>15</v>
      </c>
      <c r="AP214" s="56">
        <v>20</v>
      </c>
      <c r="AQ214" s="85">
        <f t="shared" si="9"/>
        <v>20</v>
      </c>
      <c r="AR214" s="19" t="s">
        <v>148</v>
      </c>
      <c r="AS214"/>
      <c r="AT214" s="67">
        <f t="shared" si="10"/>
        <v>8</v>
      </c>
      <c r="AU214" s="67">
        <f t="shared" si="11"/>
        <v>3</v>
      </c>
      <c r="AV214" s="66"/>
      <c r="AW214" s="12">
        <v>1</v>
      </c>
      <c r="AX214" s="12">
        <v>1</v>
      </c>
      <c r="AY214" s="12">
        <v>1</v>
      </c>
      <c r="AZ214" s="12">
        <v>1</v>
      </c>
      <c r="BA214" s="12">
        <v>1</v>
      </c>
      <c r="BB214" s="12">
        <v>1</v>
      </c>
      <c r="BD214" s="12">
        <v>1</v>
      </c>
      <c r="BW214" s="12">
        <v>1</v>
      </c>
      <c r="CK214"/>
      <c r="CX214">
        <v>187</v>
      </c>
    </row>
    <row r="215" spans="1:103">
      <c r="A215">
        <v>188</v>
      </c>
      <c r="B215" t="s">
        <v>12</v>
      </c>
      <c r="C215" t="s">
        <v>91</v>
      </c>
      <c r="D215" s="8" t="s">
        <v>366</v>
      </c>
      <c r="E215" t="s">
        <v>6</v>
      </c>
      <c r="I215" s="149"/>
      <c r="J215" s="96"/>
      <c r="K215" s="96"/>
      <c r="L215" s="96"/>
      <c r="M215" s="96"/>
      <c r="N215" s="96"/>
      <c r="O215" s="96"/>
      <c r="P215" s="150"/>
      <c r="Q215" s="149"/>
      <c r="R215" s="96"/>
      <c r="S215" s="96"/>
      <c r="T215" s="96"/>
      <c r="U215" s="96"/>
      <c r="V215" s="96"/>
      <c r="W215" s="96"/>
      <c r="X215" s="150"/>
      <c r="Y215" s="149"/>
      <c r="Z215" s="96"/>
      <c r="AA215" s="96"/>
      <c r="AB215" s="96"/>
      <c r="AC215" s="96"/>
      <c r="AD215" s="96"/>
      <c r="AE215" s="96"/>
      <c r="AF215" s="150"/>
      <c r="AH215" s="96"/>
      <c r="AI215" s="96"/>
      <c r="AJ215" s="96"/>
      <c r="AK215" s="96"/>
      <c r="AL215" s="96"/>
      <c r="AM215" s="96"/>
      <c r="AN215" s="150"/>
      <c r="AQ215" s="85">
        <f t="shared" si="9"/>
        <v>0</v>
      </c>
      <c r="AR215" s="19"/>
      <c r="AS215"/>
      <c r="AT215" s="67">
        <f t="shared" si="10"/>
        <v>0</v>
      </c>
      <c r="AU215" s="67">
        <f t="shared" si="11"/>
        <v>0</v>
      </c>
      <c r="AV215" s="66"/>
      <c r="AW215" s="12"/>
      <c r="BK215" s="12">
        <v>1</v>
      </c>
      <c r="CK215"/>
      <c r="CX215">
        <v>188</v>
      </c>
    </row>
    <row r="216" spans="1:103">
      <c r="A216">
        <v>189</v>
      </c>
      <c r="B216" t="s">
        <v>13</v>
      </c>
      <c r="C216" t="s">
        <v>17</v>
      </c>
      <c r="D216" s="8" t="s">
        <v>345</v>
      </c>
      <c r="E216" s="67" t="s">
        <v>15</v>
      </c>
      <c r="I216" s="149"/>
      <c r="J216" s="96"/>
      <c r="K216" s="96"/>
      <c r="L216" s="96"/>
      <c r="M216" s="96"/>
      <c r="N216" s="96"/>
      <c r="O216" s="96"/>
      <c r="P216" s="150"/>
      <c r="Q216" s="149"/>
      <c r="R216" s="96"/>
      <c r="S216" s="96"/>
      <c r="T216" s="96"/>
      <c r="U216" s="96"/>
      <c r="V216" s="96"/>
      <c r="W216" s="96"/>
      <c r="X216" s="150"/>
      <c r="Y216" s="149"/>
      <c r="Z216" s="96"/>
      <c r="AA216" s="96"/>
      <c r="AB216" s="96"/>
      <c r="AC216" s="96"/>
      <c r="AD216" s="96"/>
      <c r="AE216" s="96"/>
      <c r="AF216" s="150"/>
      <c r="AH216" s="96"/>
      <c r="AI216" s="96"/>
      <c r="AJ216" s="96"/>
      <c r="AK216" s="96"/>
      <c r="AL216" s="96"/>
      <c r="AM216" s="96"/>
      <c r="AN216" s="150"/>
      <c r="AQ216" s="85">
        <f t="shared" si="9"/>
        <v>0</v>
      </c>
      <c r="AR216" s="19"/>
      <c r="AS216"/>
      <c r="AT216" s="67">
        <f t="shared" si="10"/>
        <v>0</v>
      </c>
      <c r="AU216" s="67">
        <f t="shared" si="11"/>
        <v>0</v>
      </c>
      <c r="AV216" s="66"/>
      <c r="AW216" s="12"/>
      <c r="CE216" s="12">
        <v>1</v>
      </c>
      <c r="CG216" s="12" t="s">
        <v>326</v>
      </c>
      <c r="CK216"/>
      <c r="CX216">
        <v>189</v>
      </c>
    </row>
    <row r="217" spans="1:103">
      <c r="A217">
        <v>190</v>
      </c>
      <c r="B217" t="s">
        <v>13</v>
      </c>
      <c r="C217" t="s">
        <v>17</v>
      </c>
      <c r="D217" s="8" t="s">
        <v>345</v>
      </c>
      <c r="E217" s="67" t="s">
        <v>15</v>
      </c>
      <c r="I217" s="149"/>
      <c r="J217" s="96"/>
      <c r="K217" s="96"/>
      <c r="L217" s="96"/>
      <c r="M217" s="96"/>
      <c r="N217" s="96"/>
      <c r="O217" s="96"/>
      <c r="P217" s="150"/>
      <c r="Q217" s="149"/>
      <c r="R217" s="96"/>
      <c r="S217" s="96"/>
      <c r="T217" s="96"/>
      <c r="U217" s="96"/>
      <c r="V217" s="96"/>
      <c r="W217" s="96"/>
      <c r="X217" s="150"/>
      <c r="Y217" s="149"/>
      <c r="Z217" s="96"/>
      <c r="AA217" s="96"/>
      <c r="AB217" s="96"/>
      <c r="AC217" s="96"/>
      <c r="AD217" s="96"/>
      <c r="AE217" s="96"/>
      <c r="AF217" s="150"/>
      <c r="AH217" s="96"/>
      <c r="AI217" s="96"/>
      <c r="AJ217" s="96"/>
      <c r="AK217" s="96"/>
      <c r="AL217" s="96"/>
      <c r="AM217" s="96"/>
      <c r="AN217" s="150"/>
      <c r="AQ217" s="85">
        <f t="shared" si="9"/>
        <v>0</v>
      </c>
      <c r="AR217" s="19"/>
      <c r="AS217"/>
      <c r="AT217" s="67">
        <f t="shared" si="10"/>
        <v>0</v>
      </c>
      <c r="AU217" s="67">
        <f t="shared" si="11"/>
        <v>0</v>
      </c>
      <c r="AV217" s="66"/>
      <c r="AW217" s="12"/>
      <c r="CE217" s="12">
        <v>1</v>
      </c>
      <c r="CG217" s="12" t="s">
        <v>326</v>
      </c>
      <c r="CK217"/>
      <c r="CX217">
        <v>190</v>
      </c>
    </row>
    <row r="218" spans="1:103">
      <c r="A218">
        <v>191</v>
      </c>
      <c r="B218" t="s">
        <v>13</v>
      </c>
      <c r="C218" t="s">
        <v>56</v>
      </c>
      <c r="D218" s="8" t="s">
        <v>360</v>
      </c>
      <c r="E218" s="67" t="s">
        <v>15</v>
      </c>
      <c r="I218" s="149"/>
      <c r="J218" s="96"/>
      <c r="K218" s="96"/>
      <c r="L218" s="96"/>
      <c r="M218" s="96"/>
      <c r="N218" s="96"/>
      <c r="O218" s="96"/>
      <c r="P218" s="150"/>
      <c r="Q218" s="149"/>
      <c r="R218" s="96"/>
      <c r="S218" s="96"/>
      <c r="T218" s="96"/>
      <c r="U218" s="96"/>
      <c r="V218" s="96"/>
      <c r="W218" s="96"/>
      <c r="X218" s="150"/>
      <c r="Y218" s="149"/>
      <c r="Z218" s="96"/>
      <c r="AA218" s="96"/>
      <c r="AB218" s="96"/>
      <c r="AC218" s="96"/>
      <c r="AD218" s="96"/>
      <c r="AE218" s="96"/>
      <c r="AF218" s="150"/>
      <c r="AH218" s="96"/>
      <c r="AI218" s="96"/>
      <c r="AJ218" s="96"/>
      <c r="AK218" s="96"/>
      <c r="AL218" s="96"/>
      <c r="AM218" s="96"/>
      <c r="AN218" s="150"/>
      <c r="AQ218" s="85">
        <f t="shared" si="9"/>
        <v>0</v>
      </c>
      <c r="AR218" s="19"/>
      <c r="AS218"/>
      <c r="AT218" s="67">
        <f t="shared" si="10"/>
        <v>0</v>
      </c>
      <c r="AU218" s="67">
        <f t="shared" si="11"/>
        <v>0</v>
      </c>
      <c r="AV218" s="66"/>
      <c r="AW218" s="12"/>
      <c r="CK218"/>
      <c r="CX218">
        <v>191</v>
      </c>
    </row>
    <row r="219" spans="1:103">
      <c r="A219">
        <v>192</v>
      </c>
      <c r="B219" t="s">
        <v>13</v>
      </c>
      <c r="C219" t="s">
        <v>149</v>
      </c>
      <c r="D219" s="8" t="s">
        <v>346</v>
      </c>
      <c r="E219" s="67" t="s">
        <v>15</v>
      </c>
      <c r="F219">
        <v>20</v>
      </c>
      <c r="G219">
        <v>24</v>
      </c>
      <c r="H219">
        <v>24</v>
      </c>
      <c r="I219" s="149"/>
      <c r="J219" s="96" t="s">
        <v>49</v>
      </c>
      <c r="K219" s="96">
        <v>1</v>
      </c>
      <c r="L219" s="96">
        <v>1</v>
      </c>
      <c r="M219" s="96">
        <v>1</v>
      </c>
      <c r="N219" s="96">
        <v>1</v>
      </c>
      <c r="O219" s="96">
        <v>1</v>
      </c>
      <c r="P219" s="150">
        <v>1</v>
      </c>
      <c r="Q219" s="149">
        <v>1</v>
      </c>
      <c r="R219" s="96">
        <v>1</v>
      </c>
      <c r="S219" s="96">
        <v>1</v>
      </c>
      <c r="T219" s="96">
        <v>1</v>
      </c>
      <c r="U219" s="96">
        <v>1</v>
      </c>
      <c r="V219" s="96">
        <v>1</v>
      </c>
      <c r="W219" s="96" t="s">
        <v>49</v>
      </c>
      <c r="X219" s="150"/>
      <c r="Y219" s="149"/>
      <c r="Z219" s="95" t="s">
        <v>49</v>
      </c>
      <c r="AA219" s="96">
        <v>1</v>
      </c>
      <c r="AB219" s="96">
        <v>1</v>
      </c>
      <c r="AC219" s="96">
        <v>1</v>
      </c>
      <c r="AD219" s="96">
        <v>1</v>
      </c>
      <c r="AE219" s="96">
        <v>1</v>
      </c>
      <c r="AF219" s="150">
        <v>1</v>
      </c>
      <c r="AG219" s="96">
        <v>1</v>
      </c>
      <c r="AH219" s="96">
        <v>1</v>
      </c>
      <c r="AI219" s="96"/>
      <c r="AJ219" s="96"/>
      <c r="AK219" s="96"/>
      <c r="AL219" s="96"/>
      <c r="AM219" s="96"/>
      <c r="AN219" s="150"/>
      <c r="AO219" s="95">
        <v>9</v>
      </c>
      <c r="AP219" s="95">
        <v>11</v>
      </c>
      <c r="AQ219" s="85">
        <f t="shared" si="9"/>
        <v>20</v>
      </c>
      <c r="AR219" s="19" t="s">
        <v>50</v>
      </c>
      <c r="AS219"/>
      <c r="AT219" s="67">
        <f t="shared" si="10"/>
        <v>0</v>
      </c>
      <c r="AU219" s="67">
        <f t="shared" si="11"/>
        <v>0</v>
      </c>
      <c r="AV219" s="66"/>
      <c r="AW219" s="12"/>
      <c r="AZ219" s="12">
        <v>1</v>
      </c>
      <c r="BA219" s="12">
        <v>1</v>
      </c>
      <c r="CK219"/>
      <c r="CX219">
        <v>192</v>
      </c>
    </row>
    <row r="220" spans="1:103">
      <c r="A220">
        <v>193</v>
      </c>
      <c r="B220" t="s">
        <v>12</v>
      </c>
      <c r="C220" t="s">
        <v>123</v>
      </c>
      <c r="D220" s="8" t="s">
        <v>366</v>
      </c>
      <c r="E220" t="s">
        <v>6</v>
      </c>
      <c r="F220">
        <v>29</v>
      </c>
      <c r="G220">
        <v>29</v>
      </c>
      <c r="H220">
        <v>32</v>
      </c>
      <c r="I220" s="149">
        <v>1</v>
      </c>
      <c r="J220" s="96">
        <v>1</v>
      </c>
      <c r="K220" s="96">
        <v>1</v>
      </c>
      <c r="L220" s="96">
        <v>1</v>
      </c>
      <c r="M220" s="96">
        <v>1</v>
      </c>
      <c r="N220" s="96">
        <v>1</v>
      </c>
      <c r="O220" s="96">
        <v>1</v>
      </c>
      <c r="P220" s="150">
        <v>1</v>
      </c>
      <c r="Q220" s="149">
        <v>1</v>
      </c>
      <c r="R220" s="96">
        <v>1</v>
      </c>
      <c r="S220" s="96">
        <v>1</v>
      </c>
      <c r="T220" s="96">
        <v>1</v>
      </c>
      <c r="U220" s="96">
        <v>1</v>
      </c>
      <c r="V220" s="96">
        <v>1</v>
      </c>
      <c r="W220" s="96">
        <v>1</v>
      </c>
      <c r="X220" s="150">
        <v>1</v>
      </c>
      <c r="Y220" s="149">
        <v>1</v>
      </c>
      <c r="Z220" s="96">
        <v>1</v>
      </c>
      <c r="AA220" s="96" t="s">
        <v>10</v>
      </c>
      <c r="AB220" s="96">
        <v>1</v>
      </c>
      <c r="AC220" s="96">
        <v>1</v>
      </c>
      <c r="AD220" s="96">
        <v>1</v>
      </c>
      <c r="AE220" s="96">
        <v>1</v>
      </c>
      <c r="AF220" s="150">
        <v>1</v>
      </c>
      <c r="AG220" s="96">
        <v>1</v>
      </c>
      <c r="AH220" s="96">
        <v>1</v>
      </c>
      <c r="AI220" s="96">
        <v>1</v>
      </c>
      <c r="AJ220" s="96">
        <v>1</v>
      </c>
      <c r="AK220" s="96" t="s">
        <v>10</v>
      </c>
      <c r="AL220" s="96" t="s">
        <v>10</v>
      </c>
      <c r="AM220" s="96">
        <v>1</v>
      </c>
      <c r="AN220" s="150">
        <v>1</v>
      </c>
      <c r="AP220" s="56">
        <v>29</v>
      </c>
      <c r="AQ220" s="85">
        <f t="shared" si="9"/>
        <v>29</v>
      </c>
      <c r="AR220" s="19" t="s">
        <v>150</v>
      </c>
      <c r="AS220"/>
      <c r="AT220" s="67">
        <f t="shared" si="10"/>
        <v>3</v>
      </c>
      <c r="AU220" s="67">
        <f t="shared" si="11"/>
        <v>0</v>
      </c>
      <c r="AV220" s="66"/>
      <c r="AW220" s="12">
        <v>1</v>
      </c>
      <c r="AX220" s="12">
        <v>1</v>
      </c>
      <c r="AY220" s="12">
        <v>1</v>
      </c>
      <c r="BA220" s="12">
        <v>1</v>
      </c>
      <c r="BB220" s="12">
        <v>1</v>
      </c>
      <c r="BD220" s="12">
        <v>1</v>
      </c>
      <c r="BE220" s="12">
        <v>1</v>
      </c>
      <c r="BI220" s="12">
        <v>1</v>
      </c>
      <c r="BK220" s="12">
        <v>1</v>
      </c>
      <c r="BQ220" s="12">
        <v>1</v>
      </c>
      <c r="BV220" s="12">
        <v>1</v>
      </c>
      <c r="BY220" s="12">
        <v>1</v>
      </c>
      <c r="BZ220" s="12">
        <v>4</v>
      </c>
      <c r="CK220">
        <v>1</v>
      </c>
      <c r="CX220">
        <v>193</v>
      </c>
    </row>
    <row r="221" spans="1:103">
      <c r="A221">
        <v>194</v>
      </c>
      <c r="B221" t="s">
        <v>12</v>
      </c>
      <c r="C221" t="s">
        <v>62</v>
      </c>
      <c r="D221" s="8" t="s">
        <v>42</v>
      </c>
      <c r="E221" t="s">
        <v>42</v>
      </c>
      <c r="F221">
        <v>30</v>
      </c>
      <c r="G221">
        <v>31</v>
      </c>
      <c r="H221">
        <v>32</v>
      </c>
      <c r="I221" s="149">
        <v>1</v>
      </c>
      <c r="J221" s="96">
        <v>1</v>
      </c>
      <c r="K221" s="96">
        <v>1</v>
      </c>
      <c r="L221" s="96">
        <v>1</v>
      </c>
      <c r="M221" s="96">
        <v>1</v>
      </c>
      <c r="N221" s="96">
        <v>1</v>
      </c>
      <c r="O221" s="96">
        <v>1</v>
      </c>
      <c r="P221" s="150">
        <v>1</v>
      </c>
      <c r="Q221" s="149">
        <v>1</v>
      </c>
      <c r="R221" s="96">
        <v>1</v>
      </c>
      <c r="S221" s="96">
        <v>1</v>
      </c>
      <c r="T221" s="96">
        <v>1</v>
      </c>
      <c r="U221" s="96">
        <v>1</v>
      </c>
      <c r="V221" s="96">
        <v>1</v>
      </c>
      <c r="W221" s="96">
        <v>1</v>
      </c>
      <c r="X221" s="150">
        <v>1</v>
      </c>
      <c r="Y221" s="149">
        <v>1</v>
      </c>
      <c r="Z221" s="96">
        <v>1</v>
      </c>
      <c r="AA221" s="96" t="s">
        <v>10</v>
      </c>
      <c r="AB221" s="96">
        <v>1</v>
      </c>
      <c r="AC221" s="96">
        <v>1</v>
      </c>
      <c r="AD221" s="96">
        <v>1</v>
      </c>
      <c r="AE221" s="96" t="s">
        <v>9</v>
      </c>
      <c r="AF221" s="150">
        <v>1</v>
      </c>
      <c r="AG221" s="96">
        <v>1</v>
      </c>
      <c r="AH221" s="96">
        <v>1</v>
      </c>
      <c r="AI221" s="96">
        <v>1</v>
      </c>
      <c r="AJ221" s="96">
        <v>1</v>
      </c>
      <c r="AK221" s="96">
        <v>1</v>
      </c>
      <c r="AL221" s="96">
        <v>1</v>
      </c>
      <c r="AM221" s="96">
        <v>1</v>
      </c>
      <c r="AN221" s="150">
        <v>1</v>
      </c>
      <c r="AP221" s="56">
        <v>30</v>
      </c>
      <c r="AQ221" s="85">
        <f t="shared" si="9"/>
        <v>30</v>
      </c>
      <c r="AR221" s="19" t="s">
        <v>151</v>
      </c>
      <c r="AS221"/>
      <c r="AT221" s="67">
        <f t="shared" si="10"/>
        <v>1</v>
      </c>
      <c r="AU221" s="67">
        <f t="shared" si="11"/>
        <v>1</v>
      </c>
      <c r="AV221" s="66"/>
      <c r="AW221" s="12">
        <v>1</v>
      </c>
      <c r="AX221" s="12">
        <v>1</v>
      </c>
      <c r="AY221" s="12">
        <v>1</v>
      </c>
      <c r="AZ221" s="12">
        <v>1</v>
      </c>
      <c r="BA221" s="12">
        <v>1</v>
      </c>
      <c r="BB221" s="12">
        <v>1</v>
      </c>
      <c r="BE221" s="12">
        <v>1</v>
      </c>
      <c r="BK221" s="12">
        <v>1</v>
      </c>
      <c r="BQ221" s="12">
        <v>1</v>
      </c>
      <c r="BW221" s="12">
        <v>1</v>
      </c>
      <c r="BY221" s="12">
        <v>1</v>
      </c>
      <c r="CK221"/>
      <c r="CX221">
        <v>194</v>
      </c>
      <c r="CY221" t="s">
        <v>223</v>
      </c>
    </row>
    <row r="222" spans="1:103">
      <c r="A222">
        <v>195</v>
      </c>
      <c r="B222" t="s">
        <v>12</v>
      </c>
      <c r="C222" t="s">
        <v>106</v>
      </c>
      <c r="D222" s="8" t="s">
        <v>349</v>
      </c>
      <c r="E222" t="s">
        <v>6</v>
      </c>
      <c r="I222" s="149"/>
      <c r="J222" s="96"/>
      <c r="K222" s="96"/>
      <c r="L222" s="96"/>
      <c r="M222" s="96"/>
      <c r="N222" s="96"/>
      <c r="O222" s="96"/>
      <c r="P222" s="150"/>
      <c r="Q222" s="149"/>
      <c r="R222" s="96"/>
      <c r="S222" s="96"/>
      <c r="T222" s="96"/>
      <c r="U222" s="96"/>
      <c r="V222" s="96"/>
      <c r="W222" s="96"/>
      <c r="X222" s="150"/>
      <c r="Y222" s="149"/>
      <c r="Z222" s="96"/>
      <c r="AA222" s="96"/>
      <c r="AB222" s="96"/>
      <c r="AC222" s="96"/>
      <c r="AD222" s="96"/>
      <c r="AE222" s="96"/>
      <c r="AF222" s="150"/>
      <c r="AH222" s="96"/>
      <c r="AI222" s="96"/>
      <c r="AJ222" s="96"/>
      <c r="AK222" s="96"/>
      <c r="AL222" s="96"/>
      <c r="AM222" s="96"/>
      <c r="AN222" s="150"/>
      <c r="AQ222" s="85">
        <f t="shared" si="9"/>
        <v>0</v>
      </c>
      <c r="AR222" s="19"/>
      <c r="AS222"/>
      <c r="AT222" s="67">
        <f t="shared" si="10"/>
        <v>0</v>
      </c>
      <c r="AU222" s="67">
        <f t="shared" si="11"/>
        <v>0</v>
      </c>
      <c r="AV222" s="66"/>
      <c r="AW222" s="12"/>
      <c r="BK222" s="12">
        <v>1</v>
      </c>
      <c r="BQ222" s="12">
        <v>1</v>
      </c>
      <c r="BY222" s="12">
        <v>1</v>
      </c>
      <c r="BZ222" s="12" t="s">
        <v>326</v>
      </c>
      <c r="CD222" s="12">
        <v>1</v>
      </c>
      <c r="CK222"/>
      <c r="CX222">
        <v>195</v>
      </c>
    </row>
    <row r="223" spans="1:103">
      <c r="A223">
        <v>196</v>
      </c>
      <c r="B223" t="s">
        <v>13</v>
      </c>
      <c r="C223" t="s">
        <v>99</v>
      </c>
      <c r="D223" s="8" t="s">
        <v>346</v>
      </c>
      <c r="E223" s="67" t="s">
        <v>15</v>
      </c>
      <c r="I223" s="149"/>
      <c r="J223" s="96"/>
      <c r="K223" s="96"/>
      <c r="L223" s="96"/>
      <c r="M223" s="96"/>
      <c r="N223" s="96"/>
      <c r="O223" s="96"/>
      <c r="P223" s="150"/>
      <c r="Q223" s="149"/>
      <c r="R223" s="96"/>
      <c r="S223" s="96"/>
      <c r="T223" s="96"/>
      <c r="U223" s="96"/>
      <c r="V223" s="96"/>
      <c r="W223" s="96"/>
      <c r="X223" s="150"/>
      <c r="Y223" s="149"/>
      <c r="Z223" s="96"/>
      <c r="AA223" s="96"/>
      <c r="AB223" s="96"/>
      <c r="AC223" s="96"/>
      <c r="AD223" s="96"/>
      <c r="AE223" s="96"/>
      <c r="AF223" s="150"/>
      <c r="AH223" s="96"/>
      <c r="AI223" s="96"/>
      <c r="AJ223" s="96"/>
      <c r="AK223" s="96"/>
      <c r="AL223" s="96"/>
      <c r="AM223" s="96"/>
      <c r="AN223" s="150"/>
      <c r="AQ223" s="85">
        <f t="shared" si="9"/>
        <v>0</v>
      </c>
      <c r="AR223" s="19"/>
      <c r="AS223"/>
      <c r="AT223" s="67">
        <f t="shared" si="10"/>
        <v>0</v>
      </c>
      <c r="AU223" s="67">
        <f t="shared" si="11"/>
        <v>0</v>
      </c>
      <c r="AV223" s="66"/>
      <c r="AW223" s="12"/>
      <c r="CK223"/>
      <c r="CX223">
        <v>196</v>
      </c>
    </row>
    <row r="224" spans="1:103">
      <c r="A224">
        <v>197</v>
      </c>
      <c r="B224" t="s">
        <v>12</v>
      </c>
      <c r="C224" t="s">
        <v>136</v>
      </c>
      <c r="D224" s="8" t="s">
        <v>12</v>
      </c>
      <c r="E224" t="s">
        <v>42</v>
      </c>
      <c r="I224" s="149"/>
      <c r="J224" s="96"/>
      <c r="K224" s="96"/>
      <c r="L224" s="96"/>
      <c r="M224" s="96"/>
      <c r="N224" s="96"/>
      <c r="O224" s="96"/>
      <c r="P224" s="150"/>
      <c r="Q224" s="149"/>
      <c r="R224" s="96"/>
      <c r="S224" s="96"/>
      <c r="T224" s="96"/>
      <c r="U224" s="96"/>
      <c r="V224" s="96"/>
      <c r="W224" s="96"/>
      <c r="X224" s="150"/>
      <c r="Y224" s="149"/>
      <c r="Z224" s="96"/>
      <c r="AA224" s="96"/>
      <c r="AB224" s="96"/>
      <c r="AC224" s="96"/>
      <c r="AD224" s="96"/>
      <c r="AE224" s="96"/>
      <c r="AF224" s="150"/>
      <c r="AH224" s="96"/>
      <c r="AI224" s="96"/>
      <c r="AJ224" s="96"/>
      <c r="AK224" s="96"/>
      <c r="AL224" s="96"/>
      <c r="AM224" s="96"/>
      <c r="AN224" s="150"/>
      <c r="AQ224" s="85">
        <f t="shared" si="9"/>
        <v>0</v>
      </c>
      <c r="AR224" s="19"/>
      <c r="AS224"/>
      <c r="AT224" s="67">
        <f t="shared" si="10"/>
        <v>0</v>
      </c>
      <c r="AU224" s="67">
        <f t="shared" si="11"/>
        <v>0</v>
      </c>
      <c r="AV224" s="66"/>
      <c r="AW224" s="12"/>
      <c r="CK224"/>
      <c r="CX224">
        <v>197</v>
      </c>
    </row>
    <row r="225" spans="1:102">
      <c r="A225">
        <v>198</v>
      </c>
      <c r="B225" t="s">
        <v>12</v>
      </c>
      <c r="C225" t="s">
        <v>92</v>
      </c>
      <c r="D225" s="8" t="s">
        <v>165</v>
      </c>
      <c r="E225" t="s">
        <v>6</v>
      </c>
      <c r="I225" s="149"/>
      <c r="J225" s="96"/>
      <c r="K225" s="96"/>
      <c r="L225" s="96"/>
      <c r="M225" s="96"/>
      <c r="N225" s="96"/>
      <c r="O225" s="96"/>
      <c r="P225" s="150"/>
      <c r="Q225" s="149"/>
      <c r="R225" s="96"/>
      <c r="S225" s="96"/>
      <c r="T225" s="96"/>
      <c r="U225" s="96"/>
      <c r="V225" s="96"/>
      <c r="W225" s="96"/>
      <c r="X225" s="150"/>
      <c r="Y225" s="149"/>
      <c r="Z225" s="96"/>
      <c r="AA225" s="96"/>
      <c r="AB225" s="96"/>
      <c r="AC225" s="96"/>
      <c r="AD225" s="96"/>
      <c r="AE225" s="96"/>
      <c r="AF225" s="150"/>
      <c r="AH225" s="96"/>
      <c r="AI225" s="96"/>
      <c r="AJ225" s="96"/>
      <c r="AK225" s="96"/>
      <c r="AL225" s="96"/>
      <c r="AM225" s="96"/>
      <c r="AN225" s="150"/>
      <c r="AQ225" s="85">
        <f t="shared" si="9"/>
        <v>0</v>
      </c>
      <c r="AR225" s="19"/>
      <c r="AS225"/>
      <c r="AT225" s="67">
        <f t="shared" si="10"/>
        <v>0</v>
      </c>
      <c r="AU225" s="67">
        <f t="shared" si="11"/>
        <v>0</v>
      </c>
      <c r="AV225" s="66"/>
      <c r="AW225" s="12"/>
      <c r="CK225"/>
      <c r="CX225">
        <v>198</v>
      </c>
    </row>
    <row r="226" spans="1:102">
      <c r="A226">
        <v>199</v>
      </c>
      <c r="B226" t="s">
        <v>12</v>
      </c>
      <c r="C226" t="s">
        <v>71</v>
      </c>
      <c r="D226" s="8" t="s">
        <v>366</v>
      </c>
      <c r="E226" t="s">
        <v>6</v>
      </c>
      <c r="I226" s="149"/>
      <c r="J226" s="96"/>
      <c r="K226" s="96"/>
      <c r="L226" s="96"/>
      <c r="M226" s="96"/>
      <c r="N226" s="96"/>
      <c r="O226" s="96"/>
      <c r="P226" s="150"/>
      <c r="Q226" s="149"/>
      <c r="R226" s="96"/>
      <c r="S226" s="96"/>
      <c r="T226" s="96"/>
      <c r="U226" s="96"/>
      <c r="V226" s="96"/>
      <c r="W226" s="96"/>
      <c r="X226" s="150"/>
      <c r="Y226" s="149"/>
      <c r="Z226" s="96"/>
      <c r="AA226" s="96"/>
      <c r="AB226" s="96"/>
      <c r="AC226" s="96"/>
      <c r="AD226" s="96"/>
      <c r="AE226" s="96"/>
      <c r="AF226" s="150"/>
      <c r="AH226" s="96"/>
      <c r="AI226" s="96"/>
      <c r="AJ226" s="96"/>
      <c r="AK226" s="96"/>
      <c r="AL226" s="96"/>
      <c r="AM226" s="96"/>
      <c r="AN226" s="150"/>
      <c r="AQ226" s="85">
        <f t="shared" si="9"/>
        <v>0</v>
      </c>
      <c r="AR226" s="19"/>
      <c r="AS226"/>
      <c r="AT226" s="67">
        <f t="shared" si="10"/>
        <v>0</v>
      </c>
      <c r="AU226" s="67">
        <f t="shared" si="11"/>
        <v>0</v>
      </c>
      <c r="AV226" s="66"/>
      <c r="AW226" s="12"/>
      <c r="BP226" s="12">
        <v>1</v>
      </c>
      <c r="BV226" s="12">
        <v>1</v>
      </c>
      <c r="BY226" s="12">
        <v>1</v>
      </c>
      <c r="CK226"/>
      <c r="CX226">
        <v>199</v>
      </c>
    </row>
    <row r="227" spans="1:102">
      <c r="A227">
        <v>200</v>
      </c>
      <c r="B227" t="s">
        <v>13</v>
      </c>
      <c r="C227" t="s">
        <v>100</v>
      </c>
      <c r="D227" s="8" t="s">
        <v>357</v>
      </c>
      <c r="E227" s="67" t="s">
        <v>15</v>
      </c>
      <c r="I227" s="149"/>
      <c r="J227" s="96"/>
      <c r="K227" s="96"/>
      <c r="L227" s="96"/>
      <c r="M227" s="96"/>
      <c r="N227" s="96"/>
      <c r="O227" s="96"/>
      <c r="P227" s="150"/>
      <c r="Q227" s="149"/>
      <c r="R227" s="96"/>
      <c r="S227" s="96"/>
      <c r="T227" s="96"/>
      <c r="U227" s="96"/>
      <c r="V227" s="96"/>
      <c r="W227" s="96"/>
      <c r="X227" s="150"/>
      <c r="Y227" s="149"/>
      <c r="Z227" s="96"/>
      <c r="AA227" s="96"/>
      <c r="AB227" s="96"/>
      <c r="AC227" s="96"/>
      <c r="AD227" s="96"/>
      <c r="AE227" s="96"/>
      <c r="AF227" s="150"/>
      <c r="AH227" s="96"/>
      <c r="AI227" s="96"/>
      <c r="AJ227" s="96"/>
      <c r="AK227" s="96"/>
      <c r="AL227" s="96"/>
      <c r="AM227" s="96"/>
      <c r="AN227" s="150"/>
      <c r="AQ227" s="85">
        <f t="shared" si="9"/>
        <v>0</v>
      </c>
      <c r="AR227" s="19"/>
      <c r="AS227"/>
      <c r="AT227" s="67">
        <f t="shared" si="10"/>
        <v>0</v>
      </c>
      <c r="AU227" s="67">
        <f t="shared" si="11"/>
        <v>0</v>
      </c>
      <c r="AV227" s="66"/>
      <c r="AW227" s="12"/>
      <c r="CK227"/>
      <c r="CX227">
        <v>200</v>
      </c>
    </row>
    <row r="228" spans="1:102">
      <c r="A228">
        <v>201</v>
      </c>
      <c r="B228" t="s">
        <v>12</v>
      </c>
      <c r="C228" t="s">
        <v>106</v>
      </c>
      <c r="D228" s="8" t="s">
        <v>349</v>
      </c>
      <c r="E228" t="s">
        <v>6</v>
      </c>
      <c r="I228" s="149"/>
      <c r="J228" s="96"/>
      <c r="K228" s="96"/>
      <c r="L228" s="96"/>
      <c r="M228" s="96"/>
      <c r="N228" s="96"/>
      <c r="O228" s="96"/>
      <c r="P228" s="150"/>
      <c r="Q228" s="149"/>
      <c r="R228" s="96"/>
      <c r="S228" s="96"/>
      <c r="T228" s="96"/>
      <c r="U228" s="96"/>
      <c r="V228" s="96"/>
      <c r="W228" s="96"/>
      <c r="X228" s="150"/>
      <c r="Y228" s="149"/>
      <c r="Z228" s="96"/>
      <c r="AA228" s="96"/>
      <c r="AB228" s="96"/>
      <c r="AC228" s="96"/>
      <c r="AD228" s="96"/>
      <c r="AE228" s="96"/>
      <c r="AF228" s="150"/>
      <c r="AH228" s="96"/>
      <c r="AI228" s="96"/>
      <c r="AJ228" s="96"/>
      <c r="AK228" s="96"/>
      <c r="AL228" s="96"/>
      <c r="AM228" s="96"/>
      <c r="AN228" s="150"/>
      <c r="AQ228" s="85">
        <f t="shared" si="9"/>
        <v>0</v>
      </c>
      <c r="AR228" s="19"/>
      <c r="AS228"/>
      <c r="AT228" s="67">
        <f t="shared" si="10"/>
        <v>0</v>
      </c>
      <c r="AU228" s="67">
        <f t="shared" si="11"/>
        <v>0</v>
      </c>
      <c r="AV228" s="66"/>
      <c r="AW228" s="12"/>
      <c r="BK228" s="12">
        <v>1</v>
      </c>
      <c r="CK228"/>
      <c r="CX228">
        <v>201</v>
      </c>
    </row>
    <row r="229" spans="1:102">
      <c r="A229">
        <v>202</v>
      </c>
      <c r="B229" t="s">
        <v>12</v>
      </c>
      <c r="C229" t="s">
        <v>40</v>
      </c>
      <c r="D229" s="8" t="s">
        <v>40</v>
      </c>
      <c r="E229" t="s">
        <v>6</v>
      </c>
      <c r="I229" s="149"/>
      <c r="J229" s="96"/>
      <c r="K229" s="96"/>
      <c r="L229" s="96"/>
      <c r="M229" s="96"/>
      <c r="N229" s="96"/>
      <c r="O229" s="96"/>
      <c r="P229" s="150"/>
      <c r="Q229" s="149"/>
      <c r="R229" s="96"/>
      <c r="S229" s="96"/>
      <c r="T229" s="96"/>
      <c r="U229" s="96"/>
      <c r="V229" s="96"/>
      <c r="W229" s="96"/>
      <c r="X229" s="150"/>
      <c r="Y229" s="149"/>
      <c r="Z229" s="96"/>
      <c r="AA229" s="96"/>
      <c r="AB229" s="96"/>
      <c r="AC229" s="96"/>
      <c r="AD229" s="96"/>
      <c r="AE229" s="96"/>
      <c r="AF229" s="150"/>
      <c r="AH229" s="96"/>
      <c r="AI229" s="96"/>
      <c r="AJ229" s="96"/>
      <c r="AK229" s="96"/>
      <c r="AL229" s="96"/>
      <c r="AM229" s="96"/>
      <c r="AN229" s="150"/>
      <c r="AQ229" s="85">
        <f t="shared" si="9"/>
        <v>0</v>
      </c>
      <c r="AR229" s="19"/>
      <c r="AS229"/>
      <c r="AT229" s="67">
        <f t="shared" si="10"/>
        <v>0</v>
      </c>
      <c r="AU229" s="67">
        <f t="shared" si="11"/>
        <v>0</v>
      </c>
      <c r="AV229" s="66"/>
      <c r="AW229" s="12"/>
      <c r="CK229"/>
      <c r="CX229">
        <v>202</v>
      </c>
    </row>
    <row r="230" spans="1:102">
      <c r="A230">
        <v>203</v>
      </c>
      <c r="B230" t="s">
        <v>12</v>
      </c>
      <c r="C230" t="s">
        <v>62</v>
      </c>
      <c r="D230" s="8" t="s">
        <v>42</v>
      </c>
      <c r="E230" t="s">
        <v>6</v>
      </c>
      <c r="I230" s="149"/>
      <c r="J230" s="96"/>
      <c r="K230" s="96"/>
      <c r="L230" s="96"/>
      <c r="M230" s="96"/>
      <c r="N230" s="96"/>
      <c r="O230" s="96"/>
      <c r="P230" s="150"/>
      <c r="Q230" s="149"/>
      <c r="R230" s="96"/>
      <c r="S230" s="96"/>
      <c r="T230" s="96"/>
      <c r="U230" s="96"/>
      <c r="V230" s="96"/>
      <c r="W230" s="96"/>
      <c r="X230" s="150"/>
      <c r="Y230" s="149"/>
      <c r="Z230" s="96"/>
      <c r="AA230" s="96"/>
      <c r="AB230" s="96"/>
      <c r="AC230" s="96"/>
      <c r="AD230" s="96"/>
      <c r="AE230" s="96"/>
      <c r="AF230" s="150"/>
      <c r="AH230" s="96"/>
      <c r="AI230" s="96"/>
      <c r="AJ230" s="96"/>
      <c r="AK230" s="96"/>
      <c r="AL230" s="96"/>
      <c r="AM230" s="96"/>
      <c r="AN230" s="150"/>
      <c r="AQ230" s="85">
        <f t="shared" si="9"/>
        <v>0</v>
      </c>
      <c r="AR230" s="19"/>
      <c r="AS230"/>
      <c r="AT230" s="67">
        <f t="shared" si="10"/>
        <v>0</v>
      </c>
      <c r="AU230" s="67">
        <f t="shared" si="11"/>
        <v>0</v>
      </c>
      <c r="AV230" s="66"/>
      <c r="AW230" s="12"/>
      <c r="BD230" s="12">
        <v>1</v>
      </c>
      <c r="BK230" s="12">
        <v>1</v>
      </c>
      <c r="BQ230" s="12">
        <v>1</v>
      </c>
      <c r="BW230" s="12">
        <v>1</v>
      </c>
      <c r="BY230" s="12">
        <v>1</v>
      </c>
      <c r="CK230"/>
      <c r="CX230">
        <v>203</v>
      </c>
    </row>
    <row r="231" spans="1:102">
      <c r="A231">
        <v>204</v>
      </c>
      <c r="B231" t="s">
        <v>13</v>
      </c>
      <c r="C231" t="s">
        <v>55</v>
      </c>
      <c r="D231" s="8" t="s">
        <v>346</v>
      </c>
      <c r="E231" s="67" t="s">
        <v>15</v>
      </c>
      <c r="I231" s="149"/>
      <c r="J231" s="96"/>
      <c r="K231" s="96"/>
      <c r="L231" s="96"/>
      <c r="M231" s="96"/>
      <c r="N231" s="96"/>
      <c r="O231" s="96"/>
      <c r="P231" s="150"/>
      <c r="Q231" s="149"/>
      <c r="R231" s="96"/>
      <c r="S231" s="96"/>
      <c r="T231" s="96"/>
      <c r="U231" s="96"/>
      <c r="V231" s="96"/>
      <c r="W231" s="96"/>
      <c r="X231" s="150"/>
      <c r="Y231" s="149"/>
      <c r="Z231" s="96"/>
      <c r="AA231" s="96"/>
      <c r="AB231" s="96"/>
      <c r="AC231" s="96"/>
      <c r="AD231" s="96"/>
      <c r="AE231" s="96"/>
      <c r="AF231" s="150"/>
      <c r="AH231" s="96"/>
      <c r="AI231" s="96"/>
      <c r="AJ231" s="96"/>
      <c r="AK231" s="96"/>
      <c r="AL231" s="96"/>
      <c r="AM231" s="96"/>
      <c r="AN231" s="150"/>
      <c r="AQ231" s="85">
        <f t="shared" si="9"/>
        <v>0</v>
      </c>
      <c r="AR231" s="19"/>
      <c r="AS231"/>
      <c r="AT231" s="67">
        <f t="shared" si="10"/>
        <v>0</v>
      </c>
      <c r="AU231" s="67">
        <f t="shared" si="11"/>
        <v>0</v>
      </c>
      <c r="AV231" s="66"/>
      <c r="AW231" s="12"/>
      <c r="CK231"/>
      <c r="CX231">
        <v>204</v>
      </c>
    </row>
    <row r="232" spans="1:102">
      <c r="A232">
        <v>205</v>
      </c>
      <c r="B232" t="s">
        <v>13</v>
      </c>
      <c r="C232" t="s">
        <v>74</v>
      </c>
      <c r="D232" s="8" t="s">
        <v>346</v>
      </c>
      <c r="E232" s="67" t="s">
        <v>15</v>
      </c>
      <c r="F232">
        <v>12</v>
      </c>
      <c r="G232">
        <v>20</v>
      </c>
      <c r="H232">
        <v>20</v>
      </c>
      <c r="I232" s="149"/>
      <c r="J232" s="96"/>
      <c r="K232" s="96" t="s">
        <v>49</v>
      </c>
      <c r="L232" s="96">
        <v>1</v>
      </c>
      <c r="M232" s="96">
        <v>1</v>
      </c>
      <c r="N232" s="95">
        <v>1</v>
      </c>
      <c r="O232" s="95">
        <v>1</v>
      </c>
      <c r="P232" s="150"/>
      <c r="Q232" s="149"/>
      <c r="R232" s="96"/>
      <c r="S232" s="96"/>
      <c r="T232" s="96"/>
      <c r="U232" s="96"/>
      <c r="V232" s="96" t="s">
        <v>49</v>
      </c>
      <c r="W232" s="96"/>
      <c r="X232" s="150"/>
      <c r="Y232" s="149"/>
      <c r="Z232" s="96"/>
      <c r="AA232" s="96" t="s">
        <v>49</v>
      </c>
      <c r="AB232" s="96">
        <v>1</v>
      </c>
      <c r="AC232" s="96">
        <v>1</v>
      </c>
      <c r="AD232" s="95">
        <v>1</v>
      </c>
      <c r="AE232" s="95">
        <v>1</v>
      </c>
      <c r="AF232" s="150">
        <v>1</v>
      </c>
      <c r="AH232" s="96"/>
      <c r="AI232" s="95">
        <v>1</v>
      </c>
      <c r="AJ232" s="95">
        <v>1</v>
      </c>
      <c r="AK232" s="95">
        <v>1</v>
      </c>
      <c r="AL232" s="95" t="s">
        <v>49</v>
      </c>
      <c r="AM232" s="96"/>
      <c r="AN232" s="150"/>
      <c r="AO232" s="96">
        <v>12</v>
      </c>
      <c r="AQ232" s="85">
        <f t="shared" si="9"/>
        <v>12</v>
      </c>
      <c r="AR232" s="19" t="s">
        <v>218</v>
      </c>
      <c r="AS232"/>
      <c r="AT232" s="67">
        <f t="shared" si="10"/>
        <v>0</v>
      </c>
      <c r="AU232" s="67">
        <f t="shared" si="11"/>
        <v>0</v>
      </c>
      <c r="AV232" s="66"/>
      <c r="AW232" s="12"/>
      <c r="BA232" s="12">
        <v>1</v>
      </c>
      <c r="CK232"/>
      <c r="CX232">
        <v>205</v>
      </c>
    </row>
    <row r="233" spans="1:102">
      <c r="A233">
        <v>206</v>
      </c>
      <c r="B233" t="s">
        <v>13</v>
      </c>
      <c r="C233" t="s">
        <v>139</v>
      </c>
      <c r="D233" s="8" t="s">
        <v>357</v>
      </c>
      <c r="E233" s="67" t="s">
        <v>15</v>
      </c>
      <c r="F233">
        <v>4</v>
      </c>
      <c r="G233">
        <v>24</v>
      </c>
      <c r="H233">
        <v>24</v>
      </c>
      <c r="I233" s="149"/>
      <c r="J233" s="96"/>
      <c r="K233" s="96"/>
      <c r="L233" s="96"/>
      <c r="M233" s="96"/>
      <c r="N233" s="96"/>
      <c r="O233" s="96"/>
      <c r="P233" s="150">
        <v>1</v>
      </c>
      <c r="Q233" s="149"/>
      <c r="R233" s="96"/>
      <c r="S233" s="96"/>
      <c r="T233" s="96"/>
      <c r="U233" s="96"/>
      <c r="V233" s="96"/>
      <c r="W233" s="96"/>
      <c r="X233" s="150"/>
      <c r="Y233" s="149"/>
      <c r="Z233" s="96" t="s">
        <v>49</v>
      </c>
      <c r="AA233" s="96">
        <v>1</v>
      </c>
      <c r="AB233" s="96">
        <v>1</v>
      </c>
      <c r="AC233" s="95">
        <v>1</v>
      </c>
      <c r="AD233" s="96"/>
      <c r="AE233" s="96"/>
      <c r="AF233" s="150"/>
      <c r="AH233" s="96"/>
      <c r="AI233" s="96"/>
      <c r="AJ233" s="96"/>
      <c r="AK233" s="96"/>
      <c r="AL233" s="96"/>
      <c r="AM233" s="96"/>
      <c r="AN233" s="150"/>
      <c r="AO233" s="96">
        <v>2</v>
      </c>
      <c r="AP233" s="56">
        <v>2</v>
      </c>
      <c r="AQ233" s="85">
        <f t="shared" si="9"/>
        <v>4</v>
      </c>
      <c r="AR233" s="19"/>
      <c r="AS233"/>
      <c r="AT233" s="67">
        <f t="shared" si="10"/>
        <v>0</v>
      </c>
      <c r="AU233" s="67">
        <f t="shared" si="11"/>
        <v>0</v>
      </c>
      <c r="AV233" s="66"/>
      <c r="AW233" s="12"/>
      <c r="BA233" s="12">
        <v>1</v>
      </c>
      <c r="CK233"/>
      <c r="CX233">
        <v>206</v>
      </c>
    </row>
    <row r="234" spans="1:102">
      <c r="A234" t="s">
        <v>152</v>
      </c>
      <c r="B234" t="s">
        <v>12</v>
      </c>
      <c r="C234" t="s">
        <v>91</v>
      </c>
      <c r="D234" s="8" t="s">
        <v>366</v>
      </c>
      <c r="E234" t="s">
        <v>153</v>
      </c>
      <c r="I234" s="149"/>
      <c r="J234" s="96"/>
      <c r="K234" s="96"/>
      <c r="L234" s="96"/>
      <c r="M234" s="96"/>
      <c r="N234" s="96"/>
      <c r="O234" s="96"/>
      <c r="P234" s="150"/>
      <c r="Q234" s="149"/>
      <c r="R234" s="96"/>
      <c r="S234" s="96"/>
      <c r="T234" s="96"/>
      <c r="U234" s="96"/>
      <c r="V234" s="96"/>
      <c r="W234" s="96"/>
      <c r="X234" s="150"/>
      <c r="Y234" s="149"/>
      <c r="Z234" s="96"/>
      <c r="AA234" s="96"/>
      <c r="AB234" s="96"/>
      <c r="AC234" s="95"/>
      <c r="AD234" s="96"/>
      <c r="AE234" s="96"/>
      <c r="AF234" s="150"/>
      <c r="AH234" s="96"/>
      <c r="AI234" s="96"/>
      <c r="AJ234" s="96"/>
      <c r="AK234" s="96"/>
      <c r="AL234" s="96"/>
      <c r="AM234" s="96"/>
      <c r="AN234" s="150"/>
      <c r="AQ234" s="85">
        <f t="shared" si="9"/>
        <v>0</v>
      </c>
      <c r="AR234" s="19"/>
      <c r="AS234"/>
      <c r="AT234" s="67">
        <f t="shared" si="10"/>
        <v>0</v>
      </c>
      <c r="AU234" s="67">
        <f t="shared" si="11"/>
        <v>0</v>
      </c>
      <c r="AV234" s="66"/>
      <c r="AW234" s="12"/>
      <c r="BD234" s="12">
        <v>1</v>
      </c>
      <c r="BE234" s="12">
        <v>1</v>
      </c>
      <c r="BK234" s="12">
        <v>1</v>
      </c>
      <c r="BQ234" s="12">
        <v>1</v>
      </c>
      <c r="BZ234" s="12">
        <v>1</v>
      </c>
      <c r="CK234"/>
      <c r="CR234" t="s">
        <v>326</v>
      </c>
      <c r="CX234" t="s">
        <v>152</v>
      </c>
    </row>
    <row r="235" spans="1:102">
      <c r="A235" t="s">
        <v>154</v>
      </c>
      <c r="B235" t="s">
        <v>12</v>
      </c>
      <c r="C235" t="s">
        <v>41</v>
      </c>
      <c r="D235" s="8" t="s">
        <v>42</v>
      </c>
      <c r="E235" t="s">
        <v>6</v>
      </c>
      <c r="I235" s="149"/>
      <c r="J235" s="96"/>
      <c r="K235" s="96"/>
      <c r="L235" s="96"/>
      <c r="M235" s="96"/>
      <c r="N235" s="96"/>
      <c r="O235" s="96"/>
      <c r="P235" s="150"/>
      <c r="Q235" s="149"/>
      <c r="R235" s="96"/>
      <c r="S235" s="96"/>
      <c r="T235" s="96"/>
      <c r="U235" s="96"/>
      <c r="V235" s="96"/>
      <c r="W235" s="96"/>
      <c r="X235" s="150"/>
      <c r="Y235" s="149"/>
      <c r="Z235" s="96"/>
      <c r="AA235" s="96"/>
      <c r="AB235" s="96"/>
      <c r="AC235" s="96"/>
      <c r="AD235" s="96"/>
      <c r="AE235" s="96"/>
      <c r="AF235" s="150"/>
      <c r="AH235" s="96"/>
      <c r="AI235" s="96"/>
      <c r="AJ235" s="96"/>
      <c r="AK235" s="96"/>
      <c r="AL235" s="96"/>
      <c r="AM235" s="96"/>
      <c r="AN235" s="150"/>
      <c r="AQ235" s="85">
        <f t="shared" si="9"/>
        <v>0</v>
      </c>
      <c r="AR235" s="19"/>
      <c r="AS235"/>
      <c r="AT235" s="67">
        <f t="shared" si="10"/>
        <v>0</v>
      </c>
      <c r="AU235" s="67">
        <f t="shared" si="11"/>
        <v>0</v>
      </c>
      <c r="AV235" s="66"/>
      <c r="AW235" s="12"/>
      <c r="CK235"/>
      <c r="CX235" t="s">
        <v>154</v>
      </c>
    </row>
    <row r="236" spans="1:102" s="8" customFormat="1">
      <c r="A236" s="8">
        <v>208</v>
      </c>
      <c r="B236" s="8" t="s">
        <v>12</v>
      </c>
      <c r="C236" s="8" t="s">
        <v>155</v>
      </c>
      <c r="D236" s="8" t="s">
        <v>12</v>
      </c>
      <c r="E236" s="8" t="s">
        <v>15</v>
      </c>
      <c r="I236" s="124"/>
      <c r="J236" s="95"/>
      <c r="K236" s="95"/>
      <c r="L236" s="95"/>
      <c r="M236" s="95"/>
      <c r="N236" s="95"/>
      <c r="O236" s="95"/>
      <c r="P236" s="125"/>
      <c r="Q236" s="124"/>
      <c r="R236" s="95"/>
      <c r="S236" s="95"/>
      <c r="T236" s="95"/>
      <c r="U236" s="95"/>
      <c r="V236" s="95"/>
      <c r="W236" s="95"/>
      <c r="X236" s="125"/>
      <c r="Y236" s="124"/>
      <c r="Z236" s="95"/>
      <c r="AA236" s="95"/>
      <c r="AB236" s="95"/>
      <c r="AC236" s="95"/>
      <c r="AD236" s="95"/>
      <c r="AE236" s="95"/>
      <c r="AF236" s="125"/>
      <c r="AG236" s="95"/>
      <c r="AH236" s="95"/>
      <c r="AI236" s="95"/>
      <c r="AJ236" s="95"/>
      <c r="AK236" s="95"/>
      <c r="AL236" s="95"/>
      <c r="AM236" s="95"/>
      <c r="AN236" s="125"/>
      <c r="AO236" s="95"/>
      <c r="AP236" s="68"/>
      <c r="AQ236" s="85">
        <f t="shared" si="9"/>
        <v>0</v>
      </c>
      <c r="AR236" s="102"/>
      <c r="AT236" s="67">
        <f t="shared" si="10"/>
        <v>0</v>
      </c>
      <c r="AU236" s="67">
        <f t="shared" si="11"/>
        <v>0</v>
      </c>
      <c r="AW236" s="69"/>
      <c r="AX236" s="69"/>
      <c r="AY236" s="69"/>
      <c r="AZ236" s="69"/>
      <c r="BA236" s="69"/>
      <c r="BB236" s="69"/>
      <c r="BC236" s="69"/>
      <c r="BD236" s="69"/>
      <c r="BE236" s="69"/>
      <c r="BF236" s="69"/>
      <c r="BG236" s="69"/>
      <c r="BH236" s="69"/>
      <c r="BI236" s="69"/>
      <c r="BJ236" s="69"/>
      <c r="BK236" s="69"/>
      <c r="BL236" s="69"/>
      <c r="BM236" s="69"/>
      <c r="BN236" s="69"/>
      <c r="BO236" s="69"/>
      <c r="BP236" s="69"/>
      <c r="BQ236" s="69"/>
      <c r="BR236" s="69"/>
      <c r="BS236" s="69"/>
      <c r="BT236" s="69"/>
      <c r="BU236" s="69"/>
      <c r="BV236" s="69"/>
      <c r="BW236" s="69"/>
      <c r="BX236" s="69"/>
      <c r="BY236" s="69"/>
      <c r="BZ236" s="69"/>
      <c r="CA236" s="69"/>
      <c r="CB236" s="69"/>
      <c r="CC236" s="69"/>
      <c r="CD236" s="69"/>
      <c r="CE236" s="69"/>
      <c r="CF236" s="69"/>
      <c r="CG236" s="69"/>
      <c r="CH236" s="69"/>
      <c r="CI236" s="69"/>
      <c r="CJ236" s="69"/>
      <c r="CX236" s="8">
        <v>208</v>
      </c>
    </row>
    <row r="237" spans="1:102">
      <c r="A237">
        <v>209</v>
      </c>
      <c r="B237" t="s">
        <v>13</v>
      </c>
      <c r="C237" t="s">
        <v>131</v>
      </c>
      <c r="D237" s="8" t="s">
        <v>358</v>
      </c>
      <c r="E237" s="67" t="s">
        <v>15</v>
      </c>
      <c r="I237" s="149"/>
      <c r="J237" s="96"/>
      <c r="K237" s="96"/>
      <c r="L237" s="96"/>
      <c r="M237" s="96"/>
      <c r="N237" s="96"/>
      <c r="O237" s="96"/>
      <c r="P237" s="150"/>
      <c r="Q237" s="149"/>
      <c r="R237" s="96"/>
      <c r="S237" s="96"/>
      <c r="T237" s="96"/>
      <c r="U237" s="96"/>
      <c r="V237" s="96"/>
      <c r="W237" s="96"/>
      <c r="X237" s="150"/>
      <c r="Y237" s="149"/>
      <c r="Z237" s="96"/>
      <c r="AA237" s="96"/>
      <c r="AB237" s="96"/>
      <c r="AC237" s="96"/>
      <c r="AD237" s="96"/>
      <c r="AE237" s="96"/>
      <c r="AF237" s="150"/>
      <c r="AH237" s="96"/>
      <c r="AI237" s="96"/>
      <c r="AJ237" s="96"/>
      <c r="AK237" s="96"/>
      <c r="AL237" s="96"/>
      <c r="AM237" s="96"/>
      <c r="AN237" s="150"/>
      <c r="AQ237" s="85">
        <f t="shared" si="9"/>
        <v>0</v>
      </c>
      <c r="AR237" s="19"/>
      <c r="AS237"/>
      <c r="AT237" s="67">
        <f t="shared" si="10"/>
        <v>0</v>
      </c>
      <c r="AU237" s="67">
        <f t="shared" si="11"/>
        <v>0</v>
      </c>
      <c r="AV237" s="66"/>
      <c r="AW237" s="12"/>
      <c r="BV237" s="12">
        <v>1</v>
      </c>
      <c r="CK237"/>
      <c r="CX237">
        <v>209</v>
      </c>
    </row>
    <row r="238" spans="1:102">
      <c r="A238">
        <v>210</v>
      </c>
      <c r="B238" t="s">
        <v>13</v>
      </c>
      <c r="C238" t="s">
        <v>55</v>
      </c>
      <c r="D238" s="8" t="s">
        <v>346</v>
      </c>
      <c r="E238" s="67" t="s">
        <v>15</v>
      </c>
      <c r="F238">
        <v>20</v>
      </c>
      <c r="G238">
        <v>20</v>
      </c>
      <c r="H238">
        <v>20</v>
      </c>
      <c r="I238" s="149"/>
      <c r="J238" s="96"/>
      <c r="K238" s="96" t="s">
        <v>49</v>
      </c>
      <c r="L238" s="96">
        <v>1</v>
      </c>
      <c r="M238" s="96">
        <v>1</v>
      </c>
      <c r="N238" s="96">
        <v>1</v>
      </c>
      <c r="O238" s="96">
        <v>1</v>
      </c>
      <c r="P238" s="150">
        <v>1</v>
      </c>
      <c r="Q238" s="149">
        <v>1</v>
      </c>
      <c r="R238" s="96">
        <v>1</v>
      </c>
      <c r="S238" s="96">
        <v>1</v>
      </c>
      <c r="T238" s="96">
        <v>1</v>
      </c>
      <c r="U238" s="96">
        <v>1</v>
      </c>
      <c r="V238" s="96" t="s">
        <v>49</v>
      </c>
      <c r="W238" s="96"/>
      <c r="X238" s="150"/>
      <c r="Y238" s="149"/>
      <c r="Z238" s="96"/>
      <c r="AA238" s="96" t="s">
        <v>49</v>
      </c>
      <c r="AB238" s="96">
        <v>1</v>
      </c>
      <c r="AC238" s="96">
        <v>1</v>
      </c>
      <c r="AD238" s="96">
        <v>1</v>
      </c>
      <c r="AE238" s="96">
        <v>1</v>
      </c>
      <c r="AF238" s="150">
        <v>1</v>
      </c>
      <c r="AG238" s="96">
        <v>1</v>
      </c>
      <c r="AH238" s="96">
        <v>1</v>
      </c>
      <c r="AI238" s="96">
        <v>1</v>
      </c>
      <c r="AJ238" s="96">
        <v>1</v>
      </c>
      <c r="AK238" s="96">
        <v>1</v>
      </c>
      <c r="AL238" s="95" t="s">
        <v>49</v>
      </c>
      <c r="AM238" s="96"/>
      <c r="AN238" s="150"/>
      <c r="AO238" s="96">
        <v>20</v>
      </c>
      <c r="AQ238" s="85">
        <f t="shared" si="9"/>
        <v>20</v>
      </c>
      <c r="AR238" s="19" t="s">
        <v>218</v>
      </c>
      <c r="AS238">
        <v>1</v>
      </c>
      <c r="AT238" s="67">
        <f t="shared" si="10"/>
        <v>0</v>
      </c>
      <c r="AU238" s="67">
        <f t="shared" si="11"/>
        <v>0</v>
      </c>
      <c r="AV238" s="66"/>
      <c r="AW238" s="12"/>
      <c r="CK238"/>
      <c r="CX238">
        <v>210</v>
      </c>
    </row>
    <row r="239" spans="1:102">
      <c r="A239">
        <v>211</v>
      </c>
      <c r="B239" t="s">
        <v>12</v>
      </c>
      <c r="C239" t="s">
        <v>91</v>
      </c>
      <c r="D239" s="8" t="s">
        <v>366</v>
      </c>
      <c r="E239" t="s">
        <v>6</v>
      </c>
      <c r="I239" s="149"/>
      <c r="J239" s="96"/>
      <c r="K239" s="96"/>
      <c r="L239" s="96"/>
      <c r="M239" s="96"/>
      <c r="N239" s="96"/>
      <c r="O239" s="96"/>
      <c r="P239" s="150"/>
      <c r="Q239" s="149"/>
      <c r="R239" s="96"/>
      <c r="S239" s="96"/>
      <c r="T239" s="96"/>
      <c r="U239" s="96"/>
      <c r="V239" s="96"/>
      <c r="W239" s="96"/>
      <c r="X239" s="150"/>
      <c r="Y239" s="149"/>
      <c r="Z239" s="96"/>
      <c r="AA239" s="96"/>
      <c r="AB239" s="96"/>
      <c r="AC239" s="96"/>
      <c r="AD239" s="96"/>
      <c r="AE239" s="96"/>
      <c r="AF239" s="150"/>
      <c r="AH239" s="96"/>
      <c r="AI239" s="96"/>
      <c r="AJ239" s="96"/>
      <c r="AK239" s="96"/>
      <c r="AL239" s="96"/>
      <c r="AM239" s="96"/>
      <c r="AN239" s="150"/>
      <c r="AQ239" s="85">
        <f t="shared" si="9"/>
        <v>0</v>
      </c>
      <c r="AR239" s="19"/>
      <c r="AS239"/>
      <c r="AT239" s="67">
        <f t="shared" si="10"/>
        <v>0</v>
      </c>
      <c r="AU239" s="67">
        <f t="shared" si="11"/>
        <v>0</v>
      </c>
      <c r="AV239" s="66"/>
      <c r="AW239" s="12"/>
      <c r="BK239" s="12">
        <v>1</v>
      </c>
      <c r="BO239" s="12">
        <v>1</v>
      </c>
      <c r="BV239" s="12">
        <v>1</v>
      </c>
      <c r="BW239" s="12">
        <v>1</v>
      </c>
      <c r="BY239" s="12">
        <v>1</v>
      </c>
      <c r="CK239"/>
      <c r="CX239">
        <v>211</v>
      </c>
    </row>
    <row r="240" spans="1:102" s="8" customFormat="1">
      <c r="A240" s="8">
        <v>212</v>
      </c>
      <c r="B240" s="8" t="s">
        <v>12</v>
      </c>
      <c r="C240" s="8" t="s">
        <v>62</v>
      </c>
      <c r="D240" s="8" t="s">
        <v>42</v>
      </c>
      <c r="E240" s="8" t="s">
        <v>6</v>
      </c>
      <c r="I240" s="124"/>
      <c r="J240" s="95"/>
      <c r="K240" s="95"/>
      <c r="L240" s="95"/>
      <c r="M240" s="95"/>
      <c r="N240" s="95"/>
      <c r="O240" s="95"/>
      <c r="P240" s="125"/>
      <c r="Q240" s="124"/>
      <c r="R240" s="95"/>
      <c r="S240" s="95"/>
      <c r="T240" s="95"/>
      <c r="U240" s="95"/>
      <c r="V240" s="95"/>
      <c r="W240" s="95"/>
      <c r="X240" s="125"/>
      <c r="Y240" s="124"/>
      <c r="Z240" s="95"/>
      <c r="AA240" s="95"/>
      <c r="AB240" s="95"/>
      <c r="AC240" s="95"/>
      <c r="AD240" s="95"/>
      <c r="AE240" s="95"/>
      <c r="AF240" s="125"/>
      <c r="AG240" s="95"/>
      <c r="AH240" s="95"/>
      <c r="AI240" s="95"/>
      <c r="AJ240" s="95"/>
      <c r="AK240" s="95"/>
      <c r="AL240" s="95"/>
      <c r="AM240" s="95"/>
      <c r="AN240" s="125"/>
      <c r="AO240" s="95"/>
      <c r="AP240" s="11"/>
      <c r="AQ240" s="85">
        <f t="shared" si="9"/>
        <v>0</v>
      </c>
      <c r="AR240" s="102"/>
      <c r="AT240" s="67">
        <f t="shared" si="10"/>
        <v>0</v>
      </c>
      <c r="AU240" s="67">
        <f t="shared" si="11"/>
        <v>0</v>
      </c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>
        <v>1</v>
      </c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X240" s="8">
        <v>212</v>
      </c>
    </row>
    <row r="241" spans="1:103">
      <c r="A241">
        <v>213</v>
      </c>
      <c r="B241" t="s">
        <v>12</v>
      </c>
      <c r="C241" t="s">
        <v>62</v>
      </c>
      <c r="D241" s="8" t="s">
        <v>42</v>
      </c>
      <c r="E241" t="s">
        <v>42</v>
      </c>
      <c r="F241">
        <v>30</v>
      </c>
      <c r="G241">
        <v>30</v>
      </c>
      <c r="H241">
        <v>32</v>
      </c>
      <c r="I241" s="149">
        <v>1</v>
      </c>
      <c r="J241" s="96">
        <v>1</v>
      </c>
      <c r="K241" s="96">
        <v>1</v>
      </c>
      <c r="L241" s="96">
        <v>1</v>
      </c>
      <c r="M241" s="96" t="s">
        <v>10</v>
      </c>
      <c r="N241" s="96">
        <v>1</v>
      </c>
      <c r="O241" s="96">
        <v>1</v>
      </c>
      <c r="P241" s="150">
        <v>1</v>
      </c>
      <c r="Q241" s="149">
        <v>1</v>
      </c>
      <c r="R241" s="96">
        <v>1</v>
      </c>
      <c r="S241" s="96">
        <v>1</v>
      </c>
      <c r="T241" s="96">
        <v>1</v>
      </c>
      <c r="U241" s="96">
        <v>1</v>
      </c>
      <c r="V241" s="96">
        <v>1</v>
      </c>
      <c r="W241" s="96">
        <v>1</v>
      </c>
      <c r="X241" s="150">
        <v>1</v>
      </c>
      <c r="Y241" s="149">
        <v>1</v>
      </c>
      <c r="Z241" s="96" t="s">
        <v>10</v>
      </c>
      <c r="AA241" s="96">
        <v>1</v>
      </c>
      <c r="AB241" s="96">
        <v>1</v>
      </c>
      <c r="AC241" s="96">
        <v>1</v>
      </c>
      <c r="AD241" s="96">
        <v>1</v>
      </c>
      <c r="AE241" s="96">
        <v>1</v>
      </c>
      <c r="AF241" s="150">
        <v>1</v>
      </c>
      <c r="AG241" s="96">
        <v>1</v>
      </c>
      <c r="AH241" s="96">
        <v>1</v>
      </c>
      <c r="AI241" s="96">
        <v>1</v>
      </c>
      <c r="AJ241" s="96">
        <v>1</v>
      </c>
      <c r="AK241" s="96">
        <v>1</v>
      </c>
      <c r="AL241" s="96">
        <v>1</v>
      </c>
      <c r="AM241" s="96">
        <v>1</v>
      </c>
      <c r="AN241" s="150">
        <v>1</v>
      </c>
      <c r="AP241" s="56">
        <v>30</v>
      </c>
      <c r="AQ241" s="85">
        <f t="shared" si="9"/>
        <v>30</v>
      </c>
      <c r="AR241" s="19"/>
      <c r="AS241"/>
      <c r="AT241" s="67">
        <f t="shared" si="10"/>
        <v>2</v>
      </c>
      <c r="AU241" s="67">
        <f t="shared" si="11"/>
        <v>0</v>
      </c>
      <c r="AV241" s="66"/>
      <c r="AW241" s="12">
        <v>1</v>
      </c>
      <c r="AX241" s="12">
        <v>1</v>
      </c>
      <c r="AY241" s="12">
        <v>1</v>
      </c>
      <c r="AZ241" s="12">
        <v>1</v>
      </c>
      <c r="BA241" s="12">
        <v>1</v>
      </c>
      <c r="BB241" s="12">
        <v>1</v>
      </c>
      <c r="BD241" s="12">
        <v>1</v>
      </c>
      <c r="BE241" s="12">
        <v>1</v>
      </c>
      <c r="BK241" s="12">
        <v>1</v>
      </c>
      <c r="BO241" s="12">
        <v>1</v>
      </c>
      <c r="BQ241" s="12">
        <v>2</v>
      </c>
      <c r="BV241" s="12">
        <v>1</v>
      </c>
      <c r="BW241" s="12">
        <v>1</v>
      </c>
      <c r="BY241" s="12">
        <v>1</v>
      </c>
      <c r="BZ241" s="12">
        <v>2</v>
      </c>
      <c r="CK241">
        <v>1</v>
      </c>
      <c r="CX241">
        <v>213</v>
      </c>
    </row>
    <row r="242" spans="1:103">
      <c r="A242">
        <v>214</v>
      </c>
      <c r="B242" t="s">
        <v>13</v>
      </c>
      <c r="C242" t="s">
        <v>63</v>
      </c>
      <c r="D242" s="8" t="s">
        <v>346</v>
      </c>
      <c r="E242" s="67" t="s">
        <v>15</v>
      </c>
      <c r="F242">
        <v>10</v>
      </c>
      <c r="G242">
        <v>12</v>
      </c>
      <c r="H242">
        <v>12</v>
      </c>
      <c r="I242" s="149"/>
      <c r="J242" s="96"/>
      <c r="K242" s="96" t="s">
        <v>49</v>
      </c>
      <c r="L242" s="96" t="s">
        <v>49</v>
      </c>
      <c r="M242" s="96">
        <v>1</v>
      </c>
      <c r="N242" s="95" t="s">
        <v>49</v>
      </c>
      <c r="O242" s="95">
        <v>1</v>
      </c>
      <c r="P242" s="150" t="s">
        <v>9</v>
      </c>
      <c r="Q242" s="149" t="s">
        <v>9</v>
      </c>
      <c r="R242" s="95">
        <v>1</v>
      </c>
      <c r="S242" s="95" t="s">
        <v>49</v>
      </c>
      <c r="T242" s="95">
        <v>1</v>
      </c>
      <c r="U242" s="95" t="s">
        <v>49</v>
      </c>
      <c r="V242" s="95" t="s">
        <v>49</v>
      </c>
      <c r="W242" s="96"/>
      <c r="X242" s="150"/>
      <c r="Y242" s="149"/>
      <c r="Z242" s="96"/>
      <c r="AA242" s="96" t="s">
        <v>49</v>
      </c>
      <c r="AB242" s="96" t="s">
        <v>49</v>
      </c>
      <c r="AC242" s="96">
        <v>1</v>
      </c>
      <c r="AD242" s="95" t="s">
        <v>49</v>
      </c>
      <c r="AE242" s="95">
        <v>1</v>
      </c>
      <c r="AF242" s="150">
        <v>1</v>
      </c>
      <c r="AG242" s="96">
        <v>1</v>
      </c>
      <c r="AH242" s="95">
        <v>1</v>
      </c>
      <c r="AI242" s="95" t="s">
        <v>49</v>
      </c>
      <c r="AJ242" s="95">
        <v>1</v>
      </c>
      <c r="AK242" s="95" t="s">
        <v>49</v>
      </c>
      <c r="AL242" s="95" t="s">
        <v>49</v>
      </c>
      <c r="AM242" s="96"/>
      <c r="AN242" s="150"/>
      <c r="AO242" s="96">
        <v>10</v>
      </c>
      <c r="AQ242" s="85">
        <f t="shared" si="9"/>
        <v>10</v>
      </c>
      <c r="AR242" s="19"/>
      <c r="AS242"/>
      <c r="AT242" s="67">
        <f t="shared" si="10"/>
        <v>0</v>
      </c>
      <c r="AU242" s="67">
        <f t="shared" si="11"/>
        <v>2</v>
      </c>
      <c r="AV242" s="66"/>
      <c r="AW242" s="12"/>
      <c r="CK242"/>
      <c r="CX242">
        <v>214</v>
      </c>
    </row>
    <row r="243" spans="1:103" ht="18" customHeight="1">
      <c r="A243">
        <v>215</v>
      </c>
      <c r="B243" t="s">
        <v>13</v>
      </c>
      <c r="C243" s="14" t="s">
        <v>321</v>
      </c>
      <c r="D243" s="59" t="s">
        <v>325</v>
      </c>
      <c r="E243" s="67" t="s">
        <v>15</v>
      </c>
      <c r="I243" s="149"/>
      <c r="J243" s="96"/>
      <c r="K243" s="96"/>
      <c r="L243" s="96"/>
      <c r="M243" s="96"/>
      <c r="N243" s="96"/>
      <c r="O243" s="96"/>
      <c r="P243" s="150"/>
      <c r="Q243" s="149"/>
      <c r="R243" s="96"/>
      <c r="S243" s="96"/>
      <c r="T243" s="96"/>
      <c r="U243" s="96"/>
      <c r="V243" s="96"/>
      <c r="W243" s="96"/>
      <c r="X243" s="150"/>
      <c r="Y243" s="149"/>
      <c r="Z243" s="96"/>
      <c r="AA243" s="96"/>
      <c r="AB243" s="96"/>
      <c r="AC243" s="96"/>
      <c r="AD243" s="96"/>
      <c r="AE243" s="96"/>
      <c r="AF243" s="150"/>
      <c r="AH243" s="96"/>
      <c r="AI243" s="96"/>
      <c r="AJ243" s="96"/>
      <c r="AK243" s="96"/>
      <c r="AL243" s="96"/>
      <c r="AM243" s="96"/>
      <c r="AN243" s="150"/>
      <c r="AQ243" s="85">
        <f t="shared" si="9"/>
        <v>0</v>
      </c>
      <c r="AR243" s="19"/>
      <c r="AS243"/>
      <c r="AT243" s="67">
        <f t="shared" si="10"/>
        <v>0</v>
      </c>
      <c r="AU243" s="67">
        <f t="shared" si="11"/>
        <v>0</v>
      </c>
      <c r="AV243" s="66"/>
      <c r="AW243" s="12"/>
      <c r="CK243"/>
      <c r="CX243">
        <v>215</v>
      </c>
    </row>
    <row r="244" spans="1:103">
      <c r="A244">
        <v>216</v>
      </c>
      <c r="B244" t="s">
        <v>12</v>
      </c>
      <c r="C244" s="7" t="s">
        <v>71</v>
      </c>
      <c r="D244" s="8" t="s">
        <v>366</v>
      </c>
      <c r="E244" s="7" t="s">
        <v>42</v>
      </c>
      <c r="F244">
        <v>24</v>
      </c>
      <c r="G244">
        <v>25</v>
      </c>
      <c r="H244">
        <v>30</v>
      </c>
      <c r="I244" s="149"/>
      <c r="J244" s="96" t="s">
        <v>10</v>
      </c>
      <c r="K244" s="96">
        <v>1</v>
      </c>
      <c r="L244" s="96">
        <v>1</v>
      </c>
      <c r="M244" s="95">
        <v>1</v>
      </c>
      <c r="N244" s="95">
        <v>1</v>
      </c>
      <c r="O244" s="95">
        <v>1</v>
      </c>
      <c r="P244" s="150">
        <v>1</v>
      </c>
      <c r="Q244" s="149">
        <v>1</v>
      </c>
      <c r="R244" s="95">
        <v>1</v>
      </c>
      <c r="S244" s="95">
        <v>1</v>
      </c>
      <c r="T244" s="95">
        <v>1</v>
      </c>
      <c r="U244" s="95" t="s">
        <v>9</v>
      </c>
      <c r="V244" s="95" t="s">
        <v>10</v>
      </c>
      <c r="W244" s="95" t="s">
        <v>10</v>
      </c>
      <c r="X244" s="150"/>
      <c r="Y244" s="124">
        <v>1</v>
      </c>
      <c r="Z244" s="95">
        <v>1</v>
      </c>
      <c r="AA244" s="95">
        <v>1</v>
      </c>
      <c r="AB244" s="95">
        <v>1</v>
      </c>
      <c r="AC244" s="95">
        <v>1</v>
      </c>
      <c r="AD244" s="95">
        <v>1</v>
      </c>
      <c r="AE244" s="95">
        <v>1</v>
      </c>
      <c r="AF244" s="125">
        <v>1</v>
      </c>
      <c r="AG244" s="95">
        <v>1</v>
      </c>
      <c r="AH244" s="95">
        <v>1</v>
      </c>
      <c r="AI244" s="95">
        <v>1</v>
      </c>
      <c r="AJ244" s="95">
        <v>1</v>
      </c>
      <c r="AK244" s="95" t="s">
        <v>10</v>
      </c>
      <c r="AL244" s="95" t="s">
        <v>10</v>
      </c>
      <c r="AM244" s="95">
        <v>1</v>
      </c>
      <c r="AN244" s="125">
        <v>1</v>
      </c>
      <c r="AO244" s="95"/>
      <c r="AP244" s="11">
        <v>24</v>
      </c>
      <c r="AQ244" s="85">
        <f t="shared" si="9"/>
        <v>24</v>
      </c>
      <c r="AR244" s="19" t="s">
        <v>224</v>
      </c>
      <c r="AS244"/>
      <c r="AT244" s="67">
        <f t="shared" si="10"/>
        <v>5</v>
      </c>
      <c r="AU244" s="67">
        <f t="shared" si="11"/>
        <v>1</v>
      </c>
      <c r="AV244" s="66"/>
      <c r="AW244" s="12">
        <v>1</v>
      </c>
      <c r="AX244" s="12">
        <v>1</v>
      </c>
      <c r="AY244" s="12">
        <v>1</v>
      </c>
      <c r="BA244" s="12">
        <v>1</v>
      </c>
      <c r="BB244" s="12">
        <v>1</v>
      </c>
      <c r="BG244" s="12">
        <v>2</v>
      </c>
      <c r="BK244" s="12">
        <v>1</v>
      </c>
      <c r="BO244" s="12">
        <v>1</v>
      </c>
      <c r="BP244" s="12">
        <v>1</v>
      </c>
      <c r="BQ244" s="12">
        <v>1</v>
      </c>
      <c r="BR244" s="12">
        <v>1</v>
      </c>
      <c r="BV244" s="12">
        <v>1</v>
      </c>
      <c r="BW244" s="12">
        <v>1</v>
      </c>
      <c r="BX244" s="12">
        <v>1</v>
      </c>
      <c r="BY244" s="12">
        <v>1</v>
      </c>
      <c r="BZ244" s="12">
        <v>2</v>
      </c>
      <c r="CK244"/>
      <c r="CL244">
        <v>1</v>
      </c>
      <c r="CN244">
        <v>1</v>
      </c>
      <c r="CX244">
        <v>216</v>
      </c>
    </row>
    <row r="245" spans="1:103">
      <c r="A245">
        <v>217</v>
      </c>
      <c r="B245" t="s">
        <v>12</v>
      </c>
      <c r="C245" s="7" t="s">
        <v>40</v>
      </c>
      <c r="D245" s="8" t="s">
        <v>40</v>
      </c>
      <c r="E245" t="s">
        <v>6</v>
      </c>
      <c r="I245" s="149"/>
      <c r="J245" s="96"/>
      <c r="K245" s="96"/>
      <c r="L245" s="96"/>
      <c r="M245" s="96"/>
      <c r="N245" s="96"/>
      <c r="O245" s="96"/>
      <c r="P245" s="150"/>
      <c r="Q245" s="149"/>
      <c r="R245" s="96"/>
      <c r="S245" s="96"/>
      <c r="T245" s="96"/>
      <c r="U245" s="96"/>
      <c r="V245" s="96"/>
      <c r="W245" s="96"/>
      <c r="X245" s="150"/>
      <c r="Y245" s="149"/>
      <c r="Z245" s="96"/>
      <c r="AA245" s="96"/>
      <c r="AB245" s="96"/>
      <c r="AC245" s="96"/>
      <c r="AD245" s="96"/>
      <c r="AE245" s="96"/>
      <c r="AF245" s="150"/>
      <c r="AH245" s="96"/>
      <c r="AI245" s="96"/>
      <c r="AJ245" s="96"/>
      <c r="AK245" s="96"/>
      <c r="AL245" s="96"/>
      <c r="AM245" s="96"/>
      <c r="AN245" s="150"/>
      <c r="AQ245" s="85">
        <f t="shared" si="9"/>
        <v>0</v>
      </c>
      <c r="AR245" s="19"/>
      <c r="AS245"/>
      <c r="AT245" s="67">
        <f t="shared" si="10"/>
        <v>0</v>
      </c>
      <c r="AU245" s="67">
        <f t="shared" si="11"/>
        <v>0</v>
      </c>
      <c r="AV245" s="66"/>
      <c r="AW245" s="12"/>
      <c r="CK245"/>
      <c r="CX245">
        <v>217</v>
      </c>
    </row>
    <row r="246" spans="1:103">
      <c r="A246">
        <v>218</v>
      </c>
      <c r="B246" t="s">
        <v>12</v>
      </c>
      <c r="C246" s="7" t="s">
        <v>40</v>
      </c>
      <c r="D246" s="8" t="s">
        <v>40</v>
      </c>
      <c r="E246" t="s">
        <v>153</v>
      </c>
      <c r="I246" s="149"/>
      <c r="J246" s="96"/>
      <c r="K246" s="96"/>
      <c r="L246" s="96"/>
      <c r="M246" s="96"/>
      <c r="N246" s="96"/>
      <c r="O246" s="96"/>
      <c r="P246" s="150"/>
      <c r="Q246" s="149"/>
      <c r="R246" s="96"/>
      <c r="S246" s="96"/>
      <c r="T246" s="96"/>
      <c r="U246" s="96"/>
      <c r="V246" s="96"/>
      <c r="W246" s="96"/>
      <c r="X246" s="150"/>
      <c r="Y246" s="149"/>
      <c r="Z246" s="96"/>
      <c r="AA246" s="96"/>
      <c r="AB246" s="96"/>
      <c r="AC246" s="96"/>
      <c r="AD246" s="96"/>
      <c r="AE246" s="96"/>
      <c r="AF246" s="150"/>
      <c r="AH246" s="96"/>
      <c r="AI246" s="96"/>
      <c r="AJ246" s="96"/>
      <c r="AK246" s="96"/>
      <c r="AL246" s="96"/>
      <c r="AM246" s="96"/>
      <c r="AN246" s="150"/>
      <c r="AQ246" s="85">
        <f t="shared" si="9"/>
        <v>0</v>
      </c>
      <c r="AR246" s="19"/>
      <c r="AS246"/>
      <c r="AT246" s="67">
        <f t="shared" si="10"/>
        <v>0</v>
      </c>
      <c r="AU246" s="67">
        <f t="shared" si="11"/>
        <v>0</v>
      </c>
      <c r="AV246" s="66"/>
      <c r="AW246" s="12"/>
      <c r="BK246" s="12">
        <v>1</v>
      </c>
      <c r="CK246"/>
      <c r="CX246">
        <v>218</v>
      </c>
    </row>
    <row r="247" spans="1:103">
      <c r="A247">
        <v>219</v>
      </c>
      <c r="B247" t="s">
        <v>12</v>
      </c>
      <c r="C247" s="7" t="s">
        <v>106</v>
      </c>
      <c r="D247" s="8" t="s">
        <v>349</v>
      </c>
      <c r="E247" s="7" t="s">
        <v>6</v>
      </c>
      <c r="F247">
        <v>2</v>
      </c>
      <c r="G247">
        <v>3</v>
      </c>
      <c r="H247" t="s">
        <v>15</v>
      </c>
      <c r="I247" s="149" t="s">
        <v>15</v>
      </c>
      <c r="J247" s="96" t="s">
        <v>10</v>
      </c>
      <c r="K247" s="96" t="s">
        <v>10</v>
      </c>
      <c r="L247" s="96" t="s">
        <v>10</v>
      </c>
      <c r="M247" s="96" t="s">
        <v>10</v>
      </c>
      <c r="N247" s="96" t="s">
        <v>10</v>
      </c>
      <c r="O247" s="96" t="s">
        <v>10</v>
      </c>
      <c r="P247" s="150" t="s">
        <v>10</v>
      </c>
      <c r="Q247" s="149" t="s">
        <v>10</v>
      </c>
      <c r="R247" s="96" t="s">
        <v>10</v>
      </c>
      <c r="S247" s="95" t="s">
        <v>9</v>
      </c>
      <c r="T247" s="96" t="s">
        <v>10</v>
      </c>
      <c r="U247" s="96" t="s">
        <v>10</v>
      </c>
      <c r="V247" s="96" t="s">
        <v>10</v>
      </c>
      <c r="W247" s="96" t="s">
        <v>10</v>
      </c>
      <c r="X247" s="150" t="s">
        <v>15</v>
      </c>
      <c r="Y247" s="149" t="s">
        <v>15</v>
      </c>
      <c r="Z247" s="96" t="s">
        <v>10</v>
      </c>
      <c r="AA247" s="96" t="s">
        <v>10</v>
      </c>
      <c r="AB247" s="96" t="s">
        <v>10</v>
      </c>
      <c r="AC247" s="96" t="s">
        <v>10</v>
      </c>
      <c r="AD247" s="96" t="s">
        <v>10</v>
      </c>
      <c r="AE247" s="96" t="s">
        <v>10</v>
      </c>
      <c r="AF247" s="150" t="s">
        <v>10</v>
      </c>
      <c r="AG247" s="96" t="s">
        <v>10</v>
      </c>
      <c r="AH247" s="96" t="s">
        <v>10</v>
      </c>
      <c r="AI247" s="95">
        <v>1</v>
      </c>
      <c r="AJ247" s="95">
        <v>1</v>
      </c>
      <c r="AK247" s="96" t="s">
        <v>10</v>
      </c>
      <c r="AL247" s="96" t="s">
        <v>10</v>
      </c>
      <c r="AM247" s="96" t="s">
        <v>10</v>
      </c>
      <c r="AN247" s="150" t="s">
        <v>15</v>
      </c>
      <c r="AP247" s="56">
        <v>2</v>
      </c>
      <c r="AQ247" s="85">
        <f t="shared" si="9"/>
        <v>2</v>
      </c>
      <c r="AR247" s="19"/>
      <c r="AS247"/>
      <c r="AT247" s="67">
        <f t="shared" si="10"/>
        <v>25</v>
      </c>
      <c r="AU247" s="67">
        <f t="shared" si="11"/>
        <v>1</v>
      </c>
      <c r="AV247" s="66"/>
      <c r="AW247" s="12">
        <v>1</v>
      </c>
      <c r="AY247" s="12">
        <v>1</v>
      </c>
      <c r="BB247" s="12">
        <v>1</v>
      </c>
      <c r="BD247" s="12">
        <v>1</v>
      </c>
      <c r="BK247" s="12" t="s">
        <v>326</v>
      </c>
      <c r="BS247" s="12" t="s">
        <v>326</v>
      </c>
      <c r="BV247" s="12">
        <v>1</v>
      </c>
      <c r="BW247" s="12">
        <v>1</v>
      </c>
      <c r="BY247" s="12">
        <v>1</v>
      </c>
      <c r="BZ247" s="12" t="s">
        <v>326</v>
      </c>
      <c r="CC247" s="12" t="s">
        <v>326</v>
      </c>
      <c r="CK247"/>
      <c r="CS247" t="s">
        <v>326</v>
      </c>
      <c r="CX247">
        <v>219</v>
      </c>
      <c r="CY247" t="s">
        <v>225</v>
      </c>
    </row>
    <row r="248" spans="1:103" ht="15" customHeight="1">
      <c r="A248">
        <v>220</v>
      </c>
      <c r="B248" t="s">
        <v>12</v>
      </c>
      <c r="C248" s="7" t="s">
        <v>71</v>
      </c>
      <c r="D248" s="8" t="s">
        <v>366</v>
      </c>
      <c r="E248" s="7" t="s">
        <v>6</v>
      </c>
      <c r="F248">
        <v>24</v>
      </c>
      <c r="G248">
        <v>30</v>
      </c>
      <c r="H248" t="s">
        <v>15</v>
      </c>
      <c r="I248" s="149" t="s">
        <v>9</v>
      </c>
      <c r="J248" s="96">
        <v>1</v>
      </c>
      <c r="K248" s="96" t="s">
        <v>9</v>
      </c>
      <c r="L248" s="95">
        <v>1</v>
      </c>
      <c r="M248" s="95">
        <v>1</v>
      </c>
      <c r="N248" s="95">
        <v>1</v>
      </c>
      <c r="O248" s="95">
        <v>1</v>
      </c>
      <c r="P248" s="125">
        <v>1</v>
      </c>
      <c r="Q248" s="149" t="s">
        <v>9</v>
      </c>
      <c r="R248" s="95" t="s">
        <v>9</v>
      </c>
      <c r="S248" s="95">
        <v>1</v>
      </c>
      <c r="T248" s="95" t="s">
        <v>9</v>
      </c>
      <c r="U248" s="95" t="s">
        <v>9</v>
      </c>
      <c r="V248" s="95" t="s">
        <v>9</v>
      </c>
      <c r="W248" s="95" t="s">
        <v>9</v>
      </c>
      <c r="X248" s="150" t="s">
        <v>15</v>
      </c>
      <c r="Y248" s="124">
        <v>1</v>
      </c>
      <c r="Z248" s="95">
        <v>1</v>
      </c>
      <c r="AA248" s="95">
        <v>1</v>
      </c>
      <c r="AB248" s="95">
        <v>1</v>
      </c>
      <c r="AC248" s="95">
        <v>1</v>
      </c>
      <c r="AD248" s="95">
        <v>1</v>
      </c>
      <c r="AE248" s="95">
        <v>1</v>
      </c>
      <c r="AF248" s="125">
        <v>1</v>
      </c>
      <c r="AG248" s="95">
        <v>1</v>
      </c>
      <c r="AH248" s="95">
        <v>1</v>
      </c>
      <c r="AI248" s="95">
        <v>1</v>
      </c>
      <c r="AJ248" s="95">
        <v>1</v>
      </c>
      <c r="AK248" s="95">
        <v>1</v>
      </c>
      <c r="AL248" s="95">
        <v>1</v>
      </c>
      <c r="AM248" s="95">
        <v>1</v>
      </c>
      <c r="AN248" s="150" t="s">
        <v>10</v>
      </c>
      <c r="AP248" s="56">
        <v>22</v>
      </c>
      <c r="AQ248" s="85">
        <f t="shared" si="9"/>
        <v>22</v>
      </c>
      <c r="AR248" s="19"/>
      <c r="AS248"/>
      <c r="AT248" s="67">
        <f t="shared" si="10"/>
        <v>1</v>
      </c>
      <c r="AU248" s="67">
        <f t="shared" si="11"/>
        <v>8</v>
      </c>
      <c r="AV248" s="66"/>
      <c r="AW248" s="12">
        <v>1</v>
      </c>
      <c r="AX248" s="12">
        <v>1</v>
      </c>
      <c r="AY248" s="12">
        <v>1</v>
      </c>
      <c r="BA248" s="12">
        <v>1</v>
      </c>
      <c r="BB248" s="12">
        <v>1</v>
      </c>
      <c r="BK248" s="12">
        <v>1</v>
      </c>
      <c r="BQ248" s="12">
        <v>2</v>
      </c>
      <c r="BY248" s="12">
        <v>1</v>
      </c>
      <c r="CK248"/>
      <c r="CX248">
        <v>220</v>
      </c>
    </row>
    <row r="249" spans="1:103" s="8" customFormat="1">
      <c r="A249" s="8" t="s">
        <v>157</v>
      </c>
      <c r="B249" s="8" t="s">
        <v>13</v>
      </c>
      <c r="C249" s="8" t="s">
        <v>14</v>
      </c>
      <c r="D249" s="8" t="s">
        <v>345</v>
      </c>
      <c r="E249" s="67" t="s">
        <v>15</v>
      </c>
      <c r="I249" s="124"/>
      <c r="J249" s="95"/>
      <c r="K249" s="95"/>
      <c r="L249" s="95"/>
      <c r="M249" s="95"/>
      <c r="N249" s="95"/>
      <c r="O249" s="95"/>
      <c r="P249" s="125"/>
      <c r="Q249" s="124"/>
      <c r="R249" s="95"/>
      <c r="S249" s="95"/>
      <c r="T249" s="95"/>
      <c r="U249" s="95"/>
      <c r="V249" s="95"/>
      <c r="W249" s="95"/>
      <c r="X249" s="125"/>
      <c r="Y249" s="124"/>
      <c r="Z249" s="95"/>
      <c r="AA249" s="95"/>
      <c r="AB249" s="95"/>
      <c r="AC249" s="95"/>
      <c r="AD249" s="95"/>
      <c r="AE249" s="95"/>
      <c r="AF249" s="125"/>
      <c r="AG249" s="95"/>
      <c r="AH249" s="95"/>
      <c r="AI249" s="95"/>
      <c r="AJ249" s="95"/>
      <c r="AK249" s="95"/>
      <c r="AL249" s="95"/>
      <c r="AM249" s="95"/>
      <c r="AN249" s="125"/>
      <c r="AO249" s="95"/>
      <c r="AP249" s="11"/>
      <c r="AQ249" s="85">
        <f t="shared" si="9"/>
        <v>0</v>
      </c>
      <c r="AR249" s="102"/>
      <c r="AT249" s="67">
        <f t="shared" si="10"/>
        <v>0</v>
      </c>
      <c r="AU249" s="67">
        <f t="shared" si="11"/>
        <v>0</v>
      </c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>
        <v>1</v>
      </c>
      <c r="CF249" s="13"/>
      <c r="CG249" s="13"/>
      <c r="CH249" s="13"/>
      <c r="CI249" s="13"/>
      <c r="CJ249" s="13"/>
      <c r="CX249" s="8" t="s">
        <v>157</v>
      </c>
    </row>
    <row r="250" spans="1:103" s="8" customFormat="1">
      <c r="A250" s="8" t="s">
        <v>158</v>
      </c>
      <c r="B250" s="8" t="s">
        <v>13</v>
      </c>
      <c r="C250" s="8" t="s">
        <v>118</v>
      </c>
      <c r="D250" s="8" t="s">
        <v>345</v>
      </c>
      <c r="E250" s="67" t="s">
        <v>15</v>
      </c>
      <c r="I250" s="124"/>
      <c r="J250" s="95"/>
      <c r="K250" s="95"/>
      <c r="L250" s="95"/>
      <c r="M250" s="95"/>
      <c r="N250" s="95"/>
      <c r="O250" s="95"/>
      <c r="P250" s="125"/>
      <c r="Q250" s="124"/>
      <c r="R250" s="95"/>
      <c r="S250" s="95"/>
      <c r="T250" s="95"/>
      <c r="U250" s="95"/>
      <c r="V250" s="95"/>
      <c r="W250" s="95"/>
      <c r="X250" s="125"/>
      <c r="Y250" s="124"/>
      <c r="Z250" s="95"/>
      <c r="AA250" s="95"/>
      <c r="AB250" s="95"/>
      <c r="AC250" s="95"/>
      <c r="AD250" s="95"/>
      <c r="AE250" s="95"/>
      <c r="AF250" s="125"/>
      <c r="AG250" s="95"/>
      <c r="AH250" s="95"/>
      <c r="AI250" s="95"/>
      <c r="AJ250" s="95"/>
      <c r="AK250" s="95"/>
      <c r="AL250" s="95"/>
      <c r="AM250" s="95"/>
      <c r="AN250" s="125"/>
      <c r="AO250" s="95"/>
      <c r="AP250" s="11"/>
      <c r="AQ250" s="85">
        <f t="shared" si="9"/>
        <v>0</v>
      </c>
      <c r="AR250" s="102"/>
      <c r="AT250" s="67">
        <f t="shared" si="10"/>
        <v>0</v>
      </c>
      <c r="AU250" s="67">
        <f t="shared" si="11"/>
        <v>0</v>
      </c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  <c r="CC250" s="13"/>
      <c r="CD250" s="13"/>
      <c r="CE250" s="13"/>
      <c r="CF250" s="13"/>
      <c r="CG250" s="13"/>
      <c r="CH250" s="13"/>
      <c r="CI250" s="13"/>
      <c r="CJ250" s="13"/>
      <c r="CX250" s="8" t="s">
        <v>158</v>
      </c>
    </row>
    <row r="251" spans="1:103" s="8" customFormat="1">
      <c r="A251" s="8">
        <v>222</v>
      </c>
      <c r="B251" s="8" t="s">
        <v>13</v>
      </c>
      <c r="C251" s="8" t="s">
        <v>131</v>
      </c>
      <c r="D251" s="8" t="s">
        <v>358</v>
      </c>
      <c r="E251" s="67" t="s">
        <v>15</v>
      </c>
      <c r="F251" s="8">
        <v>17</v>
      </c>
      <c r="G251" s="8">
        <v>28</v>
      </c>
      <c r="H251" s="8">
        <v>28</v>
      </c>
      <c r="I251" s="124" t="s">
        <v>49</v>
      </c>
      <c r="J251" s="95">
        <v>1</v>
      </c>
      <c r="K251" s="95">
        <v>1</v>
      </c>
      <c r="L251" s="95" t="s">
        <v>9</v>
      </c>
      <c r="M251" s="95" t="s">
        <v>9</v>
      </c>
      <c r="N251" s="95" t="s">
        <v>9</v>
      </c>
      <c r="O251" s="95" t="s">
        <v>9</v>
      </c>
      <c r="P251" s="125" t="s">
        <v>9</v>
      </c>
      <c r="Q251" s="124" t="s">
        <v>9</v>
      </c>
      <c r="R251" s="95" t="s">
        <v>9</v>
      </c>
      <c r="S251" s="95" t="s">
        <v>9</v>
      </c>
      <c r="T251" s="95" t="s">
        <v>9</v>
      </c>
      <c r="U251" s="95" t="s">
        <v>9</v>
      </c>
      <c r="V251" s="95" t="s">
        <v>9</v>
      </c>
      <c r="W251" s="95">
        <v>1</v>
      </c>
      <c r="X251" s="125" t="s">
        <v>49</v>
      </c>
      <c r="Y251" s="124" t="s">
        <v>49</v>
      </c>
      <c r="Z251" s="95">
        <v>1</v>
      </c>
      <c r="AA251" s="95">
        <v>1</v>
      </c>
      <c r="AB251" s="95">
        <v>1</v>
      </c>
      <c r="AC251" s="95">
        <v>1</v>
      </c>
      <c r="AD251" s="95">
        <v>1</v>
      </c>
      <c r="AE251" s="95">
        <v>1</v>
      </c>
      <c r="AF251" s="125">
        <v>1</v>
      </c>
      <c r="AG251" s="95">
        <v>1</v>
      </c>
      <c r="AH251" s="95">
        <v>1</v>
      </c>
      <c r="AI251" s="95">
        <v>1</v>
      </c>
      <c r="AJ251" s="95">
        <v>1</v>
      </c>
      <c r="AK251" s="95">
        <v>1</v>
      </c>
      <c r="AL251" s="95">
        <v>1</v>
      </c>
      <c r="AM251" s="95">
        <v>1</v>
      </c>
      <c r="AN251" s="125"/>
      <c r="AO251" s="95"/>
      <c r="AP251" s="11">
        <v>17</v>
      </c>
      <c r="AQ251" s="85">
        <f t="shared" si="9"/>
        <v>17</v>
      </c>
      <c r="AR251" s="102" t="s">
        <v>50</v>
      </c>
      <c r="AT251" s="67">
        <f t="shared" si="10"/>
        <v>0</v>
      </c>
      <c r="AU251" s="67">
        <f t="shared" si="11"/>
        <v>11</v>
      </c>
      <c r="AW251" s="13"/>
      <c r="AX251" s="13"/>
      <c r="AY251" s="13"/>
      <c r="AZ251" s="13"/>
      <c r="BA251" s="13">
        <v>1</v>
      </c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  <c r="CC251" s="13"/>
      <c r="CD251" s="13"/>
      <c r="CE251" s="13"/>
      <c r="CF251" s="13"/>
      <c r="CG251" s="13"/>
      <c r="CH251" s="13"/>
      <c r="CI251" s="13"/>
      <c r="CJ251" s="13"/>
      <c r="CX251" s="8">
        <v>222</v>
      </c>
    </row>
    <row r="252" spans="1:103">
      <c r="A252">
        <v>224</v>
      </c>
      <c r="B252" s="8" t="s">
        <v>13</v>
      </c>
      <c r="C252" s="8" t="s">
        <v>68</v>
      </c>
      <c r="D252" s="8" t="s">
        <v>357</v>
      </c>
      <c r="E252" s="67" t="s">
        <v>15</v>
      </c>
      <c r="F252">
        <v>24</v>
      </c>
      <c r="G252">
        <v>24</v>
      </c>
      <c r="H252">
        <v>24</v>
      </c>
      <c r="I252" s="149"/>
      <c r="J252" s="96" t="s">
        <v>49</v>
      </c>
      <c r="K252" s="95">
        <v>1</v>
      </c>
      <c r="L252" s="95">
        <v>1</v>
      </c>
      <c r="M252" s="95">
        <v>1</v>
      </c>
      <c r="N252" s="95">
        <v>1</v>
      </c>
      <c r="O252" s="95">
        <v>1</v>
      </c>
      <c r="P252" s="125">
        <v>1</v>
      </c>
      <c r="Q252" s="124">
        <v>1</v>
      </c>
      <c r="R252" s="95">
        <v>1</v>
      </c>
      <c r="S252" s="95">
        <v>1</v>
      </c>
      <c r="T252" s="95">
        <v>1</v>
      </c>
      <c r="U252" s="95">
        <v>1</v>
      </c>
      <c r="V252" s="95">
        <v>1</v>
      </c>
      <c r="W252" s="95" t="s">
        <v>49</v>
      </c>
      <c r="X252" s="150"/>
      <c r="Y252" s="149"/>
      <c r="Z252" s="95" t="s">
        <v>49</v>
      </c>
      <c r="AA252" s="95">
        <v>1</v>
      </c>
      <c r="AB252" s="95">
        <v>1</v>
      </c>
      <c r="AC252" s="95">
        <v>1</v>
      </c>
      <c r="AD252" s="95">
        <v>1</v>
      </c>
      <c r="AE252" s="95">
        <v>1</v>
      </c>
      <c r="AF252" s="125">
        <v>1</v>
      </c>
      <c r="AG252" s="95">
        <v>1</v>
      </c>
      <c r="AH252" s="95">
        <v>1</v>
      </c>
      <c r="AI252" s="95">
        <v>1</v>
      </c>
      <c r="AJ252" s="95">
        <v>1</v>
      </c>
      <c r="AK252" s="95">
        <v>1</v>
      </c>
      <c r="AL252" s="95">
        <v>1</v>
      </c>
      <c r="AM252" s="95" t="s">
        <v>49</v>
      </c>
      <c r="AN252" s="150"/>
      <c r="AO252" s="96">
        <v>12</v>
      </c>
      <c r="AP252" s="56">
        <v>12</v>
      </c>
      <c r="AQ252" s="85">
        <f t="shared" si="9"/>
        <v>24</v>
      </c>
      <c r="AR252" s="19" t="s">
        <v>159</v>
      </c>
      <c r="AS252">
        <v>1</v>
      </c>
      <c r="AT252" s="67">
        <f t="shared" si="10"/>
        <v>0</v>
      </c>
      <c r="AU252" s="67">
        <f t="shared" si="11"/>
        <v>0</v>
      </c>
      <c r="AV252" s="66"/>
      <c r="AW252" s="12"/>
      <c r="AZ252" s="12">
        <v>1</v>
      </c>
      <c r="BA252" s="12">
        <v>1</v>
      </c>
      <c r="CK252"/>
      <c r="CX252">
        <v>224</v>
      </c>
    </row>
    <row r="253" spans="1:103">
      <c r="A253">
        <v>225</v>
      </c>
      <c r="B253" s="8" t="s">
        <v>12</v>
      </c>
      <c r="C253" s="8" t="s">
        <v>40</v>
      </c>
      <c r="D253" s="8" t="s">
        <v>40</v>
      </c>
      <c r="E253" t="s">
        <v>6</v>
      </c>
      <c r="I253" s="149"/>
      <c r="J253" s="96"/>
      <c r="K253" s="96"/>
      <c r="L253" s="96"/>
      <c r="M253" s="96"/>
      <c r="N253" s="96"/>
      <c r="O253" s="96"/>
      <c r="P253" s="150"/>
      <c r="Q253" s="149"/>
      <c r="R253" s="96"/>
      <c r="S253" s="96"/>
      <c r="T253" s="96"/>
      <c r="U253" s="96"/>
      <c r="V253" s="96"/>
      <c r="W253" s="96"/>
      <c r="X253" s="150"/>
      <c r="Y253" s="149"/>
      <c r="Z253" s="96"/>
      <c r="AA253" s="96"/>
      <c r="AB253" s="96"/>
      <c r="AC253" s="96"/>
      <c r="AD253" s="96"/>
      <c r="AE253" s="96"/>
      <c r="AF253" s="150"/>
      <c r="AH253" s="96"/>
      <c r="AI253" s="96"/>
      <c r="AJ253" s="96"/>
      <c r="AK253" s="96"/>
      <c r="AL253" s="96"/>
      <c r="AM253" s="96"/>
      <c r="AN253" s="150"/>
      <c r="AQ253" s="85">
        <f t="shared" si="9"/>
        <v>0</v>
      </c>
      <c r="AR253" s="19"/>
      <c r="AS253"/>
      <c r="AT253" s="67">
        <f t="shared" si="10"/>
        <v>0</v>
      </c>
      <c r="AU253" s="67">
        <f t="shared" si="11"/>
        <v>0</v>
      </c>
      <c r="AV253" s="66"/>
      <c r="AW253" s="12"/>
      <c r="BL253" s="12">
        <v>1</v>
      </c>
      <c r="CK253"/>
      <c r="CX253">
        <v>225</v>
      </c>
    </row>
    <row r="254" spans="1:103">
      <c r="A254">
        <v>226</v>
      </c>
      <c r="B254" s="8" t="s">
        <v>13</v>
      </c>
      <c r="C254" s="9" t="s">
        <v>80</v>
      </c>
      <c r="D254" s="8" t="s">
        <v>346</v>
      </c>
      <c r="E254" s="67" t="s">
        <v>15</v>
      </c>
      <c r="I254" s="149"/>
      <c r="J254" s="96"/>
      <c r="K254" s="96"/>
      <c r="L254" s="96"/>
      <c r="M254" s="96"/>
      <c r="N254" s="96"/>
      <c r="O254" s="96"/>
      <c r="P254" s="150"/>
      <c r="Q254" s="149"/>
      <c r="R254" s="96"/>
      <c r="S254" s="96"/>
      <c r="T254" s="96"/>
      <c r="U254" s="96"/>
      <c r="V254" s="96"/>
      <c r="W254" s="96"/>
      <c r="X254" s="150"/>
      <c r="Y254" s="149"/>
      <c r="Z254" s="96"/>
      <c r="AA254" s="96"/>
      <c r="AB254" s="96"/>
      <c r="AC254" s="96"/>
      <c r="AD254" s="96"/>
      <c r="AE254" s="96"/>
      <c r="AF254" s="150"/>
      <c r="AH254" s="96"/>
      <c r="AI254" s="96"/>
      <c r="AJ254" s="96"/>
      <c r="AK254" s="96"/>
      <c r="AL254" s="96"/>
      <c r="AM254" s="96"/>
      <c r="AN254" s="150"/>
      <c r="AQ254" s="85">
        <f t="shared" si="9"/>
        <v>0</v>
      </c>
      <c r="AR254" s="19"/>
      <c r="AS254"/>
      <c r="AT254" s="67">
        <f t="shared" si="10"/>
        <v>0</v>
      </c>
      <c r="AU254" s="67">
        <f t="shared" si="11"/>
        <v>0</v>
      </c>
      <c r="AV254" s="66"/>
      <c r="AW254" s="12"/>
      <c r="CK254"/>
      <c r="CX254">
        <v>226</v>
      </c>
    </row>
    <row r="255" spans="1:103">
      <c r="A255">
        <v>227</v>
      </c>
      <c r="B255" s="8" t="s">
        <v>12</v>
      </c>
      <c r="C255" s="8" t="s">
        <v>123</v>
      </c>
      <c r="D255" s="8" t="s">
        <v>366</v>
      </c>
      <c r="E255" s="8" t="s">
        <v>6</v>
      </c>
      <c r="F255">
        <v>20</v>
      </c>
      <c r="G255">
        <v>25</v>
      </c>
      <c r="H255" t="s">
        <v>15</v>
      </c>
      <c r="I255" s="149"/>
      <c r="J255" s="96">
        <v>1</v>
      </c>
      <c r="K255" s="96">
        <v>1</v>
      </c>
      <c r="L255" s="96">
        <v>1</v>
      </c>
      <c r="M255" s="95">
        <v>1</v>
      </c>
      <c r="N255" s="95" t="s">
        <v>9</v>
      </c>
      <c r="O255" s="95" t="s">
        <v>9</v>
      </c>
      <c r="P255" s="150" t="s">
        <v>9</v>
      </c>
      <c r="Q255" s="149">
        <v>1</v>
      </c>
      <c r="R255" s="95">
        <v>1</v>
      </c>
      <c r="S255" s="95">
        <v>1</v>
      </c>
      <c r="T255" s="95">
        <v>1</v>
      </c>
      <c r="U255" s="95">
        <v>1</v>
      </c>
      <c r="V255" s="95">
        <v>1</v>
      </c>
      <c r="W255" s="95">
        <v>1</v>
      </c>
      <c r="X255" s="150"/>
      <c r="Y255" s="149" t="s">
        <v>15</v>
      </c>
      <c r="Z255" s="95" t="s">
        <v>10</v>
      </c>
      <c r="AA255" s="95" t="s">
        <v>10</v>
      </c>
      <c r="AB255" s="95">
        <v>1</v>
      </c>
      <c r="AC255" s="95">
        <v>1</v>
      </c>
      <c r="AD255" s="95">
        <v>1</v>
      </c>
      <c r="AE255" s="95">
        <v>1</v>
      </c>
      <c r="AF255" s="150">
        <v>1</v>
      </c>
      <c r="AG255" s="96">
        <v>1</v>
      </c>
      <c r="AH255" s="95">
        <v>1</v>
      </c>
      <c r="AI255" s="95">
        <v>1</v>
      </c>
      <c r="AJ255" s="95">
        <v>1</v>
      </c>
      <c r="AK255" s="95" t="s">
        <v>9</v>
      </c>
      <c r="AL255" s="95" t="s">
        <v>10</v>
      </c>
      <c r="AM255" s="95" t="s">
        <v>10</v>
      </c>
      <c r="AN255" s="150" t="s">
        <v>15</v>
      </c>
      <c r="AP255" s="56">
        <v>20</v>
      </c>
      <c r="AQ255" s="85">
        <f t="shared" si="9"/>
        <v>20</v>
      </c>
      <c r="AR255" s="19" t="s">
        <v>227</v>
      </c>
      <c r="AS255"/>
      <c r="AT255" s="67">
        <f t="shared" si="10"/>
        <v>4</v>
      </c>
      <c r="AU255" s="67">
        <f t="shared" si="11"/>
        <v>4</v>
      </c>
      <c r="AV255" s="66"/>
      <c r="AW255" s="12">
        <v>1</v>
      </c>
      <c r="AX255" s="12">
        <v>1</v>
      </c>
      <c r="AY255" s="12">
        <v>1</v>
      </c>
      <c r="AZ255" s="12">
        <v>1</v>
      </c>
      <c r="BA255" s="12">
        <v>1</v>
      </c>
      <c r="BB255" s="12">
        <v>1</v>
      </c>
      <c r="BD255" s="12">
        <v>1</v>
      </c>
      <c r="BK255" s="12">
        <v>1</v>
      </c>
      <c r="BO255" s="12">
        <v>3</v>
      </c>
      <c r="BW255" s="12">
        <v>1</v>
      </c>
      <c r="BY255" s="12">
        <v>1</v>
      </c>
      <c r="CK255"/>
      <c r="CX255">
        <v>227</v>
      </c>
    </row>
    <row r="256" spans="1:103">
      <c r="A256">
        <v>228</v>
      </c>
      <c r="B256" s="8" t="s">
        <v>13</v>
      </c>
      <c r="C256" s="8" t="s">
        <v>74</v>
      </c>
      <c r="D256" s="8" t="s">
        <v>346</v>
      </c>
      <c r="E256" s="67" t="s">
        <v>15</v>
      </c>
      <c r="F256">
        <v>20</v>
      </c>
      <c r="G256">
        <v>20</v>
      </c>
      <c r="H256">
        <v>20</v>
      </c>
      <c r="I256" s="149"/>
      <c r="J256" s="96"/>
      <c r="K256" s="96" t="s">
        <v>49</v>
      </c>
      <c r="L256" s="95">
        <v>1</v>
      </c>
      <c r="M256" s="95">
        <v>1</v>
      </c>
      <c r="N256" s="95">
        <v>1</v>
      </c>
      <c r="O256" s="95">
        <v>1</v>
      </c>
      <c r="P256" s="125">
        <v>1</v>
      </c>
      <c r="Q256" s="124">
        <v>1</v>
      </c>
      <c r="R256" s="95">
        <v>1</v>
      </c>
      <c r="S256" s="95">
        <v>1</v>
      </c>
      <c r="T256" s="95">
        <v>1</v>
      </c>
      <c r="U256" s="95">
        <v>1</v>
      </c>
      <c r="V256" s="96" t="s">
        <v>49</v>
      </c>
      <c r="W256" s="96"/>
      <c r="X256" s="150"/>
      <c r="Y256" s="149"/>
      <c r="Z256" s="96"/>
      <c r="AA256" s="96" t="s">
        <v>49</v>
      </c>
      <c r="AB256" s="95">
        <v>1</v>
      </c>
      <c r="AC256" s="95">
        <v>1</v>
      </c>
      <c r="AD256" s="95">
        <v>1</v>
      </c>
      <c r="AE256" s="95">
        <v>1</v>
      </c>
      <c r="AF256" s="125">
        <v>1</v>
      </c>
      <c r="AG256" s="95">
        <v>1</v>
      </c>
      <c r="AH256" s="95">
        <v>1</v>
      </c>
      <c r="AI256" s="95">
        <v>1</v>
      </c>
      <c r="AJ256" s="95">
        <v>1</v>
      </c>
      <c r="AK256" s="95">
        <v>1</v>
      </c>
      <c r="AL256" s="96" t="s">
        <v>49</v>
      </c>
      <c r="AM256" s="96"/>
      <c r="AN256" s="150"/>
      <c r="AO256" s="96">
        <v>20</v>
      </c>
      <c r="AQ256" s="85">
        <f t="shared" si="9"/>
        <v>20</v>
      </c>
      <c r="AR256" s="19"/>
      <c r="AS256">
        <v>1</v>
      </c>
      <c r="AT256" s="67">
        <f t="shared" si="10"/>
        <v>0</v>
      </c>
      <c r="AU256" s="67">
        <f t="shared" si="11"/>
        <v>0</v>
      </c>
      <c r="AV256" s="66"/>
      <c r="AW256" s="12"/>
      <c r="BC256" s="12">
        <v>1</v>
      </c>
      <c r="CK256"/>
      <c r="CX256">
        <v>228</v>
      </c>
    </row>
    <row r="257" spans="1:102">
      <c r="A257">
        <v>229</v>
      </c>
      <c r="B257" s="8" t="s">
        <v>13</v>
      </c>
      <c r="C257" s="8" t="s">
        <v>74</v>
      </c>
      <c r="D257" s="8" t="s">
        <v>346</v>
      </c>
      <c r="E257" s="67" t="s">
        <v>15</v>
      </c>
      <c r="F257">
        <v>14</v>
      </c>
      <c r="G257">
        <v>20</v>
      </c>
      <c r="H257">
        <v>20</v>
      </c>
      <c r="I257" s="149"/>
      <c r="J257" s="96"/>
      <c r="K257" s="95" t="s">
        <v>49</v>
      </c>
      <c r="L257" s="95">
        <v>1</v>
      </c>
      <c r="M257" s="95" t="s">
        <v>9</v>
      </c>
      <c r="N257" s="95" t="s">
        <v>9</v>
      </c>
      <c r="O257" s="95">
        <v>1</v>
      </c>
      <c r="P257" s="150">
        <v>1</v>
      </c>
      <c r="Q257" s="149">
        <v>1</v>
      </c>
      <c r="R257" s="95" t="s">
        <v>9</v>
      </c>
      <c r="S257" s="95" t="s">
        <v>9</v>
      </c>
      <c r="T257" s="95" t="s">
        <v>9</v>
      </c>
      <c r="U257" s="95" t="s">
        <v>9</v>
      </c>
      <c r="V257" s="95" t="s">
        <v>49</v>
      </c>
      <c r="W257" s="96"/>
      <c r="X257" s="150"/>
      <c r="Y257" s="149"/>
      <c r="Z257" s="96"/>
      <c r="AA257" s="95" t="s">
        <v>49</v>
      </c>
      <c r="AB257" s="95">
        <v>1</v>
      </c>
      <c r="AC257" s="95">
        <v>1</v>
      </c>
      <c r="AD257" s="95">
        <v>1</v>
      </c>
      <c r="AE257" s="95">
        <v>1</v>
      </c>
      <c r="AF257" s="125">
        <v>1</v>
      </c>
      <c r="AG257" s="95">
        <v>1</v>
      </c>
      <c r="AH257" s="95">
        <v>1</v>
      </c>
      <c r="AI257" s="95">
        <v>1</v>
      </c>
      <c r="AJ257" s="95">
        <v>1</v>
      </c>
      <c r="AK257" s="95">
        <v>1</v>
      </c>
      <c r="AL257" s="96" t="s">
        <v>49</v>
      </c>
      <c r="AM257" s="96"/>
      <c r="AN257" s="150"/>
      <c r="AO257" s="96">
        <v>14</v>
      </c>
      <c r="AQ257" s="85">
        <f t="shared" si="9"/>
        <v>14</v>
      </c>
      <c r="AR257" s="19"/>
      <c r="AS257"/>
      <c r="AT257" s="67">
        <f t="shared" si="10"/>
        <v>0</v>
      </c>
      <c r="AU257" s="67">
        <f t="shared" si="11"/>
        <v>6</v>
      </c>
      <c r="AV257" s="66"/>
      <c r="AW257" s="12"/>
      <c r="BA257" s="12">
        <v>1</v>
      </c>
      <c r="CK257"/>
      <c r="CX257">
        <v>229</v>
      </c>
    </row>
    <row r="258" spans="1:102">
      <c r="A258">
        <v>230</v>
      </c>
      <c r="B258" s="8" t="s">
        <v>12</v>
      </c>
      <c r="C258" s="8" t="s">
        <v>123</v>
      </c>
      <c r="D258" s="8" t="s">
        <v>366</v>
      </c>
      <c r="E258" t="s">
        <v>6</v>
      </c>
      <c r="I258" s="149"/>
      <c r="J258" s="96"/>
      <c r="K258" s="96"/>
      <c r="L258" s="96"/>
      <c r="M258" s="96"/>
      <c r="N258" s="96"/>
      <c r="O258" s="96"/>
      <c r="P258" s="150"/>
      <c r="Q258" s="149"/>
      <c r="R258" s="96"/>
      <c r="S258" s="96"/>
      <c r="T258" s="96"/>
      <c r="U258" s="96"/>
      <c r="V258" s="96"/>
      <c r="W258" s="96"/>
      <c r="X258" s="150"/>
      <c r="Y258" s="149"/>
      <c r="Z258" s="96"/>
      <c r="AA258" s="96"/>
      <c r="AB258" s="96"/>
      <c r="AC258" s="96"/>
      <c r="AD258" s="96"/>
      <c r="AE258" s="96"/>
      <c r="AF258" s="150"/>
      <c r="AH258" s="96"/>
      <c r="AI258" s="96"/>
      <c r="AJ258" s="96"/>
      <c r="AK258" s="96"/>
      <c r="AL258" s="96"/>
      <c r="AM258" s="96"/>
      <c r="AN258" s="150"/>
      <c r="AQ258" s="85">
        <f t="shared" si="9"/>
        <v>0</v>
      </c>
      <c r="AR258" s="19"/>
      <c r="AS258"/>
      <c r="AT258" s="67">
        <f t="shared" si="10"/>
        <v>0</v>
      </c>
      <c r="AU258" s="67">
        <f t="shared" si="11"/>
        <v>0</v>
      </c>
      <c r="AV258" s="66"/>
      <c r="AW258" s="12"/>
      <c r="BK258" s="12">
        <v>1</v>
      </c>
      <c r="BM258" s="12" t="s">
        <v>326</v>
      </c>
      <c r="BX258" s="12">
        <v>1</v>
      </c>
      <c r="BY258" s="12">
        <v>1</v>
      </c>
      <c r="CK258"/>
      <c r="CX258">
        <v>230</v>
      </c>
    </row>
    <row r="259" spans="1:102">
      <c r="A259">
        <v>231</v>
      </c>
      <c r="B259" s="8" t="s">
        <v>13</v>
      </c>
      <c r="C259" s="8" t="s">
        <v>17</v>
      </c>
      <c r="D259" s="8" t="s">
        <v>345</v>
      </c>
      <c r="E259" s="67" t="s">
        <v>15</v>
      </c>
      <c r="I259" s="149"/>
      <c r="J259" s="96"/>
      <c r="K259" s="96"/>
      <c r="L259" s="96"/>
      <c r="M259" s="96"/>
      <c r="N259" s="96"/>
      <c r="O259" s="96"/>
      <c r="P259" s="150"/>
      <c r="Q259" s="149"/>
      <c r="R259" s="96"/>
      <c r="S259" s="96"/>
      <c r="T259" s="96"/>
      <c r="U259" s="96"/>
      <c r="V259" s="96"/>
      <c r="W259" s="96"/>
      <c r="X259" s="150"/>
      <c r="Y259" s="149"/>
      <c r="Z259" s="96"/>
      <c r="AA259" s="96"/>
      <c r="AB259" s="96"/>
      <c r="AC259" s="96"/>
      <c r="AD259" s="96"/>
      <c r="AE259" s="96"/>
      <c r="AF259" s="150"/>
      <c r="AH259" s="96"/>
      <c r="AI259" s="96"/>
      <c r="AJ259" s="96"/>
      <c r="AK259" s="96"/>
      <c r="AL259" s="96"/>
      <c r="AM259" s="96"/>
      <c r="AN259" s="150"/>
      <c r="AQ259" s="85">
        <f t="shared" si="9"/>
        <v>0</v>
      </c>
      <c r="AR259" s="19"/>
      <c r="AS259"/>
      <c r="AT259" s="67">
        <f t="shared" si="10"/>
        <v>0</v>
      </c>
      <c r="AU259" s="67">
        <f t="shared" si="11"/>
        <v>0</v>
      </c>
      <c r="AV259" s="66"/>
      <c r="AW259" s="12"/>
      <c r="CK259"/>
      <c r="CX259">
        <v>231</v>
      </c>
    </row>
    <row r="260" spans="1:102">
      <c r="A260">
        <v>232</v>
      </c>
      <c r="B260" s="8" t="s">
        <v>13</v>
      </c>
      <c r="C260" s="8" t="s">
        <v>17</v>
      </c>
      <c r="D260" s="8" t="s">
        <v>345</v>
      </c>
      <c r="E260" s="67" t="s">
        <v>15</v>
      </c>
      <c r="I260" s="149"/>
      <c r="J260" s="96"/>
      <c r="K260" s="96"/>
      <c r="L260" s="96"/>
      <c r="M260" s="96"/>
      <c r="N260" s="96"/>
      <c r="O260" s="96"/>
      <c r="P260" s="150"/>
      <c r="Q260" s="149"/>
      <c r="R260" s="96"/>
      <c r="S260" s="96"/>
      <c r="T260" s="96"/>
      <c r="U260" s="96"/>
      <c r="V260" s="96"/>
      <c r="W260" s="96"/>
      <c r="X260" s="150"/>
      <c r="Y260" s="149"/>
      <c r="Z260" s="96"/>
      <c r="AA260" s="96"/>
      <c r="AB260" s="96"/>
      <c r="AC260" s="96"/>
      <c r="AD260" s="96"/>
      <c r="AE260" s="96"/>
      <c r="AF260" s="150"/>
      <c r="AH260" s="96"/>
      <c r="AI260" s="96"/>
      <c r="AJ260" s="96"/>
      <c r="AK260" s="96"/>
      <c r="AL260" s="96"/>
      <c r="AM260" s="96"/>
      <c r="AN260" s="150"/>
      <c r="AQ260" s="85">
        <f t="shared" si="9"/>
        <v>0</v>
      </c>
      <c r="AR260" s="19"/>
      <c r="AS260"/>
      <c r="AT260" s="67">
        <f t="shared" si="10"/>
        <v>0</v>
      </c>
      <c r="AU260" s="67">
        <f t="shared" si="11"/>
        <v>0</v>
      </c>
      <c r="AV260" s="66"/>
      <c r="AW260" s="12"/>
      <c r="CE260" s="12">
        <v>1</v>
      </c>
      <c r="CK260"/>
      <c r="CX260">
        <v>232</v>
      </c>
    </row>
    <row r="261" spans="1:102">
      <c r="A261">
        <v>233</v>
      </c>
      <c r="B261" s="8" t="s">
        <v>12</v>
      </c>
      <c r="C261" s="8" t="s">
        <v>245</v>
      </c>
      <c r="D261" s="8" t="s">
        <v>12</v>
      </c>
      <c r="E261" t="s">
        <v>6</v>
      </c>
      <c r="I261" s="149"/>
      <c r="J261" s="96"/>
      <c r="K261" s="96"/>
      <c r="L261" s="96"/>
      <c r="M261" s="96"/>
      <c r="N261" s="96"/>
      <c r="O261" s="96"/>
      <c r="P261" s="150"/>
      <c r="Q261" s="149"/>
      <c r="R261" s="96"/>
      <c r="S261" s="96"/>
      <c r="T261" s="96"/>
      <c r="U261" s="96"/>
      <c r="V261" s="96"/>
      <c r="W261" s="96"/>
      <c r="X261" s="150"/>
      <c r="Y261" s="149"/>
      <c r="Z261" s="96"/>
      <c r="AA261" s="96"/>
      <c r="AB261" s="96"/>
      <c r="AC261" s="96"/>
      <c r="AD261" s="96"/>
      <c r="AE261" s="96"/>
      <c r="AF261" s="150"/>
      <c r="AH261" s="96"/>
      <c r="AI261" s="96"/>
      <c r="AJ261" s="96"/>
      <c r="AK261" s="96"/>
      <c r="AL261" s="96"/>
      <c r="AM261" s="96"/>
      <c r="AN261" s="150"/>
      <c r="AQ261" s="85">
        <f t="shared" si="9"/>
        <v>0</v>
      </c>
      <c r="AR261" s="19"/>
      <c r="AS261"/>
      <c r="AT261" s="67">
        <f t="shared" si="10"/>
        <v>0</v>
      </c>
      <c r="AU261" s="67">
        <f t="shared" si="11"/>
        <v>0</v>
      </c>
      <c r="AV261" s="66"/>
      <c r="AW261" s="12"/>
      <c r="BQ261" s="12">
        <v>1</v>
      </c>
      <c r="BV261" s="12">
        <v>1</v>
      </c>
      <c r="CK261"/>
      <c r="CX261">
        <v>233</v>
      </c>
    </row>
    <row r="262" spans="1:102">
      <c r="A262">
        <v>234</v>
      </c>
      <c r="B262" s="8" t="s">
        <v>12</v>
      </c>
      <c r="C262" s="8" t="s">
        <v>44</v>
      </c>
      <c r="D262" s="8" t="s">
        <v>349</v>
      </c>
      <c r="E262" s="8" t="s">
        <v>42</v>
      </c>
      <c r="F262">
        <v>11</v>
      </c>
      <c r="G262">
        <v>11</v>
      </c>
      <c r="H262" t="s">
        <v>15</v>
      </c>
      <c r="I262" s="149" t="s">
        <v>15</v>
      </c>
      <c r="J262" s="95" t="s">
        <v>10</v>
      </c>
      <c r="K262" s="95" t="s">
        <v>10</v>
      </c>
      <c r="L262" s="95" t="s">
        <v>10</v>
      </c>
      <c r="M262" s="95" t="s">
        <v>10</v>
      </c>
      <c r="N262" s="95">
        <v>1</v>
      </c>
      <c r="O262" s="95" t="s">
        <v>10</v>
      </c>
      <c r="P262" s="125" t="s">
        <v>10</v>
      </c>
      <c r="Q262" s="124" t="s">
        <v>10</v>
      </c>
      <c r="R262" s="95" t="s">
        <v>10</v>
      </c>
      <c r="S262" s="95">
        <v>1</v>
      </c>
      <c r="T262" s="95" t="s">
        <v>10</v>
      </c>
      <c r="U262" s="95" t="s">
        <v>10</v>
      </c>
      <c r="V262" s="95" t="s">
        <v>10</v>
      </c>
      <c r="W262" s="95" t="s">
        <v>10</v>
      </c>
      <c r="X262" s="150" t="s">
        <v>15</v>
      </c>
      <c r="Y262" s="149" t="s">
        <v>49</v>
      </c>
      <c r="Z262" s="95">
        <v>1</v>
      </c>
      <c r="AA262" s="95" t="s">
        <v>10</v>
      </c>
      <c r="AB262" s="95" t="s">
        <v>10</v>
      </c>
      <c r="AC262" s="95" t="s">
        <v>10</v>
      </c>
      <c r="AD262" s="95">
        <v>1</v>
      </c>
      <c r="AE262" s="95">
        <v>1</v>
      </c>
      <c r="AF262" s="125">
        <v>1</v>
      </c>
      <c r="AG262" s="95">
        <v>1</v>
      </c>
      <c r="AH262" s="95">
        <v>1</v>
      </c>
      <c r="AI262" s="95">
        <v>1</v>
      </c>
      <c r="AJ262" s="95">
        <v>1</v>
      </c>
      <c r="AK262" s="95">
        <v>1</v>
      </c>
      <c r="AL262" s="95" t="s">
        <v>10</v>
      </c>
      <c r="AM262" s="95" t="s">
        <v>10</v>
      </c>
      <c r="AN262" s="150" t="s">
        <v>15</v>
      </c>
      <c r="AP262" s="56">
        <v>11</v>
      </c>
      <c r="AQ262" s="85">
        <f t="shared" ref="AQ262:AQ325" si="12">SUM(I262:AN262)</f>
        <v>11</v>
      </c>
      <c r="AR262" s="19"/>
      <c r="AS262"/>
      <c r="AT262" s="67">
        <f t="shared" ref="AT262:AT325" si="13">COUNTIF(I262:AN262,"*am*")</f>
        <v>17</v>
      </c>
      <c r="AU262" s="67">
        <f t="shared" ref="AU262:AU325" si="14">COUNTIF(I262:AN262,"pm")</f>
        <v>0</v>
      </c>
      <c r="AV262" s="66"/>
      <c r="AW262" s="12">
        <v>1</v>
      </c>
      <c r="AX262" s="12">
        <v>1</v>
      </c>
      <c r="AY262" s="12">
        <v>1</v>
      </c>
      <c r="BA262" s="12">
        <v>1</v>
      </c>
      <c r="BB262" s="12">
        <v>1</v>
      </c>
      <c r="BD262" s="12">
        <v>1</v>
      </c>
      <c r="BO262" s="12">
        <v>2</v>
      </c>
      <c r="BW262" s="12">
        <v>1</v>
      </c>
      <c r="CK262"/>
      <c r="CX262">
        <v>234</v>
      </c>
    </row>
    <row r="263" spans="1:102">
      <c r="A263">
        <v>236</v>
      </c>
      <c r="B263" s="8" t="s">
        <v>13</v>
      </c>
      <c r="C263" s="8" t="s">
        <v>80</v>
      </c>
      <c r="D263" s="8" t="s">
        <v>346</v>
      </c>
      <c r="E263" s="67" t="s">
        <v>15</v>
      </c>
      <c r="I263" s="149"/>
      <c r="J263" s="96"/>
      <c r="K263" s="96"/>
      <c r="L263" s="96"/>
      <c r="M263" s="96"/>
      <c r="N263" s="96"/>
      <c r="O263" s="96"/>
      <c r="P263" s="150"/>
      <c r="Q263" s="149"/>
      <c r="R263" s="96"/>
      <c r="S263" s="96"/>
      <c r="T263" s="96"/>
      <c r="U263" s="96"/>
      <c r="V263" s="96"/>
      <c r="W263" s="96"/>
      <c r="X263" s="150"/>
      <c r="Y263" s="149"/>
      <c r="Z263" s="96"/>
      <c r="AA263" s="96"/>
      <c r="AB263" s="96"/>
      <c r="AC263" s="96"/>
      <c r="AD263" s="96"/>
      <c r="AE263" s="96"/>
      <c r="AF263" s="150"/>
      <c r="AH263" s="96"/>
      <c r="AI263" s="96"/>
      <c r="AJ263" s="96"/>
      <c r="AK263" s="96"/>
      <c r="AL263" s="96"/>
      <c r="AM263" s="96"/>
      <c r="AN263" s="150"/>
      <c r="AQ263" s="85">
        <f t="shared" si="12"/>
        <v>0</v>
      </c>
      <c r="AR263" s="19"/>
      <c r="AS263"/>
      <c r="AT263" s="67">
        <f t="shared" si="13"/>
        <v>0</v>
      </c>
      <c r="AU263" s="67">
        <f t="shared" si="14"/>
        <v>0</v>
      </c>
      <c r="AV263" s="66"/>
      <c r="AW263" s="12"/>
      <c r="CK263"/>
      <c r="CX263">
        <v>236</v>
      </c>
    </row>
    <row r="264" spans="1:102">
      <c r="A264">
        <v>237</v>
      </c>
      <c r="B264" s="8" t="s">
        <v>13</v>
      </c>
      <c r="C264" s="8" t="s">
        <v>63</v>
      </c>
      <c r="D264" s="8" t="s">
        <v>346</v>
      </c>
      <c r="E264" s="67" t="s">
        <v>15</v>
      </c>
      <c r="F264">
        <v>5</v>
      </c>
      <c r="G264" t="s">
        <v>15</v>
      </c>
      <c r="H264" t="s">
        <v>15</v>
      </c>
      <c r="I264" s="149"/>
      <c r="J264" s="96"/>
      <c r="K264" s="96" t="s">
        <v>49</v>
      </c>
      <c r="L264" s="96" t="s">
        <v>49</v>
      </c>
      <c r="M264" s="96" t="s">
        <v>49</v>
      </c>
      <c r="N264" s="95"/>
      <c r="O264" s="95" t="s">
        <v>49</v>
      </c>
      <c r="P264" s="150">
        <v>1</v>
      </c>
      <c r="Q264" s="149">
        <v>1</v>
      </c>
      <c r="R264" s="95" t="s">
        <v>49</v>
      </c>
      <c r="S264" s="95" t="s">
        <v>49</v>
      </c>
      <c r="T264" s="95"/>
      <c r="U264" s="95" t="s">
        <v>49</v>
      </c>
      <c r="V264" s="96"/>
      <c r="W264" s="96"/>
      <c r="X264" s="150"/>
      <c r="Y264" s="149"/>
      <c r="Z264" s="96"/>
      <c r="AA264" s="96" t="s">
        <v>49</v>
      </c>
      <c r="AB264" s="96" t="s">
        <v>49</v>
      </c>
      <c r="AC264" s="96" t="s">
        <v>49</v>
      </c>
      <c r="AD264" s="96" t="s">
        <v>49</v>
      </c>
      <c r="AE264" s="95">
        <v>1</v>
      </c>
      <c r="AF264" s="150"/>
      <c r="AG264" s="96">
        <v>1</v>
      </c>
      <c r="AH264" s="96">
        <v>1</v>
      </c>
      <c r="AI264" s="96" t="s">
        <v>49</v>
      </c>
      <c r="AJ264" s="96" t="s">
        <v>49</v>
      </c>
      <c r="AK264" s="96" t="s">
        <v>49</v>
      </c>
      <c r="AL264" s="96" t="s">
        <v>49</v>
      </c>
      <c r="AM264" s="96"/>
      <c r="AN264" s="150"/>
      <c r="AO264" s="96">
        <v>5</v>
      </c>
      <c r="AQ264" s="85">
        <f t="shared" si="12"/>
        <v>5</v>
      </c>
      <c r="AR264" s="19"/>
      <c r="AS264"/>
      <c r="AT264" s="67">
        <f t="shared" si="13"/>
        <v>0</v>
      </c>
      <c r="AU264" s="67">
        <f t="shared" si="14"/>
        <v>0</v>
      </c>
      <c r="AV264" s="66"/>
      <c r="AW264" s="12"/>
      <c r="CK264"/>
      <c r="CX264">
        <v>237</v>
      </c>
    </row>
    <row r="265" spans="1:102">
      <c r="A265">
        <v>238</v>
      </c>
      <c r="B265" s="8" t="s">
        <v>13</v>
      </c>
      <c r="C265" s="8" t="s">
        <v>56</v>
      </c>
      <c r="D265" s="8" t="s">
        <v>360</v>
      </c>
      <c r="E265" s="67" t="s">
        <v>15</v>
      </c>
      <c r="I265" s="149"/>
      <c r="J265" s="96"/>
      <c r="K265" s="96"/>
      <c r="L265" s="96"/>
      <c r="M265" s="96"/>
      <c r="N265" s="96"/>
      <c r="O265" s="96"/>
      <c r="P265" s="150"/>
      <c r="Q265" s="149"/>
      <c r="R265" s="96"/>
      <c r="S265" s="96"/>
      <c r="T265" s="96"/>
      <c r="U265" s="96"/>
      <c r="V265" s="96"/>
      <c r="W265" s="96"/>
      <c r="X265" s="150"/>
      <c r="Y265" s="149"/>
      <c r="Z265" s="96"/>
      <c r="AA265" s="96"/>
      <c r="AB265" s="96"/>
      <c r="AC265" s="96"/>
      <c r="AD265" s="96"/>
      <c r="AE265" s="96"/>
      <c r="AF265" s="150"/>
      <c r="AH265" s="96"/>
      <c r="AI265" s="96"/>
      <c r="AJ265" s="96"/>
      <c r="AK265" s="96"/>
      <c r="AL265" s="96"/>
      <c r="AM265" s="96"/>
      <c r="AN265" s="150"/>
      <c r="AQ265" s="85">
        <f t="shared" si="12"/>
        <v>0</v>
      </c>
      <c r="AR265" s="19"/>
      <c r="AS265"/>
      <c r="AT265" s="67">
        <f t="shared" si="13"/>
        <v>0</v>
      </c>
      <c r="AU265" s="67">
        <f t="shared" si="14"/>
        <v>0</v>
      </c>
      <c r="AV265" s="66"/>
      <c r="AW265" s="12"/>
      <c r="CK265"/>
      <c r="CX265">
        <v>238</v>
      </c>
    </row>
    <row r="266" spans="1:102">
      <c r="A266">
        <v>239</v>
      </c>
      <c r="B266" s="8" t="s">
        <v>12</v>
      </c>
      <c r="C266" s="8" t="s">
        <v>75</v>
      </c>
      <c r="D266" s="8" t="s">
        <v>12</v>
      </c>
      <c r="E266" t="s">
        <v>6</v>
      </c>
      <c r="I266" s="149"/>
      <c r="J266" s="96"/>
      <c r="K266" s="96"/>
      <c r="L266" s="96"/>
      <c r="M266" s="96"/>
      <c r="N266" s="96"/>
      <c r="O266" s="96"/>
      <c r="P266" s="150"/>
      <c r="Q266" s="149"/>
      <c r="R266" s="96"/>
      <c r="S266" s="96"/>
      <c r="T266" s="96"/>
      <c r="U266" s="96"/>
      <c r="V266" s="96"/>
      <c r="W266" s="96"/>
      <c r="X266" s="150"/>
      <c r="Y266" s="149"/>
      <c r="Z266" s="96"/>
      <c r="AA266" s="96"/>
      <c r="AB266" s="96"/>
      <c r="AC266" s="96"/>
      <c r="AD266" s="96"/>
      <c r="AE266" s="96"/>
      <c r="AF266" s="150"/>
      <c r="AH266" s="96"/>
      <c r="AI266" s="96"/>
      <c r="AJ266" s="96"/>
      <c r="AK266" s="96"/>
      <c r="AL266" s="96"/>
      <c r="AM266" s="96"/>
      <c r="AN266" s="150"/>
      <c r="AQ266" s="85">
        <f t="shared" si="12"/>
        <v>0</v>
      </c>
      <c r="AR266" s="19"/>
      <c r="AS266"/>
      <c r="AT266" s="67">
        <f t="shared" si="13"/>
        <v>0</v>
      </c>
      <c r="AU266" s="67">
        <f t="shared" si="14"/>
        <v>0</v>
      </c>
      <c r="AV266" s="66"/>
      <c r="AW266" s="12"/>
      <c r="BE266" s="12">
        <v>1</v>
      </c>
      <c r="BV266" s="12">
        <v>1</v>
      </c>
      <c r="BY266" s="12">
        <v>1</v>
      </c>
      <c r="CK266"/>
      <c r="CX266">
        <v>239</v>
      </c>
    </row>
    <row r="267" spans="1:102">
      <c r="A267">
        <v>240</v>
      </c>
      <c r="B267" s="8" t="s">
        <v>13</v>
      </c>
      <c r="C267" s="8" t="s">
        <v>99</v>
      </c>
      <c r="D267" s="8" t="s">
        <v>346</v>
      </c>
      <c r="E267" s="67" t="s">
        <v>15</v>
      </c>
      <c r="I267" s="149"/>
      <c r="J267" s="96"/>
      <c r="K267" s="96"/>
      <c r="L267" s="96"/>
      <c r="M267" s="96"/>
      <c r="N267" s="96"/>
      <c r="O267" s="96"/>
      <c r="P267" s="150"/>
      <c r="Q267" s="149"/>
      <c r="R267" s="96"/>
      <c r="S267" s="96"/>
      <c r="T267" s="96"/>
      <c r="U267" s="96"/>
      <c r="V267" s="96"/>
      <c r="W267" s="96"/>
      <c r="X267" s="150"/>
      <c r="Y267" s="149"/>
      <c r="Z267" s="96"/>
      <c r="AA267" s="96"/>
      <c r="AB267" s="96"/>
      <c r="AC267" s="96"/>
      <c r="AD267" s="96"/>
      <c r="AE267" s="96"/>
      <c r="AF267" s="150"/>
      <c r="AH267" s="96"/>
      <c r="AI267" s="96"/>
      <c r="AJ267" s="96"/>
      <c r="AK267" s="96"/>
      <c r="AL267" s="96"/>
      <c r="AM267" s="96"/>
      <c r="AN267" s="150"/>
      <c r="AQ267" s="85">
        <f t="shared" si="12"/>
        <v>0</v>
      </c>
      <c r="AR267" s="19"/>
      <c r="AS267"/>
      <c r="AT267" s="67">
        <f t="shared" si="13"/>
        <v>0</v>
      </c>
      <c r="AU267" s="67">
        <f t="shared" si="14"/>
        <v>0</v>
      </c>
      <c r="AV267" s="66"/>
      <c r="AW267" s="12"/>
      <c r="CK267"/>
      <c r="CX267">
        <v>240</v>
      </c>
    </row>
    <row r="268" spans="1:102">
      <c r="A268">
        <v>241</v>
      </c>
      <c r="B268" s="8" t="s">
        <v>13</v>
      </c>
      <c r="C268" s="8" t="s">
        <v>78</v>
      </c>
      <c r="D268" s="8" t="s">
        <v>359</v>
      </c>
      <c r="E268" s="67" t="s">
        <v>15</v>
      </c>
      <c r="F268">
        <v>19</v>
      </c>
      <c r="G268">
        <v>24</v>
      </c>
      <c r="H268">
        <v>24</v>
      </c>
      <c r="I268" s="149"/>
      <c r="J268" s="96" t="s">
        <v>49</v>
      </c>
      <c r="K268" s="96">
        <v>1</v>
      </c>
      <c r="L268" s="96">
        <v>1</v>
      </c>
      <c r="M268" s="95" t="s">
        <v>9</v>
      </c>
      <c r="N268" s="95" t="s">
        <v>9</v>
      </c>
      <c r="O268" s="95" t="s">
        <v>9</v>
      </c>
      <c r="P268" s="150">
        <v>1</v>
      </c>
      <c r="Q268" s="149">
        <v>1</v>
      </c>
      <c r="R268" s="95" t="s">
        <v>9</v>
      </c>
      <c r="S268" s="95">
        <v>1</v>
      </c>
      <c r="T268" s="95">
        <v>1</v>
      </c>
      <c r="U268" s="95">
        <v>1</v>
      </c>
      <c r="V268" s="95">
        <v>1</v>
      </c>
      <c r="W268" s="95" t="s">
        <v>49</v>
      </c>
      <c r="X268" s="150"/>
      <c r="Y268" s="149"/>
      <c r="Z268" s="96" t="s">
        <v>49</v>
      </c>
      <c r="AA268" s="96">
        <v>1</v>
      </c>
      <c r="AB268" s="96">
        <v>1</v>
      </c>
      <c r="AC268" s="96">
        <v>1</v>
      </c>
      <c r="AD268" s="96">
        <v>1</v>
      </c>
      <c r="AE268" s="96">
        <v>1</v>
      </c>
      <c r="AF268" s="150">
        <v>1</v>
      </c>
      <c r="AG268" s="96">
        <v>1</v>
      </c>
      <c r="AH268" s="96" t="s">
        <v>9</v>
      </c>
      <c r="AI268" s="96">
        <v>1</v>
      </c>
      <c r="AJ268" s="96">
        <v>1</v>
      </c>
      <c r="AK268" s="96">
        <v>1</v>
      </c>
      <c r="AL268" s="96">
        <v>1</v>
      </c>
      <c r="AM268" s="96" t="s">
        <v>49</v>
      </c>
      <c r="AN268" s="150"/>
      <c r="AO268" s="96">
        <v>11</v>
      </c>
      <c r="AP268" s="56">
        <v>8</v>
      </c>
      <c r="AQ268" s="85">
        <f t="shared" si="12"/>
        <v>19</v>
      </c>
      <c r="AR268" s="19" t="s">
        <v>218</v>
      </c>
      <c r="AS268"/>
      <c r="AT268" s="67">
        <f t="shared" si="13"/>
        <v>0</v>
      </c>
      <c r="AU268" s="67">
        <f t="shared" si="14"/>
        <v>5</v>
      </c>
      <c r="AV268" s="66"/>
      <c r="AW268" s="12"/>
      <c r="AZ268" s="12">
        <v>1</v>
      </c>
      <c r="BA268" s="12">
        <v>1</v>
      </c>
      <c r="BB268" s="12">
        <v>1</v>
      </c>
      <c r="CK268"/>
      <c r="CX268">
        <v>241</v>
      </c>
    </row>
    <row r="269" spans="1:102">
      <c r="A269">
        <v>242</v>
      </c>
      <c r="B269" s="8" t="s">
        <v>13</v>
      </c>
      <c r="C269" s="8" t="s">
        <v>74</v>
      </c>
      <c r="D269" s="8" t="s">
        <v>346</v>
      </c>
      <c r="E269" s="67" t="s">
        <v>15</v>
      </c>
      <c r="I269" s="149"/>
      <c r="J269" s="96"/>
      <c r="K269" s="96"/>
      <c r="L269" s="96"/>
      <c r="M269" s="96"/>
      <c r="N269" s="96"/>
      <c r="O269" s="96"/>
      <c r="P269" s="150"/>
      <c r="Q269" s="149"/>
      <c r="R269" s="96"/>
      <c r="S269" s="96"/>
      <c r="T269" s="96"/>
      <c r="U269" s="96"/>
      <c r="V269" s="96"/>
      <c r="W269" s="96"/>
      <c r="X269" s="150"/>
      <c r="Y269" s="149"/>
      <c r="Z269" s="96"/>
      <c r="AA269" s="96"/>
      <c r="AB269" s="96"/>
      <c r="AC269" s="96"/>
      <c r="AD269" s="96"/>
      <c r="AE269" s="96"/>
      <c r="AF269" s="150"/>
      <c r="AH269" s="96"/>
      <c r="AI269" s="96"/>
      <c r="AJ269" s="96"/>
      <c r="AK269" s="96"/>
      <c r="AL269" s="96"/>
      <c r="AM269" s="96"/>
      <c r="AN269" s="150"/>
      <c r="AQ269" s="85">
        <f t="shared" si="12"/>
        <v>0</v>
      </c>
      <c r="AR269" s="19"/>
      <c r="AS269"/>
      <c r="AT269" s="67">
        <f t="shared" si="13"/>
        <v>0</v>
      </c>
      <c r="AU269" s="67">
        <f t="shared" si="14"/>
        <v>0</v>
      </c>
      <c r="AV269" s="66"/>
      <c r="AW269" s="12"/>
      <c r="CK269"/>
      <c r="CX269">
        <v>242</v>
      </c>
    </row>
    <row r="270" spans="1:102">
      <c r="A270">
        <v>243</v>
      </c>
      <c r="B270" s="8" t="s">
        <v>12</v>
      </c>
      <c r="C270" s="8" t="s">
        <v>91</v>
      </c>
      <c r="D270" s="8" t="s">
        <v>366</v>
      </c>
      <c r="E270" t="s">
        <v>6</v>
      </c>
      <c r="I270" s="149"/>
      <c r="J270" s="96"/>
      <c r="K270" s="96"/>
      <c r="L270" s="96"/>
      <c r="M270" s="96"/>
      <c r="N270" s="96"/>
      <c r="O270" s="96"/>
      <c r="P270" s="150"/>
      <c r="Q270" s="149"/>
      <c r="R270" s="96"/>
      <c r="S270" s="96"/>
      <c r="T270" s="96"/>
      <c r="U270" s="96"/>
      <c r="V270" s="96"/>
      <c r="W270" s="96"/>
      <c r="X270" s="150"/>
      <c r="Y270" s="149"/>
      <c r="Z270" s="96"/>
      <c r="AA270" s="96"/>
      <c r="AB270" s="96"/>
      <c r="AC270" s="96"/>
      <c r="AD270" s="96"/>
      <c r="AE270" s="96"/>
      <c r="AF270" s="150"/>
      <c r="AH270" s="96"/>
      <c r="AI270" s="96"/>
      <c r="AJ270" s="96"/>
      <c r="AK270" s="96"/>
      <c r="AL270" s="96"/>
      <c r="AM270" s="96"/>
      <c r="AN270" s="150"/>
      <c r="AQ270" s="85">
        <f t="shared" si="12"/>
        <v>0</v>
      </c>
      <c r="AR270" s="19"/>
      <c r="AS270"/>
      <c r="AT270" s="67">
        <f t="shared" si="13"/>
        <v>0</v>
      </c>
      <c r="AU270" s="67">
        <f t="shared" si="14"/>
        <v>0</v>
      </c>
      <c r="AV270" s="66"/>
      <c r="AW270" s="12"/>
      <c r="BE270" s="12">
        <v>1</v>
      </c>
      <c r="BK270" s="12">
        <v>1</v>
      </c>
      <c r="BP270" s="12">
        <v>1</v>
      </c>
      <c r="BW270" s="12">
        <v>1</v>
      </c>
      <c r="BY270" s="12">
        <v>1</v>
      </c>
      <c r="CK270"/>
      <c r="CX270">
        <v>243</v>
      </c>
    </row>
    <row r="271" spans="1:102">
      <c r="A271">
        <v>244</v>
      </c>
      <c r="B271" s="8" t="s">
        <v>12</v>
      </c>
      <c r="C271" s="8" t="s">
        <v>40</v>
      </c>
      <c r="D271" s="8" t="s">
        <v>40</v>
      </c>
      <c r="E271" t="s">
        <v>42</v>
      </c>
      <c r="I271" s="149"/>
      <c r="J271" s="96"/>
      <c r="K271" s="96"/>
      <c r="L271" s="96"/>
      <c r="M271" s="96"/>
      <c r="N271" s="96"/>
      <c r="O271" s="96"/>
      <c r="P271" s="150"/>
      <c r="Q271" s="149"/>
      <c r="R271" s="96"/>
      <c r="S271" s="96"/>
      <c r="T271" s="96"/>
      <c r="U271" s="96"/>
      <c r="V271" s="96"/>
      <c r="W271" s="96"/>
      <c r="X271" s="150"/>
      <c r="Y271" s="149"/>
      <c r="Z271" s="96"/>
      <c r="AA271" s="96"/>
      <c r="AB271" s="96"/>
      <c r="AC271" s="96"/>
      <c r="AD271" s="96"/>
      <c r="AE271" s="96"/>
      <c r="AF271" s="150"/>
      <c r="AH271" s="96"/>
      <c r="AI271" s="96"/>
      <c r="AJ271" s="96"/>
      <c r="AK271" s="96"/>
      <c r="AL271" s="96"/>
      <c r="AM271" s="96"/>
      <c r="AN271" s="150"/>
      <c r="AQ271" s="85">
        <f t="shared" si="12"/>
        <v>0</v>
      </c>
      <c r="AR271" s="19"/>
      <c r="AS271"/>
      <c r="AT271" s="67">
        <f t="shared" si="13"/>
        <v>0</v>
      </c>
      <c r="AU271" s="67">
        <f t="shared" si="14"/>
        <v>0</v>
      </c>
      <c r="AV271" s="66"/>
      <c r="AW271" s="12"/>
      <c r="BS271" s="12">
        <v>1</v>
      </c>
      <c r="CK271"/>
      <c r="CX271">
        <v>244</v>
      </c>
    </row>
    <row r="272" spans="1:102">
      <c r="A272">
        <v>245</v>
      </c>
      <c r="B272" s="8" t="s">
        <v>12</v>
      </c>
      <c r="C272" s="8" t="s">
        <v>40</v>
      </c>
      <c r="D272" s="8" t="s">
        <v>40</v>
      </c>
      <c r="E272" t="s">
        <v>6</v>
      </c>
      <c r="I272" s="149"/>
      <c r="J272" s="96"/>
      <c r="K272" s="96"/>
      <c r="L272" s="96"/>
      <c r="M272" s="96"/>
      <c r="N272" s="96"/>
      <c r="O272" s="96"/>
      <c r="P272" s="150"/>
      <c r="Q272" s="149"/>
      <c r="R272" s="96"/>
      <c r="S272" s="96"/>
      <c r="T272" s="96"/>
      <c r="U272" s="96"/>
      <c r="V272" s="96"/>
      <c r="W272" s="96"/>
      <c r="X272" s="150"/>
      <c r="Y272" s="149"/>
      <c r="Z272" s="96"/>
      <c r="AA272" s="96"/>
      <c r="AB272" s="96"/>
      <c r="AC272" s="96"/>
      <c r="AD272" s="96"/>
      <c r="AE272" s="96"/>
      <c r="AF272" s="150"/>
      <c r="AH272" s="96"/>
      <c r="AI272" s="96"/>
      <c r="AJ272" s="96"/>
      <c r="AK272" s="96"/>
      <c r="AL272" s="96"/>
      <c r="AM272" s="96"/>
      <c r="AN272" s="150"/>
      <c r="AQ272" s="85">
        <f t="shared" si="12"/>
        <v>0</v>
      </c>
      <c r="AR272" s="19"/>
      <c r="AS272"/>
      <c r="AT272" s="67">
        <f t="shared" si="13"/>
        <v>0</v>
      </c>
      <c r="AU272" s="67">
        <f t="shared" si="14"/>
        <v>0</v>
      </c>
      <c r="AV272" s="66"/>
      <c r="AW272" s="12"/>
      <c r="CK272"/>
      <c r="CX272">
        <v>245</v>
      </c>
    </row>
    <row r="273" spans="1:102">
      <c r="A273">
        <v>246</v>
      </c>
      <c r="B273" s="8" t="s">
        <v>13</v>
      </c>
      <c r="C273" s="8" t="s">
        <v>59</v>
      </c>
      <c r="D273" s="8" t="s">
        <v>346</v>
      </c>
      <c r="E273" s="67" t="s">
        <v>15</v>
      </c>
      <c r="F273">
        <v>20</v>
      </c>
      <c r="G273">
        <v>20</v>
      </c>
      <c r="H273">
        <v>20</v>
      </c>
      <c r="I273" s="149"/>
      <c r="J273" s="96"/>
      <c r="K273" s="96" t="s">
        <v>49</v>
      </c>
      <c r="L273" s="96">
        <v>1</v>
      </c>
      <c r="M273" s="96">
        <v>1</v>
      </c>
      <c r="N273" s="96">
        <v>1</v>
      </c>
      <c r="O273" s="96">
        <v>1</v>
      </c>
      <c r="P273" s="150">
        <v>1</v>
      </c>
      <c r="Q273" s="149">
        <v>1</v>
      </c>
      <c r="R273" s="96">
        <v>1</v>
      </c>
      <c r="S273" s="96">
        <v>1</v>
      </c>
      <c r="T273" s="96">
        <v>1</v>
      </c>
      <c r="U273" s="96">
        <v>1</v>
      </c>
      <c r="V273" s="96" t="s">
        <v>49</v>
      </c>
      <c r="W273" s="96"/>
      <c r="X273" s="150"/>
      <c r="Y273" s="149"/>
      <c r="Z273" s="96"/>
      <c r="AA273" s="96" t="s">
        <v>49</v>
      </c>
      <c r="AB273" s="96">
        <v>1</v>
      </c>
      <c r="AC273" s="96">
        <v>1</v>
      </c>
      <c r="AD273" s="96">
        <v>1</v>
      </c>
      <c r="AE273" s="96">
        <v>1</v>
      </c>
      <c r="AF273" s="150">
        <v>1</v>
      </c>
      <c r="AG273" s="96">
        <v>1</v>
      </c>
      <c r="AH273" s="96">
        <v>1</v>
      </c>
      <c r="AI273" s="96">
        <v>1</v>
      </c>
      <c r="AJ273" s="96">
        <v>1</v>
      </c>
      <c r="AK273" s="96">
        <v>1</v>
      </c>
      <c r="AL273" s="96" t="s">
        <v>49</v>
      </c>
      <c r="AM273" s="96"/>
      <c r="AN273" s="150"/>
      <c r="AO273" s="95">
        <v>20</v>
      </c>
      <c r="AP273" s="95"/>
      <c r="AQ273" s="85">
        <f t="shared" si="12"/>
        <v>20</v>
      </c>
      <c r="AR273" s="19" t="s">
        <v>218</v>
      </c>
      <c r="AS273">
        <v>1</v>
      </c>
      <c r="AT273" s="67">
        <f t="shared" si="13"/>
        <v>0</v>
      </c>
      <c r="AU273" s="67">
        <f t="shared" si="14"/>
        <v>0</v>
      </c>
      <c r="AV273" s="66"/>
      <c r="AW273" s="12">
        <v>1</v>
      </c>
      <c r="BB273" s="12">
        <v>1</v>
      </c>
      <c r="BI273" s="12">
        <v>1</v>
      </c>
      <c r="CK273"/>
      <c r="CX273">
        <v>246</v>
      </c>
    </row>
    <row r="274" spans="1:102">
      <c r="A274">
        <v>247</v>
      </c>
      <c r="B274" s="8" t="s">
        <v>12</v>
      </c>
      <c r="C274" s="8" t="s">
        <v>123</v>
      </c>
      <c r="D274" s="8" t="s">
        <v>366</v>
      </c>
      <c r="E274" s="8" t="s">
        <v>6</v>
      </c>
      <c r="I274" s="149"/>
      <c r="J274" s="96"/>
      <c r="K274" s="96"/>
      <c r="L274" s="96"/>
      <c r="M274" s="96"/>
      <c r="N274" s="96"/>
      <c r="O274" s="96"/>
      <c r="P274" s="150"/>
      <c r="Q274" s="149"/>
      <c r="R274" s="96"/>
      <c r="S274" s="96"/>
      <c r="T274" s="96"/>
      <c r="U274" s="96"/>
      <c r="V274" s="96"/>
      <c r="W274" s="96"/>
      <c r="X274" s="150"/>
      <c r="Y274" s="149"/>
      <c r="Z274" s="96"/>
      <c r="AA274" s="96"/>
      <c r="AB274" s="96"/>
      <c r="AC274" s="96"/>
      <c r="AD274" s="96"/>
      <c r="AE274" s="96"/>
      <c r="AF274" s="150"/>
      <c r="AH274" s="96"/>
      <c r="AI274" s="96"/>
      <c r="AJ274" s="96"/>
      <c r="AK274" s="96"/>
      <c r="AL274" s="96"/>
      <c r="AM274" s="96"/>
      <c r="AN274" s="150"/>
      <c r="AQ274" s="85">
        <f t="shared" si="12"/>
        <v>0</v>
      </c>
      <c r="AR274" s="19"/>
      <c r="AS274"/>
      <c r="AT274" s="67">
        <f t="shared" si="13"/>
        <v>0</v>
      </c>
      <c r="AU274" s="67">
        <f t="shared" si="14"/>
        <v>0</v>
      </c>
      <c r="AV274" s="66"/>
      <c r="AW274" s="12"/>
      <c r="AX274" s="12">
        <v>1</v>
      </c>
      <c r="AY274" s="12">
        <v>1</v>
      </c>
      <c r="AZ274" s="12">
        <v>1</v>
      </c>
      <c r="BA274" s="12">
        <v>1</v>
      </c>
      <c r="BB274" s="12">
        <v>1</v>
      </c>
      <c r="BD274" s="12">
        <v>1</v>
      </c>
      <c r="BK274" s="12">
        <v>1</v>
      </c>
      <c r="BW274" s="12">
        <v>1</v>
      </c>
      <c r="BY274" s="12">
        <v>1</v>
      </c>
      <c r="BZ274" s="12">
        <v>1</v>
      </c>
      <c r="CB274" s="12" t="s">
        <v>326</v>
      </c>
      <c r="CK274"/>
      <c r="CN274">
        <v>1</v>
      </c>
      <c r="CT274">
        <v>1</v>
      </c>
      <c r="CX274">
        <v>247</v>
      </c>
    </row>
    <row r="275" spans="1:102">
      <c r="A275">
        <v>248</v>
      </c>
      <c r="B275" s="8" t="s">
        <v>12</v>
      </c>
      <c r="C275" s="8" t="s">
        <v>40</v>
      </c>
      <c r="D275" s="8" t="s">
        <v>40</v>
      </c>
      <c r="E275" s="67" t="s">
        <v>15</v>
      </c>
      <c r="I275" s="149"/>
      <c r="J275" s="96"/>
      <c r="K275" s="96"/>
      <c r="L275" s="96"/>
      <c r="M275" s="96"/>
      <c r="N275" s="96"/>
      <c r="O275" s="96"/>
      <c r="P275" s="150"/>
      <c r="Q275" s="149"/>
      <c r="R275" s="96"/>
      <c r="S275" s="96"/>
      <c r="T275" s="96"/>
      <c r="U275" s="96"/>
      <c r="V275" s="96"/>
      <c r="W275" s="96"/>
      <c r="X275" s="150"/>
      <c r="Y275" s="149"/>
      <c r="Z275" s="96"/>
      <c r="AA275" s="96"/>
      <c r="AB275" s="96"/>
      <c r="AC275" s="96"/>
      <c r="AD275" s="96"/>
      <c r="AE275" s="96"/>
      <c r="AF275" s="150"/>
      <c r="AH275" s="96"/>
      <c r="AI275" s="96"/>
      <c r="AJ275" s="96"/>
      <c r="AK275" s="96"/>
      <c r="AL275" s="96"/>
      <c r="AM275" s="96"/>
      <c r="AN275" s="150"/>
      <c r="AQ275" s="85">
        <f t="shared" si="12"/>
        <v>0</v>
      </c>
      <c r="AR275" s="19"/>
      <c r="AS275"/>
      <c r="AT275" s="67">
        <f t="shared" si="13"/>
        <v>0</v>
      </c>
      <c r="AU275" s="67">
        <f t="shared" si="14"/>
        <v>0</v>
      </c>
      <c r="AV275" s="66"/>
      <c r="AW275" s="12"/>
      <c r="BD275" s="12">
        <v>1</v>
      </c>
      <c r="BQ275" s="12">
        <v>2</v>
      </c>
      <c r="BV275" s="12">
        <v>1</v>
      </c>
      <c r="BY275" s="12">
        <v>1</v>
      </c>
      <c r="CK275"/>
      <c r="CX275">
        <v>248</v>
      </c>
    </row>
    <row r="276" spans="1:102">
      <c r="A276">
        <v>249</v>
      </c>
      <c r="B276" s="8" t="s">
        <v>12</v>
      </c>
      <c r="C276" s="8" t="s">
        <v>106</v>
      </c>
      <c r="D276" s="8" t="s">
        <v>349</v>
      </c>
      <c r="E276" s="8" t="s">
        <v>42</v>
      </c>
      <c r="I276" s="149"/>
      <c r="J276" s="96"/>
      <c r="K276" s="96"/>
      <c r="L276" s="96"/>
      <c r="M276" s="96"/>
      <c r="N276" s="96"/>
      <c r="O276" s="96"/>
      <c r="P276" s="150"/>
      <c r="Q276" s="149"/>
      <c r="R276" s="96"/>
      <c r="S276" s="96"/>
      <c r="T276" s="96"/>
      <c r="U276" s="96"/>
      <c r="V276" s="96"/>
      <c r="W276" s="96"/>
      <c r="X276" s="150"/>
      <c r="Y276" s="149"/>
      <c r="Z276" s="96"/>
      <c r="AA276" s="96"/>
      <c r="AB276" s="96"/>
      <c r="AC276" s="96"/>
      <c r="AD276" s="96"/>
      <c r="AE276" s="96"/>
      <c r="AF276" s="150"/>
      <c r="AH276" s="96"/>
      <c r="AI276" s="96"/>
      <c r="AJ276" s="96"/>
      <c r="AK276" s="96"/>
      <c r="AL276" s="96"/>
      <c r="AM276" s="96"/>
      <c r="AN276" s="150"/>
      <c r="AQ276" s="85">
        <f t="shared" si="12"/>
        <v>0</v>
      </c>
      <c r="AR276" s="19"/>
      <c r="AS276"/>
      <c r="AT276" s="67">
        <f t="shared" si="13"/>
        <v>0</v>
      </c>
      <c r="AU276" s="67">
        <f t="shared" si="14"/>
        <v>0</v>
      </c>
      <c r="AV276" s="66"/>
      <c r="AW276" s="12"/>
      <c r="BE276" s="12">
        <v>1</v>
      </c>
      <c r="BY276" s="12">
        <v>1</v>
      </c>
      <c r="CK276"/>
      <c r="CX276">
        <v>249</v>
      </c>
    </row>
    <row r="277" spans="1:102">
      <c r="A277">
        <v>250</v>
      </c>
      <c r="B277" s="8" t="s">
        <v>12</v>
      </c>
      <c r="C277" s="8" t="s">
        <v>71</v>
      </c>
      <c r="D277" s="8" t="s">
        <v>366</v>
      </c>
      <c r="E277" s="8" t="s">
        <v>42</v>
      </c>
      <c r="I277" s="149"/>
      <c r="J277" s="96"/>
      <c r="K277" s="96"/>
      <c r="L277" s="96"/>
      <c r="M277" s="96"/>
      <c r="N277" s="96"/>
      <c r="O277" s="96"/>
      <c r="P277" s="150"/>
      <c r="Q277" s="149"/>
      <c r="R277" s="96"/>
      <c r="S277" s="96"/>
      <c r="T277" s="96"/>
      <c r="U277" s="96"/>
      <c r="V277" s="96"/>
      <c r="W277" s="96"/>
      <c r="X277" s="150"/>
      <c r="Y277" s="149"/>
      <c r="Z277" s="96"/>
      <c r="AA277" s="96"/>
      <c r="AB277" s="96"/>
      <c r="AC277" s="96"/>
      <c r="AD277" s="96"/>
      <c r="AE277" s="96"/>
      <c r="AF277" s="150"/>
      <c r="AH277" s="96"/>
      <c r="AI277" s="96"/>
      <c r="AJ277" s="96"/>
      <c r="AK277" s="96"/>
      <c r="AL277" s="96"/>
      <c r="AM277" s="96"/>
      <c r="AN277" s="150"/>
      <c r="AQ277" s="85">
        <f t="shared" si="12"/>
        <v>0</v>
      </c>
      <c r="AR277" s="19"/>
      <c r="AS277"/>
      <c r="AT277" s="67">
        <f t="shared" si="13"/>
        <v>0</v>
      </c>
      <c r="AU277" s="67">
        <f t="shared" si="14"/>
        <v>0</v>
      </c>
      <c r="AV277" s="66"/>
      <c r="AW277" s="12"/>
      <c r="BE277" s="12">
        <v>1</v>
      </c>
      <c r="BV277" s="12">
        <v>1</v>
      </c>
      <c r="BX277" s="12">
        <v>1</v>
      </c>
      <c r="CK277"/>
      <c r="CX277">
        <v>250</v>
      </c>
    </row>
    <row r="278" spans="1:102" s="8" customFormat="1">
      <c r="A278" s="8">
        <v>251</v>
      </c>
      <c r="B278" s="8" t="s">
        <v>13</v>
      </c>
      <c r="C278" s="55" t="s">
        <v>161</v>
      </c>
      <c r="D278" s="8" t="s">
        <v>357</v>
      </c>
      <c r="E278" s="8" t="s">
        <v>15</v>
      </c>
      <c r="F278" s="8">
        <v>13</v>
      </c>
      <c r="G278" s="8" t="s">
        <v>15</v>
      </c>
      <c r="H278" s="8" t="s">
        <v>15</v>
      </c>
      <c r="I278" s="124"/>
      <c r="J278" s="95"/>
      <c r="K278" s="95"/>
      <c r="L278" s="95"/>
      <c r="M278" s="95"/>
      <c r="N278" s="95"/>
      <c r="O278" s="95"/>
      <c r="P278" s="125"/>
      <c r="Q278" s="124"/>
      <c r="R278" s="95"/>
      <c r="S278" s="95"/>
      <c r="T278" s="95"/>
      <c r="U278" s="95"/>
      <c r="V278" s="95"/>
      <c r="W278" s="95"/>
      <c r="X278" s="125"/>
      <c r="Y278" s="124"/>
      <c r="Z278" s="95">
        <v>1</v>
      </c>
      <c r="AA278" s="95">
        <v>1</v>
      </c>
      <c r="AB278" s="95">
        <v>1</v>
      </c>
      <c r="AC278" s="95">
        <v>1</v>
      </c>
      <c r="AD278" s="95">
        <v>1</v>
      </c>
      <c r="AE278" s="95">
        <v>1</v>
      </c>
      <c r="AF278" s="125">
        <v>1</v>
      </c>
      <c r="AG278" s="95">
        <v>1</v>
      </c>
      <c r="AH278" s="95">
        <v>1</v>
      </c>
      <c r="AI278" s="95">
        <v>1</v>
      </c>
      <c r="AJ278" s="95">
        <v>1</v>
      </c>
      <c r="AK278" s="95">
        <v>1</v>
      </c>
      <c r="AL278" s="95">
        <v>1</v>
      </c>
      <c r="AM278" s="95" t="s">
        <v>49</v>
      </c>
      <c r="AN278" s="125"/>
      <c r="AO278" s="95">
        <v>2</v>
      </c>
      <c r="AP278" s="88">
        <v>11</v>
      </c>
      <c r="AQ278" s="85">
        <f t="shared" si="12"/>
        <v>13</v>
      </c>
      <c r="AR278" s="102" t="s">
        <v>160</v>
      </c>
      <c r="AT278" s="67">
        <f t="shared" si="13"/>
        <v>0</v>
      </c>
      <c r="AU278" s="67">
        <f t="shared" si="14"/>
        <v>0</v>
      </c>
      <c r="AW278" s="89"/>
      <c r="AX278" s="89"/>
      <c r="AY278" s="89"/>
      <c r="AZ278" s="89">
        <v>1</v>
      </c>
      <c r="BA278" s="89">
        <v>1</v>
      </c>
      <c r="BB278" s="89">
        <v>1</v>
      </c>
      <c r="BC278" s="89"/>
      <c r="BD278" s="89"/>
      <c r="BE278" s="89"/>
      <c r="BF278" s="89"/>
      <c r="BG278" s="89"/>
      <c r="BH278" s="89"/>
      <c r="BI278" s="89"/>
      <c r="BJ278" s="89"/>
      <c r="BK278" s="89"/>
      <c r="BL278" s="89"/>
      <c r="BM278" s="89"/>
      <c r="BN278" s="89"/>
      <c r="BO278" s="89"/>
      <c r="BP278" s="89"/>
      <c r="BQ278" s="89"/>
      <c r="BR278" s="89"/>
      <c r="BS278" s="89"/>
      <c r="BT278" s="89"/>
      <c r="BU278" s="89"/>
      <c r="BV278" s="89"/>
      <c r="BW278" s="89"/>
      <c r="BX278" s="89"/>
      <c r="BY278" s="89"/>
      <c r="BZ278" s="89"/>
      <c r="CA278" s="89"/>
      <c r="CB278" s="89"/>
      <c r="CC278" s="89"/>
      <c r="CD278" s="89"/>
      <c r="CE278" s="89"/>
      <c r="CF278" s="89"/>
      <c r="CG278" s="89"/>
      <c r="CH278" s="89"/>
      <c r="CI278" s="89"/>
      <c r="CJ278" s="89"/>
      <c r="CX278" s="8">
        <v>251</v>
      </c>
    </row>
    <row r="279" spans="1:102">
      <c r="A279">
        <v>252</v>
      </c>
      <c r="B279" s="8" t="s">
        <v>12</v>
      </c>
      <c r="C279" s="8" t="s">
        <v>40</v>
      </c>
      <c r="D279" s="8" t="s">
        <v>40</v>
      </c>
      <c r="E279" t="s">
        <v>6</v>
      </c>
      <c r="I279" s="149"/>
      <c r="J279" s="96"/>
      <c r="K279" s="96"/>
      <c r="L279" s="96"/>
      <c r="M279" s="96"/>
      <c r="N279" s="96"/>
      <c r="O279" s="96"/>
      <c r="P279" s="150"/>
      <c r="Q279" s="149"/>
      <c r="R279" s="96"/>
      <c r="S279" s="96"/>
      <c r="T279" s="96"/>
      <c r="U279" s="96"/>
      <c r="V279" s="96"/>
      <c r="W279" s="96"/>
      <c r="X279" s="150"/>
      <c r="Y279" s="149"/>
      <c r="Z279" s="96"/>
      <c r="AA279" s="96"/>
      <c r="AB279" s="96"/>
      <c r="AC279" s="96"/>
      <c r="AD279" s="96"/>
      <c r="AE279" s="96"/>
      <c r="AF279" s="150"/>
      <c r="AH279" s="96"/>
      <c r="AI279" s="96"/>
      <c r="AJ279" s="96"/>
      <c r="AK279" s="96"/>
      <c r="AL279" s="96"/>
      <c r="AM279" s="96"/>
      <c r="AN279" s="150"/>
      <c r="AQ279" s="85">
        <f t="shared" si="12"/>
        <v>0</v>
      </c>
      <c r="AR279" s="19"/>
      <c r="AS279"/>
      <c r="AT279" s="67">
        <f t="shared" si="13"/>
        <v>0</v>
      </c>
      <c r="AU279" s="67">
        <f t="shared" si="14"/>
        <v>0</v>
      </c>
      <c r="AV279" s="66"/>
      <c r="AW279" s="12"/>
      <c r="BK279" s="12">
        <v>1</v>
      </c>
      <c r="CK279"/>
      <c r="CP279">
        <v>1</v>
      </c>
      <c r="CX279">
        <v>252</v>
      </c>
    </row>
    <row r="280" spans="1:102">
      <c r="A280" s="8">
        <v>253</v>
      </c>
      <c r="B280" s="8" t="s">
        <v>12</v>
      </c>
      <c r="C280" s="8" t="s">
        <v>40</v>
      </c>
      <c r="D280" s="8" t="s">
        <v>40</v>
      </c>
      <c r="E280" s="8" t="s">
        <v>6</v>
      </c>
      <c r="F280" s="8"/>
      <c r="G280" s="8"/>
      <c r="H280" s="8"/>
      <c r="I280" s="124"/>
      <c r="J280" s="95"/>
      <c r="K280" s="95"/>
      <c r="L280" s="95"/>
      <c r="M280" s="95"/>
      <c r="N280" s="95"/>
      <c r="O280" s="95"/>
      <c r="P280" s="125"/>
      <c r="Q280" s="124"/>
      <c r="R280" s="95"/>
      <c r="S280" s="95"/>
      <c r="T280" s="95"/>
      <c r="U280" s="95"/>
      <c r="V280" s="95"/>
      <c r="W280" s="95"/>
      <c r="X280" s="125"/>
      <c r="Y280" s="124"/>
      <c r="Z280" s="95"/>
      <c r="AA280" s="95"/>
      <c r="AB280" s="95"/>
      <c r="AC280" s="95"/>
      <c r="AD280" s="95"/>
      <c r="AE280" s="95"/>
      <c r="AF280" s="125"/>
      <c r="AG280" s="95"/>
      <c r="AH280" s="95"/>
      <c r="AI280" s="95"/>
      <c r="AJ280" s="95"/>
      <c r="AK280" s="95"/>
      <c r="AL280" s="95"/>
      <c r="AM280" s="95"/>
      <c r="AN280" s="125"/>
      <c r="AO280" s="95"/>
      <c r="AP280" s="79"/>
      <c r="AQ280" s="85">
        <f t="shared" si="12"/>
        <v>0</v>
      </c>
      <c r="AR280" s="19"/>
      <c r="AS280"/>
      <c r="AT280" s="67">
        <f t="shared" si="13"/>
        <v>0</v>
      </c>
      <c r="AU280" s="67">
        <f t="shared" si="14"/>
        <v>0</v>
      </c>
      <c r="AV280" s="66"/>
      <c r="AW280" s="12"/>
      <c r="CK280"/>
      <c r="CX280">
        <v>253</v>
      </c>
    </row>
    <row r="281" spans="1:102">
      <c r="A281" s="8">
        <v>254</v>
      </c>
      <c r="B281" s="8" t="s">
        <v>12</v>
      </c>
      <c r="C281" s="8" t="s">
        <v>162</v>
      </c>
      <c r="D281" s="8" t="s">
        <v>12</v>
      </c>
      <c r="E281" s="8" t="s">
        <v>42</v>
      </c>
      <c r="F281" s="8">
        <v>32</v>
      </c>
      <c r="G281" s="8">
        <v>32</v>
      </c>
      <c r="H281" s="8">
        <v>32</v>
      </c>
      <c r="I281" s="124">
        <v>1</v>
      </c>
      <c r="J281" s="95">
        <v>1</v>
      </c>
      <c r="K281" s="95">
        <v>1</v>
      </c>
      <c r="L281" s="95">
        <v>1</v>
      </c>
      <c r="M281" s="95">
        <v>1</v>
      </c>
      <c r="N281" s="95">
        <v>1</v>
      </c>
      <c r="O281" s="95">
        <v>1</v>
      </c>
      <c r="P281" s="125">
        <v>1</v>
      </c>
      <c r="Q281" s="124">
        <v>1</v>
      </c>
      <c r="R281" s="95">
        <v>1</v>
      </c>
      <c r="S281" s="95">
        <v>1</v>
      </c>
      <c r="T281" s="95">
        <v>1</v>
      </c>
      <c r="U281" s="95">
        <v>1</v>
      </c>
      <c r="V281" s="95">
        <v>1</v>
      </c>
      <c r="W281" s="95">
        <v>1</v>
      </c>
      <c r="X281" s="125">
        <v>1</v>
      </c>
      <c r="Y281" s="124">
        <v>1</v>
      </c>
      <c r="Z281" s="95">
        <v>1</v>
      </c>
      <c r="AA281" s="95">
        <v>1</v>
      </c>
      <c r="AB281" s="95">
        <v>1</v>
      </c>
      <c r="AC281" s="95">
        <v>1</v>
      </c>
      <c r="AD281" s="95">
        <v>1</v>
      </c>
      <c r="AE281" s="95">
        <v>1</v>
      </c>
      <c r="AF281" s="125">
        <v>1</v>
      </c>
      <c r="AG281" s="95">
        <v>1</v>
      </c>
      <c r="AH281" s="95">
        <v>1</v>
      </c>
      <c r="AI281" s="95">
        <v>1</v>
      </c>
      <c r="AJ281" s="95">
        <v>1</v>
      </c>
      <c r="AK281" s="95">
        <v>1</v>
      </c>
      <c r="AL281" s="95">
        <v>1</v>
      </c>
      <c r="AM281" s="95">
        <v>1</v>
      </c>
      <c r="AN281" s="125">
        <v>1</v>
      </c>
      <c r="AO281" s="95"/>
      <c r="AP281" s="79">
        <v>32</v>
      </c>
      <c r="AQ281" s="85">
        <f t="shared" si="12"/>
        <v>32</v>
      </c>
      <c r="AR281" s="19" t="s">
        <v>229</v>
      </c>
      <c r="AS281">
        <v>1</v>
      </c>
      <c r="AT281" s="67">
        <f t="shared" si="13"/>
        <v>0</v>
      </c>
      <c r="AU281" s="67">
        <f t="shared" si="14"/>
        <v>0</v>
      </c>
      <c r="AV281" s="66">
        <v>1</v>
      </c>
      <c r="AW281" s="12">
        <v>1</v>
      </c>
      <c r="AZ281" s="12">
        <v>1</v>
      </c>
      <c r="BA281" s="12">
        <v>1</v>
      </c>
      <c r="BB281" s="12">
        <v>1</v>
      </c>
      <c r="BE281" s="12">
        <v>1</v>
      </c>
      <c r="BP281" s="12">
        <v>1</v>
      </c>
      <c r="BQ281" s="12">
        <v>1</v>
      </c>
      <c r="BV281" s="12">
        <v>1</v>
      </c>
      <c r="BY281" s="12">
        <v>1</v>
      </c>
      <c r="CK281"/>
      <c r="CX281">
        <v>254</v>
      </c>
    </row>
    <row r="282" spans="1:102">
      <c r="A282" s="8">
        <v>255</v>
      </c>
      <c r="B282" s="8" t="s">
        <v>13</v>
      </c>
      <c r="C282" s="8" t="s">
        <v>59</v>
      </c>
      <c r="D282" s="8" t="s">
        <v>346</v>
      </c>
      <c r="E282" s="8" t="s">
        <v>15</v>
      </c>
      <c r="F282" s="8">
        <v>1</v>
      </c>
      <c r="G282" s="8" t="s">
        <v>15</v>
      </c>
      <c r="H282" s="8" t="s">
        <v>15</v>
      </c>
      <c r="I282" s="124"/>
      <c r="J282" s="95"/>
      <c r="K282" s="95"/>
      <c r="L282" s="95"/>
      <c r="M282" s="95"/>
      <c r="N282" s="95"/>
      <c r="O282" s="95"/>
      <c r="P282" s="125"/>
      <c r="Q282" s="124"/>
      <c r="R282" s="95"/>
      <c r="S282" s="95"/>
      <c r="T282" s="95"/>
      <c r="U282" s="95"/>
      <c r="V282" s="95"/>
      <c r="W282" s="95"/>
      <c r="X282" s="125"/>
      <c r="Y282" s="124"/>
      <c r="Z282" s="95"/>
      <c r="AA282" s="95"/>
      <c r="AB282" s="95"/>
      <c r="AC282" s="95"/>
      <c r="AD282" s="95"/>
      <c r="AE282" s="95"/>
      <c r="AF282" s="125"/>
      <c r="AG282" s="95"/>
      <c r="AH282" s="95"/>
      <c r="AI282" s="95"/>
      <c r="AJ282" s="95"/>
      <c r="AK282" s="95"/>
      <c r="AL282" s="95">
        <v>1</v>
      </c>
      <c r="AM282" s="95"/>
      <c r="AN282" s="125"/>
      <c r="AO282" s="95"/>
      <c r="AP282" s="79">
        <v>1</v>
      </c>
      <c r="AQ282" s="85">
        <f t="shared" si="12"/>
        <v>1</v>
      </c>
      <c r="AR282" s="19"/>
      <c r="AS282"/>
      <c r="AT282" s="67">
        <f t="shared" si="13"/>
        <v>0</v>
      </c>
      <c r="AU282" s="67">
        <f t="shared" si="14"/>
        <v>0</v>
      </c>
      <c r="AV282" s="66"/>
      <c r="AW282" s="12"/>
      <c r="CK282"/>
      <c r="CX282">
        <v>255</v>
      </c>
    </row>
    <row r="283" spans="1:102">
      <c r="A283" s="8">
        <v>256</v>
      </c>
      <c r="B283" s="8" t="s">
        <v>12</v>
      </c>
      <c r="C283" s="8" t="s">
        <v>44</v>
      </c>
      <c r="D283" s="8" t="s">
        <v>349</v>
      </c>
      <c r="E283" s="8" t="s">
        <v>42</v>
      </c>
      <c r="F283" s="8">
        <v>8</v>
      </c>
      <c r="G283" s="8" t="s">
        <v>15</v>
      </c>
      <c r="H283" s="8" t="s">
        <v>15</v>
      </c>
      <c r="I283" s="124"/>
      <c r="J283" s="95"/>
      <c r="K283" s="95"/>
      <c r="L283" s="95"/>
      <c r="M283" s="95"/>
      <c r="N283" s="95"/>
      <c r="O283" s="95"/>
      <c r="P283" s="125"/>
      <c r="Q283" s="124"/>
      <c r="R283" s="95"/>
      <c r="S283" s="95"/>
      <c r="T283" s="95"/>
      <c r="U283" s="95"/>
      <c r="V283" s="95"/>
      <c r="W283" s="95"/>
      <c r="X283" s="125"/>
      <c r="Y283" s="124" t="s">
        <v>15</v>
      </c>
      <c r="Z283" s="95" t="s">
        <v>9</v>
      </c>
      <c r="AA283" s="95" t="s">
        <v>10</v>
      </c>
      <c r="AB283" s="95">
        <v>1</v>
      </c>
      <c r="AC283" s="95">
        <v>1</v>
      </c>
      <c r="AD283" s="95">
        <v>1</v>
      </c>
      <c r="AE283" s="95">
        <v>1</v>
      </c>
      <c r="AF283" s="125">
        <v>1</v>
      </c>
      <c r="AG283" s="95" t="s">
        <v>9</v>
      </c>
      <c r="AH283" s="95">
        <v>1</v>
      </c>
      <c r="AI283" s="95">
        <v>1</v>
      </c>
      <c r="AJ283" s="95">
        <v>1</v>
      </c>
      <c r="AK283" s="95" t="s">
        <v>10</v>
      </c>
      <c r="AL283" s="95" t="s">
        <v>10</v>
      </c>
      <c r="AM283" s="95" t="s">
        <v>10</v>
      </c>
      <c r="AN283" s="125" t="s">
        <v>15</v>
      </c>
      <c r="AO283" s="95"/>
      <c r="AP283" s="79">
        <v>8</v>
      </c>
      <c r="AQ283" s="85">
        <f t="shared" si="12"/>
        <v>8</v>
      </c>
      <c r="AR283" s="19"/>
      <c r="AS283"/>
      <c r="AT283" s="67">
        <f t="shared" si="13"/>
        <v>4</v>
      </c>
      <c r="AU283" s="67">
        <f t="shared" si="14"/>
        <v>2</v>
      </c>
      <c r="AV283" s="66"/>
      <c r="AW283" s="12">
        <v>1</v>
      </c>
      <c r="AY283" s="12">
        <v>1</v>
      </c>
      <c r="AZ283" s="12">
        <v>1</v>
      </c>
      <c r="BA283" s="12">
        <v>1</v>
      </c>
      <c r="BB283" s="12">
        <v>1</v>
      </c>
      <c r="BD283" s="12">
        <v>1</v>
      </c>
      <c r="BW283" s="12">
        <v>1</v>
      </c>
      <c r="BY283" s="12">
        <v>1</v>
      </c>
      <c r="CK283"/>
      <c r="CX283">
        <v>256</v>
      </c>
    </row>
    <row r="284" spans="1:102">
      <c r="A284" s="8">
        <v>257</v>
      </c>
      <c r="B284" s="8" t="s">
        <v>13</v>
      </c>
      <c r="C284" s="8" t="s">
        <v>55</v>
      </c>
      <c r="D284" s="8" t="s">
        <v>346</v>
      </c>
      <c r="E284" s="8" t="s">
        <v>15</v>
      </c>
      <c r="F284" s="8">
        <v>16</v>
      </c>
      <c r="G284" s="8">
        <v>20</v>
      </c>
      <c r="H284" s="8">
        <v>20</v>
      </c>
      <c r="I284" s="124"/>
      <c r="J284" s="95"/>
      <c r="K284" s="95" t="s">
        <v>49</v>
      </c>
      <c r="L284" s="95">
        <v>1</v>
      </c>
      <c r="M284" s="95">
        <v>1</v>
      </c>
      <c r="N284" s="95">
        <v>1</v>
      </c>
      <c r="O284" s="95">
        <v>1</v>
      </c>
      <c r="P284" s="125" t="s">
        <v>9</v>
      </c>
      <c r="Q284" s="124">
        <v>1</v>
      </c>
      <c r="R284" s="95">
        <v>1</v>
      </c>
      <c r="S284" s="95">
        <v>1</v>
      </c>
      <c r="T284" s="95">
        <v>1</v>
      </c>
      <c r="U284" s="95">
        <v>1</v>
      </c>
      <c r="V284" s="95" t="s">
        <v>49</v>
      </c>
      <c r="W284" s="95"/>
      <c r="X284" s="125"/>
      <c r="Y284" s="124"/>
      <c r="Z284" s="95"/>
      <c r="AA284" s="95" t="s">
        <v>49</v>
      </c>
      <c r="AB284" s="95">
        <v>1</v>
      </c>
      <c r="AC284" s="95">
        <v>1</v>
      </c>
      <c r="AD284" s="95">
        <v>1</v>
      </c>
      <c r="AE284" s="95" t="s">
        <v>9</v>
      </c>
      <c r="AF284" s="125" t="s">
        <v>9</v>
      </c>
      <c r="AG284" s="95" t="s">
        <v>9</v>
      </c>
      <c r="AH284" s="95">
        <v>1</v>
      </c>
      <c r="AI284" s="95">
        <v>1</v>
      </c>
      <c r="AJ284" s="95">
        <v>1</v>
      </c>
      <c r="AK284" s="95">
        <v>1</v>
      </c>
      <c r="AL284" s="95" t="s">
        <v>49</v>
      </c>
      <c r="AM284" s="95"/>
      <c r="AN284" s="125"/>
      <c r="AO284" s="95">
        <v>16</v>
      </c>
      <c r="AP284" s="79"/>
      <c r="AQ284" s="85">
        <f t="shared" si="12"/>
        <v>16</v>
      </c>
      <c r="AR284" s="19" t="s">
        <v>218</v>
      </c>
      <c r="AS284"/>
      <c r="AT284" s="67">
        <f t="shared" si="13"/>
        <v>0</v>
      </c>
      <c r="AU284" s="67">
        <f t="shared" si="14"/>
        <v>4</v>
      </c>
      <c r="AV284" s="66"/>
      <c r="AW284" s="12"/>
      <c r="CK284"/>
      <c r="CX284">
        <v>257</v>
      </c>
    </row>
    <row r="285" spans="1:102" s="8" customFormat="1">
      <c r="A285" s="8">
        <v>258</v>
      </c>
      <c r="B285" s="8" t="s">
        <v>13</v>
      </c>
      <c r="C285" s="8" t="s">
        <v>74</v>
      </c>
      <c r="D285" s="8" t="s">
        <v>346</v>
      </c>
      <c r="E285" s="8" t="s">
        <v>15</v>
      </c>
      <c r="F285" s="8">
        <v>5</v>
      </c>
      <c r="G285" s="8" t="s">
        <v>15</v>
      </c>
      <c r="H285" s="8" t="s">
        <v>15</v>
      </c>
      <c r="I285" s="124"/>
      <c r="J285" s="95"/>
      <c r="K285" s="95"/>
      <c r="L285" s="95"/>
      <c r="M285" s="95"/>
      <c r="N285" s="95"/>
      <c r="O285" s="95"/>
      <c r="P285" s="125"/>
      <c r="Q285" s="124"/>
      <c r="R285" s="95"/>
      <c r="S285" s="95"/>
      <c r="T285" s="95"/>
      <c r="U285" s="95"/>
      <c r="V285" s="95"/>
      <c r="W285" s="95"/>
      <c r="X285" s="125"/>
      <c r="Y285" s="124"/>
      <c r="Z285" s="95"/>
      <c r="AA285" s="95" t="s">
        <v>49</v>
      </c>
      <c r="AB285" s="95" t="s">
        <v>49</v>
      </c>
      <c r="AC285" s="95" t="s">
        <v>9</v>
      </c>
      <c r="AD285" s="95">
        <v>1</v>
      </c>
      <c r="AE285" s="95">
        <v>1</v>
      </c>
      <c r="AF285" s="125">
        <v>1</v>
      </c>
      <c r="AG285" s="95" t="s">
        <v>9</v>
      </c>
      <c r="AH285" s="95" t="s">
        <v>9</v>
      </c>
      <c r="AI285" s="95">
        <v>1</v>
      </c>
      <c r="AJ285" s="95">
        <v>1</v>
      </c>
      <c r="AK285" s="95" t="s">
        <v>49</v>
      </c>
      <c r="AL285" s="95" t="s">
        <v>49</v>
      </c>
      <c r="AM285" s="95"/>
      <c r="AN285" s="125"/>
      <c r="AO285" s="95">
        <v>5</v>
      </c>
      <c r="AP285" s="95"/>
      <c r="AQ285" s="85">
        <f t="shared" si="12"/>
        <v>5</v>
      </c>
      <c r="AR285" s="102"/>
      <c r="AT285" s="8">
        <f t="shared" si="13"/>
        <v>0</v>
      </c>
      <c r="AU285" s="8">
        <f t="shared" si="14"/>
        <v>3</v>
      </c>
      <c r="AW285" s="99"/>
      <c r="AX285" s="99"/>
      <c r="AY285" s="99"/>
      <c r="AZ285" s="99"/>
      <c r="BA285" s="99"/>
      <c r="BB285" s="99"/>
      <c r="BC285" s="99"/>
      <c r="BD285" s="99"/>
      <c r="BE285" s="99"/>
      <c r="BF285" s="99"/>
      <c r="BG285" s="99"/>
      <c r="BH285" s="99"/>
      <c r="BI285" s="99"/>
      <c r="BJ285" s="99"/>
      <c r="BK285" s="99"/>
      <c r="BL285" s="99"/>
      <c r="BM285" s="99"/>
      <c r="BN285" s="99"/>
      <c r="BO285" s="99"/>
      <c r="BP285" s="99"/>
      <c r="BQ285" s="99"/>
      <c r="BR285" s="99"/>
      <c r="BS285" s="99"/>
      <c r="BT285" s="99"/>
      <c r="BU285" s="99"/>
      <c r="BV285" s="99"/>
      <c r="BW285" s="99"/>
      <c r="BX285" s="99"/>
      <c r="BY285" s="99"/>
      <c r="BZ285" s="99"/>
      <c r="CA285" s="99"/>
      <c r="CB285" s="99"/>
      <c r="CC285" s="99"/>
      <c r="CD285" s="99"/>
      <c r="CE285" s="99"/>
      <c r="CF285" s="99"/>
      <c r="CG285" s="99"/>
      <c r="CH285" s="99"/>
      <c r="CI285" s="99"/>
      <c r="CJ285" s="99"/>
      <c r="CX285" s="8">
        <v>258</v>
      </c>
    </row>
    <row r="286" spans="1:102">
      <c r="A286" s="8">
        <v>259</v>
      </c>
      <c r="B286" s="8" t="s">
        <v>12</v>
      </c>
      <c r="C286" s="8" t="s">
        <v>40</v>
      </c>
      <c r="D286" s="8" t="s">
        <v>40</v>
      </c>
      <c r="E286" s="8" t="s">
        <v>15</v>
      </c>
      <c r="F286" s="8"/>
      <c r="G286" s="8"/>
      <c r="H286" s="8"/>
      <c r="I286" s="124"/>
      <c r="J286" s="95"/>
      <c r="K286" s="95"/>
      <c r="L286" s="95"/>
      <c r="M286" s="95"/>
      <c r="N286" s="95"/>
      <c r="O286" s="95"/>
      <c r="P286" s="125"/>
      <c r="Q286" s="124"/>
      <c r="R286" s="95"/>
      <c r="S286" s="95"/>
      <c r="T286" s="95"/>
      <c r="U286" s="95"/>
      <c r="V286" s="95"/>
      <c r="W286" s="95"/>
      <c r="X286" s="125"/>
      <c r="Y286" s="124"/>
      <c r="Z286" s="95"/>
      <c r="AA286" s="95"/>
      <c r="AB286" s="95"/>
      <c r="AC286" s="95"/>
      <c r="AD286" s="95"/>
      <c r="AE286" s="95"/>
      <c r="AF286" s="125"/>
      <c r="AG286" s="95"/>
      <c r="AH286" s="95"/>
      <c r="AI286" s="95"/>
      <c r="AJ286" s="95"/>
      <c r="AK286" s="95"/>
      <c r="AL286" s="95"/>
      <c r="AM286" s="95"/>
      <c r="AN286" s="125"/>
      <c r="AO286" s="95"/>
      <c r="AP286" s="79"/>
      <c r="AQ286" s="85">
        <f t="shared" si="12"/>
        <v>0</v>
      </c>
      <c r="AR286" s="19"/>
      <c r="AS286"/>
      <c r="AT286" s="67">
        <f t="shared" si="13"/>
        <v>0</v>
      </c>
      <c r="AU286" s="67">
        <f t="shared" si="14"/>
        <v>0</v>
      </c>
      <c r="AV286" s="66"/>
      <c r="AW286" s="12"/>
      <c r="BD286" s="12">
        <v>1</v>
      </c>
      <c r="BV286" s="12">
        <v>1</v>
      </c>
      <c r="BY286" s="12">
        <v>1</v>
      </c>
      <c r="CK286"/>
      <c r="CX286">
        <v>259</v>
      </c>
    </row>
    <row r="287" spans="1:102">
      <c r="A287" s="8">
        <v>260</v>
      </c>
      <c r="B287" s="8" t="s">
        <v>12</v>
      </c>
      <c r="C287" s="8" t="s">
        <v>40</v>
      </c>
      <c r="D287" s="8" t="s">
        <v>40</v>
      </c>
      <c r="E287" s="8" t="s">
        <v>15</v>
      </c>
      <c r="F287" s="8"/>
      <c r="G287" s="8"/>
      <c r="H287" s="8"/>
      <c r="I287" s="124"/>
      <c r="J287" s="95"/>
      <c r="K287" s="95"/>
      <c r="L287" s="95"/>
      <c r="M287" s="95"/>
      <c r="N287" s="95"/>
      <c r="O287" s="95"/>
      <c r="P287" s="125"/>
      <c r="Q287" s="124"/>
      <c r="R287" s="95"/>
      <c r="S287" s="95"/>
      <c r="T287" s="95"/>
      <c r="U287" s="95"/>
      <c r="V287" s="95"/>
      <c r="W287" s="95"/>
      <c r="X287" s="125"/>
      <c r="Y287" s="124"/>
      <c r="Z287" s="95"/>
      <c r="AA287" s="95"/>
      <c r="AB287" s="95"/>
      <c r="AC287" s="95"/>
      <c r="AD287" s="95"/>
      <c r="AE287" s="95"/>
      <c r="AF287" s="125"/>
      <c r="AG287" s="95"/>
      <c r="AH287" s="95"/>
      <c r="AI287" s="95"/>
      <c r="AJ287" s="95"/>
      <c r="AK287" s="95"/>
      <c r="AL287" s="95"/>
      <c r="AM287" s="95"/>
      <c r="AN287" s="125"/>
      <c r="AO287" s="95"/>
      <c r="AP287" s="79"/>
      <c r="AQ287" s="85">
        <f t="shared" si="12"/>
        <v>0</v>
      </c>
      <c r="AR287" s="19"/>
      <c r="AS287"/>
      <c r="AT287" s="67">
        <f t="shared" si="13"/>
        <v>0</v>
      </c>
      <c r="AU287" s="67">
        <f t="shared" si="14"/>
        <v>0</v>
      </c>
      <c r="AV287" s="66"/>
      <c r="AW287" s="12"/>
      <c r="BQ287" s="12">
        <v>3</v>
      </c>
      <c r="CK287"/>
      <c r="CX287">
        <v>260</v>
      </c>
    </row>
    <row r="288" spans="1:102">
      <c r="A288" s="8">
        <v>261</v>
      </c>
      <c r="B288" s="8" t="s">
        <v>12</v>
      </c>
      <c r="C288" s="8" t="s">
        <v>40</v>
      </c>
      <c r="D288" s="8" t="s">
        <v>40</v>
      </c>
      <c r="E288" s="8" t="s">
        <v>6</v>
      </c>
      <c r="F288" s="8"/>
      <c r="G288" s="8"/>
      <c r="H288" s="8"/>
      <c r="I288" s="124"/>
      <c r="J288" s="95"/>
      <c r="K288" s="95"/>
      <c r="L288" s="95"/>
      <c r="M288" s="95"/>
      <c r="N288" s="95"/>
      <c r="O288" s="95"/>
      <c r="P288" s="125"/>
      <c r="Q288" s="124"/>
      <c r="R288" s="95"/>
      <c r="S288" s="95"/>
      <c r="T288" s="95"/>
      <c r="U288" s="95"/>
      <c r="V288" s="95"/>
      <c r="W288" s="95"/>
      <c r="X288" s="125"/>
      <c r="Y288" s="124"/>
      <c r="Z288" s="95"/>
      <c r="AA288" s="95"/>
      <c r="AB288" s="95"/>
      <c r="AC288" s="95"/>
      <c r="AD288" s="95"/>
      <c r="AE288" s="95"/>
      <c r="AF288" s="125"/>
      <c r="AG288" s="95"/>
      <c r="AH288" s="95"/>
      <c r="AI288" s="95"/>
      <c r="AJ288" s="95"/>
      <c r="AK288" s="95"/>
      <c r="AL288" s="95"/>
      <c r="AM288" s="95"/>
      <c r="AN288" s="125"/>
      <c r="AO288" s="95"/>
      <c r="AP288" s="79"/>
      <c r="AQ288" s="85">
        <f t="shared" si="12"/>
        <v>0</v>
      </c>
      <c r="AR288" s="19"/>
      <c r="AS288"/>
      <c r="AT288" s="67">
        <f t="shared" si="13"/>
        <v>0</v>
      </c>
      <c r="AU288" s="67">
        <f t="shared" si="14"/>
        <v>0</v>
      </c>
      <c r="AV288" s="66"/>
      <c r="AW288" s="12"/>
      <c r="CK288"/>
      <c r="CX288">
        <v>261</v>
      </c>
    </row>
    <row r="289" spans="1:103">
      <c r="A289" s="8">
        <v>262</v>
      </c>
      <c r="B289" s="8" t="s">
        <v>12</v>
      </c>
      <c r="C289" s="8" t="s">
        <v>136</v>
      </c>
      <c r="D289" s="8" t="s">
        <v>12</v>
      </c>
      <c r="E289" s="8" t="s">
        <v>42</v>
      </c>
      <c r="F289" s="8"/>
      <c r="G289" s="8"/>
      <c r="H289" s="8"/>
      <c r="I289" s="124"/>
      <c r="J289" s="95"/>
      <c r="K289" s="95"/>
      <c r="L289" s="95"/>
      <c r="M289" s="95"/>
      <c r="N289" s="95"/>
      <c r="O289" s="95"/>
      <c r="P289" s="125"/>
      <c r="Q289" s="124"/>
      <c r="R289" s="95"/>
      <c r="S289" s="95"/>
      <c r="T289" s="95"/>
      <c r="U289" s="95"/>
      <c r="V289" s="95"/>
      <c r="W289" s="95"/>
      <c r="X289" s="125"/>
      <c r="Y289" s="124"/>
      <c r="Z289" s="95"/>
      <c r="AA289" s="95"/>
      <c r="AB289" s="95"/>
      <c r="AC289" s="95"/>
      <c r="AD289" s="95"/>
      <c r="AE289" s="95"/>
      <c r="AF289" s="125"/>
      <c r="AG289" s="95"/>
      <c r="AH289" s="95"/>
      <c r="AI289" s="95"/>
      <c r="AJ289" s="95"/>
      <c r="AK289" s="95"/>
      <c r="AL289" s="95"/>
      <c r="AM289" s="95"/>
      <c r="AN289" s="125"/>
      <c r="AO289" s="95"/>
      <c r="AP289" s="79"/>
      <c r="AQ289" s="85">
        <f t="shared" si="12"/>
        <v>0</v>
      </c>
      <c r="AR289" s="104" t="s">
        <v>230</v>
      </c>
      <c r="AS289" s="20"/>
      <c r="AT289" s="67">
        <f t="shared" si="13"/>
        <v>0</v>
      </c>
      <c r="AU289" s="67">
        <f t="shared" si="14"/>
        <v>0</v>
      </c>
      <c r="AV289" s="20"/>
      <c r="AW289" s="12"/>
      <c r="AZ289" s="12">
        <v>1</v>
      </c>
      <c r="BA289" s="12">
        <v>1</v>
      </c>
      <c r="BE289" s="12">
        <v>1</v>
      </c>
      <c r="BS289" s="12">
        <v>1</v>
      </c>
      <c r="BV289" s="12">
        <v>1</v>
      </c>
      <c r="CK289"/>
      <c r="CX289">
        <v>262</v>
      </c>
    </row>
    <row r="290" spans="1:103">
      <c r="A290" s="8">
        <v>263</v>
      </c>
      <c r="B290" s="8" t="s">
        <v>12</v>
      </c>
      <c r="C290" s="8" t="s">
        <v>5</v>
      </c>
      <c r="D290" s="8" t="s">
        <v>42</v>
      </c>
      <c r="E290" s="8" t="s">
        <v>6</v>
      </c>
      <c r="F290" s="8">
        <v>32</v>
      </c>
      <c r="G290" s="8">
        <v>32</v>
      </c>
      <c r="H290" s="8">
        <v>32</v>
      </c>
      <c r="I290" s="124">
        <v>1</v>
      </c>
      <c r="J290" s="95">
        <v>1</v>
      </c>
      <c r="K290" s="95">
        <v>1</v>
      </c>
      <c r="L290" s="95">
        <v>1</v>
      </c>
      <c r="M290" s="95">
        <v>1</v>
      </c>
      <c r="N290" s="95">
        <v>1</v>
      </c>
      <c r="O290" s="95">
        <v>1</v>
      </c>
      <c r="P290" s="125">
        <v>1</v>
      </c>
      <c r="Q290" s="124">
        <v>1</v>
      </c>
      <c r="R290" s="95">
        <v>1</v>
      </c>
      <c r="S290" s="95">
        <v>1</v>
      </c>
      <c r="T290" s="95">
        <v>1</v>
      </c>
      <c r="U290" s="95">
        <v>1</v>
      </c>
      <c r="V290" s="95">
        <v>1</v>
      </c>
      <c r="W290" s="95">
        <v>1</v>
      </c>
      <c r="X290" s="125">
        <v>1</v>
      </c>
      <c r="Y290" s="124">
        <v>1</v>
      </c>
      <c r="Z290" s="95">
        <v>1</v>
      </c>
      <c r="AA290" s="95">
        <v>1</v>
      </c>
      <c r="AB290" s="95">
        <v>1</v>
      </c>
      <c r="AC290" s="95">
        <v>1</v>
      </c>
      <c r="AD290" s="95">
        <v>1</v>
      </c>
      <c r="AE290" s="95">
        <v>1</v>
      </c>
      <c r="AF290" s="125">
        <v>1</v>
      </c>
      <c r="AG290" s="95">
        <v>1</v>
      </c>
      <c r="AH290" s="95">
        <v>1</v>
      </c>
      <c r="AI290" s="95">
        <v>1</v>
      </c>
      <c r="AJ290" s="95">
        <v>1</v>
      </c>
      <c r="AK290" s="95">
        <v>1</v>
      </c>
      <c r="AL290" s="95">
        <v>1</v>
      </c>
      <c r="AM290" s="95">
        <v>1</v>
      </c>
      <c r="AN290" s="125">
        <v>1</v>
      </c>
      <c r="AO290" s="95"/>
      <c r="AP290" s="79">
        <v>32</v>
      </c>
      <c r="AQ290" s="85">
        <f t="shared" si="12"/>
        <v>32</v>
      </c>
      <c r="AR290" s="19" t="s">
        <v>195</v>
      </c>
      <c r="AS290">
        <v>1</v>
      </c>
      <c r="AT290" s="67">
        <f t="shared" si="13"/>
        <v>0</v>
      </c>
      <c r="AU290" s="67">
        <f t="shared" si="14"/>
        <v>0</v>
      </c>
      <c r="AV290" s="66">
        <v>1</v>
      </c>
      <c r="AW290" s="12"/>
      <c r="AZ290" s="12">
        <v>1</v>
      </c>
      <c r="BU290" s="12">
        <v>1</v>
      </c>
      <c r="BV290" s="12">
        <v>1</v>
      </c>
      <c r="BW290" s="12">
        <v>1</v>
      </c>
      <c r="BY290" s="12">
        <v>1</v>
      </c>
      <c r="CK290"/>
      <c r="CX290">
        <v>263</v>
      </c>
    </row>
    <row r="291" spans="1:103">
      <c r="A291" s="8">
        <v>264</v>
      </c>
      <c r="B291" s="8" t="s">
        <v>13</v>
      </c>
      <c r="C291" s="8" t="s">
        <v>78</v>
      </c>
      <c r="D291" s="8" t="s">
        <v>359</v>
      </c>
      <c r="E291" s="8" t="s">
        <v>15</v>
      </c>
      <c r="F291" s="8"/>
      <c r="G291" s="8"/>
      <c r="H291" s="8"/>
      <c r="I291" s="124"/>
      <c r="J291" s="95"/>
      <c r="K291" s="95"/>
      <c r="L291" s="95"/>
      <c r="M291" s="95"/>
      <c r="N291" s="95"/>
      <c r="O291" s="95"/>
      <c r="P291" s="125"/>
      <c r="Q291" s="124"/>
      <c r="R291" s="95"/>
      <c r="S291" s="95"/>
      <c r="T291" s="95"/>
      <c r="U291" s="95"/>
      <c r="V291" s="95"/>
      <c r="W291" s="95"/>
      <c r="X291" s="125"/>
      <c r="Y291" s="124"/>
      <c r="Z291" s="95"/>
      <c r="AA291" s="95"/>
      <c r="AB291" s="95"/>
      <c r="AC291" s="95"/>
      <c r="AD291" s="95"/>
      <c r="AE291" s="95"/>
      <c r="AF291" s="125"/>
      <c r="AG291" s="95"/>
      <c r="AH291" s="95"/>
      <c r="AI291" s="95"/>
      <c r="AJ291" s="95"/>
      <c r="AK291" s="95"/>
      <c r="AL291" s="95"/>
      <c r="AM291" s="95"/>
      <c r="AN291" s="125"/>
      <c r="AO291" s="95"/>
      <c r="AP291" s="79"/>
      <c r="AQ291" s="85">
        <f t="shared" si="12"/>
        <v>0</v>
      </c>
      <c r="AR291" s="19"/>
      <c r="AS291"/>
      <c r="AT291" s="67">
        <f t="shared" si="13"/>
        <v>0</v>
      </c>
      <c r="AU291" s="67">
        <f t="shared" si="14"/>
        <v>0</v>
      </c>
      <c r="AV291" s="66"/>
      <c r="AW291" s="12"/>
      <c r="CK291"/>
      <c r="CX291">
        <v>264</v>
      </c>
    </row>
    <row r="292" spans="1:103">
      <c r="A292" s="8">
        <v>265</v>
      </c>
      <c r="B292" s="8" t="s">
        <v>12</v>
      </c>
      <c r="C292" s="8" t="s">
        <v>71</v>
      </c>
      <c r="D292" s="8" t="s">
        <v>366</v>
      </c>
      <c r="E292" s="8" t="s">
        <v>42</v>
      </c>
      <c r="F292" s="8"/>
      <c r="G292" s="8"/>
      <c r="H292" s="8"/>
      <c r="I292" s="124"/>
      <c r="J292" s="95"/>
      <c r="K292" s="95"/>
      <c r="L292" s="95"/>
      <c r="M292" s="95"/>
      <c r="N292" s="95"/>
      <c r="O292" s="95"/>
      <c r="P292" s="125"/>
      <c r="Q292" s="124"/>
      <c r="R292" s="95"/>
      <c r="S292" s="95"/>
      <c r="T292" s="95"/>
      <c r="U292" s="95"/>
      <c r="V292" s="95"/>
      <c r="W292" s="95"/>
      <c r="X292" s="125"/>
      <c r="Y292" s="124"/>
      <c r="Z292" s="95"/>
      <c r="AA292" s="95"/>
      <c r="AB292" s="95"/>
      <c r="AC292" s="95"/>
      <c r="AD292" s="95"/>
      <c r="AE292" s="95"/>
      <c r="AF292" s="125"/>
      <c r="AG292" s="95"/>
      <c r="AH292" s="95"/>
      <c r="AI292" s="95"/>
      <c r="AJ292" s="95"/>
      <c r="AK292" s="95"/>
      <c r="AL292" s="95"/>
      <c r="AM292" s="95"/>
      <c r="AN292" s="125"/>
      <c r="AO292" s="95"/>
      <c r="AP292" s="79"/>
      <c r="AQ292" s="85">
        <f t="shared" si="12"/>
        <v>0</v>
      </c>
      <c r="AR292" s="19"/>
      <c r="AS292"/>
      <c r="AT292" s="67">
        <f t="shared" si="13"/>
        <v>0</v>
      </c>
      <c r="AU292" s="67">
        <f t="shared" si="14"/>
        <v>0</v>
      </c>
      <c r="AV292" s="66"/>
      <c r="AW292" s="12"/>
      <c r="BQ292" s="12">
        <v>1</v>
      </c>
      <c r="BV292" s="12">
        <v>1</v>
      </c>
      <c r="BY292" s="12">
        <v>1</v>
      </c>
      <c r="CK292"/>
      <c r="CX292">
        <v>265</v>
      </c>
    </row>
    <row r="293" spans="1:103">
      <c r="A293" s="8">
        <v>266</v>
      </c>
      <c r="B293" s="8" t="s">
        <v>13</v>
      </c>
      <c r="C293" s="8" t="s">
        <v>197</v>
      </c>
      <c r="D293" s="8" t="s">
        <v>357</v>
      </c>
      <c r="E293" s="8" t="s">
        <v>15</v>
      </c>
      <c r="F293" s="8">
        <v>22</v>
      </c>
      <c r="G293" s="8">
        <v>23</v>
      </c>
      <c r="H293" s="8">
        <v>23</v>
      </c>
      <c r="I293" s="124"/>
      <c r="J293" s="95"/>
      <c r="K293" s="95">
        <v>1</v>
      </c>
      <c r="L293" s="95" t="s">
        <v>49</v>
      </c>
      <c r="M293" s="95">
        <v>1</v>
      </c>
      <c r="N293" s="95">
        <v>1</v>
      </c>
      <c r="O293" s="95">
        <v>1</v>
      </c>
      <c r="P293" s="125">
        <v>1</v>
      </c>
      <c r="Q293" s="124">
        <v>1</v>
      </c>
      <c r="R293" s="95">
        <v>1</v>
      </c>
      <c r="S293" s="95">
        <v>1</v>
      </c>
      <c r="T293" s="95">
        <v>1</v>
      </c>
      <c r="U293" s="95">
        <v>1</v>
      </c>
      <c r="V293" s="95">
        <v>1</v>
      </c>
      <c r="W293" s="95"/>
      <c r="X293" s="125"/>
      <c r="Y293" s="124"/>
      <c r="Z293" s="95">
        <v>1</v>
      </c>
      <c r="AA293" s="95" t="s">
        <v>9</v>
      </c>
      <c r="AB293" s="95">
        <v>1</v>
      </c>
      <c r="AC293" s="95">
        <v>1</v>
      </c>
      <c r="AD293" s="95">
        <v>1</v>
      </c>
      <c r="AE293" s="95">
        <v>1</v>
      </c>
      <c r="AF293" s="125">
        <v>1</v>
      </c>
      <c r="AG293" s="95">
        <v>1</v>
      </c>
      <c r="AH293" s="95">
        <v>1</v>
      </c>
      <c r="AI293" s="95">
        <v>1</v>
      </c>
      <c r="AJ293" s="95" t="s">
        <v>49</v>
      </c>
      <c r="AK293" s="95">
        <v>1</v>
      </c>
      <c r="AL293" s="95">
        <v>1</v>
      </c>
      <c r="AM293" s="95" t="s">
        <v>49</v>
      </c>
      <c r="AN293" s="125"/>
      <c r="AO293" s="95"/>
      <c r="AP293" s="79">
        <v>22</v>
      </c>
      <c r="AQ293" s="85">
        <f t="shared" si="12"/>
        <v>22</v>
      </c>
      <c r="AR293" s="105" t="s">
        <v>385</v>
      </c>
      <c r="AS293" s="65"/>
      <c r="AT293" s="67">
        <f t="shared" si="13"/>
        <v>0</v>
      </c>
      <c r="AU293" s="67">
        <f t="shared" si="14"/>
        <v>1</v>
      </c>
      <c r="AV293" s="65"/>
      <c r="AW293" s="12">
        <v>1</v>
      </c>
      <c r="AZ293" s="12">
        <v>1</v>
      </c>
      <c r="BA293" s="12">
        <v>1</v>
      </c>
      <c r="BB293" s="12">
        <v>1</v>
      </c>
      <c r="CK293"/>
      <c r="CX293">
        <v>266</v>
      </c>
    </row>
    <row r="294" spans="1:103">
      <c r="A294" s="8">
        <v>267</v>
      </c>
      <c r="B294" s="8" t="s">
        <v>12</v>
      </c>
      <c r="C294" s="8" t="s">
        <v>73</v>
      </c>
      <c r="D294" s="8" t="s">
        <v>165</v>
      </c>
      <c r="E294" s="8" t="s">
        <v>6</v>
      </c>
      <c r="F294" s="8">
        <v>22</v>
      </c>
      <c r="G294" s="8">
        <v>26</v>
      </c>
      <c r="H294" s="8">
        <v>28</v>
      </c>
      <c r="I294" s="124"/>
      <c r="J294" s="95">
        <v>1</v>
      </c>
      <c r="K294" s="95">
        <v>1</v>
      </c>
      <c r="L294" s="95">
        <v>1</v>
      </c>
      <c r="M294" s="95">
        <v>1</v>
      </c>
      <c r="N294" s="95" t="s">
        <v>9</v>
      </c>
      <c r="O294" s="95" t="s">
        <v>9</v>
      </c>
      <c r="P294" s="125">
        <v>1</v>
      </c>
      <c r="Q294" s="124" t="s">
        <v>10</v>
      </c>
      <c r="R294" s="95" t="s">
        <v>9</v>
      </c>
      <c r="S294" s="95" t="s">
        <v>9</v>
      </c>
      <c r="T294" s="95">
        <v>1</v>
      </c>
      <c r="U294" s="95">
        <v>1</v>
      </c>
      <c r="V294" s="95">
        <v>1</v>
      </c>
      <c r="W294" s="95">
        <v>1</v>
      </c>
      <c r="X294" s="125"/>
      <c r="Y294" s="124"/>
      <c r="Z294" s="95">
        <v>1</v>
      </c>
      <c r="AA294" s="95" t="s">
        <v>10</v>
      </c>
      <c r="AB294" s="95">
        <v>1</v>
      </c>
      <c r="AC294" s="95">
        <v>1</v>
      </c>
      <c r="AD294" s="95">
        <v>1</v>
      </c>
      <c r="AE294" s="95">
        <v>1</v>
      </c>
      <c r="AF294" s="125">
        <v>1</v>
      </c>
      <c r="AG294" s="95">
        <v>1</v>
      </c>
      <c r="AH294" s="95">
        <v>1</v>
      </c>
      <c r="AI294" s="95">
        <v>1</v>
      </c>
      <c r="AJ294" s="95">
        <v>1</v>
      </c>
      <c r="AK294" s="95">
        <v>1</v>
      </c>
      <c r="AL294" s="95">
        <v>1</v>
      </c>
      <c r="AM294" s="95">
        <v>1</v>
      </c>
      <c r="AN294" s="125"/>
      <c r="AO294" s="95"/>
      <c r="AP294" s="79">
        <v>22</v>
      </c>
      <c r="AQ294" s="85">
        <f t="shared" si="12"/>
        <v>22</v>
      </c>
      <c r="AR294" s="19"/>
      <c r="AS294"/>
      <c r="AT294" s="67">
        <f t="shared" si="13"/>
        <v>2</v>
      </c>
      <c r="AU294" s="67">
        <f t="shared" si="14"/>
        <v>4</v>
      </c>
      <c r="AV294" s="66"/>
      <c r="AW294" s="12"/>
      <c r="AX294" s="12">
        <v>1</v>
      </c>
      <c r="AY294" s="12">
        <v>1</v>
      </c>
      <c r="AZ294" s="12">
        <v>1</v>
      </c>
      <c r="BA294" s="12">
        <v>1</v>
      </c>
      <c r="BB294" s="12">
        <v>1</v>
      </c>
      <c r="BI294" s="12">
        <v>1</v>
      </c>
      <c r="BY294" s="12">
        <v>1</v>
      </c>
      <c r="CK294"/>
      <c r="CX294">
        <v>267</v>
      </c>
    </row>
    <row r="295" spans="1:103">
      <c r="A295" s="8">
        <v>268</v>
      </c>
      <c r="B295" s="8" t="s">
        <v>12</v>
      </c>
      <c r="C295" s="8" t="s">
        <v>40</v>
      </c>
      <c r="D295" s="8" t="s">
        <v>40</v>
      </c>
      <c r="E295" s="8" t="s">
        <v>6</v>
      </c>
      <c r="F295" s="8"/>
      <c r="G295" s="8"/>
      <c r="H295" s="8"/>
      <c r="I295" s="124"/>
      <c r="J295" s="95"/>
      <c r="K295" s="95"/>
      <c r="L295" s="95"/>
      <c r="M295" s="95"/>
      <c r="N295" s="95"/>
      <c r="O295" s="95"/>
      <c r="P295" s="125"/>
      <c r="Q295" s="124"/>
      <c r="R295" s="95"/>
      <c r="S295" s="95"/>
      <c r="T295" s="95"/>
      <c r="U295" s="95"/>
      <c r="V295" s="95"/>
      <c r="W295" s="95"/>
      <c r="X295" s="125"/>
      <c r="Y295" s="124"/>
      <c r="Z295" s="95"/>
      <c r="AA295" s="95"/>
      <c r="AB295" s="95"/>
      <c r="AC295" s="95"/>
      <c r="AD295" s="95"/>
      <c r="AE295" s="95"/>
      <c r="AF295" s="125"/>
      <c r="AG295" s="95"/>
      <c r="AH295" s="95"/>
      <c r="AI295" s="95"/>
      <c r="AJ295" s="95"/>
      <c r="AK295" s="95"/>
      <c r="AL295" s="95"/>
      <c r="AM295" s="95"/>
      <c r="AN295" s="125"/>
      <c r="AO295" s="95"/>
      <c r="AP295" s="79"/>
      <c r="AQ295" s="85">
        <f t="shared" si="12"/>
        <v>0</v>
      </c>
      <c r="AR295" s="19"/>
      <c r="AS295"/>
      <c r="AT295" s="67">
        <f t="shared" si="13"/>
        <v>0</v>
      </c>
      <c r="AU295" s="67">
        <f t="shared" si="14"/>
        <v>0</v>
      </c>
      <c r="AV295" s="66"/>
      <c r="AW295" s="12"/>
      <c r="BK295" s="12">
        <v>1</v>
      </c>
      <c r="CK295"/>
      <c r="CX295">
        <v>268</v>
      </c>
    </row>
    <row r="296" spans="1:103">
      <c r="A296" s="8">
        <v>269</v>
      </c>
      <c r="B296" s="8" t="s">
        <v>12</v>
      </c>
      <c r="C296" s="8" t="s">
        <v>40</v>
      </c>
      <c r="D296" s="8" t="s">
        <v>40</v>
      </c>
      <c r="E296" s="8" t="s">
        <v>15</v>
      </c>
      <c r="F296" s="8"/>
      <c r="G296" s="8"/>
      <c r="H296" s="8"/>
      <c r="I296" s="124"/>
      <c r="J296" s="95"/>
      <c r="K296" s="95"/>
      <c r="L296" s="95"/>
      <c r="M296" s="95"/>
      <c r="N296" s="95"/>
      <c r="O296" s="95"/>
      <c r="P296" s="125"/>
      <c r="Q296" s="124"/>
      <c r="R296" s="95"/>
      <c r="S296" s="95"/>
      <c r="T296" s="95"/>
      <c r="U296" s="95"/>
      <c r="V296" s="95"/>
      <c r="W296" s="95"/>
      <c r="X296" s="125"/>
      <c r="Y296" s="124"/>
      <c r="Z296" s="95"/>
      <c r="AA296" s="95"/>
      <c r="AB296" s="95"/>
      <c r="AC296" s="95"/>
      <c r="AD296" s="95"/>
      <c r="AE296" s="95"/>
      <c r="AF296" s="125"/>
      <c r="AG296" s="95"/>
      <c r="AH296" s="95"/>
      <c r="AI296" s="95"/>
      <c r="AJ296" s="95"/>
      <c r="AK296" s="95"/>
      <c r="AL296" s="95"/>
      <c r="AM296" s="95"/>
      <c r="AN296" s="125"/>
      <c r="AO296" s="95"/>
      <c r="AP296" s="79"/>
      <c r="AQ296" s="85">
        <f t="shared" si="12"/>
        <v>0</v>
      </c>
      <c r="AR296" s="19"/>
      <c r="AS296"/>
      <c r="AT296" s="67">
        <f t="shared" si="13"/>
        <v>0</v>
      </c>
      <c r="AU296" s="67">
        <f t="shared" si="14"/>
        <v>0</v>
      </c>
      <c r="AV296" s="66"/>
      <c r="AW296" s="12"/>
      <c r="BK296" s="12">
        <v>1</v>
      </c>
      <c r="BW296" s="12">
        <v>1</v>
      </c>
      <c r="BY296" s="12">
        <v>1</v>
      </c>
      <c r="CK296"/>
      <c r="CX296">
        <v>269</v>
      </c>
    </row>
    <row r="297" spans="1:103">
      <c r="A297" s="8">
        <v>270</v>
      </c>
      <c r="B297" s="8" t="s">
        <v>13</v>
      </c>
      <c r="C297" s="8" t="s">
        <v>197</v>
      </c>
      <c r="D297" s="8" t="s">
        <v>357</v>
      </c>
      <c r="E297" s="8" t="s">
        <v>15</v>
      </c>
      <c r="F297" s="8">
        <v>21</v>
      </c>
      <c r="G297" s="8"/>
      <c r="H297" s="8">
        <v>24</v>
      </c>
      <c r="I297" s="124" t="s">
        <v>49</v>
      </c>
      <c r="J297" s="95" t="s">
        <v>49</v>
      </c>
      <c r="K297" s="95">
        <v>1</v>
      </c>
      <c r="L297" s="95" t="s">
        <v>373</v>
      </c>
      <c r="M297" s="95" t="s">
        <v>49</v>
      </c>
      <c r="N297" s="95" t="s">
        <v>49</v>
      </c>
      <c r="O297" s="95">
        <v>1</v>
      </c>
      <c r="P297" s="125">
        <v>1</v>
      </c>
      <c r="Q297" s="124">
        <v>1</v>
      </c>
      <c r="R297" s="95">
        <v>1</v>
      </c>
      <c r="S297" s="95" t="s">
        <v>49</v>
      </c>
      <c r="T297" s="95">
        <v>1</v>
      </c>
      <c r="U297" s="95">
        <v>1</v>
      </c>
      <c r="V297" s="95">
        <v>1</v>
      </c>
      <c r="W297" s="95" t="s">
        <v>49</v>
      </c>
      <c r="X297" s="125" t="s">
        <v>49</v>
      </c>
      <c r="Y297" s="124" t="s">
        <v>49</v>
      </c>
      <c r="Z297" s="95" t="s">
        <v>49</v>
      </c>
      <c r="AA297" s="95">
        <v>1</v>
      </c>
      <c r="AB297" s="95" t="s">
        <v>373</v>
      </c>
      <c r="AC297" s="95">
        <v>1</v>
      </c>
      <c r="AD297" s="95">
        <v>1</v>
      </c>
      <c r="AE297" s="95">
        <v>1</v>
      </c>
      <c r="AF297" s="125">
        <v>1</v>
      </c>
      <c r="AG297" s="95">
        <v>1</v>
      </c>
      <c r="AH297" s="95">
        <v>1</v>
      </c>
      <c r="AI297" s="95">
        <v>1</v>
      </c>
      <c r="AJ297" s="95">
        <v>1</v>
      </c>
      <c r="AK297" s="95">
        <v>1</v>
      </c>
      <c r="AL297" s="95">
        <v>1</v>
      </c>
      <c r="AM297" s="95" t="s">
        <v>49</v>
      </c>
      <c r="AN297" s="125"/>
      <c r="AO297" s="95">
        <v>2</v>
      </c>
      <c r="AP297" s="79">
        <v>19</v>
      </c>
      <c r="AQ297" s="85">
        <f>SUM(COUNTIF(I297:AN297,"1")+COUNTIF(I297:AN297,"*1*"))</f>
        <v>21</v>
      </c>
      <c r="AR297" s="105" t="s">
        <v>386</v>
      </c>
      <c r="AS297" s="65"/>
      <c r="AT297" s="67">
        <f t="shared" si="13"/>
        <v>0</v>
      </c>
      <c r="AU297" s="67">
        <f t="shared" si="14"/>
        <v>0</v>
      </c>
      <c r="AV297" s="65"/>
      <c r="AW297" s="12"/>
      <c r="BA297" s="12">
        <v>1</v>
      </c>
      <c r="BF297" s="12">
        <v>1</v>
      </c>
      <c r="BI297" s="12">
        <v>1</v>
      </c>
      <c r="BN297" s="12">
        <v>1</v>
      </c>
      <c r="BS297" s="12">
        <v>1</v>
      </c>
      <c r="CK297"/>
      <c r="CT297">
        <v>1</v>
      </c>
      <c r="CX297">
        <v>270</v>
      </c>
    </row>
    <row r="298" spans="1:103">
      <c r="A298" s="8">
        <v>271</v>
      </c>
      <c r="B298" s="8" t="s">
        <v>12</v>
      </c>
      <c r="C298" s="8" t="s">
        <v>62</v>
      </c>
      <c r="D298" s="8" t="s">
        <v>42</v>
      </c>
      <c r="E298" s="8" t="s">
        <v>6</v>
      </c>
      <c r="F298" s="8">
        <v>22</v>
      </c>
      <c r="G298" s="8">
        <v>23</v>
      </c>
      <c r="H298" s="8" t="s">
        <v>15</v>
      </c>
      <c r="I298" s="124"/>
      <c r="J298" s="95">
        <v>1</v>
      </c>
      <c r="K298" s="95">
        <v>1</v>
      </c>
      <c r="L298" s="95">
        <v>1</v>
      </c>
      <c r="M298" s="95" t="s">
        <v>10</v>
      </c>
      <c r="N298" s="95">
        <v>1</v>
      </c>
      <c r="O298" s="95">
        <v>1</v>
      </c>
      <c r="P298" s="125">
        <v>1</v>
      </c>
      <c r="Q298" s="124">
        <v>1</v>
      </c>
      <c r="R298" s="95">
        <v>1</v>
      </c>
      <c r="S298" s="95" t="s">
        <v>9</v>
      </c>
      <c r="T298" s="95">
        <v>1</v>
      </c>
      <c r="U298" s="95">
        <v>1</v>
      </c>
      <c r="V298" s="95">
        <v>1</v>
      </c>
      <c r="W298" s="95">
        <v>1</v>
      </c>
      <c r="X298" s="125" t="s">
        <v>15</v>
      </c>
      <c r="Y298" s="124" t="s">
        <v>15</v>
      </c>
      <c r="Z298" s="95" t="s">
        <v>10</v>
      </c>
      <c r="AA298" s="95" t="s">
        <v>10</v>
      </c>
      <c r="AB298" s="95">
        <v>1</v>
      </c>
      <c r="AC298" s="95">
        <v>1</v>
      </c>
      <c r="AD298" s="95">
        <v>1</v>
      </c>
      <c r="AE298" s="95">
        <v>1</v>
      </c>
      <c r="AF298" s="125">
        <v>1</v>
      </c>
      <c r="AG298" s="95">
        <v>1</v>
      </c>
      <c r="AH298" s="95">
        <v>1</v>
      </c>
      <c r="AI298" s="95">
        <v>1</v>
      </c>
      <c r="AJ298" s="95">
        <v>1</v>
      </c>
      <c r="AK298" s="95">
        <v>1</v>
      </c>
      <c r="AL298" s="95" t="s">
        <v>10</v>
      </c>
      <c r="AM298" s="95" t="s">
        <v>10</v>
      </c>
      <c r="AN298" s="125" t="s">
        <v>15</v>
      </c>
      <c r="AO298" s="95"/>
      <c r="AP298" s="79">
        <v>22</v>
      </c>
      <c r="AQ298" s="85">
        <f t="shared" si="12"/>
        <v>22</v>
      </c>
      <c r="AR298" s="19"/>
      <c r="AS298"/>
      <c r="AT298" s="67">
        <f t="shared" si="13"/>
        <v>5</v>
      </c>
      <c r="AU298" s="67">
        <f t="shared" si="14"/>
        <v>1</v>
      </c>
      <c r="AV298" s="66"/>
      <c r="AW298" s="12"/>
      <c r="AX298" s="12">
        <v>1</v>
      </c>
      <c r="AY298" s="12">
        <v>1</v>
      </c>
      <c r="BA298" s="12">
        <v>1</v>
      </c>
      <c r="BB298" s="12">
        <v>1</v>
      </c>
      <c r="BD298" s="12">
        <v>1</v>
      </c>
      <c r="BK298" s="12">
        <v>1</v>
      </c>
      <c r="BO298" s="12">
        <v>1</v>
      </c>
      <c r="BQ298" s="12">
        <v>1</v>
      </c>
      <c r="BS298" s="12">
        <v>1</v>
      </c>
      <c r="BW298" s="12">
        <v>1</v>
      </c>
      <c r="BY298" s="12">
        <v>1</v>
      </c>
      <c r="CK298"/>
      <c r="CL298">
        <v>1</v>
      </c>
      <c r="CR298" t="s">
        <v>326</v>
      </c>
      <c r="CX298">
        <v>271</v>
      </c>
    </row>
    <row r="299" spans="1:103">
      <c r="A299" s="8">
        <v>272</v>
      </c>
      <c r="B299" s="8" t="s">
        <v>12</v>
      </c>
      <c r="C299" s="8" t="s">
        <v>41</v>
      </c>
      <c r="D299" s="8" t="s">
        <v>42</v>
      </c>
      <c r="E299" s="8" t="s">
        <v>6</v>
      </c>
      <c r="F299" s="8">
        <v>16</v>
      </c>
      <c r="G299" s="8">
        <v>18</v>
      </c>
      <c r="H299" s="8" t="s">
        <v>15</v>
      </c>
      <c r="I299" s="124"/>
      <c r="J299" s="95">
        <v>1</v>
      </c>
      <c r="K299" s="95">
        <v>1</v>
      </c>
      <c r="L299" s="95">
        <v>1</v>
      </c>
      <c r="M299" s="95">
        <v>1</v>
      </c>
      <c r="N299" s="95">
        <v>1</v>
      </c>
      <c r="O299" s="95" t="s">
        <v>9</v>
      </c>
      <c r="P299" s="125" t="s">
        <v>9</v>
      </c>
      <c r="Q299" s="124"/>
      <c r="R299" s="95"/>
      <c r="S299" s="95"/>
      <c r="T299" s="95"/>
      <c r="U299" s="95"/>
      <c r="V299" s="95"/>
      <c r="W299" s="95"/>
      <c r="X299" s="125"/>
      <c r="Y299" s="124"/>
      <c r="Z299" s="95" t="s">
        <v>10</v>
      </c>
      <c r="AA299" s="95" t="s">
        <v>10</v>
      </c>
      <c r="AB299" s="95">
        <v>1</v>
      </c>
      <c r="AC299" s="95">
        <v>1</v>
      </c>
      <c r="AD299" s="95">
        <v>1</v>
      </c>
      <c r="AE299" s="95">
        <v>1</v>
      </c>
      <c r="AF299" s="125">
        <v>1</v>
      </c>
      <c r="AG299" s="95">
        <v>1</v>
      </c>
      <c r="AH299" s="95">
        <v>1</v>
      </c>
      <c r="AI299" s="95">
        <v>1</v>
      </c>
      <c r="AJ299" s="95">
        <v>1</v>
      </c>
      <c r="AK299" s="95">
        <v>1</v>
      </c>
      <c r="AL299" s="95" t="s">
        <v>10</v>
      </c>
      <c r="AM299" s="95">
        <v>1</v>
      </c>
      <c r="AN299" s="125"/>
      <c r="AO299" s="95"/>
      <c r="AP299" s="79">
        <v>16</v>
      </c>
      <c r="AQ299" s="85">
        <f t="shared" si="12"/>
        <v>16</v>
      </c>
      <c r="AR299" s="19"/>
      <c r="AS299"/>
      <c r="AT299" s="67">
        <f t="shared" si="13"/>
        <v>3</v>
      </c>
      <c r="AU299" s="67">
        <f t="shared" si="14"/>
        <v>2</v>
      </c>
      <c r="AV299" s="66"/>
      <c r="AW299" s="12"/>
      <c r="AY299" s="12">
        <v>1</v>
      </c>
      <c r="AZ299" s="12">
        <v>1</v>
      </c>
      <c r="BA299" s="12">
        <v>1</v>
      </c>
      <c r="BB299" s="12">
        <v>1</v>
      </c>
      <c r="BO299" s="12">
        <v>1</v>
      </c>
      <c r="BV299" s="12">
        <v>1</v>
      </c>
      <c r="BY299" s="12">
        <v>1</v>
      </c>
      <c r="BZ299" s="12">
        <v>1</v>
      </c>
      <c r="CK299"/>
      <c r="CX299">
        <v>272</v>
      </c>
    </row>
    <row r="300" spans="1:103">
      <c r="A300" s="8">
        <v>273</v>
      </c>
      <c r="B300" s="8" t="s">
        <v>12</v>
      </c>
      <c r="C300" s="8" t="s">
        <v>5</v>
      </c>
      <c r="D300" s="8" t="s">
        <v>42</v>
      </c>
      <c r="E300" s="8" t="s">
        <v>42</v>
      </c>
      <c r="F300" s="8">
        <v>28</v>
      </c>
      <c r="G300" s="8">
        <v>30</v>
      </c>
      <c r="H300" s="8">
        <v>32</v>
      </c>
      <c r="I300" s="124" t="s">
        <v>9</v>
      </c>
      <c r="J300" s="95">
        <v>1</v>
      </c>
      <c r="K300" s="95">
        <v>1</v>
      </c>
      <c r="L300" s="95">
        <v>1</v>
      </c>
      <c r="M300" s="95">
        <v>1</v>
      </c>
      <c r="N300" s="95">
        <v>1</v>
      </c>
      <c r="O300" s="95">
        <v>1</v>
      </c>
      <c r="P300" s="125">
        <v>1</v>
      </c>
      <c r="Q300" s="124">
        <v>1</v>
      </c>
      <c r="R300" s="95">
        <v>1</v>
      </c>
      <c r="S300" s="95">
        <v>1</v>
      </c>
      <c r="T300" s="95">
        <v>1</v>
      </c>
      <c r="U300" s="95">
        <v>1</v>
      </c>
      <c r="V300" s="95">
        <v>1</v>
      </c>
      <c r="W300" s="95" t="s">
        <v>10</v>
      </c>
      <c r="X300" s="125" t="s">
        <v>9</v>
      </c>
      <c r="Y300" s="124">
        <v>1</v>
      </c>
      <c r="Z300" s="95">
        <v>1</v>
      </c>
      <c r="AA300" s="95">
        <v>1</v>
      </c>
      <c r="AB300" s="95">
        <v>1</v>
      </c>
      <c r="AC300" s="95">
        <v>1</v>
      </c>
      <c r="AD300" s="95">
        <v>1</v>
      </c>
      <c r="AE300" s="95">
        <v>1</v>
      </c>
      <c r="AF300" s="125">
        <v>1</v>
      </c>
      <c r="AG300" s="95">
        <v>1</v>
      </c>
      <c r="AH300" s="95">
        <v>1</v>
      </c>
      <c r="AI300" s="95">
        <v>1</v>
      </c>
      <c r="AJ300" s="95">
        <v>1</v>
      </c>
      <c r="AK300" s="95">
        <v>1</v>
      </c>
      <c r="AL300" s="95">
        <v>1</v>
      </c>
      <c r="AM300" s="95" t="s">
        <v>10</v>
      </c>
      <c r="AN300" s="125">
        <v>1</v>
      </c>
      <c r="AO300" s="95"/>
      <c r="AP300" s="79">
        <v>28</v>
      </c>
      <c r="AQ300" s="85">
        <f t="shared" si="12"/>
        <v>28</v>
      </c>
      <c r="AR300" s="19"/>
      <c r="AS300"/>
      <c r="AT300" s="67">
        <f t="shared" si="13"/>
        <v>2</v>
      </c>
      <c r="AU300" s="67">
        <f t="shared" si="14"/>
        <v>2</v>
      </c>
      <c r="AV300" s="66"/>
      <c r="AW300" s="12">
        <v>1</v>
      </c>
      <c r="AX300" s="12">
        <v>1</v>
      </c>
      <c r="AY300" s="12">
        <v>1</v>
      </c>
      <c r="AZ300" s="12">
        <v>1</v>
      </c>
      <c r="BA300" s="12">
        <v>1</v>
      </c>
      <c r="BB300" s="12">
        <v>1</v>
      </c>
      <c r="BD300" s="12">
        <v>1</v>
      </c>
      <c r="BG300" s="12">
        <v>1</v>
      </c>
      <c r="BK300" s="12">
        <v>1</v>
      </c>
      <c r="BO300" s="12">
        <v>1</v>
      </c>
      <c r="BQ300" s="12">
        <v>1</v>
      </c>
      <c r="BY300" s="12">
        <v>1</v>
      </c>
      <c r="CK300"/>
      <c r="CL300">
        <v>1</v>
      </c>
      <c r="CX300">
        <v>273</v>
      </c>
    </row>
    <row r="301" spans="1:103">
      <c r="A301" s="8">
        <v>274</v>
      </c>
      <c r="B301" s="8" t="s">
        <v>12</v>
      </c>
      <c r="C301" s="8" t="s">
        <v>65</v>
      </c>
      <c r="D301" s="8" t="s">
        <v>12</v>
      </c>
      <c r="E301" s="8" t="s">
        <v>42</v>
      </c>
      <c r="F301" s="8"/>
      <c r="G301" s="8"/>
      <c r="H301" s="8"/>
      <c r="I301" s="124"/>
      <c r="J301" s="95"/>
      <c r="K301" s="95"/>
      <c r="L301" s="95"/>
      <c r="M301" s="95"/>
      <c r="N301" s="95"/>
      <c r="O301" s="95"/>
      <c r="P301" s="125"/>
      <c r="Q301" s="124"/>
      <c r="R301" s="95"/>
      <c r="S301" s="95"/>
      <c r="T301" s="95"/>
      <c r="U301" s="95"/>
      <c r="V301" s="95"/>
      <c r="W301" s="95"/>
      <c r="X301" s="125"/>
      <c r="Y301" s="124"/>
      <c r="Z301" s="95"/>
      <c r="AA301" s="95"/>
      <c r="AB301" s="95"/>
      <c r="AC301" s="95"/>
      <c r="AD301" s="95"/>
      <c r="AE301" s="95"/>
      <c r="AF301" s="125"/>
      <c r="AG301" s="95"/>
      <c r="AH301" s="95"/>
      <c r="AI301" s="95"/>
      <c r="AJ301" s="95"/>
      <c r="AK301" s="95"/>
      <c r="AL301" s="95"/>
      <c r="AM301" s="95"/>
      <c r="AN301" s="125"/>
      <c r="AO301" s="95"/>
      <c r="AP301" s="79"/>
      <c r="AQ301" s="85">
        <f t="shared" si="12"/>
        <v>0</v>
      </c>
      <c r="AR301" s="19"/>
      <c r="AS301"/>
      <c r="AT301" s="67">
        <f t="shared" si="13"/>
        <v>0</v>
      </c>
      <c r="AU301" s="67">
        <f t="shared" si="14"/>
        <v>0</v>
      </c>
      <c r="AV301" s="66"/>
      <c r="AW301" s="12"/>
      <c r="CK301"/>
      <c r="CX301">
        <v>274</v>
      </c>
    </row>
    <row r="302" spans="1:103">
      <c r="A302" s="8">
        <v>275</v>
      </c>
      <c r="B302" s="8" t="s">
        <v>13</v>
      </c>
      <c r="C302" s="8" t="s">
        <v>53</v>
      </c>
      <c r="D302" s="8" t="s">
        <v>346</v>
      </c>
      <c r="E302" s="8" t="s">
        <v>15</v>
      </c>
      <c r="F302" s="8"/>
      <c r="G302" s="8"/>
      <c r="H302" s="8"/>
      <c r="I302" s="124"/>
      <c r="J302" s="95"/>
      <c r="K302" s="95"/>
      <c r="L302" s="95"/>
      <c r="M302" s="95"/>
      <c r="N302" s="95"/>
      <c r="O302" s="95"/>
      <c r="P302" s="125"/>
      <c r="Q302" s="124"/>
      <c r="R302" s="95"/>
      <c r="S302" s="95"/>
      <c r="T302" s="95"/>
      <c r="U302" s="95"/>
      <c r="V302" s="95"/>
      <c r="W302" s="95"/>
      <c r="X302" s="125"/>
      <c r="Y302" s="124"/>
      <c r="Z302" s="95"/>
      <c r="AA302" s="95"/>
      <c r="AB302" s="95"/>
      <c r="AC302" s="95"/>
      <c r="AD302" s="95"/>
      <c r="AE302" s="95"/>
      <c r="AF302" s="125"/>
      <c r="AG302" s="95"/>
      <c r="AH302" s="95"/>
      <c r="AI302" s="95"/>
      <c r="AJ302" s="95"/>
      <c r="AK302" s="95"/>
      <c r="AL302" s="95"/>
      <c r="AM302" s="95"/>
      <c r="AN302" s="125"/>
      <c r="AO302" s="95"/>
      <c r="AP302" s="79"/>
      <c r="AQ302" s="85">
        <f t="shared" si="12"/>
        <v>0</v>
      </c>
      <c r="AR302" s="19"/>
      <c r="AS302"/>
      <c r="AT302" s="67">
        <f t="shared" si="13"/>
        <v>0</v>
      </c>
      <c r="AU302" s="67">
        <f t="shared" si="14"/>
        <v>0</v>
      </c>
      <c r="AV302" s="66"/>
      <c r="AW302" s="12"/>
      <c r="CK302"/>
      <c r="CX302">
        <v>275</v>
      </c>
    </row>
    <row r="303" spans="1:103">
      <c r="A303" s="8">
        <v>276</v>
      </c>
      <c r="B303" s="8" t="s">
        <v>13</v>
      </c>
      <c r="C303" s="8" t="s">
        <v>141</v>
      </c>
      <c r="D303" s="8" t="s">
        <v>346</v>
      </c>
      <c r="E303" s="8" t="s">
        <v>15</v>
      </c>
      <c r="F303" s="8"/>
      <c r="G303" s="8"/>
      <c r="H303" s="8"/>
      <c r="I303" s="124"/>
      <c r="J303" s="95"/>
      <c r="K303" s="95"/>
      <c r="L303" s="95"/>
      <c r="M303" s="95"/>
      <c r="N303" s="95"/>
      <c r="O303" s="95"/>
      <c r="P303" s="125"/>
      <c r="Q303" s="124"/>
      <c r="R303" s="95"/>
      <c r="S303" s="95"/>
      <c r="T303" s="95"/>
      <c r="U303" s="95"/>
      <c r="V303" s="95"/>
      <c r="W303" s="95"/>
      <c r="X303" s="125"/>
      <c r="Y303" s="124"/>
      <c r="Z303" s="95"/>
      <c r="AA303" s="95"/>
      <c r="AB303" s="95"/>
      <c r="AC303" s="95"/>
      <c r="AD303" s="95"/>
      <c r="AE303" s="95"/>
      <c r="AF303" s="125"/>
      <c r="AG303" s="95"/>
      <c r="AH303" s="95"/>
      <c r="AI303" s="95"/>
      <c r="AJ303" s="95"/>
      <c r="AK303" s="95"/>
      <c r="AL303" s="95"/>
      <c r="AM303" s="95"/>
      <c r="AN303" s="125"/>
      <c r="AO303" s="95"/>
      <c r="AP303" s="79"/>
      <c r="AQ303" s="85">
        <f t="shared" si="12"/>
        <v>0</v>
      </c>
      <c r="AR303" s="19"/>
      <c r="AS303"/>
      <c r="AT303" s="67">
        <f t="shared" si="13"/>
        <v>0</v>
      </c>
      <c r="AU303" s="67">
        <f t="shared" si="14"/>
        <v>0</v>
      </c>
      <c r="AV303" s="66"/>
      <c r="AW303" s="12"/>
      <c r="CK303"/>
      <c r="CX303">
        <v>276</v>
      </c>
    </row>
    <row r="304" spans="1:103">
      <c r="A304" s="8">
        <v>277</v>
      </c>
      <c r="B304" s="8" t="s">
        <v>12</v>
      </c>
      <c r="C304" s="8" t="s">
        <v>71</v>
      </c>
      <c r="D304" s="8" t="s">
        <v>366</v>
      </c>
      <c r="E304" s="8" t="s">
        <v>6</v>
      </c>
      <c r="F304" s="8"/>
      <c r="G304" s="8"/>
      <c r="H304" s="8"/>
      <c r="I304" s="124"/>
      <c r="J304" s="95"/>
      <c r="K304" s="95"/>
      <c r="L304" s="95"/>
      <c r="M304" s="95"/>
      <c r="N304" s="95"/>
      <c r="O304" s="95"/>
      <c r="P304" s="125"/>
      <c r="Q304" s="124"/>
      <c r="R304" s="95"/>
      <c r="S304" s="95"/>
      <c r="T304" s="95"/>
      <c r="U304" s="95"/>
      <c r="V304" s="95"/>
      <c r="W304" s="95"/>
      <c r="X304" s="125"/>
      <c r="Y304" s="124"/>
      <c r="Z304" s="95"/>
      <c r="AA304" s="95"/>
      <c r="AB304" s="95"/>
      <c r="AC304" s="95"/>
      <c r="AD304" s="95"/>
      <c r="AE304" s="95"/>
      <c r="AF304" s="125"/>
      <c r="AG304" s="95"/>
      <c r="AH304" s="95"/>
      <c r="AI304" s="95"/>
      <c r="AJ304" s="95"/>
      <c r="AK304" s="95"/>
      <c r="AL304" s="95"/>
      <c r="AM304" s="95"/>
      <c r="AN304" s="125"/>
      <c r="AO304" s="95"/>
      <c r="AP304" s="79"/>
      <c r="AQ304" s="85">
        <f t="shared" si="12"/>
        <v>0</v>
      </c>
      <c r="AR304" s="19"/>
      <c r="AS304"/>
      <c r="AT304" s="67">
        <f t="shared" si="13"/>
        <v>0</v>
      </c>
      <c r="AU304" s="67">
        <f t="shared" si="14"/>
        <v>0</v>
      </c>
      <c r="AV304" s="66"/>
      <c r="AW304" s="12"/>
      <c r="BK304" s="12">
        <v>1</v>
      </c>
      <c r="BN304" s="12">
        <v>1</v>
      </c>
      <c r="BS304" s="12">
        <v>1</v>
      </c>
      <c r="BT304" s="12">
        <v>1</v>
      </c>
      <c r="BW304" s="12">
        <v>1</v>
      </c>
      <c r="BY304" s="12">
        <v>1</v>
      </c>
      <c r="CC304" s="12" t="s">
        <v>326</v>
      </c>
      <c r="CK304"/>
      <c r="CX304">
        <v>277</v>
      </c>
      <c r="CY304" t="s">
        <v>231</v>
      </c>
    </row>
    <row r="305" spans="1:103">
      <c r="A305" s="8">
        <v>278</v>
      </c>
      <c r="B305" s="8" t="s">
        <v>13</v>
      </c>
      <c r="C305" s="8" t="s">
        <v>17</v>
      </c>
      <c r="D305" s="8" t="s">
        <v>345</v>
      </c>
      <c r="E305" s="8" t="s">
        <v>15</v>
      </c>
      <c r="F305" s="8"/>
      <c r="G305" s="8"/>
      <c r="H305" s="8"/>
      <c r="I305" s="124"/>
      <c r="J305" s="95"/>
      <c r="K305" s="95"/>
      <c r="L305" s="95"/>
      <c r="M305" s="95"/>
      <c r="N305" s="95"/>
      <c r="O305" s="95"/>
      <c r="P305" s="125"/>
      <c r="Q305" s="124"/>
      <c r="R305" s="95"/>
      <c r="S305" s="95"/>
      <c r="T305" s="95"/>
      <c r="U305" s="95"/>
      <c r="V305" s="95"/>
      <c r="W305" s="95"/>
      <c r="X305" s="125"/>
      <c r="Y305" s="124"/>
      <c r="Z305" s="95"/>
      <c r="AA305" s="95"/>
      <c r="AB305" s="95"/>
      <c r="AC305" s="95"/>
      <c r="AD305" s="95"/>
      <c r="AE305" s="95"/>
      <c r="AF305" s="125"/>
      <c r="AG305" s="95"/>
      <c r="AH305" s="95"/>
      <c r="AI305" s="95"/>
      <c r="AJ305" s="95"/>
      <c r="AK305" s="95"/>
      <c r="AL305" s="95"/>
      <c r="AM305" s="95"/>
      <c r="AN305" s="125"/>
      <c r="AO305" s="95"/>
      <c r="AP305" s="79"/>
      <c r="AQ305" s="85">
        <f t="shared" si="12"/>
        <v>0</v>
      </c>
      <c r="AR305" s="19"/>
      <c r="AS305"/>
      <c r="AT305" s="67">
        <f t="shared" si="13"/>
        <v>0</v>
      </c>
      <c r="AU305" s="67">
        <f t="shared" si="14"/>
        <v>0</v>
      </c>
      <c r="AV305" s="66"/>
      <c r="AW305" s="12"/>
      <c r="CK305"/>
      <c r="CX305">
        <v>278</v>
      </c>
    </row>
    <row r="306" spans="1:103">
      <c r="A306" s="8">
        <v>279</v>
      </c>
      <c r="B306" s="8" t="s">
        <v>12</v>
      </c>
      <c r="C306" s="8" t="s">
        <v>5</v>
      </c>
      <c r="D306" s="8" t="s">
        <v>42</v>
      </c>
      <c r="E306" s="8" t="s">
        <v>6</v>
      </c>
      <c r="F306" s="8"/>
      <c r="G306" s="8"/>
      <c r="H306" s="8"/>
      <c r="I306" s="124"/>
      <c r="J306" s="95"/>
      <c r="K306" s="95"/>
      <c r="L306" s="95"/>
      <c r="M306" s="95"/>
      <c r="N306" s="95"/>
      <c r="O306" s="95"/>
      <c r="P306" s="125"/>
      <c r="Q306" s="124"/>
      <c r="R306" s="95"/>
      <c r="S306" s="95"/>
      <c r="T306" s="95"/>
      <c r="U306" s="95"/>
      <c r="V306" s="95"/>
      <c r="W306" s="95"/>
      <c r="X306" s="125"/>
      <c r="Y306" s="124"/>
      <c r="Z306" s="95"/>
      <c r="AA306" s="95"/>
      <c r="AB306" s="95"/>
      <c r="AC306" s="95"/>
      <c r="AD306" s="95"/>
      <c r="AE306" s="95"/>
      <c r="AF306" s="125"/>
      <c r="AG306" s="95"/>
      <c r="AH306" s="95"/>
      <c r="AI306" s="95"/>
      <c r="AJ306" s="95"/>
      <c r="AK306" s="95"/>
      <c r="AL306" s="95"/>
      <c r="AM306" s="95"/>
      <c r="AN306" s="125"/>
      <c r="AO306" s="95"/>
      <c r="AP306" s="79"/>
      <c r="AQ306" s="85">
        <f t="shared" si="12"/>
        <v>0</v>
      </c>
      <c r="AR306" s="19"/>
      <c r="AS306"/>
      <c r="AT306" s="67">
        <f t="shared" si="13"/>
        <v>0</v>
      </c>
      <c r="AU306" s="67">
        <f t="shared" si="14"/>
        <v>0</v>
      </c>
      <c r="AV306" s="66"/>
      <c r="AW306" s="12"/>
      <c r="BE306" s="12">
        <v>1</v>
      </c>
      <c r="BK306" s="12" t="s">
        <v>326</v>
      </c>
      <c r="BQ306" s="12">
        <v>1</v>
      </c>
      <c r="BY306" s="12">
        <v>1</v>
      </c>
      <c r="CK306"/>
      <c r="CX306">
        <v>279</v>
      </c>
    </row>
    <row r="307" spans="1:103" s="8" customFormat="1">
      <c r="A307" s="8">
        <v>280</v>
      </c>
      <c r="B307" s="8" t="s">
        <v>12</v>
      </c>
      <c r="C307" s="8" t="s">
        <v>123</v>
      </c>
      <c r="D307" s="8" t="s">
        <v>366</v>
      </c>
      <c r="E307" s="8" t="s">
        <v>42</v>
      </c>
      <c r="F307" s="8">
        <v>24</v>
      </c>
      <c r="G307" s="8">
        <v>27</v>
      </c>
      <c r="H307" s="8">
        <v>32</v>
      </c>
      <c r="I307" s="124">
        <v>1</v>
      </c>
      <c r="J307" s="95">
        <v>1</v>
      </c>
      <c r="K307" s="95" t="s">
        <v>9</v>
      </c>
      <c r="L307" s="95">
        <v>1</v>
      </c>
      <c r="M307" s="95">
        <v>1</v>
      </c>
      <c r="N307" s="95" t="s">
        <v>9</v>
      </c>
      <c r="O307" s="95" t="s">
        <v>9</v>
      </c>
      <c r="P307" s="125" t="s">
        <v>9</v>
      </c>
      <c r="Q307" s="124" t="s">
        <v>9</v>
      </c>
      <c r="R307" s="95">
        <v>1</v>
      </c>
      <c r="S307" s="95">
        <v>1</v>
      </c>
      <c r="T307" s="95">
        <v>1</v>
      </c>
      <c r="U307" s="95">
        <v>1</v>
      </c>
      <c r="V307" s="95">
        <v>1</v>
      </c>
      <c r="W307" s="95">
        <v>1</v>
      </c>
      <c r="X307" s="125">
        <v>1</v>
      </c>
      <c r="Y307" s="124">
        <v>1</v>
      </c>
      <c r="Z307" s="95" t="s">
        <v>10</v>
      </c>
      <c r="AA307" s="95">
        <v>1</v>
      </c>
      <c r="AB307" s="95">
        <v>1</v>
      </c>
      <c r="AC307" s="95">
        <v>1</v>
      </c>
      <c r="AD307" s="95">
        <v>1</v>
      </c>
      <c r="AE307" s="95">
        <v>1</v>
      </c>
      <c r="AF307" s="125">
        <v>1</v>
      </c>
      <c r="AG307" s="95">
        <v>1</v>
      </c>
      <c r="AH307" s="95">
        <v>1</v>
      </c>
      <c r="AI307" s="95">
        <v>1</v>
      </c>
      <c r="AJ307" s="95">
        <v>1</v>
      </c>
      <c r="AK307" s="95">
        <v>1</v>
      </c>
      <c r="AL307" s="95" t="s">
        <v>10</v>
      </c>
      <c r="AM307" s="95" t="s">
        <v>10</v>
      </c>
      <c r="AN307" s="125">
        <v>1</v>
      </c>
      <c r="AO307" s="95"/>
      <c r="AP307" s="79">
        <v>24</v>
      </c>
      <c r="AQ307" s="85">
        <f t="shared" si="12"/>
        <v>24</v>
      </c>
      <c r="AR307" s="102" t="s">
        <v>232</v>
      </c>
      <c r="AT307" s="67">
        <f t="shared" si="13"/>
        <v>3</v>
      </c>
      <c r="AU307" s="67">
        <f t="shared" si="14"/>
        <v>5</v>
      </c>
      <c r="AW307" s="13">
        <v>1</v>
      </c>
      <c r="AX307" s="13">
        <v>1</v>
      </c>
      <c r="AY307" s="13">
        <v>1</v>
      </c>
      <c r="AZ307" s="13"/>
      <c r="BA307" s="13">
        <v>1</v>
      </c>
      <c r="BB307" s="13">
        <v>1</v>
      </c>
      <c r="BC307" s="13"/>
      <c r="BD307" s="13">
        <v>1</v>
      </c>
      <c r="BE307" s="13">
        <v>1</v>
      </c>
      <c r="BF307" s="13"/>
      <c r="BG307" s="13"/>
      <c r="BH307" s="13"/>
      <c r="BI307" s="13">
        <v>1</v>
      </c>
      <c r="BJ307" s="13"/>
      <c r="BK307" s="13"/>
      <c r="BL307" s="13"/>
      <c r="BM307" s="13"/>
      <c r="BN307" s="13"/>
      <c r="BO307" s="13"/>
      <c r="BP307" s="13"/>
      <c r="BQ307" s="13">
        <v>6</v>
      </c>
      <c r="BR307" s="13"/>
      <c r="BS307" s="13"/>
      <c r="BT307" s="13"/>
      <c r="BU307" s="13"/>
      <c r="BV307" s="13">
        <v>1</v>
      </c>
      <c r="BW307" s="13">
        <v>1</v>
      </c>
      <c r="BX307" s="13"/>
      <c r="BY307" s="13">
        <v>1</v>
      </c>
      <c r="BZ307" s="13">
        <v>1</v>
      </c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X307" s="8">
        <v>280</v>
      </c>
    </row>
    <row r="308" spans="1:103">
      <c r="A308" s="8">
        <v>281</v>
      </c>
      <c r="B308" s="8" t="s">
        <v>13</v>
      </c>
      <c r="C308" s="8" t="s">
        <v>118</v>
      </c>
      <c r="D308" s="8" t="s">
        <v>345</v>
      </c>
      <c r="E308" s="8" t="s">
        <v>15</v>
      </c>
      <c r="F308" s="8"/>
      <c r="G308" s="8"/>
      <c r="H308" s="8"/>
      <c r="I308" s="124"/>
      <c r="J308" s="95"/>
      <c r="K308" s="95"/>
      <c r="L308" s="95"/>
      <c r="M308" s="95"/>
      <c r="N308" s="95"/>
      <c r="O308" s="95"/>
      <c r="P308" s="125"/>
      <c r="Q308" s="124"/>
      <c r="R308" s="95"/>
      <c r="S308" s="95"/>
      <c r="T308" s="95"/>
      <c r="U308" s="95"/>
      <c r="V308" s="95"/>
      <c r="W308" s="95"/>
      <c r="X308" s="125"/>
      <c r="Y308" s="124"/>
      <c r="Z308" s="95"/>
      <c r="AA308" s="95"/>
      <c r="AB308" s="95"/>
      <c r="AC308" s="95"/>
      <c r="AD308" s="95"/>
      <c r="AE308" s="95"/>
      <c r="AF308" s="125"/>
      <c r="AG308" s="95"/>
      <c r="AH308" s="95"/>
      <c r="AI308" s="95"/>
      <c r="AJ308" s="95"/>
      <c r="AK308" s="95"/>
      <c r="AL308" s="95"/>
      <c r="AM308" s="95"/>
      <c r="AN308" s="125"/>
      <c r="AO308" s="95"/>
      <c r="AP308" s="79"/>
      <c r="AQ308" s="85">
        <f t="shared" si="12"/>
        <v>0</v>
      </c>
      <c r="AR308" s="19"/>
      <c r="AS308"/>
      <c r="AT308" s="67">
        <f t="shared" si="13"/>
        <v>0</v>
      </c>
      <c r="AU308" s="67">
        <f t="shared" si="14"/>
        <v>0</v>
      </c>
      <c r="AV308" s="66"/>
      <c r="AW308" s="12"/>
      <c r="CK308"/>
      <c r="CX308">
        <v>281</v>
      </c>
    </row>
    <row r="309" spans="1:103">
      <c r="A309" s="8">
        <v>282</v>
      </c>
      <c r="B309" s="8" t="s">
        <v>13</v>
      </c>
      <c r="C309" s="8" t="s">
        <v>99</v>
      </c>
      <c r="D309" s="8" t="s">
        <v>346</v>
      </c>
      <c r="E309" s="8" t="s">
        <v>15</v>
      </c>
      <c r="F309" s="8"/>
      <c r="G309" s="8"/>
      <c r="H309" s="8"/>
      <c r="I309" s="124"/>
      <c r="J309" s="95"/>
      <c r="K309" s="95"/>
      <c r="L309" s="95"/>
      <c r="M309" s="95"/>
      <c r="N309" s="95"/>
      <c r="O309" s="95"/>
      <c r="P309" s="125"/>
      <c r="Q309" s="124"/>
      <c r="R309" s="95"/>
      <c r="S309" s="95"/>
      <c r="T309" s="95"/>
      <c r="U309" s="95"/>
      <c r="V309" s="95"/>
      <c r="W309" s="95"/>
      <c r="X309" s="125"/>
      <c r="Y309" s="124"/>
      <c r="Z309" s="95"/>
      <c r="AA309" s="95"/>
      <c r="AB309" s="95"/>
      <c r="AC309" s="95"/>
      <c r="AD309" s="95"/>
      <c r="AE309" s="95"/>
      <c r="AF309" s="125"/>
      <c r="AG309" s="95"/>
      <c r="AH309" s="95"/>
      <c r="AI309" s="95"/>
      <c r="AJ309" s="95"/>
      <c r="AK309" s="95"/>
      <c r="AL309" s="95"/>
      <c r="AM309" s="95"/>
      <c r="AN309" s="125"/>
      <c r="AO309" s="95"/>
      <c r="AP309" s="79"/>
      <c r="AQ309" s="85">
        <f t="shared" si="12"/>
        <v>0</v>
      </c>
      <c r="AR309" s="19"/>
      <c r="AS309"/>
      <c r="AT309" s="67">
        <f t="shared" si="13"/>
        <v>0</v>
      </c>
      <c r="AU309" s="67">
        <f t="shared" si="14"/>
        <v>0</v>
      </c>
      <c r="AV309" s="66"/>
      <c r="AW309" s="12"/>
      <c r="CK309"/>
      <c r="CX309">
        <v>282</v>
      </c>
    </row>
    <row r="310" spans="1:103">
      <c r="A310" s="8">
        <v>283</v>
      </c>
      <c r="B310" s="8" t="s">
        <v>13</v>
      </c>
      <c r="C310" s="8" t="s">
        <v>74</v>
      </c>
      <c r="D310" s="8" t="s">
        <v>346</v>
      </c>
      <c r="E310" s="8" t="s">
        <v>15</v>
      </c>
      <c r="F310" s="8">
        <v>2</v>
      </c>
      <c r="G310" s="8">
        <v>4</v>
      </c>
      <c r="H310" s="8" t="s">
        <v>15</v>
      </c>
      <c r="I310" s="124"/>
      <c r="J310" s="95"/>
      <c r="K310" s="95"/>
      <c r="L310" s="95"/>
      <c r="M310" s="95"/>
      <c r="N310" s="95"/>
      <c r="O310" s="95"/>
      <c r="P310" s="125"/>
      <c r="Q310" s="124"/>
      <c r="R310" s="95"/>
      <c r="S310" s="95"/>
      <c r="T310" s="95"/>
      <c r="U310" s="95"/>
      <c r="V310" s="95"/>
      <c r="W310" s="95"/>
      <c r="X310" s="125"/>
      <c r="Y310" s="124"/>
      <c r="Z310" s="95"/>
      <c r="AA310" s="95" t="s">
        <v>49</v>
      </c>
      <c r="AB310" s="95" t="s">
        <v>49</v>
      </c>
      <c r="AC310" s="95">
        <v>1</v>
      </c>
      <c r="AD310" s="95" t="s">
        <v>9</v>
      </c>
      <c r="AE310" s="95">
        <v>1</v>
      </c>
      <c r="AF310" s="125" t="s">
        <v>9</v>
      </c>
      <c r="AG310" s="95"/>
      <c r="AH310" s="95"/>
      <c r="AI310" s="95"/>
      <c r="AJ310" s="95"/>
      <c r="AK310" s="95"/>
      <c r="AL310" s="95"/>
      <c r="AM310" s="95"/>
      <c r="AN310" s="125"/>
      <c r="AO310" s="95">
        <v>2</v>
      </c>
      <c r="AP310" s="79"/>
      <c r="AQ310" s="85">
        <f t="shared" si="12"/>
        <v>2</v>
      </c>
      <c r="AR310" s="19"/>
      <c r="AS310"/>
      <c r="AT310" s="67">
        <f t="shared" si="13"/>
        <v>0</v>
      </c>
      <c r="AU310" s="67">
        <f t="shared" si="14"/>
        <v>2</v>
      </c>
      <c r="AV310" s="66"/>
      <c r="AW310" s="12"/>
      <c r="CF310" s="12" t="s">
        <v>326</v>
      </c>
      <c r="CK310"/>
      <c r="CX310">
        <v>283</v>
      </c>
    </row>
    <row r="311" spans="1:103">
      <c r="A311" s="8">
        <v>284</v>
      </c>
      <c r="B311" s="8" t="s">
        <v>12</v>
      </c>
      <c r="C311" s="8" t="s">
        <v>40</v>
      </c>
      <c r="D311" s="8" t="s">
        <v>40</v>
      </c>
      <c r="E311" s="8" t="s">
        <v>42</v>
      </c>
      <c r="F311" s="8"/>
      <c r="G311" s="8"/>
      <c r="H311" s="8"/>
      <c r="I311" s="124"/>
      <c r="J311" s="95"/>
      <c r="K311" s="95"/>
      <c r="L311" s="95"/>
      <c r="M311" s="95"/>
      <c r="N311" s="95"/>
      <c r="O311" s="95"/>
      <c r="P311" s="125"/>
      <c r="Q311" s="124"/>
      <c r="R311" s="95"/>
      <c r="S311" s="95"/>
      <c r="T311" s="95"/>
      <c r="U311" s="95"/>
      <c r="V311" s="95"/>
      <c r="W311" s="95"/>
      <c r="X311" s="125"/>
      <c r="Y311" s="124"/>
      <c r="Z311" s="95"/>
      <c r="AA311" s="95"/>
      <c r="AB311" s="95"/>
      <c r="AC311" s="95"/>
      <c r="AD311" s="95"/>
      <c r="AE311" s="95"/>
      <c r="AF311" s="125"/>
      <c r="AG311" s="95"/>
      <c r="AH311" s="95"/>
      <c r="AI311" s="95"/>
      <c r="AJ311" s="95"/>
      <c r="AK311" s="95"/>
      <c r="AL311" s="95"/>
      <c r="AM311" s="95"/>
      <c r="AN311" s="125"/>
      <c r="AO311" s="95"/>
      <c r="AP311" s="79"/>
      <c r="AQ311" s="85">
        <f t="shared" si="12"/>
        <v>0</v>
      </c>
      <c r="AR311" s="19"/>
      <c r="AS311"/>
      <c r="AT311" s="67">
        <f t="shared" si="13"/>
        <v>0</v>
      </c>
      <c r="AU311" s="67">
        <f t="shared" si="14"/>
        <v>0</v>
      </c>
      <c r="AV311" s="66"/>
      <c r="AW311" s="12"/>
      <c r="BS311" s="12">
        <v>1</v>
      </c>
      <c r="CK311"/>
      <c r="CX311">
        <v>284</v>
      </c>
    </row>
    <row r="312" spans="1:103">
      <c r="A312" s="8">
        <v>285</v>
      </c>
      <c r="B312" s="8" t="s">
        <v>13</v>
      </c>
      <c r="C312" s="8" t="s">
        <v>63</v>
      </c>
      <c r="D312" s="8" t="s">
        <v>346</v>
      </c>
      <c r="E312" s="8" t="s">
        <v>15</v>
      </c>
      <c r="F312" s="8"/>
      <c r="G312" s="8"/>
      <c r="H312" s="8"/>
      <c r="I312" s="124"/>
      <c r="J312" s="95"/>
      <c r="K312" s="95"/>
      <c r="L312" s="95"/>
      <c r="M312" s="95"/>
      <c r="N312" s="95"/>
      <c r="O312" s="95"/>
      <c r="P312" s="125"/>
      <c r="Q312" s="124"/>
      <c r="R312" s="95"/>
      <c r="S312" s="95"/>
      <c r="T312" s="95"/>
      <c r="U312" s="95"/>
      <c r="V312" s="95"/>
      <c r="W312" s="95"/>
      <c r="X312" s="125"/>
      <c r="Y312" s="124"/>
      <c r="Z312" s="95"/>
      <c r="AA312" s="95"/>
      <c r="AB312" s="95"/>
      <c r="AC312" s="95"/>
      <c r="AD312" s="95"/>
      <c r="AE312" s="95"/>
      <c r="AF312" s="125"/>
      <c r="AG312" s="95"/>
      <c r="AH312" s="95"/>
      <c r="AI312" s="95"/>
      <c r="AJ312" s="95"/>
      <c r="AK312" s="95"/>
      <c r="AL312" s="95"/>
      <c r="AM312" s="95"/>
      <c r="AN312" s="125"/>
      <c r="AO312" s="95"/>
      <c r="AP312" s="79"/>
      <c r="AQ312" s="85">
        <f t="shared" si="12"/>
        <v>0</v>
      </c>
      <c r="AR312" s="19"/>
      <c r="AS312"/>
      <c r="AT312" s="67">
        <f t="shared" si="13"/>
        <v>0</v>
      </c>
      <c r="AU312" s="67">
        <f t="shared" si="14"/>
        <v>0</v>
      </c>
      <c r="AV312" s="66"/>
      <c r="AW312" s="12"/>
      <c r="CK312"/>
      <c r="CX312">
        <v>285</v>
      </c>
    </row>
    <row r="313" spans="1:103">
      <c r="A313" s="8">
        <v>286</v>
      </c>
      <c r="B313" s="8" t="s">
        <v>13</v>
      </c>
      <c r="C313" s="8" t="s">
        <v>63</v>
      </c>
      <c r="D313" s="8" t="s">
        <v>346</v>
      </c>
      <c r="E313" s="8" t="s">
        <v>15</v>
      </c>
      <c r="F313" s="8">
        <v>12</v>
      </c>
      <c r="G313" s="8">
        <v>16</v>
      </c>
      <c r="H313" s="8">
        <v>16</v>
      </c>
      <c r="I313" s="124"/>
      <c r="J313" s="95"/>
      <c r="K313" s="95" t="s">
        <v>49</v>
      </c>
      <c r="L313" s="95" t="s">
        <v>49</v>
      </c>
      <c r="M313" s="95">
        <v>1</v>
      </c>
      <c r="N313" s="95">
        <v>1</v>
      </c>
      <c r="O313" s="95" t="s">
        <v>9</v>
      </c>
      <c r="P313" s="125" t="s">
        <v>9</v>
      </c>
      <c r="Q313" s="124">
        <v>1</v>
      </c>
      <c r="R313" s="95">
        <v>1</v>
      </c>
      <c r="S313" s="95" t="s">
        <v>9</v>
      </c>
      <c r="T313" s="95">
        <v>1</v>
      </c>
      <c r="U313" s="95" t="s">
        <v>49</v>
      </c>
      <c r="V313" s="95" t="s">
        <v>49</v>
      </c>
      <c r="W313" s="95"/>
      <c r="X313" s="125"/>
      <c r="Y313" s="124"/>
      <c r="Z313" s="95"/>
      <c r="AA313" s="95" t="s">
        <v>49</v>
      </c>
      <c r="AB313" s="95" t="s">
        <v>49</v>
      </c>
      <c r="AC313" s="95">
        <v>1</v>
      </c>
      <c r="AD313" s="95">
        <v>1</v>
      </c>
      <c r="AE313" s="95">
        <v>1</v>
      </c>
      <c r="AF313" s="125">
        <v>1</v>
      </c>
      <c r="AG313" s="95">
        <v>1</v>
      </c>
      <c r="AH313" s="95">
        <v>1</v>
      </c>
      <c r="AI313" s="95">
        <v>1</v>
      </c>
      <c r="AJ313" s="95" t="s">
        <v>9</v>
      </c>
      <c r="AK313" s="95" t="s">
        <v>49</v>
      </c>
      <c r="AL313" s="95" t="s">
        <v>49</v>
      </c>
      <c r="AM313" s="95"/>
      <c r="AN313" s="125"/>
      <c r="AO313" s="95">
        <v>12</v>
      </c>
      <c r="AP313" s="79"/>
      <c r="AQ313" s="85">
        <f t="shared" si="12"/>
        <v>12</v>
      </c>
      <c r="AR313" s="103" t="s">
        <v>218</v>
      </c>
      <c r="AS313" s="5"/>
      <c r="AT313" s="67">
        <f t="shared" si="13"/>
        <v>0</v>
      </c>
      <c r="AU313" s="67">
        <f t="shared" si="14"/>
        <v>4</v>
      </c>
      <c r="AV313" s="5"/>
      <c r="AW313" s="12"/>
      <c r="CK313"/>
      <c r="CX313">
        <v>286</v>
      </c>
    </row>
    <row r="314" spans="1:103">
      <c r="A314" s="8">
        <v>287</v>
      </c>
      <c r="B314" s="8" t="s">
        <v>12</v>
      </c>
      <c r="C314" s="8" t="s">
        <v>71</v>
      </c>
      <c r="D314" s="8" t="s">
        <v>366</v>
      </c>
      <c r="E314" s="8" t="s">
        <v>42</v>
      </c>
      <c r="F314" s="8">
        <v>27</v>
      </c>
      <c r="G314" s="8">
        <v>32</v>
      </c>
      <c r="H314" s="8">
        <v>32</v>
      </c>
      <c r="I314" s="124">
        <v>1</v>
      </c>
      <c r="J314" s="95">
        <v>1</v>
      </c>
      <c r="K314" s="95">
        <v>1</v>
      </c>
      <c r="L314" s="95">
        <v>1</v>
      </c>
      <c r="M314" s="95">
        <v>1</v>
      </c>
      <c r="N314" s="95">
        <v>1</v>
      </c>
      <c r="O314" s="95" t="s">
        <v>9</v>
      </c>
      <c r="P314" s="125" t="s">
        <v>9</v>
      </c>
      <c r="Q314" s="124" t="s">
        <v>9</v>
      </c>
      <c r="R314" s="95" t="s">
        <v>9</v>
      </c>
      <c r="S314" s="95" t="s">
        <v>9</v>
      </c>
      <c r="T314" s="95">
        <v>1</v>
      </c>
      <c r="U314" s="95">
        <v>1</v>
      </c>
      <c r="V314" s="95">
        <v>1</v>
      </c>
      <c r="W314" s="95">
        <v>1</v>
      </c>
      <c r="X314" s="125">
        <v>1</v>
      </c>
      <c r="Y314" s="124">
        <v>1</v>
      </c>
      <c r="Z314" s="95">
        <v>1</v>
      </c>
      <c r="AA314" s="95">
        <v>1</v>
      </c>
      <c r="AB314" s="95">
        <v>1</v>
      </c>
      <c r="AC314" s="95">
        <v>1</v>
      </c>
      <c r="AD314" s="95">
        <v>1</v>
      </c>
      <c r="AE314" s="95">
        <v>1</v>
      </c>
      <c r="AF314" s="125">
        <v>1</v>
      </c>
      <c r="AG314" s="95">
        <v>1</v>
      </c>
      <c r="AH314" s="95">
        <v>1</v>
      </c>
      <c r="AI314" s="95">
        <v>1</v>
      </c>
      <c r="AJ314" s="95">
        <v>1</v>
      </c>
      <c r="AK314" s="95">
        <v>1</v>
      </c>
      <c r="AL314" s="95">
        <v>1</v>
      </c>
      <c r="AM314" s="95">
        <v>1</v>
      </c>
      <c r="AN314" s="125">
        <v>1</v>
      </c>
      <c r="AO314" s="95"/>
      <c r="AP314" s="79">
        <v>27</v>
      </c>
      <c r="AQ314" s="85">
        <f t="shared" si="12"/>
        <v>27</v>
      </c>
      <c r="AR314" s="19"/>
      <c r="AS314"/>
      <c r="AT314" s="67">
        <f t="shared" si="13"/>
        <v>0</v>
      </c>
      <c r="AU314" s="67">
        <f t="shared" si="14"/>
        <v>5</v>
      </c>
      <c r="AV314" s="66"/>
      <c r="AW314" s="12"/>
      <c r="AZ314" s="12">
        <v>1</v>
      </c>
      <c r="BA314" s="12">
        <v>1</v>
      </c>
      <c r="BD314" s="12">
        <v>1</v>
      </c>
      <c r="BE314" s="12">
        <v>1</v>
      </c>
      <c r="BI314" s="12">
        <v>1</v>
      </c>
      <c r="BQ314" s="12">
        <v>2</v>
      </c>
      <c r="BV314" s="12">
        <v>1</v>
      </c>
      <c r="BY314" s="12">
        <v>1</v>
      </c>
      <c r="CK314"/>
      <c r="CX314">
        <v>287</v>
      </c>
    </row>
    <row r="315" spans="1:103">
      <c r="A315" s="8">
        <v>288</v>
      </c>
      <c r="B315" s="8" t="s">
        <v>12</v>
      </c>
      <c r="C315" s="8" t="s">
        <v>71</v>
      </c>
      <c r="D315" s="8" t="s">
        <v>366</v>
      </c>
      <c r="E315" s="8" t="s">
        <v>42</v>
      </c>
      <c r="F315" s="8">
        <v>32</v>
      </c>
      <c r="G315" s="8">
        <v>32</v>
      </c>
      <c r="H315" s="8">
        <v>32</v>
      </c>
      <c r="I315" s="124">
        <v>1</v>
      </c>
      <c r="J315" s="95">
        <v>1</v>
      </c>
      <c r="K315" s="95">
        <v>1</v>
      </c>
      <c r="L315" s="95">
        <v>1</v>
      </c>
      <c r="M315" s="95">
        <v>1</v>
      </c>
      <c r="N315" s="95">
        <v>1</v>
      </c>
      <c r="O315" s="95">
        <v>1</v>
      </c>
      <c r="P315" s="125">
        <v>1</v>
      </c>
      <c r="Q315" s="124">
        <v>1</v>
      </c>
      <c r="R315" s="95">
        <v>1</v>
      </c>
      <c r="S315" s="95">
        <v>1</v>
      </c>
      <c r="T315" s="95">
        <v>1</v>
      </c>
      <c r="U315" s="95">
        <v>1</v>
      </c>
      <c r="V315" s="95">
        <v>1</v>
      </c>
      <c r="W315" s="95">
        <v>1</v>
      </c>
      <c r="X315" s="125">
        <v>1</v>
      </c>
      <c r="Y315" s="124">
        <v>1</v>
      </c>
      <c r="Z315" s="95">
        <v>1</v>
      </c>
      <c r="AA315" s="95">
        <v>1</v>
      </c>
      <c r="AB315" s="95">
        <v>1</v>
      </c>
      <c r="AC315" s="95">
        <v>1</v>
      </c>
      <c r="AD315" s="95">
        <v>1</v>
      </c>
      <c r="AE315" s="95">
        <v>1</v>
      </c>
      <c r="AF315" s="125">
        <v>1</v>
      </c>
      <c r="AG315" s="95">
        <v>1</v>
      </c>
      <c r="AH315" s="95">
        <v>1</v>
      </c>
      <c r="AI315" s="95">
        <v>1</v>
      </c>
      <c r="AJ315" s="95">
        <v>1</v>
      </c>
      <c r="AK315" s="95">
        <v>1</v>
      </c>
      <c r="AL315" s="95">
        <v>1</v>
      </c>
      <c r="AM315" s="95">
        <v>1</v>
      </c>
      <c r="AN315" s="125">
        <v>1</v>
      </c>
      <c r="AO315" s="95"/>
      <c r="AP315" s="79">
        <v>32</v>
      </c>
      <c r="AQ315" s="85">
        <f t="shared" si="12"/>
        <v>32</v>
      </c>
      <c r="AR315" s="19"/>
      <c r="AS315">
        <v>1</v>
      </c>
      <c r="AT315" s="67">
        <f t="shared" si="13"/>
        <v>0</v>
      </c>
      <c r="AU315" s="67">
        <f t="shared" si="14"/>
        <v>0</v>
      </c>
      <c r="AV315" s="66">
        <v>1</v>
      </c>
      <c r="AW315" s="12">
        <v>1</v>
      </c>
      <c r="AX315" s="12">
        <v>1</v>
      </c>
      <c r="AZ315" s="12">
        <v>1</v>
      </c>
      <c r="BA315" s="12">
        <v>1</v>
      </c>
      <c r="BB315" s="12">
        <v>1</v>
      </c>
      <c r="BE315" s="12">
        <v>1</v>
      </c>
      <c r="BK315" s="12">
        <v>1</v>
      </c>
      <c r="BP315" s="12">
        <v>2</v>
      </c>
      <c r="BQ315" s="12">
        <v>5</v>
      </c>
      <c r="BS315" s="12">
        <v>1</v>
      </c>
      <c r="BW315" s="12">
        <v>1</v>
      </c>
      <c r="BY315" s="12">
        <v>1</v>
      </c>
      <c r="CK315"/>
      <c r="CX315">
        <v>288</v>
      </c>
      <c r="CY315" t="s">
        <v>233</v>
      </c>
    </row>
    <row r="316" spans="1:103">
      <c r="A316" s="8">
        <v>289</v>
      </c>
      <c r="B316" s="8" t="s">
        <v>13</v>
      </c>
      <c r="C316" s="8" t="s">
        <v>17</v>
      </c>
      <c r="D316" s="8" t="s">
        <v>345</v>
      </c>
      <c r="E316" s="8" t="s">
        <v>15</v>
      </c>
      <c r="F316" s="8"/>
      <c r="G316" s="8"/>
      <c r="H316" s="8"/>
      <c r="I316" s="124"/>
      <c r="J316" s="95"/>
      <c r="K316" s="95"/>
      <c r="L316" s="95"/>
      <c r="M316" s="95"/>
      <c r="N316" s="95"/>
      <c r="O316" s="95"/>
      <c r="P316" s="125"/>
      <c r="Q316" s="124"/>
      <c r="R316" s="95"/>
      <c r="S316" s="95"/>
      <c r="T316" s="95"/>
      <c r="U316" s="95"/>
      <c r="V316" s="95"/>
      <c r="W316" s="95"/>
      <c r="X316" s="125"/>
      <c r="Y316" s="124"/>
      <c r="Z316" s="95"/>
      <c r="AA316" s="95"/>
      <c r="AB316" s="95"/>
      <c r="AC316" s="95"/>
      <c r="AD316" s="95"/>
      <c r="AE316" s="95"/>
      <c r="AF316" s="125"/>
      <c r="AG316" s="95"/>
      <c r="AH316" s="95"/>
      <c r="AI316" s="95"/>
      <c r="AJ316" s="95"/>
      <c r="AK316" s="95"/>
      <c r="AL316" s="95"/>
      <c r="AM316" s="95"/>
      <c r="AN316" s="125"/>
      <c r="AO316" s="95"/>
      <c r="AP316" s="79"/>
      <c r="AQ316" s="85">
        <f t="shared" si="12"/>
        <v>0</v>
      </c>
      <c r="AR316" s="19"/>
      <c r="AS316"/>
      <c r="AT316" s="67">
        <f t="shared" si="13"/>
        <v>0</v>
      </c>
      <c r="AU316" s="67">
        <f t="shared" si="14"/>
        <v>0</v>
      </c>
      <c r="AV316" s="66"/>
      <c r="AW316" s="12"/>
      <c r="CE316" s="12">
        <v>1</v>
      </c>
      <c r="CK316"/>
      <c r="CX316">
        <v>289</v>
      </c>
    </row>
    <row r="317" spans="1:103">
      <c r="A317" s="8">
        <v>290</v>
      </c>
      <c r="B317" s="8" t="s">
        <v>12</v>
      </c>
      <c r="C317" s="8" t="s">
        <v>71</v>
      </c>
      <c r="D317" s="8" t="s">
        <v>366</v>
      </c>
      <c r="E317" s="8" t="s">
        <v>42</v>
      </c>
      <c r="F317" s="8"/>
      <c r="G317" s="8"/>
      <c r="H317" s="8"/>
      <c r="I317" s="124"/>
      <c r="J317" s="95"/>
      <c r="K317" s="95"/>
      <c r="L317" s="95"/>
      <c r="M317" s="95"/>
      <c r="N317" s="95"/>
      <c r="O317" s="95"/>
      <c r="P317" s="125"/>
      <c r="Q317" s="124"/>
      <c r="R317" s="95"/>
      <c r="S317" s="95"/>
      <c r="T317" s="95"/>
      <c r="U317" s="95"/>
      <c r="V317" s="95"/>
      <c r="W317" s="95"/>
      <c r="X317" s="125"/>
      <c r="Y317" s="124"/>
      <c r="Z317" s="95"/>
      <c r="AA317" s="95"/>
      <c r="AB317" s="95"/>
      <c r="AC317" s="95"/>
      <c r="AD317" s="95"/>
      <c r="AE317" s="95"/>
      <c r="AF317" s="125"/>
      <c r="AG317" s="95"/>
      <c r="AH317" s="95"/>
      <c r="AI317" s="95"/>
      <c r="AJ317" s="95"/>
      <c r="AK317" s="95"/>
      <c r="AL317" s="95"/>
      <c r="AM317" s="95"/>
      <c r="AN317" s="125"/>
      <c r="AO317" s="95"/>
      <c r="AP317" s="79"/>
      <c r="AQ317" s="85">
        <f t="shared" si="12"/>
        <v>0</v>
      </c>
      <c r="AR317" s="19"/>
      <c r="AS317"/>
      <c r="AT317" s="67">
        <f t="shared" si="13"/>
        <v>0</v>
      </c>
      <c r="AU317" s="67">
        <f t="shared" si="14"/>
        <v>0</v>
      </c>
      <c r="AV317" s="66"/>
      <c r="AW317" s="12"/>
      <c r="BK317" s="12">
        <v>1</v>
      </c>
      <c r="BY317" s="12">
        <v>1</v>
      </c>
      <c r="CK317"/>
      <c r="CR317" t="s">
        <v>326</v>
      </c>
      <c r="CX317">
        <v>290</v>
      </c>
    </row>
    <row r="318" spans="1:103">
      <c r="A318" s="8">
        <v>291</v>
      </c>
      <c r="B318" s="8" t="s">
        <v>13</v>
      </c>
      <c r="C318" s="8" t="s">
        <v>80</v>
      </c>
      <c r="D318" s="8" t="s">
        <v>346</v>
      </c>
      <c r="E318" s="8" t="s">
        <v>15</v>
      </c>
      <c r="F318" s="8">
        <v>12</v>
      </c>
      <c r="G318" s="8">
        <v>15</v>
      </c>
      <c r="H318" s="8">
        <v>20</v>
      </c>
      <c r="I318" s="124"/>
      <c r="J318" s="95"/>
      <c r="K318" s="95" t="s">
        <v>49</v>
      </c>
      <c r="L318" s="95">
        <v>1</v>
      </c>
      <c r="M318" s="95">
        <v>1</v>
      </c>
      <c r="N318" s="95">
        <v>1</v>
      </c>
      <c r="O318" s="95" t="s">
        <v>9</v>
      </c>
      <c r="P318" s="125">
        <v>1</v>
      </c>
      <c r="Q318" s="124"/>
      <c r="R318" s="95"/>
      <c r="S318" s="95"/>
      <c r="T318" s="95"/>
      <c r="U318" s="95"/>
      <c r="V318" s="95"/>
      <c r="W318" s="95"/>
      <c r="X318" s="125"/>
      <c r="Y318" s="124"/>
      <c r="Z318" s="95" t="s">
        <v>49</v>
      </c>
      <c r="AA318" s="95" t="s">
        <v>49</v>
      </c>
      <c r="AB318" s="95">
        <v>1</v>
      </c>
      <c r="AC318" s="95">
        <v>1</v>
      </c>
      <c r="AD318" s="95">
        <v>1</v>
      </c>
      <c r="AE318" s="95" t="s">
        <v>9</v>
      </c>
      <c r="AF318" s="125" t="s">
        <v>9</v>
      </c>
      <c r="AG318" s="95">
        <v>1</v>
      </c>
      <c r="AH318" s="95">
        <v>1</v>
      </c>
      <c r="AI318" s="95">
        <v>1</v>
      </c>
      <c r="AJ318" s="95">
        <v>1</v>
      </c>
      <c r="AK318" s="95">
        <v>1</v>
      </c>
      <c r="AL318" s="95" t="s">
        <v>49</v>
      </c>
      <c r="AM318" s="95" t="s">
        <v>49</v>
      </c>
      <c r="AN318" s="125"/>
      <c r="AO318" s="95">
        <v>12</v>
      </c>
      <c r="AP318" s="79"/>
      <c r="AQ318" s="85">
        <f t="shared" si="12"/>
        <v>12</v>
      </c>
      <c r="AR318" s="19" t="s">
        <v>234</v>
      </c>
      <c r="AS318"/>
      <c r="AT318" s="67">
        <f t="shared" si="13"/>
        <v>0</v>
      </c>
      <c r="AU318" s="67">
        <f t="shared" si="14"/>
        <v>3</v>
      </c>
      <c r="AV318" s="66"/>
      <c r="AW318" s="12"/>
      <c r="CK318"/>
      <c r="CX318">
        <v>291</v>
      </c>
    </row>
    <row r="319" spans="1:103">
      <c r="A319" s="8">
        <v>292</v>
      </c>
      <c r="B319" s="8" t="s">
        <v>13</v>
      </c>
      <c r="C319" s="8" t="s">
        <v>74</v>
      </c>
      <c r="D319" s="8" t="s">
        <v>346</v>
      </c>
      <c r="E319" s="8" t="s">
        <v>15</v>
      </c>
      <c r="F319" s="8">
        <v>12</v>
      </c>
      <c r="G319" s="8">
        <v>12</v>
      </c>
      <c r="H319" s="8">
        <v>12</v>
      </c>
      <c r="I319" s="124"/>
      <c r="J319" s="95"/>
      <c r="K319" s="95" t="s">
        <v>49</v>
      </c>
      <c r="L319" s="95" t="s">
        <v>49</v>
      </c>
      <c r="M319" s="95">
        <v>1</v>
      </c>
      <c r="N319" s="95" t="s">
        <v>49</v>
      </c>
      <c r="O319" s="95">
        <v>1</v>
      </c>
      <c r="P319" s="125">
        <v>1</v>
      </c>
      <c r="Q319" s="124">
        <v>1</v>
      </c>
      <c r="R319" s="95">
        <v>1</v>
      </c>
      <c r="S319" s="95" t="s">
        <v>49</v>
      </c>
      <c r="T319" s="95">
        <v>1</v>
      </c>
      <c r="U319" s="95" t="s">
        <v>49</v>
      </c>
      <c r="V319" s="95" t="s">
        <v>49</v>
      </c>
      <c r="W319" s="95"/>
      <c r="X319" s="125"/>
      <c r="Y319" s="124"/>
      <c r="Z319" s="95"/>
      <c r="AA319" s="95" t="s">
        <v>49</v>
      </c>
      <c r="AB319" s="95" t="s">
        <v>49</v>
      </c>
      <c r="AC319" s="95">
        <v>1</v>
      </c>
      <c r="AD319" s="95" t="s">
        <v>49</v>
      </c>
      <c r="AE319" s="95">
        <v>1</v>
      </c>
      <c r="AF319" s="125">
        <v>1</v>
      </c>
      <c r="AG319" s="95">
        <v>1</v>
      </c>
      <c r="AH319" s="95">
        <v>1</v>
      </c>
      <c r="AI319" s="95" t="s">
        <v>49</v>
      </c>
      <c r="AJ319" s="95">
        <v>1</v>
      </c>
      <c r="AK319" s="95" t="s">
        <v>49</v>
      </c>
      <c r="AL319" s="95" t="s">
        <v>49</v>
      </c>
      <c r="AM319" s="95"/>
      <c r="AN319" s="125"/>
      <c r="AO319" s="95">
        <v>12</v>
      </c>
      <c r="AP319" s="79"/>
      <c r="AQ319" s="85">
        <f t="shared" si="12"/>
        <v>12</v>
      </c>
      <c r="AR319" s="19"/>
      <c r="AS319">
        <v>1</v>
      </c>
      <c r="AT319" s="67">
        <f t="shared" si="13"/>
        <v>0</v>
      </c>
      <c r="AU319" s="67">
        <f t="shared" si="14"/>
        <v>0</v>
      </c>
      <c r="AV319" s="66"/>
      <c r="AW319" s="12"/>
      <c r="CE319" s="12">
        <v>1</v>
      </c>
      <c r="CK319"/>
      <c r="CX319">
        <v>292</v>
      </c>
    </row>
    <row r="320" spans="1:103">
      <c r="A320" s="8">
        <v>293</v>
      </c>
      <c r="B320" s="8" t="s">
        <v>12</v>
      </c>
      <c r="C320" s="8" t="s">
        <v>106</v>
      </c>
      <c r="D320" s="8" t="s">
        <v>349</v>
      </c>
      <c r="E320" s="8" t="s">
        <v>6</v>
      </c>
      <c r="F320" s="8">
        <v>31</v>
      </c>
      <c r="G320" s="8">
        <v>31</v>
      </c>
      <c r="H320" s="8">
        <v>31</v>
      </c>
      <c r="I320" s="124">
        <v>1</v>
      </c>
      <c r="J320" s="95">
        <v>1</v>
      </c>
      <c r="K320" s="95">
        <v>1</v>
      </c>
      <c r="L320" s="95">
        <v>1</v>
      </c>
      <c r="M320" s="95">
        <v>1</v>
      </c>
      <c r="N320" s="95">
        <v>1</v>
      </c>
      <c r="O320" s="95">
        <v>1</v>
      </c>
      <c r="P320" s="125">
        <v>1</v>
      </c>
      <c r="Q320" s="124">
        <v>1</v>
      </c>
      <c r="R320" s="95">
        <v>1</v>
      </c>
      <c r="S320" s="95">
        <v>1</v>
      </c>
      <c r="T320" s="95">
        <v>1</v>
      </c>
      <c r="U320" s="95">
        <v>1</v>
      </c>
      <c r="V320" s="95">
        <v>1</v>
      </c>
      <c r="W320" s="95">
        <v>1</v>
      </c>
      <c r="X320" s="125"/>
      <c r="Y320" s="124">
        <v>1</v>
      </c>
      <c r="Z320" s="95">
        <v>1</v>
      </c>
      <c r="AA320" s="95">
        <v>1</v>
      </c>
      <c r="AB320" s="95">
        <v>1</v>
      </c>
      <c r="AC320" s="95">
        <v>1</v>
      </c>
      <c r="AD320" s="95">
        <v>1</v>
      </c>
      <c r="AE320" s="95">
        <v>1</v>
      </c>
      <c r="AF320" s="125">
        <v>1</v>
      </c>
      <c r="AG320" s="95">
        <v>1</v>
      </c>
      <c r="AH320" s="95">
        <v>1</v>
      </c>
      <c r="AI320" s="95">
        <v>1</v>
      </c>
      <c r="AJ320" s="95">
        <v>1</v>
      </c>
      <c r="AK320" s="95">
        <v>1</v>
      </c>
      <c r="AL320" s="95">
        <v>1</v>
      </c>
      <c r="AM320" s="95">
        <v>1</v>
      </c>
      <c r="AN320" s="125">
        <v>1</v>
      </c>
      <c r="AO320" s="95"/>
      <c r="AP320" s="79">
        <v>31</v>
      </c>
      <c r="AQ320" s="85">
        <f t="shared" si="12"/>
        <v>31</v>
      </c>
      <c r="AR320" s="19"/>
      <c r="AS320">
        <v>1</v>
      </c>
      <c r="AT320" s="67">
        <f t="shared" si="13"/>
        <v>0</v>
      </c>
      <c r="AU320" s="67">
        <f t="shared" si="14"/>
        <v>0</v>
      </c>
      <c r="AV320" s="66"/>
      <c r="AW320" s="12"/>
      <c r="AX320" s="12">
        <v>1</v>
      </c>
      <c r="BA320" s="12">
        <v>1</v>
      </c>
      <c r="BK320" s="12">
        <v>1</v>
      </c>
      <c r="BM320" s="12" t="s">
        <v>326</v>
      </c>
      <c r="BQ320" s="12">
        <v>1</v>
      </c>
      <c r="BW320" s="12">
        <v>1</v>
      </c>
      <c r="BY320" s="12">
        <v>1</v>
      </c>
      <c r="CD320" s="12" t="s">
        <v>326</v>
      </c>
      <c r="CK320"/>
      <c r="CO320">
        <v>1</v>
      </c>
      <c r="CX320">
        <v>293</v>
      </c>
    </row>
    <row r="321" spans="1:103">
      <c r="A321" s="8">
        <v>294</v>
      </c>
      <c r="B321" s="8" t="s">
        <v>12</v>
      </c>
      <c r="C321" s="8" t="s">
        <v>71</v>
      </c>
      <c r="D321" s="8" t="s">
        <v>366</v>
      </c>
      <c r="E321" s="8" t="s">
        <v>42</v>
      </c>
      <c r="F321" s="8"/>
      <c r="G321" s="8"/>
      <c r="H321" s="8"/>
      <c r="I321" s="124"/>
      <c r="J321" s="95"/>
      <c r="K321" s="95"/>
      <c r="L321" s="95"/>
      <c r="M321" s="95"/>
      <c r="N321" s="95"/>
      <c r="O321" s="95"/>
      <c r="P321" s="125"/>
      <c r="Q321" s="124"/>
      <c r="R321" s="95"/>
      <c r="S321" s="95"/>
      <c r="T321" s="95"/>
      <c r="U321" s="95"/>
      <c r="V321" s="95"/>
      <c r="W321" s="95"/>
      <c r="X321" s="125"/>
      <c r="Y321" s="124"/>
      <c r="Z321" s="95"/>
      <c r="AA321" s="95"/>
      <c r="AB321" s="95"/>
      <c r="AC321" s="95"/>
      <c r="AD321" s="95"/>
      <c r="AE321" s="95"/>
      <c r="AF321" s="125"/>
      <c r="AG321" s="95"/>
      <c r="AH321" s="95"/>
      <c r="AI321" s="95"/>
      <c r="AJ321" s="95"/>
      <c r="AK321" s="95"/>
      <c r="AL321" s="95"/>
      <c r="AM321" s="95"/>
      <c r="AN321" s="125"/>
      <c r="AO321" s="95"/>
      <c r="AP321" s="79"/>
      <c r="AQ321" s="85">
        <f t="shared" si="12"/>
        <v>0</v>
      </c>
      <c r="AR321" s="19"/>
      <c r="AS321"/>
      <c r="AT321" s="67">
        <f t="shared" si="13"/>
        <v>0</v>
      </c>
      <c r="AU321" s="67">
        <f t="shared" si="14"/>
        <v>0</v>
      </c>
      <c r="AV321" s="66"/>
      <c r="AW321" s="12"/>
      <c r="BK321" s="12">
        <v>1</v>
      </c>
      <c r="BP321" s="12">
        <v>1</v>
      </c>
      <c r="BS321" s="12">
        <v>1</v>
      </c>
      <c r="BT321" s="12">
        <v>1</v>
      </c>
      <c r="BY321" s="12">
        <v>1</v>
      </c>
      <c r="CK321"/>
      <c r="CX321">
        <v>294</v>
      </c>
    </row>
    <row r="322" spans="1:103">
      <c r="A322" s="8">
        <v>295</v>
      </c>
      <c r="B322" s="8" t="s">
        <v>12</v>
      </c>
      <c r="C322" s="8" t="s">
        <v>106</v>
      </c>
      <c r="D322" s="8" t="s">
        <v>349</v>
      </c>
      <c r="E322" s="8" t="s">
        <v>42</v>
      </c>
      <c r="F322" s="8"/>
      <c r="G322" s="8"/>
      <c r="H322" s="8"/>
      <c r="I322" s="124"/>
      <c r="J322" s="95"/>
      <c r="K322" s="95"/>
      <c r="L322" s="95"/>
      <c r="M322" s="95"/>
      <c r="N322" s="95"/>
      <c r="O322" s="95"/>
      <c r="P322" s="125"/>
      <c r="Q322" s="124"/>
      <c r="R322" s="95"/>
      <c r="S322" s="95"/>
      <c r="T322" s="95"/>
      <c r="U322" s="95"/>
      <c r="V322" s="95"/>
      <c r="W322" s="95"/>
      <c r="X322" s="125"/>
      <c r="Y322" s="124"/>
      <c r="Z322" s="95"/>
      <c r="AA322" s="95"/>
      <c r="AB322" s="95"/>
      <c r="AC322" s="95"/>
      <c r="AD322" s="95"/>
      <c r="AE322" s="95"/>
      <c r="AF322" s="125"/>
      <c r="AG322" s="95"/>
      <c r="AH322" s="95"/>
      <c r="AI322" s="95"/>
      <c r="AJ322" s="95"/>
      <c r="AK322" s="95"/>
      <c r="AL322" s="95"/>
      <c r="AM322" s="95"/>
      <c r="AN322" s="125"/>
      <c r="AO322" s="95"/>
      <c r="AP322" s="79"/>
      <c r="AQ322" s="85">
        <f t="shared" si="12"/>
        <v>0</v>
      </c>
      <c r="AR322" s="19"/>
      <c r="AS322"/>
      <c r="AT322" s="67">
        <f t="shared" si="13"/>
        <v>0</v>
      </c>
      <c r="AU322" s="67">
        <f t="shared" si="14"/>
        <v>0</v>
      </c>
      <c r="AV322" s="66"/>
      <c r="AW322" s="12"/>
      <c r="BK322" s="12">
        <v>1</v>
      </c>
      <c r="BY322" s="12">
        <v>1</v>
      </c>
      <c r="CK322"/>
      <c r="CX322">
        <v>295</v>
      </c>
    </row>
    <row r="323" spans="1:103">
      <c r="A323" s="8">
        <v>296</v>
      </c>
      <c r="B323" s="8" t="s">
        <v>12</v>
      </c>
      <c r="C323" s="8" t="s">
        <v>92</v>
      </c>
      <c r="D323" s="8" t="s">
        <v>165</v>
      </c>
      <c r="E323" s="8" t="s">
        <v>6</v>
      </c>
      <c r="F323" s="8"/>
      <c r="G323" s="8"/>
      <c r="H323" s="8"/>
      <c r="I323" s="124"/>
      <c r="J323" s="95"/>
      <c r="K323" s="95"/>
      <c r="L323" s="95"/>
      <c r="M323" s="95"/>
      <c r="N323" s="95"/>
      <c r="O323" s="95"/>
      <c r="P323" s="125"/>
      <c r="Q323" s="124"/>
      <c r="R323" s="95"/>
      <c r="S323" s="95"/>
      <c r="T323" s="95"/>
      <c r="U323" s="95"/>
      <c r="V323" s="95"/>
      <c r="W323" s="95"/>
      <c r="X323" s="125"/>
      <c r="Y323" s="124"/>
      <c r="Z323" s="95"/>
      <c r="AA323" s="95"/>
      <c r="AB323" s="95"/>
      <c r="AC323" s="95"/>
      <c r="AD323" s="95"/>
      <c r="AE323" s="95"/>
      <c r="AF323" s="125"/>
      <c r="AG323" s="95"/>
      <c r="AH323" s="95"/>
      <c r="AI323" s="95"/>
      <c r="AJ323" s="95"/>
      <c r="AK323" s="95"/>
      <c r="AL323" s="95"/>
      <c r="AM323" s="95"/>
      <c r="AN323" s="125"/>
      <c r="AO323" s="95"/>
      <c r="AP323" s="79"/>
      <c r="AQ323" s="85">
        <f t="shared" si="12"/>
        <v>0</v>
      </c>
      <c r="AR323" s="19"/>
      <c r="AS323"/>
      <c r="AT323" s="67">
        <f t="shared" si="13"/>
        <v>0</v>
      </c>
      <c r="AU323" s="67">
        <f t="shared" si="14"/>
        <v>0</v>
      </c>
      <c r="AV323" s="66"/>
      <c r="AW323" s="12"/>
      <c r="CK323"/>
      <c r="CX323">
        <v>296</v>
      </c>
    </row>
    <row r="324" spans="1:103">
      <c r="A324" s="8">
        <v>297</v>
      </c>
      <c r="B324" s="8" t="s">
        <v>13</v>
      </c>
      <c r="C324" s="8" t="s">
        <v>113</v>
      </c>
      <c r="D324" s="8" t="s">
        <v>357</v>
      </c>
      <c r="E324" s="8" t="s">
        <v>15</v>
      </c>
      <c r="F324" s="8"/>
      <c r="G324" s="8"/>
      <c r="H324" s="8"/>
      <c r="I324" s="124"/>
      <c r="J324" s="95"/>
      <c r="K324" s="95"/>
      <c r="L324" s="95"/>
      <c r="M324" s="95"/>
      <c r="N324" s="95"/>
      <c r="O324" s="95"/>
      <c r="P324" s="125"/>
      <c r="Q324" s="124"/>
      <c r="R324" s="95"/>
      <c r="S324" s="95"/>
      <c r="T324" s="95"/>
      <c r="U324" s="95"/>
      <c r="V324" s="95"/>
      <c r="W324" s="95"/>
      <c r="X324" s="125"/>
      <c r="Y324" s="124"/>
      <c r="Z324" s="95"/>
      <c r="AA324" s="95"/>
      <c r="AB324" s="95"/>
      <c r="AC324" s="95"/>
      <c r="AD324" s="95"/>
      <c r="AE324" s="95"/>
      <c r="AF324" s="125"/>
      <c r="AG324" s="95"/>
      <c r="AH324" s="95"/>
      <c r="AI324" s="95"/>
      <c r="AJ324" s="95"/>
      <c r="AK324" s="95"/>
      <c r="AL324" s="95"/>
      <c r="AM324" s="95"/>
      <c r="AN324" s="125"/>
      <c r="AO324" s="95"/>
      <c r="AP324" s="79"/>
      <c r="AQ324" s="85">
        <f t="shared" si="12"/>
        <v>0</v>
      </c>
      <c r="AR324" s="19"/>
      <c r="AS324"/>
      <c r="AT324" s="67">
        <f t="shared" si="13"/>
        <v>0</v>
      </c>
      <c r="AU324" s="67">
        <f t="shared" si="14"/>
        <v>0</v>
      </c>
      <c r="AV324" s="66"/>
      <c r="AW324" s="12"/>
      <c r="CK324"/>
      <c r="CX324">
        <v>297</v>
      </c>
    </row>
    <row r="325" spans="1:103">
      <c r="A325" s="8">
        <v>298</v>
      </c>
      <c r="B325" s="8" t="s">
        <v>12</v>
      </c>
      <c r="C325" s="8" t="s">
        <v>92</v>
      </c>
      <c r="D325" s="8" t="s">
        <v>165</v>
      </c>
      <c r="E325" s="8" t="s">
        <v>6</v>
      </c>
      <c r="F325" s="8"/>
      <c r="G325" s="8"/>
      <c r="H325" s="8"/>
      <c r="I325" s="124"/>
      <c r="J325" s="95"/>
      <c r="K325" s="95"/>
      <c r="L325" s="95"/>
      <c r="M325" s="95"/>
      <c r="N325" s="95"/>
      <c r="O325" s="95"/>
      <c r="P325" s="125"/>
      <c r="Q325" s="124"/>
      <c r="R325" s="95"/>
      <c r="S325" s="95"/>
      <c r="T325" s="95"/>
      <c r="U325" s="95"/>
      <c r="V325" s="95"/>
      <c r="W325" s="95"/>
      <c r="X325" s="125"/>
      <c r="Y325" s="124"/>
      <c r="Z325" s="95"/>
      <c r="AA325" s="95"/>
      <c r="AB325" s="95"/>
      <c r="AC325" s="95"/>
      <c r="AD325" s="95"/>
      <c r="AE325" s="95"/>
      <c r="AF325" s="125"/>
      <c r="AG325" s="95"/>
      <c r="AH325" s="95"/>
      <c r="AI325" s="95"/>
      <c r="AJ325" s="95"/>
      <c r="AK325" s="95"/>
      <c r="AL325" s="95"/>
      <c r="AM325" s="95"/>
      <c r="AN325" s="125"/>
      <c r="AO325" s="95"/>
      <c r="AP325" s="79"/>
      <c r="AQ325" s="85">
        <f t="shared" si="12"/>
        <v>0</v>
      </c>
      <c r="AR325" s="19"/>
      <c r="AS325"/>
      <c r="AT325" s="67">
        <f t="shared" si="13"/>
        <v>0</v>
      </c>
      <c r="AU325" s="67">
        <f t="shared" si="14"/>
        <v>0</v>
      </c>
      <c r="AV325" s="66"/>
      <c r="AW325" s="12"/>
      <c r="BQ325" s="12" t="s">
        <v>326</v>
      </c>
      <c r="CD325" s="12" t="s">
        <v>326</v>
      </c>
      <c r="CI325" s="12">
        <v>1</v>
      </c>
      <c r="CK325"/>
      <c r="CX325">
        <v>298</v>
      </c>
    </row>
    <row r="326" spans="1:103">
      <c r="A326" s="8">
        <v>299</v>
      </c>
      <c r="B326" s="8" t="s">
        <v>13</v>
      </c>
      <c r="C326" s="8" t="s">
        <v>63</v>
      </c>
      <c r="D326" s="8" t="s">
        <v>346</v>
      </c>
      <c r="E326" s="8" t="s">
        <v>15</v>
      </c>
      <c r="F326" s="8">
        <v>5</v>
      </c>
      <c r="G326" s="8">
        <v>6</v>
      </c>
      <c r="H326" s="8">
        <v>6</v>
      </c>
      <c r="I326" s="124"/>
      <c r="J326" s="95"/>
      <c r="K326" s="95" t="s">
        <v>49</v>
      </c>
      <c r="L326" s="95" t="s">
        <v>49</v>
      </c>
      <c r="M326" s="95" t="s">
        <v>49</v>
      </c>
      <c r="N326" s="95" t="s">
        <v>49</v>
      </c>
      <c r="O326" s="95">
        <v>1</v>
      </c>
      <c r="P326" s="125">
        <v>1</v>
      </c>
      <c r="Q326" s="124">
        <v>1</v>
      </c>
      <c r="R326" s="95">
        <v>1</v>
      </c>
      <c r="S326" s="95" t="s">
        <v>49</v>
      </c>
      <c r="T326" s="95" t="s">
        <v>49</v>
      </c>
      <c r="U326" s="95" t="s">
        <v>49</v>
      </c>
      <c r="V326" s="95" t="s">
        <v>49</v>
      </c>
      <c r="W326" s="95"/>
      <c r="X326" s="125"/>
      <c r="Y326" s="124"/>
      <c r="Z326" s="95"/>
      <c r="AA326" s="95" t="s">
        <v>49</v>
      </c>
      <c r="AB326" s="95" t="s">
        <v>49</v>
      </c>
      <c r="AC326" s="95" t="s">
        <v>49</v>
      </c>
      <c r="AD326" s="95" t="s">
        <v>49</v>
      </c>
      <c r="AE326" s="95" t="s">
        <v>49</v>
      </c>
      <c r="AF326" s="125" t="s">
        <v>9</v>
      </c>
      <c r="AG326" s="95">
        <v>1</v>
      </c>
      <c r="AH326" s="95" t="s">
        <v>49</v>
      </c>
      <c r="AI326" s="95" t="s">
        <v>49</v>
      </c>
      <c r="AJ326" s="95" t="s">
        <v>49</v>
      </c>
      <c r="AK326" s="95" t="s">
        <v>49</v>
      </c>
      <c r="AL326" s="95" t="s">
        <v>49</v>
      </c>
      <c r="AM326" s="95"/>
      <c r="AN326" s="125"/>
      <c r="AO326" s="95">
        <v>5</v>
      </c>
      <c r="AP326" s="79"/>
      <c r="AQ326" s="85">
        <f t="shared" ref="AQ326:AQ389" si="15">SUM(I326:AN326)</f>
        <v>5</v>
      </c>
      <c r="AR326" s="19"/>
      <c r="AS326"/>
      <c r="AT326" s="67">
        <f t="shared" ref="AT326:AT389" si="16">COUNTIF(I326:AN326,"*am*")</f>
        <v>0</v>
      </c>
      <c r="AU326" s="67">
        <f t="shared" ref="AU326:AU389" si="17">COUNTIF(I326:AN326,"pm")</f>
        <v>1</v>
      </c>
      <c r="AV326" s="66"/>
      <c r="AW326" s="12"/>
      <c r="CK326"/>
      <c r="CX326">
        <v>299</v>
      </c>
    </row>
    <row r="327" spans="1:103">
      <c r="A327" s="8">
        <v>300</v>
      </c>
      <c r="B327" s="8" t="s">
        <v>12</v>
      </c>
      <c r="C327" s="8" t="s">
        <v>106</v>
      </c>
      <c r="D327" s="8" t="s">
        <v>349</v>
      </c>
      <c r="E327" s="8" t="s">
        <v>6</v>
      </c>
      <c r="F327" s="8"/>
      <c r="G327" s="8"/>
      <c r="H327" s="8"/>
      <c r="I327" s="124"/>
      <c r="J327" s="95"/>
      <c r="K327" s="95"/>
      <c r="L327" s="95"/>
      <c r="M327" s="95"/>
      <c r="N327" s="95"/>
      <c r="O327" s="95"/>
      <c r="P327" s="125"/>
      <c r="Q327" s="124"/>
      <c r="R327" s="95"/>
      <c r="S327" s="95"/>
      <c r="T327" s="95"/>
      <c r="U327" s="95"/>
      <c r="V327" s="95"/>
      <c r="W327" s="95"/>
      <c r="X327" s="125"/>
      <c r="Y327" s="124"/>
      <c r="Z327" s="95"/>
      <c r="AA327" s="95"/>
      <c r="AB327" s="95"/>
      <c r="AC327" s="95"/>
      <c r="AD327" s="95"/>
      <c r="AE327" s="95"/>
      <c r="AF327" s="125"/>
      <c r="AG327" s="95"/>
      <c r="AH327" s="95"/>
      <c r="AI327" s="95"/>
      <c r="AJ327" s="95"/>
      <c r="AK327" s="95"/>
      <c r="AL327" s="95"/>
      <c r="AM327" s="95"/>
      <c r="AN327" s="125"/>
      <c r="AO327" s="95"/>
      <c r="AP327" s="79"/>
      <c r="AQ327" s="85">
        <f t="shared" si="15"/>
        <v>0</v>
      </c>
      <c r="AR327" s="19"/>
      <c r="AS327"/>
      <c r="AT327" s="67">
        <f t="shared" si="16"/>
        <v>0</v>
      </c>
      <c r="AU327" s="67">
        <f t="shared" si="17"/>
        <v>0</v>
      </c>
      <c r="AV327" s="66"/>
      <c r="AW327" s="12"/>
      <c r="BR327" s="12">
        <v>2</v>
      </c>
      <c r="BS327" s="12">
        <v>1</v>
      </c>
      <c r="BY327" s="12">
        <v>1</v>
      </c>
      <c r="CK327"/>
      <c r="CX327">
        <v>300</v>
      </c>
      <c r="CY327" t="s">
        <v>235</v>
      </c>
    </row>
    <row r="328" spans="1:103">
      <c r="A328" s="8">
        <v>301</v>
      </c>
      <c r="B328" s="8" t="s">
        <v>12</v>
      </c>
      <c r="C328" s="8" t="s">
        <v>123</v>
      </c>
      <c r="D328" s="8" t="s">
        <v>366</v>
      </c>
      <c r="E328" s="8" t="s">
        <v>42</v>
      </c>
      <c r="F328" s="8">
        <v>21</v>
      </c>
      <c r="G328" s="8">
        <v>24</v>
      </c>
      <c r="H328" s="8">
        <v>31</v>
      </c>
      <c r="I328" s="124" t="s">
        <v>9</v>
      </c>
      <c r="J328" s="95" t="s">
        <v>9</v>
      </c>
      <c r="K328" s="95">
        <v>1</v>
      </c>
      <c r="L328" s="95">
        <v>1</v>
      </c>
      <c r="M328" s="95">
        <v>1</v>
      </c>
      <c r="N328" s="95">
        <v>1</v>
      </c>
      <c r="O328" s="95">
        <v>1</v>
      </c>
      <c r="P328" s="125">
        <v>1</v>
      </c>
      <c r="Q328" s="124">
        <v>1</v>
      </c>
      <c r="R328" s="95">
        <v>1</v>
      </c>
      <c r="S328" s="95">
        <v>1</v>
      </c>
      <c r="T328" s="95">
        <v>1</v>
      </c>
      <c r="U328" s="95" t="s">
        <v>10</v>
      </c>
      <c r="V328" s="95" t="s">
        <v>10</v>
      </c>
      <c r="W328" s="95" t="s">
        <v>10</v>
      </c>
      <c r="X328" s="125" t="s">
        <v>15</v>
      </c>
      <c r="Y328" s="124" t="s">
        <v>10</v>
      </c>
      <c r="Z328" s="95">
        <v>1</v>
      </c>
      <c r="AA328" s="95">
        <v>1</v>
      </c>
      <c r="AB328" s="95">
        <v>1</v>
      </c>
      <c r="AC328" s="95">
        <v>1</v>
      </c>
      <c r="AD328" s="95">
        <v>1</v>
      </c>
      <c r="AE328" s="95">
        <v>1</v>
      </c>
      <c r="AF328" s="125">
        <v>1</v>
      </c>
      <c r="AG328" s="95">
        <v>1</v>
      </c>
      <c r="AH328" s="95">
        <v>1</v>
      </c>
      <c r="AI328" s="95">
        <v>1</v>
      </c>
      <c r="AJ328" s="95" t="s">
        <v>9</v>
      </c>
      <c r="AK328" s="95" t="s">
        <v>10</v>
      </c>
      <c r="AL328" s="95" t="s">
        <v>10</v>
      </c>
      <c r="AM328" s="95" t="s">
        <v>10</v>
      </c>
      <c r="AN328" s="125">
        <v>1</v>
      </c>
      <c r="AO328" s="95"/>
      <c r="AP328" s="79">
        <v>21</v>
      </c>
      <c r="AQ328" s="85">
        <f t="shared" si="15"/>
        <v>21</v>
      </c>
      <c r="AR328" s="19"/>
      <c r="AS328"/>
      <c r="AT328" s="67">
        <f t="shared" si="16"/>
        <v>7</v>
      </c>
      <c r="AU328" s="67">
        <f t="shared" si="17"/>
        <v>3</v>
      </c>
      <c r="AV328" s="66"/>
      <c r="AW328" s="12">
        <v>1</v>
      </c>
      <c r="AX328" s="12">
        <v>1</v>
      </c>
      <c r="AY328" s="12">
        <v>1</v>
      </c>
      <c r="AZ328" s="12">
        <v>1</v>
      </c>
      <c r="BA328" s="12">
        <v>1</v>
      </c>
      <c r="BB328" s="12">
        <v>1</v>
      </c>
      <c r="BD328" s="12">
        <v>1</v>
      </c>
      <c r="BG328" s="12">
        <v>1</v>
      </c>
      <c r="BK328" s="12">
        <v>1</v>
      </c>
      <c r="BO328" s="12">
        <v>1</v>
      </c>
      <c r="BQ328" s="12">
        <v>1</v>
      </c>
      <c r="BS328" s="12">
        <v>1</v>
      </c>
      <c r="BV328" s="12">
        <v>1</v>
      </c>
      <c r="BW328" s="12">
        <v>1</v>
      </c>
      <c r="BY328" s="12">
        <v>1</v>
      </c>
      <c r="BZ328" s="12">
        <v>1</v>
      </c>
      <c r="CD328" s="12" t="s">
        <v>326</v>
      </c>
      <c r="CI328" s="12">
        <v>1</v>
      </c>
      <c r="CK328"/>
      <c r="CX328">
        <v>301</v>
      </c>
    </row>
    <row r="329" spans="1:103">
      <c r="A329" s="8">
        <v>302</v>
      </c>
      <c r="B329" s="8" t="s">
        <v>12</v>
      </c>
      <c r="C329" s="8" t="s">
        <v>41</v>
      </c>
      <c r="D329" s="8" t="s">
        <v>42</v>
      </c>
      <c r="E329" s="8" t="s">
        <v>42</v>
      </c>
      <c r="F329" s="8">
        <v>31</v>
      </c>
      <c r="G329" s="8">
        <v>32</v>
      </c>
      <c r="H329" s="8">
        <v>32</v>
      </c>
      <c r="I329" s="124">
        <v>1</v>
      </c>
      <c r="J329" s="95">
        <v>1</v>
      </c>
      <c r="K329" s="95">
        <v>1</v>
      </c>
      <c r="L329" s="95">
        <v>1</v>
      </c>
      <c r="M329" s="95" t="s">
        <v>9</v>
      </c>
      <c r="N329" s="95">
        <v>1</v>
      </c>
      <c r="O329" s="95">
        <v>1</v>
      </c>
      <c r="P329" s="125">
        <v>1</v>
      </c>
      <c r="Q329" s="124">
        <v>1</v>
      </c>
      <c r="R329" s="95">
        <v>1</v>
      </c>
      <c r="S329" s="95">
        <v>1</v>
      </c>
      <c r="T329" s="95">
        <v>1</v>
      </c>
      <c r="U329" s="95">
        <v>1</v>
      </c>
      <c r="V329" s="95">
        <v>1</v>
      </c>
      <c r="W329" s="95">
        <v>1</v>
      </c>
      <c r="X329" s="125">
        <v>1</v>
      </c>
      <c r="Y329" s="124">
        <v>1</v>
      </c>
      <c r="Z329" s="95">
        <v>1</v>
      </c>
      <c r="AA329" s="95">
        <v>1</v>
      </c>
      <c r="AB329" s="95">
        <v>1</v>
      </c>
      <c r="AC329" s="95">
        <v>1</v>
      </c>
      <c r="AD329" s="95">
        <v>1</v>
      </c>
      <c r="AE329" s="95">
        <v>1</v>
      </c>
      <c r="AF329" s="125">
        <v>1</v>
      </c>
      <c r="AG329" s="95">
        <v>1</v>
      </c>
      <c r="AH329" s="95">
        <v>1</v>
      </c>
      <c r="AI329" s="95">
        <v>1</v>
      </c>
      <c r="AJ329" s="95">
        <v>1</v>
      </c>
      <c r="AK329" s="95">
        <v>1</v>
      </c>
      <c r="AL329" s="95">
        <v>1</v>
      </c>
      <c r="AM329" s="95">
        <v>1</v>
      </c>
      <c r="AN329" s="125">
        <v>1</v>
      </c>
      <c r="AO329" s="95"/>
      <c r="AP329" s="79">
        <v>31</v>
      </c>
      <c r="AQ329" s="85">
        <f t="shared" si="15"/>
        <v>31</v>
      </c>
      <c r="AR329" s="19"/>
      <c r="AS329"/>
      <c r="AT329" s="67">
        <f t="shared" si="16"/>
        <v>0</v>
      </c>
      <c r="AU329" s="67">
        <f t="shared" si="17"/>
        <v>1</v>
      </c>
      <c r="AV329" s="66"/>
      <c r="AW329" s="12"/>
      <c r="AX329" s="12">
        <v>1</v>
      </c>
      <c r="AZ329" s="12">
        <v>1</v>
      </c>
      <c r="BA329" s="12">
        <v>1</v>
      </c>
      <c r="BB329" s="12">
        <v>1</v>
      </c>
      <c r="BE329" s="12">
        <v>1</v>
      </c>
      <c r="BK329" s="12">
        <v>1</v>
      </c>
      <c r="BQ329" s="12">
        <v>1</v>
      </c>
      <c r="BS329" s="12">
        <v>1</v>
      </c>
      <c r="BV329" s="12">
        <v>1</v>
      </c>
      <c r="BY329" s="12">
        <v>1</v>
      </c>
      <c r="CK329"/>
      <c r="CX329">
        <v>302</v>
      </c>
    </row>
    <row r="330" spans="1:103">
      <c r="A330" s="8">
        <v>303</v>
      </c>
      <c r="B330" s="8" t="s">
        <v>12</v>
      </c>
      <c r="C330" s="8" t="s">
        <v>136</v>
      </c>
      <c r="D330" s="8" t="s">
        <v>12</v>
      </c>
      <c r="E330" s="8" t="s">
        <v>42</v>
      </c>
      <c r="F330" s="8">
        <v>32</v>
      </c>
      <c r="G330" s="8">
        <v>32</v>
      </c>
      <c r="H330" s="8">
        <v>32</v>
      </c>
      <c r="I330" s="124">
        <v>1</v>
      </c>
      <c r="J330" s="95">
        <v>1</v>
      </c>
      <c r="K330" s="95">
        <v>1</v>
      </c>
      <c r="L330" s="95">
        <v>1</v>
      </c>
      <c r="M330" s="95">
        <v>1</v>
      </c>
      <c r="N330" s="95">
        <v>1</v>
      </c>
      <c r="O330" s="95">
        <v>1</v>
      </c>
      <c r="P330" s="125">
        <v>1</v>
      </c>
      <c r="Q330" s="124">
        <v>1</v>
      </c>
      <c r="R330" s="95">
        <v>1</v>
      </c>
      <c r="S330" s="95">
        <v>1</v>
      </c>
      <c r="T330" s="95">
        <v>1</v>
      </c>
      <c r="U330" s="95">
        <v>1</v>
      </c>
      <c r="V330" s="95">
        <v>1</v>
      </c>
      <c r="W330" s="95">
        <v>1</v>
      </c>
      <c r="X330" s="125">
        <v>1</v>
      </c>
      <c r="Y330" s="124">
        <v>1</v>
      </c>
      <c r="Z330" s="95">
        <v>1</v>
      </c>
      <c r="AA330" s="95">
        <v>1</v>
      </c>
      <c r="AB330" s="95">
        <v>1</v>
      </c>
      <c r="AC330" s="95">
        <v>1</v>
      </c>
      <c r="AD330" s="95">
        <v>1</v>
      </c>
      <c r="AE330" s="95">
        <v>1</v>
      </c>
      <c r="AF330" s="125">
        <v>1</v>
      </c>
      <c r="AG330" s="95">
        <v>1</v>
      </c>
      <c r="AH330" s="95">
        <v>1</v>
      </c>
      <c r="AI330" s="95">
        <v>1</v>
      </c>
      <c r="AJ330" s="95">
        <v>1</v>
      </c>
      <c r="AK330" s="95">
        <v>1</v>
      </c>
      <c r="AL330" s="95">
        <v>1</v>
      </c>
      <c r="AM330" s="95">
        <v>1</v>
      </c>
      <c r="AN330" s="125">
        <v>1</v>
      </c>
      <c r="AO330" s="95"/>
      <c r="AP330" s="79">
        <v>32</v>
      </c>
      <c r="AQ330" s="85">
        <f t="shared" si="15"/>
        <v>32</v>
      </c>
      <c r="AR330" s="19" t="s">
        <v>236</v>
      </c>
      <c r="AS330">
        <v>1</v>
      </c>
      <c r="AT330" s="67">
        <f t="shared" si="16"/>
        <v>0</v>
      </c>
      <c r="AU330" s="67">
        <f t="shared" si="17"/>
        <v>0</v>
      </c>
      <c r="AV330" s="66">
        <v>1</v>
      </c>
      <c r="AW330" s="12"/>
      <c r="AZ330" s="12">
        <v>1</v>
      </c>
      <c r="BA330" s="12">
        <v>1</v>
      </c>
      <c r="BE330" s="12">
        <v>1</v>
      </c>
      <c r="BV330" s="12">
        <v>1</v>
      </c>
      <c r="BZ330" s="12">
        <v>2</v>
      </c>
      <c r="CH330" s="12">
        <v>1</v>
      </c>
      <c r="CK330"/>
      <c r="CX330">
        <v>303</v>
      </c>
    </row>
    <row r="331" spans="1:103">
      <c r="A331" s="8">
        <v>304</v>
      </c>
      <c r="B331" s="8" t="s">
        <v>12</v>
      </c>
      <c r="C331" s="8" t="s">
        <v>93</v>
      </c>
      <c r="D331" s="8" t="s">
        <v>12</v>
      </c>
      <c r="E331" s="8" t="s">
        <v>42</v>
      </c>
      <c r="F331" s="8">
        <v>28</v>
      </c>
      <c r="G331" s="8">
        <v>28</v>
      </c>
      <c r="H331" s="8">
        <v>29</v>
      </c>
      <c r="I331" s="124" t="s">
        <v>49</v>
      </c>
      <c r="J331" s="95">
        <v>1</v>
      </c>
      <c r="K331" s="95">
        <v>1</v>
      </c>
      <c r="L331" s="95">
        <v>1</v>
      </c>
      <c r="M331" s="95">
        <v>1</v>
      </c>
      <c r="N331" s="95">
        <v>1</v>
      </c>
      <c r="O331" s="95">
        <v>1</v>
      </c>
      <c r="P331" s="125">
        <v>1</v>
      </c>
      <c r="Q331" s="124">
        <v>1</v>
      </c>
      <c r="R331" s="95">
        <v>1</v>
      </c>
      <c r="S331" s="95">
        <v>1</v>
      </c>
      <c r="T331" s="95">
        <v>1</v>
      </c>
      <c r="U331" s="95">
        <v>1</v>
      </c>
      <c r="V331" s="95">
        <v>1</v>
      </c>
      <c r="W331" s="95">
        <v>1</v>
      </c>
      <c r="X331" s="125" t="s">
        <v>49</v>
      </c>
      <c r="Y331" s="124">
        <v>1</v>
      </c>
      <c r="Z331" s="95">
        <v>1</v>
      </c>
      <c r="AA331" s="95">
        <v>1</v>
      </c>
      <c r="AB331" s="95" t="s">
        <v>373</v>
      </c>
      <c r="AC331" s="95">
        <v>1</v>
      </c>
      <c r="AD331" s="95">
        <v>1</v>
      </c>
      <c r="AE331" s="95">
        <v>1</v>
      </c>
      <c r="AF331" s="125">
        <v>1</v>
      </c>
      <c r="AG331" s="95">
        <v>1</v>
      </c>
      <c r="AH331" s="95">
        <v>1</v>
      </c>
      <c r="AI331" s="95">
        <v>1</v>
      </c>
      <c r="AJ331" s="95">
        <v>1</v>
      </c>
      <c r="AK331" s="95">
        <v>1</v>
      </c>
      <c r="AL331" s="95">
        <v>1</v>
      </c>
      <c r="AM331" s="95" t="s">
        <v>10</v>
      </c>
      <c r="AN331" s="125">
        <v>1</v>
      </c>
      <c r="AO331" s="95">
        <v>1</v>
      </c>
      <c r="AP331" s="79">
        <v>28</v>
      </c>
      <c r="AQ331" s="85">
        <f>SUM((COUNTIF(I331:AN331,"1")+COUNTIF(I331:AN331,"*1*")))</f>
        <v>29</v>
      </c>
      <c r="AR331" s="19" t="s">
        <v>237</v>
      </c>
      <c r="AS331"/>
      <c r="AT331" s="67">
        <f t="shared" si="16"/>
        <v>1</v>
      </c>
      <c r="AU331" s="67">
        <f t="shared" si="17"/>
        <v>0</v>
      </c>
      <c r="AV331" s="66"/>
      <c r="AW331" s="12"/>
      <c r="AY331" s="12">
        <v>1</v>
      </c>
      <c r="AZ331" s="12">
        <v>1</v>
      </c>
      <c r="BA331" s="12">
        <v>1</v>
      </c>
      <c r="BV331" s="12">
        <v>1</v>
      </c>
      <c r="BZ331" s="12">
        <v>1</v>
      </c>
      <c r="CK331"/>
      <c r="CX331">
        <v>304</v>
      </c>
    </row>
    <row r="332" spans="1:103">
      <c r="A332" s="8">
        <v>305</v>
      </c>
      <c r="B332" s="8" t="s">
        <v>12</v>
      </c>
      <c r="C332" s="8" t="s">
        <v>92</v>
      </c>
      <c r="D332" s="8" t="s">
        <v>165</v>
      </c>
      <c r="E332" s="8" t="s">
        <v>42</v>
      </c>
      <c r="F332" s="8"/>
      <c r="G332" s="8"/>
      <c r="H332" s="8"/>
      <c r="I332" s="124"/>
      <c r="J332" s="95"/>
      <c r="K332" s="95"/>
      <c r="L332" s="95"/>
      <c r="M332" s="95"/>
      <c r="N332" s="95"/>
      <c r="O332" s="95"/>
      <c r="P332" s="125"/>
      <c r="Q332" s="124"/>
      <c r="R332" s="95"/>
      <c r="S332" s="95"/>
      <c r="T332" s="95"/>
      <c r="U332" s="95"/>
      <c r="V332" s="95"/>
      <c r="W332" s="95"/>
      <c r="X332" s="125"/>
      <c r="Y332" s="124"/>
      <c r="Z332" s="95"/>
      <c r="AA332" s="95"/>
      <c r="AB332" s="95"/>
      <c r="AC332" s="95"/>
      <c r="AD332" s="95"/>
      <c r="AE332" s="95"/>
      <c r="AF332" s="125"/>
      <c r="AG332" s="95"/>
      <c r="AH332" s="95"/>
      <c r="AI332" s="95"/>
      <c r="AJ332" s="95"/>
      <c r="AK332" s="95"/>
      <c r="AL332" s="95"/>
      <c r="AM332" s="95"/>
      <c r="AN332" s="125"/>
      <c r="AO332" s="95"/>
      <c r="AP332" s="79"/>
      <c r="AQ332" s="85">
        <f t="shared" si="15"/>
        <v>0</v>
      </c>
      <c r="AR332" s="19"/>
      <c r="AS332"/>
      <c r="AT332" s="67">
        <f t="shared" si="16"/>
        <v>0</v>
      </c>
      <c r="AU332" s="67">
        <f t="shared" si="17"/>
        <v>0</v>
      </c>
      <c r="AV332" s="66"/>
      <c r="AW332" s="12"/>
      <c r="BV332" s="12">
        <v>1</v>
      </c>
      <c r="CK332"/>
      <c r="CX332">
        <v>305</v>
      </c>
    </row>
    <row r="333" spans="1:103">
      <c r="A333" s="8">
        <v>306</v>
      </c>
      <c r="B333" s="8" t="s">
        <v>13</v>
      </c>
      <c r="C333" s="8" t="s">
        <v>322</v>
      </c>
      <c r="D333" s="8" t="s">
        <v>358</v>
      </c>
      <c r="E333" s="8" t="s">
        <v>42</v>
      </c>
      <c r="F333" s="8"/>
      <c r="G333" s="8"/>
      <c r="H333" s="8"/>
      <c r="I333" s="124"/>
      <c r="J333" s="95"/>
      <c r="K333" s="95"/>
      <c r="L333" s="95"/>
      <c r="M333" s="95"/>
      <c r="N333" s="95"/>
      <c r="O333" s="95"/>
      <c r="P333" s="125"/>
      <c r="Q333" s="124"/>
      <c r="R333" s="95"/>
      <c r="S333" s="95"/>
      <c r="T333" s="95"/>
      <c r="U333" s="95"/>
      <c r="V333" s="95"/>
      <c r="W333" s="95"/>
      <c r="X333" s="125"/>
      <c r="Y333" s="124"/>
      <c r="Z333" s="95"/>
      <c r="AA333" s="95"/>
      <c r="AB333" s="95"/>
      <c r="AC333" s="95"/>
      <c r="AD333" s="95"/>
      <c r="AE333" s="95"/>
      <c r="AF333" s="125"/>
      <c r="AG333" s="95"/>
      <c r="AH333" s="95"/>
      <c r="AI333" s="95"/>
      <c r="AJ333" s="95"/>
      <c r="AK333" s="95"/>
      <c r="AL333" s="95"/>
      <c r="AM333" s="95"/>
      <c r="AN333" s="125"/>
      <c r="AO333" s="95"/>
      <c r="AP333" s="79"/>
      <c r="AQ333" s="85">
        <f t="shared" si="15"/>
        <v>0</v>
      </c>
      <c r="AR333" s="19"/>
      <c r="AS333"/>
      <c r="AT333" s="67">
        <f t="shared" si="16"/>
        <v>0</v>
      </c>
      <c r="AU333" s="67">
        <f t="shared" si="17"/>
        <v>0</v>
      </c>
      <c r="AV333" s="66"/>
      <c r="AW333" s="12"/>
      <c r="BV333" s="12">
        <v>1</v>
      </c>
      <c r="BZ333" s="12">
        <v>1</v>
      </c>
      <c r="CK333"/>
      <c r="CX333">
        <v>306</v>
      </c>
    </row>
    <row r="334" spans="1:103">
      <c r="A334" s="8">
        <v>307</v>
      </c>
      <c r="B334" s="8" t="s">
        <v>13</v>
      </c>
      <c r="C334" s="54" t="s">
        <v>202</v>
      </c>
      <c r="D334" s="8" t="s">
        <v>345</v>
      </c>
      <c r="E334" s="8" t="s">
        <v>15</v>
      </c>
      <c r="F334" s="8"/>
      <c r="G334" s="8"/>
      <c r="H334" s="8"/>
      <c r="I334" s="124"/>
      <c r="J334" s="95"/>
      <c r="K334" s="95"/>
      <c r="L334" s="95"/>
      <c r="M334" s="95"/>
      <c r="N334" s="95"/>
      <c r="O334" s="95"/>
      <c r="P334" s="125"/>
      <c r="Q334" s="124"/>
      <c r="R334" s="95"/>
      <c r="S334" s="95"/>
      <c r="T334" s="95"/>
      <c r="U334" s="95"/>
      <c r="V334" s="95"/>
      <c r="W334" s="95"/>
      <c r="X334" s="125"/>
      <c r="Y334" s="124"/>
      <c r="Z334" s="95"/>
      <c r="AA334" s="95"/>
      <c r="AB334" s="95"/>
      <c r="AC334" s="95"/>
      <c r="AD334" s="95"/>
      <c r="AE334" s="95"/>
      <c r="AF334" s="125"/>
      <c r="AG334" s="95"/>
      <c r="AH334" s="95"/>
      <c r="AI334" s="95"/>
      <c r="AJ334" s="95"/>
      <c r="AK334" s="95"/>
      <c r="AL334" s="95"/>
      <c r="AM334" s="95"/>
      <c r="AN334" s="125"/>
      <c r="AO334" s="95"/>
      <c r="AP334" s="79"/>
      <c r="AQ334" s="85">
        <f t="shared" si="15"/>
        <v>0</v>
      </c>
      <c r="AR334" s="19"/>
      <c r="AS334"/>
      <c r="AT334" s="67">
        <f t="shared" si="16"/>
        <v>0</v>
      </c>
      <c r="AU334" s="67">
        <f t="shared" si="17"/>
        <v>0</v>
      </c>
      <c r="AV334" s="66"/>
      <c r="AW334" s="12"/>
      <c r="CK334"/>
      <c r="CX334">
        <v>307</v>
      </c>
    </row>
    <row r="335" spans="1:103">
      <c r="A335" s="8">
        <v>308</v>
      </c>
      <c r="B335" s="8" t="s">
        <v>12</v>
      </c>
      <c r="C335" s="8" t="s">
        <v>123</v>
      </c>
      <c r="D335" s="8" t="s">
        <v>366</v>
      </c>
      <c r="E335" s="8" t="s">
        <v>6</v>
      </c>
      <c r="F335" s="8">
        <v>20</v>
      </c>
      <c r="G335" s="8">
        <v>24</v>
      </c>
      <c r="H335" s="8" t="s">
        <v>15</v>
      </c>
      <c r="I335" s="124" t="s">
        <v>15</v>
      </c>
      <c r="J335" s="95">
        <v>1</v>
      </c>
      <c r="K335" s="95">
        <v>1</v>
      </c>
      <c r="L335" s="95">
        <v>1</v>
      </c>
      <c r="M335" s="95">
        <v>1</v>
      </c>
      <c r="N335" s="95">
        <v>1</v>
      </c>
      <c r="O335" s="95">
        <v>1</v>
      </c>
      <c r="P335" s="125" t="s">
        <v>9</v>
      </c>
      <c r="Q335" s="124" t="s">
        <v>9</v>
      </c>
      <c r="R335" s="95" t="s">
        <v>9</v>
      </c>
      <c r="S335" s="95">
        <v>1</v>
      </c>
      <c r="T335" s="95">
        <v>1</v>
      </c>
      <c r="U335" s="95">
        <v>1</v>
      </c>
      <c r="V335" s="95" t="s">
        <v>10</v>
      </c>
      <c r="W335" s="95" t="s">
        <v>10</v>
      </c>
      <c r="X335" s="125">
        <v>1</v>
      </c>
      <c r="Y335" s="124">
        <v>1</v>
      </c>
      <c r="Z335" s="95" t="s">
        <v>9</v>
      </c>
      <c r="AA335" s="95">
        <v>1</v>
      </c>
      <c r="AB335" s="95" t="s">
        <v>10</v>
      </c>
      <c r="AC335" s="95">
        <v>1</v>
      </c>
      <c r="AD335" s="95">
        <v>1</v>
      </c>
      <c r="AE335" s="95">
        <v>1</v>
      </c>
      <c r="AF335" s="125">
        <v>1</v>
      </c>
      <c r="AG335" s="95">
        <v>1</v>
      </c>
      <c r="AH335" s="95">
        <v>1</v>
      </c>
      <c r="AI335" s="95">
        <v>1</v>
      </c>
      <c r="AJ335" s="95">
        <v>1</v>
      </c>
      <c r="AK335" s="95" t="s">
        <v>10</v>
      </c>
      <c r="AL335" s="95" t="s">
        <v>10</v>
      </c>
      <c r="AM335" s="95" t="s">
        <v>10</v>
      </c>
      <c r="AN335" s="125" t="s">
        <v>10</v>
      </c>
      <c r="AO335" s="95"/>
      <c r="AP335" s="79">
        <v>20</v>
      </c>
      <c r="AQ335" s="85">
        <f t="shared" si="15"/>
        <v>20</v>
      </c>
      <c r="AR335" s="19"/>
      <c r="AS335"/>
      <c r="AT335" s="67">
        <f t="shared" si="16"/>
        <v>7</v>
      </c>
      <c r="AU335" s="67">
        <f t="shared" si="17"/>
        <v>4</v>
      </c>
      <c r="AV335" s="66"/>
      <c r="AW335" s="12">
        <v>1</v>
      </c>
      <c r="AX335" s="12">
        <v>1</v>
      </c>
      <c r="AY335" s="12">
        <v>1</v>
      </c>
      <c r="BA335" s="12">
        <v>1</v>
      </c>
      <c r="BB335" s="12">
        <v>1</v>
      </c>
      <c r="BG335" s="12">
        <v>1</v>
      </c>
      <c r="BI335" s="12">
        <v>1</v>
      </c>
      <c r="BN335" s="12">
        <v>1</v>
      </c>
      <c r="BV335" s="12">
        <v>1</v>
      </c>
      <c r="BY335" s="12">
        <v>1</v>
      </c>
      <c r="CC335" s="12" t="s">
        <v>326</v>
      </c>
      <c r="CK335"/>
      <c r="CO335">
        <v>1</v>
      </c>
      <c r="CX335">
        <v>308</v>
      </c>
    </row>
    <row r="336" spans="1:103">
      <c r="A336" s="8">
        <v>309</v>
      </c>
      <c r="B336" s="8" t="s">
        <v>12</v>
      </c>
      <c r="C336" s="8" t="s">
        <v>40</v>
      </c>
      <c r="D336" s="8" t="s">
        <v>40</v>
      </c>
      <c r="E336" s="8" t="s">
        <v>77</v>
      </c>
      <c r="F336" s="8"/>
      <c r="G336" s="8"/>
      <c r="H336" s="8"/>
      <c r="I336" s="124"/>
      <c r="J336" s="95"/>
      <c r="K336" s="95"/>
      <c r="L336" s="95"/>
      <c r="M336" s="95"/>
      <c r="N336" s="95"/>
      <c r="O336" s="95"/>
      <c r="P336" s="125"/>
      <c r="Q336" s="124"/>
      <c r="R336" s="95"/>
      <c r="S336" s="95"/>
      <c r="T336" s="95"/>
      <c r="U336" s="95"/>
      <c r="V336" s="95"/>
      <c r="W336" s="95"/>
      <c r="X336" s="125"/>
      <c r="Y336" s="124"/>
      <c r="Z336" s="95"/>
      <c r="AA336" s="95"/>
      <c r="AB336" s="95"/>
      <c r="AC336" s="95"/>
      <c r="AD336" s="95"/>
      <c r="AE336" s="95"/>
      <c r="AF336" s="125"/>
      <c r="AG336" s="95"/>
      <c r="AH336" s="95"/>
      <c r="AI336" s="95"/>
      <c r="AJ336" s="95"/>
      <c r="AK336" s="95"/>
      <c r="AL336" s="95"/>
      <c r="AM336" s="95"/>
      <c r="AN336" s="125"/>
      <c r="AO336" s="95"/>
      <c r="AP336" s="79"/>
      <c r="AQ336" s="85">
        <f t="shared" si="15"/>
        <v>0</v>
      </c>
      <c r="AR336" s="19"/>
      <c r="AS336"/>
      <c r="AT336" s="67">
        <f t="shared" si="16"/>
        <v>0</v>
      </c>
      <c r="AU336" s="67">
        <f t="shared" si="17"/>
        <v>0</v>
      </c>
      <c r="AV336" s="66"/>
      <c r="AW336" s="12"/>
      <c r="BP336" s="12">
        <v>1</v>
      </c>
      <c r="BV336" s="12">
        <v>1</v>
      </c>
      <c r="BW336" s="12">
        <v>1</v>
      </c>
      <c r="BY336" s="12">
        <v>1</v>
      </c>
      <c r="CK336"/>
      <c r="CX336">
        <v>309</v>
      </c>
    </row>
    <row r="337" spans="1:102">
      <c r="A337" s="8">
        <v>310</v>
      </c>
      <c r="B337" s="8" t="s">
        <v>12</v>
      </c>
      <c r="C337" s="8" t="s">
        <v>40</v>
      </c>
      <c r="D337" s="8" t="s">
        <v>40</v>
      </c>
      <c r="E337" s="8" t="s">
        <v>15</v>
      </c>
      <c r="F337" s="8"/>
      <c r="G337" s="8"/>
      <c r="H337" s="8"/>
      <c r="I337" s="124"/>
      <c r="J337" s="95"/>
      <c r="K337" s="95"/>
      <c r="L337" s="95"/>
      <c r="M337" s="95"/>
      <c r="N337" s="95"/>
      <c r="O337" s="95"/>
      <c r="P337" s="125"/>
      <c r="Q337" s="124"/>
      <c r="R337" s="95"/>
      <c r="S337" s="95"/>
      <c r="T337" s="95"/>
      <c r="U337" s="95"/>
      <c r="V337" s="95"/>
      <c r="W337" s="95"/>
      <c r="X337" s="125"/>
      <c r="Y337" s="124"/>
      <c r="Z337" s="95"/>
      <c r="AA337" s="95"/>
      <c r="AB337" s="95"/>
      <c r="AC337" s="95"/>
      <c r="AD337" s="95"/>
      <c r="AE337" s="95"/>
      <c r="AF337" s="125"/>
      <c r="AG337" s="95"/>
      <c r="AH337" s="95"/>
      <c r="AI337" s="95"/>
      <c r="AJ337" s="95"/>
      <c r="AK337" s="95"/>
      <c r="AL337" s="95"/>
      <c r="AM337" s="95"/>
      <c r="AN337" s="125"/>
      <c r="AO337" s="95"/>
      <c r="AP337" s="79"/>
      <c r="AQ337" s="85">
        <f t="shared" si="15"/>
        <v>0</v>
      </c>
      <c r="AR337" s="19"/>
      <c r="AS337"/>
      <c r="AT337" s="67">
        <f t="shared" si="16"/>
        <v>0</v>
      </c>
      <c r="AU337" s="67">
        <f t="shared" si="17"/>
        <v>0</v>
      </c>
      <c r="AV337" s="66"/>
      <c r="AW337" s="12"/>
      <c r="BQ337" s="12">
        <v>2</v>
      </c>
      <c r="CK337"/>
      <c r="CX337">
        <v>310</v>
      </c>
    </row>
    <row r="338" spans="1:102">
      <c r="A338" s="8">
        <v>311</v>
      </c>
      <c r="B338" s="8" t="s">
        <v>13</v>
      </c>
      <c r="C338" s="8" t="s">
        <v>130</v>
      </c>
      <c r="D338" s="8" t="s">
        <v>357</v>
      </c>
      <c r="E338" s="8" t="s">
        <v>15</v>
      </c>
      <c r="F338" s="8">
        <v>21</v>
      </c>
      <c r="G338" s="8">
        <v>22</v>
      </c>
      <c r="H338" s="8">
        <v>22</v>
      </c>
      <c r="I338" s="124"/>
      <c r="J338" s="95">
        <v>1</v>
      </c>
      <c r="K338" s="95">
        <v>1</v>
      </c>
      <c r="L338" s="95" t="s">
        <v>373</v>
      </c>
      <c r="M338" s="95">
        <v>1</v>
      </c>
      <c r="N338" s="95" t="s">
        <v>373</v>
      </c>
      <c r="O338" s="95" t="s">
        <v>9</v>
      </c>
      <c r="P338" s="125">
        <v>1</v>
      </c>
      <c r="Q338" s="124">
        <v>1</v>
      </c>
      <c r="R338" s="95">
        <v>1</v>
      </c>
      <c r="S338" s="95">
        <v>1</v>
      </c>
      <c r="T338" s="95">
        <v>1</v>
      </c>
      <c r="U338" s="95">
        <v>1</v>
      </c>
      <c r="V338" s="95">
        <v>1</v>
      </c>
      <c r="W338" s="95" t="s">
        <v>49</v>
      </c>
      <c r="X338" s="125"/>
      <c r="Y338" s="124" t="s">
        <v>49</v>
      </c>
      <c r="Z338" s="95">
        <v>1</v>
      </c>
      <c r="AA338" s="95">
        <v>1</v>
      </c>
      <c r="AB338" s="95" t="s">
        <v>373</v>
      </c>
      <c r="AC338" s="95">
        <v>1</v>
      </c>
      <c r="AD338" s="95" t="s">
        <v>373</v>
      </c>
      <c r="AE338" s="95">
        <v>1</v>
      </c>
      <c r="AF338" s="125">
        <v>1</v>
      </c>
      <c r="AG338" s="95">
        <v>1</v>
      </c>
      <c r="AH338" s="95">
        <v>1</v>
      </c>
      <c r="AI338" s="95" t="s">
        <v>373</v>
      </c>
      <c r="AJ338" s="95">
        <v>1</v>
      </c>
      <c r="AK338" s="95" t="s">
        <v>49</v>
      </c>
      <c r="AL338" s="95">
        <v>1</v>
      </c>
      <c r="AM338" s="95" t="s">
        <v>49</v>
      </c>
      <c r="AN338" s="125" t="s">
        <v>49</v>
      </c>
      <c r="AO338" s="95">
        <v>5</v>
      </c>
      <c r="AP338" s="79">
        <v>19</v>
      </c>
      <c r="AQ338" s="85">
        <f>SUM(COUNTIF(I338:AN338,"1")+COUNTIF(I338:AN338,"*1*"))</f>
        <v>24</v>
      </c>
      <c r="AR338" s="19"/>
      <c r="AS338"/>
      <c r="AT338" s="67">
        <f t="shared" si="16"/>
        <v>0</v>
      </c>
      <c r="AU338" s="67">
        <f t="shared" si="17"/>
        <v>1</v>
      </c>
      <c r="AV338" s="66"/>
      <c r="AW338" s="12"/>
      <c r="AZ338" s="12">
        <v>1</v>
      </c>
      <c r="BA338" s="12">
        <v>1</v>
      </c>
      <c r="BS338" s="12">
        <v>1</v>
      </c>
      <c r="CK338"/>
      <c r="CX338">
        <v>311</v>
      </c>
    </row>
    <row r="339" spans="1:102">
      <c r="A339" s="8">
        <v>312</v>
      </c>
      <c r="B339" s="8" t="s">
        <v>12</v>
      </c>
      <c r="C339" s="8" t="s">
        <v>41</v>
      </c>
      <c r="D339" s="8" t="s">
        <v>42</v>
      </c>
      <c r="E339" s="8" t="s">
        <v>42</v>
      </c>
      <c r="F339" s="8"/>
      <c r="G339" s="8"/>
      <c r="H339" s="8"/>
      <c r="I339" s="124"/>
      <c r="J339" s="95"/>
      <c r="K339" s="95"/>
      <c r="L339" s="95"/>
      <c r="M339" s="95"/>
      <c r="N339" s="95"/>
      <c r="O339" s="95"/>
      <c r="P339" s="125"/>
      <c r="Q339" s="124"/>
      <c r="R339" s="95"/>
      <c r="S339" s="95"/>
      <c r="T339" s="95"/>
      <c r="U339" s="95"/>
      <c r="V339" s="95"/>
      <c r="W339" s="95"/>
      <c r="X339" s="125"/>
      <c r="Y339" s="124"/>
      <c r="Z339" s="95"/>
      <c r="AA339" s="95"/>
      <c r="AB339" s="95"/>
      <c r="AC339" s="95"/>
      <c r="AD339" s="95"/>
      <c r="AE339" s="95"/>
      <c r="AF339" s="125"/>
      <c r="AG339" s="95"/>
      <c r="AH339" s="95"/>
      <c r="AI339" s="95"/>
      <c r="AJ339" s="95"/>
      <c r="AK339" s="95"/>
      <c r="AL339" s="95"/>
      <c r="AM339" s="95"/>
      <c r="AN339" s="125"/>
      <c r="AO339" s="95"/>
      <c r="AP339" s="79"/>
      <c r="AQ339" s="85">
        <f t="shared" si="15"/>
        <v>0</v>
      </c>
      <c r="AR339" s="19"/>
      <c r="AS339"/>
      <c r="AT339" s="67">
        <f t="shared" si="16"/>
        <v>0</v>
      </c>
      <c r="AU339" s="67">
        <f t="shared" si="17"/>
        <v>0</v>
      </c>
      <c r="AV339" s="66"/>
      <c r="AW339" s="12"/>
      <c r="BK339" s="12">
        <v>1</v>
      </c>
      <c r="BQ339" s="12">
        <v>1</v>
      </c>
      <c r="CK339"/>
      <c r="CX339">
        <v>312</v>
      </c>
    </row>
    <row r="340" spans="1:102">
      <c r="A340" s="8">
        <v>313</v>
      </c>
      <c r="B340" s="8" t="s">
        <v>12</v>
      </c>
      <c r="C340" s="8" t="s">
        <v>71</v>
      </c>
      <c r="D340" s="8" t="s">
        <v>366</v>
      </c>
      <c r="E340" s="8" t="s">
        <v>42</v>
      </c>
      <c r="F340" s="8"/>
      <c r="G340" s="8"/>
      <c r="H340" s="8"/>
      <c r="I340" s="124"/>
      <c r="J340" s="95"/>
      <c r="K340" s="95"/>
      <c r="L340" s="95"/>
      <c r="M340" s="95"/>
      <c r="N340" s="95"/>
      <c r="O340" s="95"/>
      <c r="P340" s="125"/>
      <c r="Q340" s="124"/>
      <c r="R340" s="95"/>
      <c r="S340" s="95"/>
      <c r="T340" s="95"/>
      <c r="U340" s="95"/>
      <c r="V340" s="95"/>
      <c r="W340" s="95"/>
      <c r="X340" s="125"/>
      <c r="Y340" s="124"/>
      <c r="Z340" s="95"/>
      <c r="AA340" s="95"/>
      <c r="AB340" s="95"/>
      <c r="AC340" s="95"/>
      <c r="AD340" s="95"/>
      <c r="AE340" s="95"/>
      <c r="AF340" s="125"/>
      <c r="AG340" s="95"/>
      <c r="AH340" s="95"/>
      <c r="AI340" s="95"/>
      <c r="AJ340" s="95"/>
      <c r="AK340" s="95"/>
      <c r="AL340" s="95"/>
      <c r="AM340" s="95"/>
      <c r="AN340" s="125"/>
      <c r="AO340" s="95"/>
      <c r="AP340" s="79"/>
      <c r="AQ340" s="85">
        <f t="shared" si="15"/>
        <v>0</v>
      </c>
      <c r="AR340" s="19"/>
      <c r="AS340"/>
      <c r="AT340" s="67">
        <f t="shared" si="16"/>
        <v>0</v>
      </c>
      <c r="AU340" s="67">
        <f t="shared" si="17"/>
        <v>0</v>
      </c>
      <c r="AV340" s="66"/>
      <c r="AW340" s="12"/>
      <c r="BE340" s="12">
        <v>1</v>
      </c>
      <c r="BM340" s="12">
        <v>1</v>
      </c>
      <c r="BQ340" s="12">
        <v>1</v>
      </c>
      <c r="BS340" s="12">
        <v>1</v>
      </c>
      <c r="BV340" s="12">
        <v>1</v>
      </c>
      <c r="BW340" s="12">
        <v>1</v>
      </c>
      <c r="BY340" s="12">
        <v>1</v>
      </c>
      <c r="BZ340" s="12">
        <v>1</v>
      </c>
      <c r="CK340"/>
      <c r="CX340">
        <v>313</v>
      </c>
    </row>
    <row r="341" spans="1:102">
      <c r="A341" s="8">
        <v>314</v>
      </c>
      <c r="B341" s="8" t="s">
        <v>13</v>
      </c>
      <c r="C341" s="8" t="s">
        <v>48</v>
      </c>
      <c r="D341" s="8" t="s">
        <v>357</v>
      </c>
      <c r="E341" s="8" t="s">
        <v>15</v>
      </c>
      <c r="F341" s="8"/>
      <c r="G341" s="8"/>
      <c r="H341" s="8"/>
      <c r="I341" s="124"/>
      <c r="J341" s="95"/>
      <c r="K341" s="95"/>
      <c r="L341" s="95"/>
      <c r="M341" s="95"/>
      <c r="N341" s="95"/>
      <c r="O341" s="95"/>
      <c r="P341" s="125"/>
      <c r="Q341" s="124"/>
      <c r="R341" s="95"/>
      <c r="S341" s="95"/>
      <c r="T341" s="95"/>
      <c r="U341" s="95"/>
      <c r="V341" s="95"/>
      <c r="W341" s="95"/>
      <c r="X341" s="125"/>
      <c r="Y341" s="124"/>
      <c r="Z341" s="95"/>
      <c r="AA341" s="95"/>
      <c r="AB341" s="95"/>
      <c r="AC341" s="95"/>
      <c r="AD341" s="95"/>
      <c r="AE341" s="95"/>
      <c r="AF341" s="125"/>
      <c r="AG341" s="95"/>
      <c r="AH341" s="95"/>
      <c r="AI341" s="95"/>
      <c r="AJ341" s="95"/>
      <c r="AK341" s="95"/>
      <c r="AL341" s="95"/>
      <c r="AM341" s="95"/>
      <c r="AN341" s="125"/>
      <c r="AO341" s="95"/>
      <c r="AP341" s="79"/>
      <c r="AQ341" s="85">
        <f t="shared" si="15"/>
        <v>0</v>
      </c>
      <c r="AR341" s="19"/>
      <c r="AS341"/>
      <c r="AT341" s="67">
        <f t="shared" si="16"/>
        <v>0</v>
      </c>
      <c r="AU341" s="67">
        <f t="shared" si="17"/>
        <v>0</v>
      </c>
      <c r="AV341" s="66"/>
      <c r="AW341" s="12"/>
      <c r="CK341"/>
      <c r="CX341">
        <v>314</v>
      </c>
    </row>
    <row r="342" spans="1:102">
      <c r="A342" s="8">
        <v>315</v>
      </c>
      <c r="B342" s="8" t="s">
        <v>12</v>
      </c>
      <c r="C342" s="8" t="s">
        <v>71</v>
      </c>
      <c r="D342" s="8" t="s">
        <v>366</v>
      </c>
      <c r="E342" s="8" t="s">
        <v>42</v>
      </c>
      <c r="F342" s="8">
        <v>26</v>
      </c>
      <c r="G342" s="8">
        <v>29</v>
      </c>
      <c r="H342" s="8">
        <v>31</v>
      </c>
      <c r="I342" s="124">
        <v>1</v>
      </c>
      <c r="J342" s="95">
        <v>1</v>
      </c>
      <c r="K342" s="95">
        <v>1</v>
      </c>
      <c r="L342" s="95">
        <v>1</v>
      </c>
      <c r="M342" s="95">
        <v>1</v>
      </c>
      <c r="N342" s="95">
        <v>1</v>
      </c>
      <c r="O342" s="95">
        <v>1</v>
      </c>
      <c r="P342" s="125" t="s">
        <v>9</v>
      </c>
      <c r="Q342" s="124">
        <v>1</v>
      </c>
      <c r="R342" s="95">
        <v>1</v>
      </c>
      <c r="S342" s="95">
        <v>1</v>
      </c>
      <c r="T342" s="95">
        <v>1</v>
      </c>
      <c r="U342" s="95">
        <v>1</v>
      </c>
      <c r="V342" s="95">
        <v>1</v>
      </c>
      <c r="W342" s="95">
        <v>1</v>
      </c>
      <c r="X342" s="125">
        <v>1</v>
      </c>
      <c r="Y342" s="124">
        <v>1</v>
      </c>
      <c r="Z342" s="95">
        <v>1</v>
      </c>
      <c r="AA342" s="95">
        <v>1</v>
      </c>
      <c r="AB342" s="95">
        <v>1</v>
      </c>
      <c r="AC342" s="95">
        <v>1</v>
      </c>
      <c r="AD342" s="95">
        <v>1</v>
      </c>
      <c r="AE342" s="95">
        <v>1</v>
      </c>
      <c r="AF342" s="125">
        <v>1</v>
      </c>
      <c r="AG342" s="95" t="s">
        <v>10</v>
      </c>
      <c r="AH342" s="95" t="s">
        <v>10</v>
      </c>
      <c r="AI342" s="95" t="s">
        <v>9</v>
      </c>
      <c r="AJ342" s="95" t="s">
        <v>9</v>
      </c>
      <c r="AK342" s="95">
        <v>1</v>
      </c>
      <c r="AL342" s="95">
        <v>1</v>
      </c>
      <c r="AM342" s="95">
        <v>1</v>
      </c>
      <c r="AN342" s="125"/>
      <c r="AO342" s="95"/>
      <c r="AP342" s="79">
        <v>26</v>
      </c>
      <c r="AQ342" s="85">
        <f t="shared" si="15"/>
        <v>26</v>
      </c>
      <c r="AR342" s="19"/>
      <c r="AS342"/>
      <c r="AT342" s="67">
        <f t="shared" si="16"/>
        <v>2</v>
      </c>
      <c r="AU342" s="67">
        <f t="shared" si="17"/>
        <v>3</v>
      </c>
      <c r="AV342" s="66"/>
      <c r="AW342" s="12">
        <v>1</v>
      </c>
      <c r="AX342" s="12">
        <v>1</v>
      </c>
      <c r="AY342" s="12">
        <v>1</v>
      </c>
      <c r="BA342" s="12">
        <v>1</v>
      </c>
      <c r="BB342" s="12">
        <v>1</v>
      </c>
      <c r="BE342" s="12">
        <v>1</v>
      </c>
      <c r="BK342" s="12">
        <v>1</v>
      </c>
      <c r="BO342" s="12">
        <v>1</v>
      </c>
      <c r="BP342" s="12">
        <v>1</v>
      </c>
      <c r="BQ342" s="12">
        <v>1</v>
      </c>
      <c r="BV342" s="12">
        <v>1</v>
      </c>
      <c r="BW342" s="12">
        <v>1</v>
      </c>
      <c r="BY342" s="12">
        <v>1</v>
      </c>
      <c r="BZ342" s="12">
        <v>1</v>
      </c>
      <c r="CK342">
        <v>1</v>
      </c>
      <c r="CX342">
        <v>315</v>
      </c>
    </row>
    <row r="343" spans="1:102">
      <c r="A343" s="8">
        <v>316</v>
      </c>
      <c r="B343" s="8" t="s">
        <v>13</v>
      </c>
      <c r="C343" s="8" t="s">
        <v>14</v>
      </c>
      <c r="D343" s="8" t="s">
        <v>345</v>
      </c>
      <c r="E343" s="8" t="s">
        <v>15</v>
      </c>
      <c r="F343" s="8"/>
      <c r="G343" s="8"/>
      <c r="H343" s="8"/>
      <c r="I343" s="124"/>
      <c r="J343" s="95"/>
      <c r="K343" s="95"/>
      <c r="L343" s="95"/>
      <c r="M343" s="95"/>
      <c r="N343" s="95"/>
      <c r="O343" s="95"/>
      <c r="P343" s="125"/>
      <c r="Q343" s="124"/>
      <c r="R343" s="95"/>
      <c r="S343" s="95"/>
      <c r="T343" s="95"/>
      <c r="U343" s="95"/>
      <c r="V343" s="95"/>
      <c r="W343" s="95"/>
      <c r="X343" s="125"/>
      <c r="Y343" s="124"/>
      <c r="Z343" s="95"/>
      <c r="AA343" s="95"/>
      <c r="AB343" s="95"/>
      <c r="AC343" s="95"/>
      <c r="AD343" s="95"/>
      <c r="AE343" s="95"/>
      <c r="AF343" s="125"/>
      <c r="AG343" s="95"/>
      <c r="AH343" s="95"/>
      <c r="AI343" s="95"/>
      <c r="AJ343" s="95"/>
      <c r="AK343" s="95"/>
      <c r="AL343" s="95"/>
      <c r="AM343" s="95"/>
      <c r="AN343" s="125"/>
      <c r="AO343" s="95"/>
      <c r="AP343" s="79"/>
      <c r="AQ343" s="85">
        <f t="shared" si="15"/>
        <v>0</v>
      </c>
      <c r="AR343" s="19"/>
      <c r="AS343"/>
      <c r="AT343" s="67">
        <f t="shared" si="16"/>
        <v>0</v>
      </c>
      <c r="AU343" s="67">
        <f t="shared" si="17"/>
        <v>0</v>
      </c>
      <c r="AV343" s="66"/>
      <c r="AW343" s="12"/>
      <c r="CK343"/>
      <c r="CX343">
        <v>316</v>
      </c>
    </row>
    <row r="344" spans="1:102">
      <c r="A344" s="8">
        <v>317</v>
      </c>
      <c r="B344" s="8" t="s">
        <v>12</v>
      </c>
      <c r="C344" s="8" t="s">
        <v>40</v>
      </c>
      <c r="D344" s="8" t="s">
        <v>40</v>
      </c>
      <c r="E344" s="8" t="s">
        <v>15</v>
      </c>
      <c r="F344" s="8"/>
      <c r="G344" s="8"/>
      <c r="H344" s="8"/>
      <c r="I344" s="124"/>
      <c r="J344" s="95"/>
      <c r="K344" s="95"/>
      <c r="L344" s="95"/>
      <c r="M344" s="95"/>
      <c r="N344" s="95"/>
      <c r="O344" s="95"/>
      <c r="P344" s="125"/>
      <c r="Q344" s="124"/>
      <c r="R344" s="95"/>
      <c r="S344" s="95"/>
      <c r="T344" s="95"/>
      <c r="U344" s="95"/>
      <c r="V344" s="95"/>
      <c r="W344" s="95"/>
      <c r="X344" s="125"/>
      <c r="Y344" s="124"/>
      <c r="Z344" s="95"/>
      <c r="AA344" s="95"/>
      <c r="AB344" s="95"/>
      <c r="AC344" s="95"/>
      <c r="AD344" s="95"/>
      <c r="AE344" s="95"/>
      <c r="AF344" s="125"/>
      <c r="AG344" s="95"/>
      <c r="AH344" s="95"/>
      <c r="AI344" s="95"/>
      <c r="AJ344" s="95"/>
      <c r="AK344" s="95"/>
      <c r="AL344" s="95"/>
      <c r="AM344" s="95"/>
      <c r="AN344" s="125"/>
      <c r="AO344" s="95"/>
      <c r="AP344" s="79"/>
      <c r="AQ344" s="85">
        <f t="shared" si="15"/>
        <v>0</v>
      </c>
      <c r="AR344" s="19"/>
      <c r="AS344"/>
      <c r="AT344" s="67">
        <f t="shared" si="16"/>
        <v>0</v>
      </c>
      <c r="AU344" s="67">
        <f t="shared" si="17"/>
        <v>0</v>
      </c>
      <c r="AV344" s="66"/>
      <c r="AW344" s="12"/>
      <c r="CK344"/>
      <c r="CX344">
        <v>317</v>
      </c>
    </row>
    <row r="345" spans="1:102">
      <c r="A345" s="8">
        <v>318</v>
      </c>
      <c r="B345" s="8" t="s">
        <v>12</v>
      </c>
      <c r="C345" s="8" t="s">
        <v>91</v>
      </c>
      <c r="D345" s="8" t="s">
        <v>366</v>
      </c>
      <c r="E345" s="8" t="s">
        <v>42</v>
      </c>
      <c r="F345" s="8"/>
      <c r="G345" s="8"/>
      <c r="H345" s="8"/>
      <c r="I345" s="124"/>
      <c r="J345" s="95"/>
      <c r="K345" s="95"/>
      <c r="L345" s="95"/>
      <c r="M345" s="95"/>
      <c r="N345" s="95"/>
      <c r="O345" s="95"/>
      <c r="P345" s="125"/>
      <c r="Q345" s="124"/>
      <c r="R345" s="95"/>
      <c r="S345" s="95"/>
      <c r="T345" s="95"/>
      <c r="U345" s="95"/>
      <c r="V345" s="95"/>
      <c r="W345" s="95"/>
      <c r="X345" s="125"/>
      <c r="Y345" s="124"/>
      <c r="Z345" s="95"/>
      <c r="AA345" s="95"/>
      <c r="AB345" s="95"/>
      <c r="AC345" s="95"/>
      <c r="AD345" s="95"/>
      <c r="AE345" s="95"/>
      <c r="AF345" s="125"/>
      <c r="AG345" s="95"/>
      <c r="AH345" s="95"/>
      <c r="AI345" s="95"/>
      <c r="AJ345" s="95"/>
      <c r="AK345" s="95"/>
      <c r="AL345" s="95"/>
      <c r="AM345" s="95"/>
      <c r="AN345" s="125"/>
      <c r="AO345" s="95"/>
      <c r="AP345" s="79"/>
      <c r="AQ345" s="85">
        <f t="shared" si="15"/>
        <v>0</v>
      </c>
      <c r="AR345" s="19"/>
      <c r="AS345"/>
      <c r="AT345" s="67">
        <f t="shared" si="16"/>
        <v>0</v>
      </c>
      <c r="AU345" s="67">
        <f t="shared" si="17"/>
        <v>0</v>
      </c>
      <c r="AV345" s="66"/>
      <c r="AW345" s="12"/>
      <c r="BK345" s="12">
        <v>1</v>
      </c>
      <c r="BY345" s="12">
        <v>1</v>
      </c>
      <c r="CK345"/>
      <c r="CX345">
        <v>318</v>
      </c>
    </row>
    <row r="346" spans="1:102">
      <c r="A346" s="8">
        <v>319</v>
      </c>
      <c r="B346" s="8" t="s">
        <v>13</v>
      </c>
      <c r="C346" s="8" t="s">
        <v>74</v>
      </c>
      <c r="D346" s="8" t="s">
        <v>346</v>
      </c>
      <c r="E346" s="8" t="s">
        <v>15</v>
      </c>
      <c r="F346" s="8"/>
      <c r="G346" s="8"/>
      <c r="H346" s="8"/>
      <c r="I346" s="124"/>
      <c r="J346" s="95"/>
      <c r="K346" s="95"/>
      <c r="L346" s="95"/>
      <c r="M346" s="95"/>
      <c r="N346" s="95"/>
      <c r="O346" s="95"/>
      <c r="P346" s="125"/>
      <c r="Q346" s="124"/>
      <c r="R346" s="95"/>
      <c r="S346" s="95"/>
      <c r="T346" s="95"/>
      <c r="U346" s="95"/>
      <c r="V346" s="95"/>
      <c r="W346" s="95"/>
      <c r="X346" s="125"/>
      <c r="Y346" s="124"/>
      <c r="Z346" s="95"/>
      <c r="AA346" s="95"/>
      <c r="AB346" s="95"/>
      <c r="AC346" s="95"/>
      <c r="AD346" s="95"/>
      <c r="AE346" s="95"/>
      <c r="AF346" s="125"/>
      <c r="AG346" s="95"/>
      <c r="AH346" s="95"/>
      <c r="AI346" s="95"/>
      <c r="AJ346" s="95"/>
      <c r="AK346" s="95"/>
      <c r="AL346" s="95"/>
      <c r="AM346" s="95"/>
      <c r="AN346" s="125"/>
      <c r="AO346" s="95"/>
      <c r="AP346" s="79"/>
      <c r="AQ346" s="85">
        <f t="shared" si="15"/>
        <v>0</v>
      </c>
      <c r="AR346" s="19"/>
      <c r="AS346"/>
      <c r="AT346" s="67">
        <f t="shared" si="16"/>
        <v>0</v>
      </c>
      <c r="AU346" s="67">
        <f t="shared" si="17"/>
        <v>0</v>
      </c>
      <c r="AV346" s="66"/>
      <c r="AW346" s="12"/>
      <c r="CK346"/>
      <c r="CX346">
        <v>319</v>
      </c>
    </row>
    <row r="347" spans="1:102">
      <c r="A347" s="8">
        <v>320</v>
      </c>
      <c r="B347" s="8" t="s">
        <v>12</v>
      </c>
      <c r="C347" s="8" t="s">
        <v>40</v>
      </c>
      <c r="D347" s="8" t="s">
        <v>40</v>
      </c>
      <c r="E347" s="8" t="s">
        <v>77</v>
      </c>
      <c r="F347" s="8"/>
      <c r="G347" s="8"/>
      <c r="H347" s="8"/>
      <c r="I347" s="124"/>
      <c r="J347" s="95"/>
      <c r="K347" s="95"/>
      <c r="L347" s="95"/>
      <c r="M347" s="95"/>
      <c r="N347" s="95"/>
      <c r="O347" s="95"/>
      <c r="P347" s="125"/>
      <c r="Q347" s="124"/>
      <c r="R347" s="95"/>
      <c r="S347" s="95"/>
      <c r="T347" s="95"/>
      <c r="U347" s="95"/>
      <c r="V347" s="95"/>
      <c r="W347" s="95"/>
      <c r="X347" s="125"/>
      <c r="Y347" s="124"/>
      <c r="Z347" s="95"/>
      <c r="AA347" s="95"/>
      <c r="AB347" s="95"/>
      <c r="AC347" s="95"/>
      <c r="AD347" s="95"/>
      <c r="AE347" s="95"/>
      <c r="AF347" s="125"/>
      <c r="AG347" s="95"/>
      <c r="AH347" s="95"/>
      <c r="AI347" s="95"/>
      <c r="AJ347" s="95"/>
      <c r="AK347" s="95"/>
      <c r="AL347" s="95"/>
      <c r="AM347" s="95"/>
      <c r="AN347" s="125"/>
      <c r="AO347" s="95"/>
      <c r="AP347" s="79"/>
      <c r="AQ347" s="85">
        <f t="shared" si="15"/>
        <v>0</v>
      </c>
      <c r="AR347" s="19"/>
      <c r="AS347"/>
      <c r="AT347" s="67">
        <f t="shared" si="16"/>
        <v>0</v>
      </c>
      <c r="AU347" s="67">
        <f t="shared" si="17"/>
        <v>0</v>
      </c>
      <c r="AV347" s="66"/>
      <c r="AW347" s="12"/>
      <c r="CK347"/>
      <c r="CX347">
        <v>320</v>
      </c>
    </row>
    <row r="348" spans="1:102">
      <c r="A348" s="8">
        <v>321</v>
      </c>
      <c r="B348" s="8" t="s">
        <v>13</v>
      </c>
      <c r="C348" s="8" t="s">
        <v>54</v>
      </c>
      <c r="D348" s="8" t="s">
        <v>345</v>
      </c>
      <c r="E348" s="8" t="s">
        <v>15</v>
      </c>
      <c r="F348" s="8">
        <v>7</v>
      </c>
      <c r="G348" s="8">
        <v>7</v>
      </c>
      <c r="H348" s="8">
        <v>8</v>
      </c>
      <c r="I348" s="124"/>
      <c r="J348" s="95"/>
      <c r="K348" s="95"/>
      <c r="L348" s="95" t="s">
        <v>49</v>
      </c>
      <c r="M348" s="95" t="s">
        <v>49</v>
      </c>
      <c r="N348" s="95" t="s">
        <v>49</v>
      </c>
      <c r="O348" s="95">
        <v>1</v>
      </c>
      <c r="P348" s="125">
        <v>1</v>
      </c>
      <c r="Q348" s="124">
        <v>1</v>
      </c>
      <c r="R348" s="95">
        <v>1</v>
      </c>
      <c r="S348" s="95" t="s">
        <v>49</v>
      </c>
      <c r="T348" s="95" t="s">
        <v>49</v>
      </c>
      <c r="U348" s="95" t="s">
        <v>49</v>
      </c>
      <c r="V348" s="95"/>
      <c r="W348" s="95"/>
      <c r="X348" s="125"/>
      <c r="Y348" s="124"/>
      <c r="Z348" s="95"/>
      <c r="AA348" s="95"/>
      <c r="AB348" s="95" t="s">
        <v>49</v>
      </c>
      <c r="AC348" s="95" t="s">
        <v>49</v>
      </c>
      <c r="AD348" s="95" t="s">
        <v>49</v>
      </c>
      <c r="AE348" s="95">
        <v>1</v>
      </c>
      <c r="AF348" s="125">
        <v>1</v>
      </c>
      <c r="AG348" s="95">
        <v>1</v>
      </c>
      <c r="AH348" s="95"/>
      <c r="AI348" s="95" t="s">
        <v>49</v>
      </c>
      <c r="AJ348" s="95" t="s">
        <v>49</v>
      </c>
      <c r="AK348" s="95" t="s">
        <v>49</v>
      </c>
      <c r="AL348" s="95"/>
      <c r="AM348" s="95"/>
      <c r="AN348" s="125"/>
      <c r="AO348" s="95">
        <v>7</v>
      </c>
      <c r="AP348" s="79"/>
      <c r="AQ348" s="85">
        <f t="shared" si="15"/>
        <v>7</v>
      </c>
      <c r="AR348" s="19"/>
      <c r="AS348"/>
      <c r="AT348" s="67">
        <f t="shared" si="16"/>
        <v>0</v>
      </c>
      <c r="AU348" s="67">
        <f t="shared" si="17"/>
        <v>0</v>
      </c>
      <c r="AV348" s="66"/>
      <c r="AW348" s="12"/>
      <c r="CK348"/>
      <c r="CX348">
        <v>321</v>
      </c>
    </row>
    <row r="349" spans="1:102">
      <c r="A349" s="8">
        <v>322</v>
      </c>
      <c r="B349" s="8" t="s">
        <v>12</v>
      </c>
      <c r="C349" s="8" t="s">
        <v>40</v>
      </c>
      <c r="D349" s="8" t="s">
        <v>40</v>
      </c>
      <c r="E349" s="8" t="s">
        <v>6</v>
      </c>
      <c r="F349" s="8"/>
      <c r="G349" s="8"/>
      <c r="H349" s="8"/>
      <c r="I349" s="124"/>
      <c r="J349" s="95"/>
      <c r="K349" s="95"/>
      <c r="L349" s="95"/>
      <c r="M349" s="95"/>
      <c r="N349" s="95"/>
      <c r="O349" s="95"/>
      <c r="P349" s="125"/>
      <c r="Q349" s="124"/>
      <c r="R349" s="95"/>
      <c r="S349" s="95"/>
      <c r="T349" s="95"/>
      <c r="U349" s="95"/>
      <c r="V349" s="95"/>
      <c r="W349" s="95"/>
      <c r="X349" s="125"/>
      <c r="Y349" s="124"/>
      <c r="Z349" s="95"/>
      <c r="AA349" s="95"/>
      <c r="AB349" s="95"/>
      <c r="AC349" s="95"/>
      <c r="AD349" s="95"/>
      <c r="AE349" s="95"/>
      <c r="AF349" s="125"/>
      <c r="AG349" s="95"/>
      <c r="AH349" s="95"/>
      <c r="AI349" s="95"/>
      <c r="AJ349" s="95"/>
      <c r="AK349" s="95"/>
      <c r="AL349" s="95"/>
      <c r="AM349" s="95"/>
      <c r="AN349" s="125"/>
      <c r="AO349" s="95"/>
      <c r="AP349" s="79"/>
      <c r="AQ349" s="85">
        <f t="shared" si="15"/>
        <v>0</v>
      </c>
      <c r="AR349" s="19"/>
      <c r="AS349"/>
      <c r="AT349" s="67">
        <f t="shared" si="16"/>
        <v>0</v>
      </c>
      <c r="AU349" s="67">
        <f t="shared" si="17"/>
        <v>0</v>
      </c>
      <c r="AV349" s="66"/>
      <c r="AW349" s="12"/>
      <c r="CK349"/>
      <c r="CX349">
        <v>322</v>
      </c>
    </row>
    <row r="350" spans="1:102">
      <c r="A350" s="8">
        <v>323</v>
      </c>
      <c r="B350" s="8" t="s">
        <v>12</v>
      </c>
      <c r="C350" s="8" t="s">
        <v>216</v>
      </c>
      <c r="D350" s="8" t="s">
        <v>42</v>
      </c>
      <c r="E350" s="8" t="s">
        <v>42</v>
      </c>
      <c r="F350" s="8"/>
      <c r="G350" s="8"/>
      <c r="H350" s="8"/>
      <c r="I350" s="124"/>
      <c r="J350" s="95"/>
      <c r="K350" s="95"/>
      <c r="L350" s="95"/>
      <c r="M350" s="95"/>
      <c r="N350" s="95"/>
      <c r="O350" s="95"/>
      <c r="P350" s="125"/>
      <c r="Q350" s="124"/>
      <c r="R350" s="95"/>
      <c r="S350" s="95"/>
      <c r="T350" s="95"/>
      <c r="U350" s="95"/>
      <c r="V350" s="95"/>
      <c r="W350" s="95"/>
      <c r="X350" s="125"/>
      <c r="Y350" s="124"/>
      <c r="Z350" s="95"/>
      <c r="AA350" s="95"/>
      <c r="AB350" s="95"/>
      <c r="AC350" s="95"/>
      <c r="AD350" s="95"/>
      <c r="AE350" s="95"/>
      <c r="AF350" s="125"/>
      <c r="AG350" s="95"/>
      <c r="AH350" s="95"/>
      <c r="AI350" s="95"/>
      <c r="AJ350" s="95"/>
      <c r="AK350" s="95"/>
      <c r="AL350" s="95"/>
      <c r="AM350" s="95"/>
      <c r="AN350" s="125"/>
      <c r="AO350" s="95"/>
      <c r="AP350" s="79"/>
      <c r="AQ350" s="85">
        <f t="shared" si="15"/>
        <v>0</v>
      </c>
      <c r="AR350" s="19"/>
      <c r="AS350"/>
      <c r="AT350" s="67">
        <f t="shared" si="16"/>
        <v>0</v>
      </c>
      <c r="AU350" s="67">
        <f t="shared" si="17"/>
        <v>0</v>
      </c>
      <c r="AV350" s="66"/>
      <c r="AW350" s="12"/>
      <c r="CK350"/>
      <c r="CX350">
        <v>323</v>
      </c>
    </row>
    <row r="351" spans="1:102">
      <c r="A351" s="8">
        <v>324</v>
      </c>
      <c r="B351" s="8" t="s">
        <v>13</v>
      </c>
      <c r="C351" s="54" t="s">
        <v>238</v>
      </c>
      <c r="D351" s="59" t="s">
        <v>325</v>
      </c>
      <c r="E351" s="8" t="s">
        <v>15</v>
      </c>
      <c r="F351" s="8"/>
      <c r="G351" s="8"/>
      <c r="H351" s="8"/>
      <c r="I351" s="124"/>
      <c r="J351" s="95"/>
      <c r="K351" s="95"/>
      <c r="L351" s="95"/>
      <c r="M351" s="95"/>
      <c r="N351" s="95"/>
      <c r="O351" s="95"/>
      <c r="P351" s="125"/>
      <c r="Q351" s="124"/>
      <c r="R351" s="95"/>
      <c r="S351" s="95"/>
      <c r="T351" s="95"/>
      <c r="U351" s="95"/>
      <c r="V351" s="95"/>
      <c r="W351" s="95"/>
      <c r="X351" s="125"/>
      <c r="Y351" s="124"/>
      <c r="Z351" s="95"/>
      <c r="AA351" s="95"/>
      <c r="AB351" s="95"/>
      <c r="AC351" s="95"/>
      <c r="AD351" s="95"/>
      <c r="AE351" s="95"/>
      <c r="AF351" s="125"/>
      <c r="AG351" s="95"/>
      <c r="AH351" s="95"/>
      <c r="AI351" s="95"/>
      <c r="AJ351" s="95"/>
      <c r="AK351" s="95"/>
      <c r="AL351" s="95"/>
      <c r="AM351" s="95"/>
      <c r="AN351" s="125"/>
      <c r="AO351" s="95"/>
      <c r="AP351" s="79"/>
      <c r="AQ351" s="85">
        <f t="shared" si="15"/>
        <v>0</v>
      </c>
      <c r="AR351" s="19"/>
      <c r="AS351"/>
      <c r="AT351" s="67">
        <f t="shared" si="16"/>
        <v>0</v>
      </c>
      <c r="AU351" s="67">
        <f t="shared" si="17"/>
        <v>0</v>
      </c>
      <c r="AV351" s="66"/>
      <c r="AW351" s="12"/>
      <c r="CK351"/>
      <c r="CX351">
        <v>324</v>
      </c>
    </row>
    <row r="352" spans="1:102">
      <c r="A352" s="8">
        <v>325</v>
      </c>
      <c r="B352" s="8" t="s">
        <v>12</v>
      </c>
      <c r="C352" s="8" t="s">
        <v>40</v>
      </c>
      <c r="D352" s="8" t="s">
        <v>40</v>
      </c>
      <c r="E352" s="8" t="s">
        <v>15</v>
      </c>
      <c r="F352" s="8"/>
      <c r="G352" s="8"/>
      <c r="H352" s="8"/>
      <c r="I352" s="124"/>
      <c r="J352" s="95"/>
      <c r="K352" s="95"/>
      <c r="L352" s="95"/>
      <c r="M352" s="95"/>
      <c r="N352" s="95"/>
      <c r="O352" s="95"/>
      <c r="P352" s="125"/>
      <c r="Q352" s="124"/>
      <c r="R352" s="95"/>
      <c r="S352" s="95"/>
      <c r="T352" s="95"/>
      <c r="U352" s="95"/>
      <c r="V352" s="95"/>
      <c r="W352" s="95"/>
      <c r="X352" s="125"/>
      <c r="Y352" s="124"/>
      <c r="Z352" s="95"/>
      <c r="AA352" s="95"/>
      <c r="AB352" s="95"/>
      <c r="AC352" s="95"/>
      <c r="AD352" s="95"/>
      <c r="AE352" s="95"/>
      <c r="AF352" s="125"/>
      <c r="AG352" s="95"/>
      <c r="AH352" s="95"/>
      <c r="AI352" s="95"/>
      <c r="AJ352" s="95"/>
      <c r="AK352" s="95"/>
      <c r="AL352" s="95"/>
      <c r="AM352" s="95"/>
      <c r="AN352" s="125"/>
      <c r="AO352" s="95"/>
      <c r="AP352" s="79"/>
      <c r="AQ352" s="85">
        <f t="shared" si="15"/>
        <v>0</v>
      </c>
      <c r="AR352" s="19"/>
      <c r="AS352"/>
      <c r="AT352" s="67">
        <f t="shared" si="16"/>
        <v>0</v>
      </c>
      <c r="AU352" s="67">
        <f t="shared" si="17"/>
        <v>0</v>
      </c>
      <c r="AV352" s="66"/>
      <c r="AW352" s="12"/>
      <c r="CK352"/>
      <c r="CX352">
        <v>325</v>
      </c>
    </row>
    <row r="353" spans="1:103">
      <c r="A353" s="8">
        <v>326</v>
      </c>
      <c r="B353" s="8" t="s">
        <v>12</v>
      </c>
      <c r="C353" s="8" t="s">
        <v>91</v>
      </c>
      <c r="D353" s="8" t="s">
        <v>366</v>
      </c>
      <c r="E353" s="8" t="s">
        <v>42</v>
      </c>
      <c r="F353" s="8"/>
      <c r="G353" s="8"/>
      <c r="H353" s="8"/>
      <c r="I353" s="124"/>
      <c r="J353" s="95"/>
      <c r="K353" s="95"/>
      <c r="L353" s="95"/>
      <c r="M353" s="95"/>
      <c r="N353" s="95"/>
      <c r="O353" s="95"/>
      <c r="P353" s="125"/>
      <c r="Q353" s="124"/>
      <c r="R353" s="95"/>
      <c r="S353" s="95"/>
      <c r="T353" s="95"/>
      <c r="U353" s="95"/>
      <c r="V353" s="95"/>
      <c r="W353" s="95"/>
      <c r="X353" s="125"/>
      <c r="Y353" s="124"/>
      <c r="Z353" s="95"/>
      <c r="AA353" s="95"/>
      <c r="AB353" s="95"/>
      <c r="AC353" s="95"/>
      <c r="AD353" s="95"/>
      <c r="AE353" s="95"/>
      <c r="AF353" s="125"/>
      <c r="AG353" s="95"/>
      <c r="AH353" s="95"/>
      <c r="AI353" s="95"/>
      <c r="AJ353" s="95"/>
      <c r="AK353" s="95"/>
      <c r="AL353" s="95"/>
      <c r="AM353" s="95"/>
      <c r="AN353" s="125"/>
      <c r="AO353" s="95"/>
      <c r="AP353" s="79"/>
      <c r="AQ353" s="85">
        <f t="shared" si="15"/>
        <v>0</v>
      </c>
      <c r="AR353" s="19"/>
      <c r="AS353"/>
      <c r="AT353" s="67">
        <f t="shared" si="16"/>
        <v>0</v>
      </c>
      <c r="AU353" s="67">
        <f t="shared" si="17"/>
        <v>0</v>
      </c>
      <c r="AV353" s="66"/>
      <c r="AW353" s="12"/>
      <c r="BK353" s="12">
        <v>1</v>
      </c>
      <c r="BS353" s="12">
        <v>1</v>
      </c>
      <c r="CK353"/>
      <c r="CX353">
        <v>326</v>
      </c>
    </row>
    <row r="354" spans="1:103">
      <c r="A354" s="8">
        <v>327</v>
      </c>
      <c r="B354" s="8" t="s">
        <v>13</v>
      </c>
      <c r="C354" s="8" t="s">
        <v>17</v>
      </c>
      <c r="D354" s="8" t="s">
        <v>345</v>
      </c>
      <c r="E354" s="8" t="s">
        <v>15</v>
      </c>
      <c r="F354" s="8"/>
      <c r="G354" s="8"/>
      <c r="H354" s="8"/>
      <c r="I354" s="124"/>
      <c r="J354" s="95"/>
      <c r="K354" s="95"/>
      <c r="L354" s="95"/>
      <c r="M354" s="95"/>
      <c r="N354" s="95"/>
      <c r="O354" s="95"/>
      <c r="P354" s="125"/>
      <c r="Q354" s="124"/>
      <c r="R354" s="95"/>
      <c r="S354" s="95"/>
      <c r="T354" s="95"/>
      <c r="U354" s="95"/>
      <c r="V354" s="95"/>
      <c r="W354" s="95"/>
      <c r="X354" s="125"/>
      <c r="Y354" s="124"/>
      <c r="Z354" s="95"/>
      <c r="AA354" s="95"/>
      <c r="AB354" s="95"/>
      <c r="AC354" s="95"/>
      <c r="AD354" s="95"/>
      <c r="AE354" s="95"/>
      <c r="AF354" s="125"/>
      <c r="AG354" s="95"/>
      <c r="AH354" s="95"/>
      <c r="AI354" s="95"/>
      <c r="AJ354" s="95"/>
      <c r="AK354" s="95"/>
      <c r="AL354" s="95"/>
      <c r="AM354" s="95"/>
      <c r="AN354" s="125"/>
      <c r="AO354" s="95"/>
      <c r="AP354" s="79"/>
      <c r="AQ354" s="85">
        <f t="shared" si="15"/>
        <v>0</v>
      </c>
      <c r="AR354" s="19"/>
      <c r="AS354"/>
      <c r="AT354" s="67">
        <f t="shared" si="16"/>
        <v>0</v>
      </c>
      <c r="AU354" s="67">
        <f t="shared" si="17"/>
        <v>0</v>
      </c>
      <c r="AV354" s="66"/>
      <c r="AW354" s="12"/>
      <c r="CK354"/>
      <c r="CX354">
        <v>327</v>
      </c>
    </row>
    <row r="355" spans="1:103">
      <c r="A355" s="8">
        <v>328</v>
      </c>
      <c r="B355" s="8" t="s">
        <v>13</v>
      </c>
      <c r="C355" s="8" t="s">
        <v>14</v>
      </c>
      <c r="D355" s="8" t="s">
        <v>345</v>
      </c>
      <c r="E355" s="8" t="s">
        <v>15</v>
      </c>
      <c r="F355" s="8"/>
      <c r="G355" s="8"/>
      <c r="H355" s="8"/>
      <c r="I355" s="124"/>
      <c r="J355" s="95"/>
      <c r="K355" s="95"/>
      <c r="L355" s="95"/>
      <c r="M355" s="95"/>
      <c r="N355" s="95"/>
      <c r="O355" s="95"/>
      <c r="P355" s="125"/>
      <c r="Q355" s="124"/>
      <c r="R355" s="95"/>
      <c r="S355" s="95"/>
      <c r="T355" s="95"/>
      <c r="U355" s="95"/>
      <c r="V355" s="95"/>
      <c r="W355" s="95"/>
      <c r="X355" s="125"/>
      <c r="Y355" s="124"/>
      <c r="Z355" s="95"/>
      <c r="AA355" s="95"/>
      <c r="AB355" s="95"/>
      <c r="AC355" s="95"/>
      <c r="AD355" s="95"/>
      <c r="AE355" s="95"/>
      <c r="AF355" s="125"/>
      <c r="AG355" s="95"/>
      <c r="AH355" s="95"/>
      <c r="AI355" s="95"/>
      <c r="AJ355" s="95"/>
      <c r="AK355" s="95"/>
      <c r="AL355" s="95"/>
      <c r="AM355" s="95"/>
      <c r="AN355" s="125"/>
      <c r="AO355" s="95"/>
      <c r="AP355" s="79"/>
      <c r="AQ355" s="85">
        <f t="shared" si="15"/>
        <v>0</v>
      </c>
      <c r="AR355" s="19"/>
      <c r="AS355"/>
      <c r="AT355" s="67">
        <f t="shared" si="16"/>
        <v>0</v>
      </c>
      <c r="AU355" s="67">
        <f t="shared" si="17"/>
        <v>0</v>
      </c>
      <c r="AV355" s="66"/>
      <c r="AW355" s="12"/>
      <c r="CI355" s="12">
        <v>1</v>
      </c>
      <c r="CK355"/>
      <c r="CX355">
        <v>328</v>
      </c>
    </row>
    <row r="356" spans="1:103">
      <c r="A356" s="8">
        <v>329</v>
      </c>
      <c r="B356" s="8" t="s">
        <v>13</v>
      </c>
      <c r="C356" s="8" t="s">
        <v>118</v>
      </c>
      <c r="D356" s="8" t="s">
        <v>345</v>
      </c>
      <c r="E356" s="8" t="s">
        <v>15</v>
      </c>
      <c r="F356" s="8"/>
      <c r="G356" s="8"/>
      <c r="H356" s="8"/>
      <c r="I356" s="124"/>
      <c r="J356" s="95"/>
      <c r="K356" s="95"/>
      <c r="L356" s="95"/>
      <c r="M356" s="95"/>
      <c r="N356" s="95"/>
      <c r="O356" s="95"/>
      <c r="P356" s="125"/>
      <c r="Q356" s="124"/>
      <c r="R356" s="95"/>
      <c r="S356" s="95"/>
      <c r="T356" s="95"/>
      <c r="U356" s="95"/>
      <c r="V356" s="95"/>
      <c r="W356" s="95"/>
      <c r="X356" s="125"/>
      <c r="Y356" s="124"/>
      <c r="Z356" s="95"/>
      <c r="AA356" s="95"/>
      <c r="AB356" s="95"/>
      <c r="AC356" s="95"/>
      <c r="AD356" s="95"/>
      <c r="AE356" s="95"/>
      <c r="AF356" s="125"/>
      <c r="AG356" s="95"/>
      <c r="AH356" s="95"/>
      <c r="AI356" s="95"/>
      <c r="AJ356" s="95"/>
      <c r="AK356" s="95"/>
      <c r="AL356" s="95"/>
      <c r="AM356" s="95"/>
      <c r="AN356" s="125"/>
      <c r="AO356" s="95"/>
      <c r="AP356" s="79"/>
      <c r="AQ356" s="85">
        <f t="shared" si="15"/>
        <v>0</v>
      </c>
      <c r="AR356" s="19"/>
      <c r="AS356"/>
      <c r="AT356" s="67">
        <f t="shared" si="16"/>
        <v>0</v>
      </c>
      <c r="AU356" s="67">
        <f t="shared" si="17"/>
        <v>0</v>
      </c>
      <c r="AV356" s="66"/>
      <c r="AW356" s="12"/>
      <c r="CK356"/>
      <c r="CX356">
        <v>329</v>
      </c>
    </row>
    <row r="357" spans="1:103">
      <c r="A357" s="8">
        <v>330</v>
      </c>
      <c r="B357" s="8" t="s">
        <v>12</v>
      </c>
      <c r="C357" s="8" t="s">
        <v>40</v>
      </c>
      <c r="D357" s="8" t="s">
        <v>40</v>
      </c>
      <c r="E357" s="8" t="s">
        <v>6</v>
      </c>
      <c r="F357" s="8"/>
      <c r="G357" s="8"/>
      <c r="H357" s="8"/>
      <c r="I357" s="124"/>
      <c r="J357" s="95"/>
      <c r="K357" s="95"/>
      <c r="L357" s="95"/>
      <c r="M357" s="95"/>
      <c r="N357" s="95"/>
      <c r="O357" s="95"/>
      <c r="P357" s="125"/>
      <c r="Q357" s="124"/>
      <c r="R357" s="95"/>
      <c r="S357" s="95"/>
      <c r="T357" s="95"/>
      <c r="U357" s="95"/>
      <c r="V357" s="95"/>
      <c r="W357" s="95"/>
      <c r="X357" s="125"/>
      <c r="Y357" s="124"/>
      <c r="Z357" s="95"/>
      <c r="AA357" s="95"/>
      <c r="AB357" s="95"/>
      <c r="AC357" s="95"/>
      <c r="AD357" s="95"/>
      <c r="AE357" s="95"/>
      <c r="AF357" s="125"/>
      <c r="AG357" s="95"/>
      <c r="AH357" s="95"/>
      <c r="AI357" s="95"/>
      <c r="AJ357" s="95"/>
      <c r="AK357" s="95"/>
      <c r="AL357" s="95"/>
      <c r="AM357" s="95"/>
      <c r="AN357" s="125"/>
      <c r="AO357" s="95"/>
      <c r="AP357" s="79"/>
      <c r="AQ357" s="85">
        <f t="shared" si="15"/>
        <v>0</v>
      </c>
      <c r="AR357" s="19"/>
      <c r="AS357"/>
      <c r="AT357" s="67">
        <f t="shared" si="16"/>
        <v>0</v>
      </c>
      <c r="AU357" s="67">
        <f t="shared" si="17"/>
        <v>0</v>
      </c>
      <c r="AV357" s="66"/>
      <c r="AW357" s="12"/>
      <c r="CK357"/>
      <c r="CX357">
        <v>330</v>
      </c>
    </row>
    <row r="358" spans="1:103">
      <c r="A358" s="8">
        <v>331</v>
      </c>
      <c r="B358" s="8" t="s">
        <v>12</v>
      </c>
      <c r="C358" s="8" t="s">
        <v>240</v>
      </c>
      <c r="D358" s="8" t="s">
        <v>42</v>
      </c>
      <c r="E358" s="8" t="s">
        <v>42</v>
      </c>
      <c r="F358" s="8">
        <v>24</v>
      </c>
      <c r="G358" s="8">
        <v>24</v>
      </c>
      <c r="H358" s="8" t="s">
        <v>15</v>
      </c>
      <c r="I358" s="124" t="s">
        <v>15</v>
      </c>
      <c r="J358" s="95" t="s">
        <v>10</v>
      </c>
      <c r="K358" s="95" t="s">
        <v>10</v>
      </c>
      <c r="L358" s="95">
        <v>1</v>
      </c>
      <c r="M358" s="95">
        <v>1</v>
      </c>
      <c r="N358" s="95">
        <v>1</v>
      </c>
      <c r="O358" s="95">
        <v>1</v>
      </c>
      <c r="P358" s="125">
        <v>1</v>
      </c>
      <c r="Q358" s="124">
        <v>1</v>
      </c>
      <c r="R358" s="95">
        <v>1</v>
      </c>
      <c r="S358" s="95">
        <v>1</v>
      </c>
      <c r="T358" s="95" t="s">
        <v>10</v>
      </c>
      <c r="U358" s="95" t="s">
        <v>10</v>
      </c>
      <c r="V358" s="95" t="s">
        <v>10</v>
      </c>
      <c r="W358" s="95" t="s">
        <v>10</v>
      </c>
      <c r="X358" s="125">
        <v>1</v>
      </c>
      <c r="Y358" s="124">
        <v>1</v>
      </c>
      <c r="Z358" s="95">
        <v>1</v>
      </c>
      <c r="AA358" s="95">
        <v>1</v>
      </c>
      <c r="AB358" s="95">
        <v>1</v>
      </c>
      <c r="AC358" s="95">
        <v>1</v>
      </c>
      <c r="AD358" s="95">
        <v>1</v>
      </c>
      <c r="AE358" s="95">
        <v>1</v>
      </c>
      <c r="AF358" s="125">
        <v>1</v>
      </c>
      <c r="AG358" s="95">
        <v>1</v>
      </c>
      <c r="AH358" s="95">
        <v>1</v>
      </c>
      <c r="AI358" s="95">
        <v>1</v>
      </c>
      <c r="AJ358" s="95">
        <v>1</v>
      </c>
      <c r="AK358" s="95">
        <v>1</v>
      </c>
      <c r="AL358" s="95" t="s">
        <v>10</v>
      </c>
      <c r="AM358" s="95">
        <v>1</v>
      </c>
      <c r="AN358" s="125">
        <v>1</v>
      </c>
      <c r="AO358" s="95"/>
      <c r="AP358" s="79">
        <v>24</v>
      </c>
      <c r="AQ358" s="85">
        <f t="shared" si="15"/>
        <v>24</v>
      </c>
      <c r="AR358" s="19" t="s">
        <v>239</v>
      </c>
      <c r="AS358"/>
      <c r="AT358" s="67">
        <f t="shared" si="16"/>
        <v>7</v>
      </c>
      <c r="AU358" s="67">
        <f t="shared" si="17"/>
        <v>0</v>
      </c>
      <c r="AV358" s="66"/>
      <c r="AW358" s="12">
        <v>1</v>
      </c>
      <c r="AX358" s="12">
        <v>1</v>
      </c>
      <c r="AY358" s="12">
        <v>1</v>
      </c>
      <c r="AZ358" s="12">
        <v>1</v>
      </c>
      <c r="BA358" s="12">
        <v>1</v>
      </c>
      <c r="BB358" s="12">
        <v>1</v>
      </c>
      <c r="BE358" s="12">
        <v>1</v>
      </c>
      <c r="BK358" s="12">
        <v>1</v>
      </c>
      <c r="BS358" s="12">
        <v>1</v>
      </c>
      <c r="BY358" s="12">
        <v>1</v>
      </c>
      <c r="CK358"/>
      <c r="CX358">
        <v>331</v>
      </c>
    </row>
    <row r="359" spans="1:103">
      <c r="A359" s="8">
        <v>332</v>
      </c>
      <c r="B359" s="8" t="s">
        <v>13</v>
      </c>
      <c r="C359" s="8" t="s">
        <v>118</v>
      </c>
      <c r="D359" s="8" t="s">
        <v>345</v>
      </c>
      <c r="E359" s="8" t="s">
        <v>15</v>
      </c>
      <c r="F359" s="8"/>
      <c r="G359" s="8"/>
      <c r="H359" s="8"/>
      <c r="I359" s="124"/>
      <c r="J359" s="95"/>
      <c r="K359" s="95"/>
      <c r="L359" s="95"/>
      <c r="M359" s="95"/>
      <c r="N359" s="95"/>
      <c r="O359" s="95"/>
      <c r="P359" s="125"/>
      <c r="Q359" s="124"/>
      <c r="R359" s="95"/>
      <c r="S359" s="95"/>
      <c r="T359" s="95"/>
      <c r="U359" s="95"/>
      <c r="V359" s="95"/>
      <c r="W359" s="95"/>
      <c r="X359" s="125"/>
      <c r="Y359" s="124"/>
      <c r="Z359" s="95"/>
      <c r="AA359" s="95"/>
      <c r="AB359" s="95"/>
      <c r="AC359" s="95"/>
      <c r="AD359" s="95"/>
      <c r="AE359" s="95"/>
      <c r="AF359" s="125"/>
      <c r="AG359" s="95"/>
      <c r="AH359" s="95"/>
      <c r="AI359" s="95"/>
      <c r="AJ359" s="95"/>
      <c r="AK359" s="95"/>
      <c r="AL359" s="95"/>
      <c r="AM359" s="95"/>
      <c r="AN359" s="125"/>
      <c r="AO359" s="95"/>
      <c r="AP359" s="79"/>
      <c r="AQ359" s="85">
        <f t="shared" si="15"/>
        <v>0</v>
      </c>
      <c r="AR359" s="19"/>
      <c r="AS359"/>
      <c r="AT359" s="67">
        <f t="shared" si="16"/>
        <v>0</v>
      </c>
      <c r="AU359" s="67">
        <f t="shared" si="17"/>
        <v>0</v>
      </c>
      <c r="AV359" s="66"/>
      <c r="AW359" s="12"/>
      <c r="CK359"/>
      <c r="CX359">
        <v>332</v>
      </c>
    </row>
    <row r="360" spans="1:103">
      <c r="A360" s="8">
        <v>333</v>
      </c>
      <c r="B360" s="8" t="s">
        <v>12</v>
      </c>
      <c r="C360" s="8" t="s">
        <v>40</v>
      </c>
      <c r="D360" s="8" t="s">
        <v>40</v>
      </c>
      <c r="E360" s="8" t="s">
        <v>6</v>
      </c>
      <c r="F360" s="8"/>
      <c r="G360" s="8"/>
      <c r="H360" s="8"/>
      <c r="I360" s="124"/>
      <c r="J360" s="95"/>
      <c r="K360" s="95"/>
      <c r="L360" s="95"/>
      <c r="M360" s="95"/>
      <c r="N360" s="95"/>
      <c r="O360" s="95"/>
      <c r="P360" s="125"/>
      <c r="Q360" s="124"/>
      <c r="R360" s="95"/>
      <c r="S360" s="95"/>
      <c r="T360" s="95"/>
      <c r="U360" s="95"/>
      <c r="V360" s="95"/>
      <c r="W360" s="95"/>
      <c r="X360" s="125"/>
      <c r="Y360" s="124"/>
      <c r="Z360" s="95"/>
      <c r="AA360" s="95"/>
      <c r="AB360" s="95"/>
      <c r="AC360" s="95"/>
      <c r="AD360" s="95"/>
      <c r="AE360" s="95"/>
      <c r="AF360" s="125"/>
      <c r="AG360" s="95"/>
      <c r="AH360" s="95"/>
      <c r="AI360" s="95"/>
      <c r="AJ360" s="95"/>
      <c r="AK360" s="95"/>
      <c r="AL360" s="95"/>
      <c r="AM360" s="95"/>
      <c r="AN360" s="125"/>
      <c r="AO360" s="95"/>
      <c r="AP360" s="79"/>
      <c r="AQ360" s="85">
        <f t="shared" si="15"/>
        <v>0</v>
      </c>
      <c r="AR360" s="19"/>
      <c r="AS360"/>
      <c r="AT360" s="67">
        <f t="shared" si="16"/>
        <v>0</v>
      </c>
      <c r="AU360" s="67">
        <f t="shared" si="17"/>
        <v>0</v>
      </c>
      <c r="AV360" s="66"/>
      <c r="AW360" s="12"/>
      <c r="BK360" s="12">
        <v>1</v>
      </c>
      <c r="CK360"/>
      <c r="CX360">
        <v>333</v>
      </c>
    </row>
    <row r="361" spans="1:103">
      <c r="A361" s="8">
        <v>334</v>
      </c>
      <c r="B361" s="8" t="s">
        <v>12</v>
      </c>
      <c r="C361" s="8" t="s">
        <v>5</v>
      </c>
      <c r="D361" s="8" t="s">
        <v>42</v>
      </c>
      <c r="E361" s="8" t="s">
        <v>6</v>
      </c>
      <c r="F361" s="8">
        <v>28</v>
      </c>
      <c r="G361" s="8">
        <v>28</v>
      </c>
      <c r="H361" s="8">
        <v>28</v>
      </c>
      <c r="I361" s="124"/>
      <c r="J361" s="95">
        <v>1</v>
      </c>
      <c r="K361" s="95">
        <v>1</v>
      </c>
      <c r="L361" s="95">
        <v>1</v>
      </c>
      <c r="M361" s="95">
        <v>1</v>
      </c>
      <c r="N361" s="95">
        <v>1</v>
      </c>
      <c r="O361" s="95">
        <v>1</v>
      </c>
      <c r="P361" s="125">
        <v>1</v>
      </c>
      <c r="Q361" s="124">
        <v>1</v>
      </c>
      <c r="R361" s="95">
        <v>1</v>
      </c>
      <c r="S361" s="95">
        <v>1</v>
      </c>
      <c r="T361" s="95">
        <v>1</v>
      </c>
      <c r="U361" s="95">
        <v>1</v>
      </c>
      <c r="V361" s="95">
        <v>1</v>
      </c>
      <c r="W361" s="95">
        <v>1</v>
      </c>
      <c r="X361" s="125"/>
      <c r="Y361" s="124"/>
      <c r="Z361" s="95">
        <v>1</v>
      </c>
      <c r="AA361" s="95">
        <v>1</v>
      </c>
      <c r="AB361" s="95">
        <v>1</v>
      </c>
      <c r="AC361" s="95">
        <v>1</v>
      </c>
      <c r="AD361" s="95">
        <v>1</v>
      </c>
      <c r="AE361" s="95">
        <v>1</v>
      </c>
      <c r="AF361" s="125">
        <v>1</v>
      </c>
      <c r="AG361" s="95">
        <v>1</v>
      </c>
      <c r="AH361" s="95">
        <v>1</v>
      </c>
      <c r="AI361" s="95">
        <v>1</v>
      </c>
      <c r="AJ361" s="95">
        <v>1</v>
      </c>
      <c r="AK361" s="95">
        <v>1</v>
      </c>
      <c r="AL361" s="95">
        <v>1</v>
      </c>
      <c r="AM361" s="95">
        <v>1</v>
      </c>
      <c r="AN361" s="125"/>
      <c r="AO361" s="95"/>
      <c r="AP361" s="79">
        <v>28</v>
      </c>
      <c r="AQ361" s="85">
        <f t="shared" si="15"/>
        <v>28</v>
      </c>
      <c r="AR361" s="19"/>
      <c r="AS361">
        <v>1</v>
      </c>
      <c r="AT361" s="67">
        <f t="shared" si="16"/>
        <v>0</v>
      </c>
      <c r="AU361" s="67">
        <f t="shared" si="17"/>
        <v>0</v>
      </c>
      <c r="AV361" s="66"/>
      <c r="AW361" s="12">
        <v>1</v>
      </c>
      <c r="AZ361" s="12">
        <v>1</v>
      </c>
      <c r="BA361" s="12">
        <v>1</v>
      </c>
      <c r="BB361" s="12">
        <v>1</v>
      </c>
      <c r="BO361" s="12">
        <v>1</v>
      </c>
      <c r="BV361" s="12">
        <v>1</v>
      </c>
      <c r="BY361" s="12">
        <v>1</v>
      </c>
      <c r="CK361"/>
      <c r="CX361">
        <v>334</v>
      </c>
    </row>
    <row r="362" spans="1:103">
      <c r="A362" s="8">
        <v>335</v>
      </c>
      <c r="B362" s="8" t="s">
        <v>13</v>
      </c>
      <c r="C362" s="8" t="s">
        <v>74</v>
      </c>
      <c r="D362" s="8" t="s">
        <v>346</v>
      </c>
      <c r="E362" s="8" t="s">
        <v>15</v>
      </c>
      <c r="F362" s="8">
        <v>8</v>
      </c>
      <c r="G362" s="8" t="s">
        <v>15</v>
      </c>
      <c r="H362" s="8">
        <v>20</v>
      </c>
      <c r="I362" s="124"/>
      <c r="J362" s="95"/>
      <c r="K362" s="95"/>
      <c r="L362" s="95"/>
      <c r="M362" s="95"/>
      <c r="N362" s="95"/>
      <c r="O362" s="95"/>
      <c r="P362" s="125"/>
      <c r="Q362" s="124" t="s">
        <v>9</v>
      </c>
      <c r="R362" s="95">
        <v>1</v>
      </c>
      <c r="S362" s="95" t="s">
        <v>9</v>
      </c>
      <c r="T362" s="95">
        <v>1</v>
      </c>
      <c r="U362" s="95">
        <v>1</v>
      </c>
      <c r="V362" s="95" t="s">
        <v>49</v>
      </c>
      <c r="W362" s="95"/>
      <c r="X362" s="125"/>
      <c r="Y362" s="124"/>
      <c r="Z362" s="95"/>
      <c r="AA362" s="95" t="s">
        <v>49</v>
      </c>
      <c r="AB362" s="95">
        <v>1</v>
      </c>
      <c r="AC362" s="95">
        <v>1</v>
      </c>
      <c r="AD362" s="95" t="s">
        <v>9</v>
      </c>
      <c r="AE362" s="95" t="s">
        <v>9</v>
      </c>
      <c r="AF362" s="125" t="s">
        <v>9</v>
      </c>
      <c r="AG362" s="95"/>
      <c r="AH362" s="95">
        <v>1</v>
      </c>
      <c r="AI362" s="95"/>
      <c r="AJ362" s="95">
        <v>1</v>
      </c>
      <c r="AK362" s="95">
        <v>1</v>
      </c>
      <c r="AL362" s="95"/>
      <c r="AM362" s="95"/>
      <c r="AN362" s="125"/>
      <c r="AO362" s="95">
        <v>8</v>
      </c>
      <c r="AP362" s="79"/>
      <c r="AQ362" s="85">
        <f t="shared" si="15"/>
        <v>8</v>
      </c>
      <c r="AR362" s="19"/>
      <c r="AS362"/>
      <c r="AT362" s="67">
        <f t="shared" si="16"/>
        <v>0</v>
      </c>
      <c r="AU362" s="67">
        <f t="shared" si="17"/>
        <v>5</v>
      </c>
      <c r="AV362" s="66"/>
      <c r="AW362" s="12"/>
      <c r="CK362"/>
      <c r="CX362">
        <v>335</v>
      </c>
    </row>
    <row r="363" spans="1:103">
      <c r="A363" s="8">
        <v>336</v>
      </c>
      <c r="B363" s="8" t="s">
        <v>13</v>
      </c>
      <c r="C363" s="8" t="s">
        <v>55</v>
      </c>
      <c r="D363" s="8" t="s">
        <v>346</v>
      </c>
      <c r="E363" s="8" t="s">
        <v>15</v>
      </c>
      <c r="F363" s="8">
        <v>16</v>
      </c>
      <c r="G363" s="8">
        <v>20</v>
      </c>
      <c r="H363" s="8">
        <v>20</v>
      </c>
      <c r="I363" s="124"/>
      <c r="J363" s="95"/>
      <c r="K363" s="95" t="s">
        <v>49</v>
      </c>
      <c r="L363" s="95">
        <v>1</v>
      </c>
      <c r="M363" s="95">
        <v>1</v>
      </c>
      <c r="N363" s="95">
        <v>1</v>
      </c>
      <c r="O363" s="95" t="s">
        <v>9</v>
      </c>
      <c r="P363" s="125" t="s">
        <v>9</v>
      </c>
      <c r="Q363" s="124">
        <v>1</v>
      </c>
      <c r="R363" s="95">
        <v>1</v>
      </c>
      <c r="S363" s="95">
        <v>1</v>
      </c>
      <c r="T363" s="95">
        <v>1</v>
      </c>
      <c r="U363" s="95">
        <v>1</v>
      </c>
      <c r="V363" s="95" t="s">
        <v>49</v>
      </c>
      <c r="W363" s="95"/>
      <c r="X363" s="125"/>
      <c r="Y363" s="124"/>
      <c r="Z363" s="95"/>
      <c r="AA363" s="95" t="s">
        <v>49</v>
      </c>
      <c r="AB363" s="95">
        <v>1</v>
      </c>
      <c r="AC363" s="95" t="s">
        <v>9</v>
      </c>
      <c r="AD363" s="95">
        <v>1</v>
      </c>
      <c r="AE363" s="95">
        <v>1</v>
      </c>
      <c r="AF363" s="125" t="s">
        <v>9</v>
      </c>
      <c r="AG363" s="95">
        <v>1</v>
      </c>
      <c r="AH363" s="95">
        <v>1</v>
      </c>
      <c r="AI363" s="95">
        <v>1</v>
      </c>
      <c r="AJ363" s="95">
        <v>1</v>
      </c>
      <c r="AK363" s="95">
        <v>1</v>
      </c>
      <c r="AL363" s="95" t="s">
        <v>49</v>
      </c>
      <c r="AM363" s="95"/>
      <c r="AN363" s="125"/>
      <c r="AO363" s="95">
        <v>16</v>
      </c>
      <c r="AP363" s="79"/>
      <c r="AQ363" s="85">
        <f t="shared" si="15"/>
        <v>16</v>
      </c>
      <c r="AR363" s="19"/>
      <c r="AS363"/>
      <c r="AT363" s="67">
        <f t="shared" si="16"/>
        <v>0</v>
      </c>
      <c r="AU363" s="67">
        <f t="shared" si="17"/>
        <v>4</v>
      </c>
      <c r="AV363" s="66"/>
      <c r="AW363" s="12"/>
      <c r="CF363" s="12" t="s">
        <v>326</v>
      </c>
      <c r="CK363"/>
      <c r="CX363">
        <v>336</v>
      </c>
    </row>
    <row r="364" spans="1:103">
      <c r="A364" s="8">
        <v>337</v>
      </c>
      <c r="B364" s="8" t="s">
        <v>13</v>
      </c>
      <c r="C364" s="8" t="s">
        <v>241</v>
      </c>
      <c r="D364" s="8" t="s">
        <v>357</v>
      </c>
      <c r="E364" s="8" t="s">
        <v>15</v>
      </c>
      <c r="F364" s="8"/>
      <c r="G364" s="8"/>
      <c r="H364" s="8"/>
      <c r="I364" s="124"/>
      <c r="J364" s="95"/>
      <c r="K364" s="95"/>
      <c r="L364" s="95"/>
      <c r="M364" s="95"/>
      <c r="N364" s="95"/>
      <c r="O364" s="95"/>
      <c r="P364" s="125"/>
      <c r="Q364" s="124"/>
      <c r="R364" s="95"/>
      <c r="S364" s="95"/>
      <c r="T364" s="95"/>
      <c r="U364" s="95"/>
      <c r="V364" s="95"/>
      <c r="W364" s="95"/>
      <c r="X364" s="125"/>
      <c r="Y364" s="124"/>
      <c r="Z364" s="95"/>
      <c r="AA364" s="95"/>
      <c r="AB364" s="95"/>
      <c r="AC364" s="95"/>
      <c r="AD364" s="95"/>
      <c r="AE364" s="95"/>
      <c r="AF364" s="125"/>
      <c r="AG364" s="95"/>
      <c r="AH364" s="95"/>
      <c r="AI364" s="95"/>
      <c r="AJ364" s="95"/>
      <c r="AK364" s="95"/>
      <c r="AL364" s="95"/>
      <c r="AM364" s="95"/>
      <c r="AN364" s="125"/>
      <c r="AO364" s="95"/>
      <c r="AP364" s="79"/>
      <c r="AQ364" s="85">
        <f t="shared" si="15"/>
        <v>0</v>
      </c>
      <c r="AR364" s="19"/>
      <c r="AS364"/>
      <c r="AT364" s="67">
        <f t="shared" si="16"/>
        <v>0</v>
      </c>
      <c r="AU364" s="67">
        <f t="shared" si="17"/>
        <v>0</v>
      </c>
      <c r="AV364" s="66"/>
      <c r="AW364" s="12"/>
      <c r="BN364" s="12">
        <v>1</v>
      </c>
      <c r="BS364" s="12">
        <v>1</v>
      </c>
      <c r="CC364" s="12" t="s">
        <v>326</v>
      </c>
      <c r="CI364" s="12">
        <v>1</v>
      </c>
      <c r="CK364"/>
      <c r="CT364">
        <v>1</v>
      </c>
      <c r="CX364">
        <v>337</v>
      </c>
    </row>
    <row r="365" spans="1:103">
      <c r="A365" s="8">
        <v>338</v>
      </c>
      <c r="B365" s="8" t="s">
        <v>12</v>
      </c>
      <c r="C365" s="8" t="s">
        <v>136</v>
      </c>
      <c r="D365" s="8" t="s">
        <v>12</v>
      </c>
      <c r="E365" s="8" t="s">
        <v>15</v>
      </c>
      <c r="F365" s="8"/>
      <c r="G365" s="8"/>
      <c r="H365" s="8"/>
      <c r="I365" s="124"/>
      <c r="J365" s="95"/>
      <c r="K365" s="95"/>
      <c r="L365" s="95"/>
      <c r="M365" s="95"/>
      <c r="N365" s="95"/>
      <c r="O365" s="95"/>
      <c r="P365" s="125"/>
      <c r="Q365" s="124"/>
      <c r="R365" s="95"/>
      <c r="S365" s="95"/>
      <c r="T365" s="95"/>
      <c r="U365" s="95"/>
      <c r="V365" s="95"/>
      <c r="W365" s="95"/>
      <c r="X365" s="125"/>
      <c r="Y365" s="124"/>
      <c r="Z365" s="95"/>
      <c r="AA365" s="95"/>
      <c r="AB365" s="95"/>
      <c r="AC365" s="95"/>
      <c r="AD365" s="95"/>
      <c r="AE365" s="95"/>
      <c r="AF365" s="125"/>
      <c r="AG365" s="95"/>
      <c r="AH365" s="95"/>
      <c r="AI365" s="95"/>
      <c r="AJ365" s="95"/>
      <c r="AK365" s="95"/>
      <c r="AL365" s="95"/>
      <c r="AM365" s="95"/>
      <c r="AN365" s="125"/>
      <c r="AO365" s="95"/>
      <c r="AP365" s="79"/>
      <c r="AQ365" s="85">
        <f t="shared" si="15"/>
        <v>0</v>
      </c>
      <c r="AR365" s="19"/>
      <c r="AS365"/>
      <c r="AT365" s="67">
        <f t="shared" si="16"/>
        <v>0</v>
      </c>
      <c r="AU365" s="67">
        <f t="shared" si="17"/>
        <v>0</v>
      </c>
      <c r="AV365" s="66"/>
      <c r="AW365" s="12"/>
      <c r="CK365"/>
      <c r="CX365">
        <v>338</v>
      </c>
    </row>
    <row r="366" spans="1:103">
      <c r="A366" s="8">
        <v>339</v>
      </c>
      <c r="B366" s="8" t="s">
        <v>12</v>
      </c>
      <c r="C366" s="8" t="s">
        <v>91</v>
      </c>
      <c r="D366" s="8" t="s">
        <v>366</v>
      </c>
      <c r="E366" s="8" t="s">
        <v>42</v>
      </c>
      <c r="F366" s="8">
        <v>31</v>
      </c>
      <c r="G366" s="8">
        <v>32</v>
      </c>
      <c r="H366" s="8">
        <v>32</v>
      </c>
      <c r="I366" s="124">
        <v>1</v>
      </c>
      <c r="J366" s="95">
        <v>1</v>
      </c>
      <c r="K366" s="95">
        <v>1</v>
      </c>
      <c r="L366" s="95">
        <v>1</v>
      </c>
      <c r="M366" s="95">
        <v>1</v>
      </c>
      <c r="N366" s="95">
        <v>1</v>
      </c>
      <c r="O366" s="95">
        <v>1</v>
      </c>
      <c r="P366" s="125">
        <v>1</v>
      </c>
      <c r="Q366" s="124" t="s">
        <v>9</v>
      </c>
      <c r="R366" s="95">
        <v>1</v>
      </c>
      <c r="S366" s="95">
        <v>1</v>
      </c>
      <c r="T366" s="95">
        <v>1</v>
      </c>
      <c r="U366" s="95">
        <v>1</v>
      </c>
      <c r="V366" s="95">
        <v>1</v>
      </c>
      <c r="W366" s="95">
        <v>1</v>
      </c>
      <c r="X366" s="125">
        <v>1</v>
      </c>
      <c r="Y366" s="124">
        <v>1</v>
      </c>
      <c r="Z366" s="95">
        <v>1</v>
      </c>
      <c r="AA366" s="95">
        <v>1</v>
      </c>
      <c r="AB366" s="95">
        <v>1</v>
      </c>
      <c r="AC366" s="95">
        <v>1</v>
      </c>
      <c r="AD366" s="95">
        <v>1</v>
      </c>
      <c r="AE366" s="95">
        <v>1</v>
      </c>
      <c r="AF366" s="125">
        <v>1</v>
      </c>
      <c r="AG366" s="95">
        <v>1</v>
      </c>
      <c r="AH366" s="95">
        <v>1</v>
      </c>
      <c r="AI366" s="95">
        <v>1</v>
      </c>
      <c r="AJ366" s="95">
        <v>1</v>
      </c>
      <c r="AK366" s="95">
        <v>1</v>
      </c>
      <c r="AL366" s="95">
        <v>1</v>
      </c>
      <c r="AM366" s="95">
        <v>1</v>
      </c>
      <c r="AN366" s="125">
        <v>1</v>
      </c>
      <c r="AO366" s="95"/>
      <c r="AP366" s="79">
        <v>31</v>
      </c>
      <c r="AQ366" s="85">
        <f t="shared" si="15"/>
        <v>31</v>
      </c>
      <c r="AR366" s="19"/>
      <c r="AS366"/>
      <c r="AT366" s="67">
        <f t="shared" si="16"/>
        <v>0</v>
      </c>
      <c r="AU366" s="67">
        <f t="shared" si="17"/>
        <v>1</v>
      </c>
      <c r="AV366" s="66"/>
      <c r="AW366" s="12">
        <v>1</v>
      </c>
      <c r="AX366" s="12">
        <v>1</v>
      </c>
      <c r="AZ366" s="12">
        <v>1</v>
      </c>
      <c r="BA366" s="12">
        <v>1</v>
      </c>
      <c r="BE366" s="12">
        <v>1</v>
      </c>
      <c r="BP366" s="12">
        <v>1</v>
      </c>
      <c r="BV366" s="12">
        <v>1</v>
      </c>
      <c r="BY366" s="12">
        <v>1</v>
      </c>
      <c r="BZ366" s="12">
        <v>1</v>
      </c>
      <c r="CK366"/>
      <c r="CX366">
        <v>339</v>
      </c>
    </row>
    <row r="367" spans="1:103" s="8" customFormat="1">
      <c r="A367" s="8">
        <v>340</v>
      </c>
      <c r="B367" s="8" t="s">
        <v>12</v>
      </c>
      <c r="C367" s="8" t="s">
        <v>44</v>
      </c>
      <c r="D367" s="8" t="s">
        <v>349</v>
      </c>
      <c r="E367" s="8" t="s">
        <v>6</v>
      </c>
      <c r="F367" s="8">
        <v>10</v>
      </c>
      <c r="G367" s="8" t="s">
        <v>15</v>
      </c>
      <c r="H367" s="8" t="s">
        <v>15</v>
      </c>
      <c r="I367" s="124" t="s">
        <v>15</v>
      </c>
      <c r="J367" s="95" t="s">
        <v>10</v>
      </c>
      <c r="K367" s="95" t="s">
        <v>10</v>
      </c>
      <c r="L367" s="95" t="s">
        <v>10</v>
      </c>
      <c r="M367" s="95" t="s">
        <v>9</v>
      </c>
      <c r="N367" s="95" t="s">
        <v>9</v>
      </c>
      <c r="O367" s="95" t="s">
        <v>9</v>
      </c>
      <c r="P367" s="125" t="s">
        <v>9</v>
      </c>
      <c r="Q367" s="124" t="s">
        <v>9</v>
      </c>
      <c r="R367" s="95" t="s">
        <v>9</v>
      </c>
      <c r="S367" s="95">
        <v>1</v>
      </c>
      <c r="T367" s="95">
        <v>1</v>
      </c>
      <c r="U367" s="95" t="s">
        <v>10</v>
      </c>
      <c r="V367" s="95" t="s">
        <v>10</v>
      </c>
      <c r="W367" s="95" t="s">
        <v>10</v>
      </c>
      <c r="X367" s="125" t="s">
        <v>15</v>
      </c>
      <c r="Y367" s="124" t="s">
        <v>15</v>
      </c>
      <c r="Z367" s="95" t="s">
        <v>10</v>
      </c>
      <c r="AA367" s="95" t="s">
        <v>10</v>
      </c>
      <c r="AB367" s="95" t="s">
        <v>10</v>
      </c>
      <c r="AC367" s="95">
        <v>1</v>
      </c>
      <c r="AD367" s="95">
        <v>1</v>
      </c>
      <c r="AE367" s="95">
        <v>1</v>
      </c>
      <c r="AF367" s="125">
        <v>1</v>
      </c>
      <c r="AG367" s="95">
        <v>1</v>
      </c>
      <c r="AH367" s="95">
        <v>1</v>
      </c>
      <c r="AI367" s="95">
        <v>1</v>
      </c>
      <c r="AJ367" s="95">
        <v>1</v>
      </c>
      <c r="AK367" s="95" t="s">
        <v>10</v>
      </c>
      <c r="AL367" s="95" t="s">
        <v>10</v>
      </c>
      <c r="AM367" s="95" t="s">
        <v>10</v>
      </c>
      <c r="AN367" s="125" t="s">
        <v>15</v>
      </c>
      <c r="AO367" s="95"/>
      <c r="AP367" s="79">
        <v>10</v>
      </c>
      <c r="AQ367" s="85">
        <f t="shared" si="15"/>
        <v>10</v>
      </c>
      <c r="AR367" s="102"/>
      <c r="AT367" s="67">
        <f t="shared" si="16"/>
        <v>12</v>
      </c>
      <c r="AU367" s="67">
        <f t="shared" si="17"/>
        <v>6</v>
      </c>
      <c r="AW367" s="75">
        <v>1</v>
      </c>
      <c r="AX367" s="75">
        <v>1</v>
      </c>
      <c r="AY367" s="75">
        <v>1</v>
      </c>
      <c r="AZ367" s="75"/>
      <c r="BA367" s="75">
        <v>1</v>
      </c>
      <c r="BB367" s="75">
        <v>1</v>
      </c>
      <c r="BC367" s="75"/>
      <c r="BD367" s="75">
        <v>1</v>
      </c>
      <c r="BE367" s="75"/>
      <c r="BF367" s="75"/>
      <c r="BG367" s="75"/>
      <c r="BH367" s="75"/>
      <c r="BI367" s="75"/>
      <c r="BJ367" s="75"/>
      <c r="BK367" s="75">
        <v>1</v>
      </c>
      <c r="BL367" s="75"/>
      <c r="BM367" s="75"/>
      <c r="BN367" s="75"/>
      <c r="BO367" s="75"/>
      <c r="BP367" s="75">
        <v>3</v>
      </c>
      <c r="BQ367" s="75"/>
      <c r="BR367" s="75"/>
      <c r="BS367" s="75">
        <v>1</v>
      </c>
      <c r="BT367" s="75"/>
      <c r="BU367" s="75"/>
      <c r="BV367" s="75">
        <v>1</v>
      </c>
      <c r="BW367" s="75">
        <v>1</v>
      </c>
      <c r="BX367" s="75">
        <v>1</v>
      </c>
      <c r="BY367" s="75">
        <v>1</v>
      </c>
      <c r="BZ367" s="75"/>
      <c r="CA367" s="75"/>
      <c r="CB367" s="75"/>
      <c r="CC367" s="75" t="s">
        <v>326</v>
      </c>
      <c r="CD367" s="75"/>
      <c r="CE367" s="75"/>
      <c r="CF367" s="75"/>
      <c r="CG367" s="75"/>
      <c r="CH367" s="75"/>
      <c r="CI367" s="75"/>
      <c r="CJ367" s="75"/>
      <c r="CT367" s="8">
        <v>1</v>
      </c>
      <c r="CX367" s="8">
        <v>340</v>
      </c>
      <c r="CY367" s="8" t="s">
        <v>225</v>
      </c>
    </row>
    <row r="368" spans="1:103">
      <c r="A368" s="8">
        <v>342</v>
      </c>
      <c r="B368" s="8" t="s">
        <v>12</v>
      </c>
      <c r="C368" s="8" t="s">
        <v>40</v>
      </c>
      <c r="D368" s="8" t="s">
        <v>40</v>
      </c>
      <c r="E368" s="8" t="s">
        <v>6</v>
      </c>
      <c r="F368" s="8"/>
      <c r="G368" s="8"/>
      <c r="H368" s="8"/>
      <c r="I368" s="124"/>
      <c r="J368" s="95"/>
      <c r="K368" s="95"/>
      <c r="L368" s="95"/>
      <c r="M368" s="95"/>
      <c r="N368" s="95"/>
      <c r="O368" s="95"/>
      <c r="P368" s="125"/>
      <c r="Q368" s="124"/>
      <c r="R368" s="95"/>
      <c r="S368" s="95"/>
      <c r="T368" s="95"/>
      <c r="U368" s="95"/>
      <c r="V368" s="95"/>
      <c r="W368" s="95"/>
      <c r="X368" s="125"/>
      <c r="Y368" s="124"/>
      <c r="Z368" s="95"/>
      <c r="AA368" s="95"/>
      <c r="AB368" s="95"/>
      <c r="AC368" s="95"/>
      <c r="AD368" s="95"/>
      <c r="AE368" s="95"/>
      <c r="AF368" s="125"/>
      <c r="AG368" s="95"/>
      <c r="AH368" s="95"/>
      <c r="AI368" s="95"/>
      <c r="AJ368" s="95"/>
      <c r="AK368" s="95"/>
      <c r="AL368" s="95"/>
      <c r="AM368" s="95"/>
      <c r="AN368" s="125"/>
      <c r="AO368" s="95"/>
      <c r="AP368" s="79"/>
      <c r="AQ368" s="85">
        <f t="shared" si="15"/>
        <v>0</v>
      </c>
      <c r="AR368" s="19"/>
      <c r="AS368"/>
      <c r="AT368" s="67">
        <f t="shared" si="16"/>
        <v>0</v>
      </c>
      <c r="AU368" s="67">
        <f t="shared" si="17"/>
        <v>0</v>
      </c>
      <c r="AV368" s="66"/>
      <c r="AW368" s="12"/>
      <c r="BK368" s="12" t="s">
        <v>326</v>
      </c>
      <c r="CK368"/>
      <c r="CX368">
        <v>342</v>
      </c>
    </row>
    <row r="369" spans="1:102">
      <c r="A369" s="8">
        <v>343</v>
      </c>
      <c r="B369" s="8" t="s">
        <v>12</v>
      </c>
      <c r="C369" s="8" t="s">
        <v>216</v>
      </c>
      <c r="D369" s="8" t="s">
        <v>42</v>
      </c>
      <c r="E369" s="8" t="s">
        <v>6</v>
      </c>
      <c r="F369" s="8">
        <v>31</v>
      </c>
      <c r="G369" s="8">
        <v>31</v>
      </c>
      <c r="H369" s="8">
        <v>31</v>
      </c>
      <c r="I369" s="124">
        <v>1</v>
      </c>
      <c r="J369" s="95">
        <v>1</v>
      </c>
      <c r="K369" s="95">
        <v>1</v>
      </c>
      <c r="L369" s="95">
        <v>1</v>
      </c>
      <c r="M369" s="95">
        <v>1</v>
      </c>
      <c r="N369" s="95">
        <v>1</v>
      </c>
      <c r="O369" s="95">
        <v>1</v>
      </c>
      <c r="P369" s="125">
        <v>1</v>
      </c>
      <c r="Q369" s="124">
        <v>1</v>
      </c>
      <c r="R369" s="95">
        <v>1</v>
      </c>
      <c r="S369" s="95">
        <v>1</v>
      </c>
      <c r="T369" s="95">
        <v>1</v>
      </c>
      <c r="U369" s="95">
        <v>1</v>
      </c>
      <c r="V369" s="95">
        <v>1</v>
      </c>
      <c r="W369" s="95">
        <v>1</v>
      </c>
      <c r="X369" s="125">
        <v>1</v>
      </c>
      <c r="Y369" s="124"/>
      <c r="Z369" s="95">
        <v>1</v>
      </c>
      <c r="AA369" s="95">
        <v>1</v>
      </c>
      <c r="AB369" s="95">
        <v>1</v>
      </c>
      <c r="AC369" s="95">
        <v>1</v>
      </c>
      <c r="AD369" s="95">
        <v>1</v>
      </c>
      <c r="AE369" s="95">
        <v>1</v>
      </c>
      <c r="AF369" s="125">
        <v>1</v>
      </c>
      <c r="AG369" s="95">
        <v>1</v>
      </c>
      <c r="AH369" s="95">
        <v>1</v>
      </c>
      <c r="AI369" s="95">
        <v>1</v>
      </c>
      <c r="AJ369" s="95">
        <v>1</v>
      </c>
      <c r="AK369" s="95">
        <v>1</v>
      </c>
      <c r="AL369" s="95">
        <v>1</v>
      </c>
      <c r="AM369" s="95">
        <v>1</v>
      </c>
      <c r="AN369" s="125">
        <v>1</v>
      </c>
      <c r="AO369" s="95"/>
      <c r="AP369" s="79">
        <v>31</v>
      </c>
      <c r="AQ369" s="85">
        <f t="shared" si="15"/>
        <v>31</v>
      </c>
      <c r="AR369" s="19" t="s">
        <v>242</v>
      </c>
      <c r="AS369">
        <v>1</v>
      </c>
      <c r="AT369" s="67">
        <f t="shared" si="16"/>
        <v>0</v>
      </c>
      <c r="AU369" s="67">
        <f t="shared" si="17"/>
        <v>0</v>
      </c>
      <c r="AV369" s="66"/>
      <c r="AW369" s="12"/>
      <c r="AX369" s="12">
        <v>1</v>
      </c>
      <c r="AZ369" s="12">
        <v>1</v>
      </c>
      <c r="BA369" s="12">
        <v>1</v>
      </c>
      <c r="BB369" s="12">
        <v>1</v>
      </c>
      <c r="BL369" s="12">
        <v>1</v>
      </c>
      <c r="BQ369" s="12">
        <v>1</v>
      </c>
      <c r="BV369" s="12">
        <v>1</v>
      </c>
      <c r="BY369" s="12">
        <v>1</v>
      </c>
      <c r="BZ369" s="12">
        <v>1</v>
      </c>
      <c r="CK369"/>
      <c r="CX369">
        <v>343</v>
      </c>
    </row>
    <row r="370" spans="1:102">
      <c r="A370" s="8">
        <v>344</v>
      </c>
      <c r="B370" s="8" t="s">
        <v>13</v>
      </c>
      <c r="C370" s="8" t="s">
        <v>63</v>
      </c>
      <c r="D370" s="8" t="s">
        <v>346</v>
      </c>
      <c r="E370" s="8" t="s">
        <v>15</v>
      </c>
      <c r="F370" s="8">
        <v>15</v>
      </c>
      <c r="G370" s="8">
        <v>16</v>
      </c>
      <c r="H370" s="8">
        <v>16</v>
      </c>
      <c r="I370" s="124"/>
      <c r="J370" s="95"/>
      <c r="K370" s="95" t="s">
        <v>49</v>
      </c>
      <c r="L370" s="95" t="s">
        <v>49</v>
      </c>
      <c r="M370" s="95">
        <v>1</v>
      </c>
      <c r="N370" s="95">
        <v>1</v>
      </c>
      <c r="O370" s="95">
        <v>1</v>
      </c>
      <c r="P370" s="125">
        <v>1</v>
      </c>
      <c r="Q370" s="124">
        <v>1</v>
      </c>
      <c r="R370" s="95">
        <v>1</v>
      </c>
      <c r="S370" s="95">
        <v>1</v>
      </c>
      <c r="T370" s="95">
        <v>1</v>
      </c>
      <c r="U370" s="95" t="s">
        <v>49</v>
      </c>
      <c r="V370" s="95" t="s">
        <v>49</v>
      </c>
      <c r="W370" s="95"/>
      <c r="X370" s="125"/>
      <c r="Y370" s="124"/>
      <c r="Z370" s="95"/>
      <c r="AA370" s="95" t="s">
        <v>49</v>
      </c>
      <c r="AB370" s="95" t="s">
        <v>49</v>
      </c>
      <c r="AC370" s="95">
        <v>1</v>
      </c>
      <c r="AD370" s="95">
        <v>1</v>
      </c>
      <c r="AE370" s="95">
        <v>1</v>
      </c>
      <c r="AF370" s="125">
        <v>1</v>
      </c>
      <c r="AG370" s="95">
        <v>1</v>
      </c>
      <c r="AH370" s="95" t="s">
        <v>9</v>
      </c>
      <c r="AI370" s="95">
        <v>1</v>
      </c>
      <c r="AJ370" s="95">
        <v>1</v>
      </c>
      <c r="AK370" s="95" t="s">
        <v>49</v>
      </c>
      <c r="AL370" s="95" t="s">
        <v>49</v>
      </c>
      <c r="AM370" s="95"/>
      <c r="AN370" s="125"/>
      <c r="AO370" s="95">
        <v>15</v>
      </c>
      <c r="AP370" s="79"/>
      <c r="AQ370" s="85">
        <f t="shared" si="15"/>
        <v>15</v>
      </c>
      <c r="AR370" s="19"/>
      <c r="AS370"/>
      <c r="AT370" s="67">
        <f t="shared" si="16"/>
        <v>0</v>
      </c>
      <c r="AU370" s="67">
        <f t="shared" si="17"/>
        <v>1</v>
      </c>
      <c r="AV370" s="66"/>
      <c r="AW370" s="12"/>
      <c r="CK370"/>
      <c r="CX370">
        <v>344</v>
      </c>
    </row>
    <row r="371" spans="1:102">
      <c r="A371" s="8">
        <v>345</v>
      </c>
      <c r="B371" s="8" t="s">
        <v>13</v>
      </c>
      <c r="C371" s="8" t="s">
        <v>59</v>
      </c>
      <c r="D371" s="8" t="s">
        <v>346</v>
      </c>
      <c r="E371" s="8" t="s">
        <v>15</v>
      </c>
      <c r="F371" s="8">
        <v>16</v>
      </c>
      <c r="G371" s="8">
        <v>20</v>
      </c>
      <c r="H371" s="8">
        <v>20</v>
      </c>
      <c r="I371" s="124"/>
      <c r="J371" s="95" t="s">
        <v>49</v>
      </c>
      <c r="K371" s="95" t="s">
        <v>49</v>
      </c>
      <c r="L371" s="95">
        <v>1</v>
      </c>
      <c r="M371" s="95">
        <v>1</v>
      </c>
      <c r="N371" s="95">
        <v>1</v>
      </c>
      <c r="O371" s="95">
        <v>1</v>
      </c>
      <c r="P371" s="125">
        <v>1</v>
      </c>
      <c r="Q371" s="124">
        <v>1</v>
      </c>
      <c r="R371" s="95">
        <v>1</v>
      </c>
      <c r="S371" s="95">
        <v>1</v>
      </c>
      <c r="T371" s="95">
        <v>1</v>
      </c>
      <c r="U371" s="95">
        <v>1</v>
      </c>
      <c r="V371" s="95" t="s">
        <v>49</v>
      </c>
      <c r="W371" s="95" t="s">
        <v>49</v>
      </c>
      <c r="X371" s="125"/>
      <c r="Y371" s="124"/>
      <c r="Z371" s="95" t="s">
        <v>49</v>
      </c>
      <c r="AA371" s="95" t="s">
        <v>49</v>
      </c>
      <c r="AB371" s="95">
        <v>1</v>
      </c>
      <c r="AC371" s="95">
        <v>1</v>
      </c>
      <c r="AD371" s="95">
        <v>1</v>
      </c>
      <c r="AE371" s="95" t="s">
        <v>9</v>
      </c>
      <c r="AF371" s="125" t="s">
        <v>9</v>
      </c>
      <c r="AG371" s="95" t="s">
        <v>9</v>
      </c>
      <c r="AH371" s="95" t="s">
        <v>9</v>
      </c>
      <c r="AI371" s="95">
        <v>1</v>
      </c>
      <c r="AJ371" s="95">
        <v>1</v>
      </c>
      <c r="AK371" s="95">
        <v>1</v>
      </c>
      <c r="AL371" s="95" t="s">
        <v>49</v>
      </c>
      <c r="AM371" s="95" t="s">
        <v>49</v>
      </c>
      <c r="AN371" s="125"/>
      <c r="AO371" s="95">
        <v>16</v>
      </c>
      <c r="AP371" s="79"/>
      <c r="AQ371" s="85">
        <f t="shared" si="15"/>
        <v>16</v>
      </c>
      <c r="AR371" s="19"/>
      <c r="AS371"/>
      <c r="AT371" s="67">
        <f t="shared" si="16"/>
        <v>0</v>
      </c>
      <c r="AU371" s="67">
        <f t="shared" si="17"/>
        <v>4</v>
      </c>
      <c r="AV371" s="66"/>
      <c r="AW371" s="12"/>
      <c r="BA371" s="12">
        <v>1</v>
      </c>
      <c r="BB371" s="12">
        <v>1</v>
      </c>
      <c r="BC371" s="12">
        <v>1</v>
      </c>
      <c r="CK371"/>
      <c r="CX371">
        <v>345</v>
      </c>
    </row>
    <row r="372" spans="1:102">
      <c r="A372" s="8">
        <v>346</v>
      </c>
      <c r="B372" s="8" t="s">
        <v>12</v>
      </c>
      <c r="C372" s="8" t="s">
        <v>5</v>
      </c>
      <c r="D372" s="8" t="s">
        <v>42</v>
      </c>
      <c r="E372" s="8" t="s">
        <v>6</v>
      </c>
      <c r="F372" s="8">
        <v>30</v>
      </c>
      <c r="G372" s="8">
        <v>30</v>
      </c>
      <c r="H372" s="8">
        <v>31</v>
      </c>
      <c r="I372" s="124">
        <v>1</v>
      </c>
      <c r="J372" s="95">
        <v>1</v>
      </c>
      <c r="K372" s="95">
        <v>1</v>
      </c>
      <c r="L372" s="95">
        <v>1</v>
      </c>
      <c r="M372" s="95">
        <v>1</v>
      </c>
      <c r="N372" s="95">
        <v>1</v>
      </c>
      <c r="O372" s="95">
        <v>1</v>
      </c>
      <c r="P372" s="125">
        <v>1</v>
      </c>
      <c r="Q372" s="124">
        <v>1</v>
      </c>
      <c r="R372" s="95">
        <v>1</v>
      </c>
      <c r="S372" s="95">
        <v>1</v>
      </c>
      <c r="T372" s="95">
        <v>1</v>
      </c>
      <c r="U372" s="95">
        <v>1</v>
      </c>
      <c r="V372" s="95">
        <v>1</v>
      </c>
      <c r="W372" s="95">
        <v>1</v>
      </c>
      <c r="X372" s="125">
        <v>1</v>
      </c>
      <c r="Y372" s="124">
        <v>1</v>
      </c>
      <c r="Z372" s="95">
        <v>1</v>
      </c>
      <c r="AA372" s="95">
        <v>1</v>
      </c>
      <c r="AB372" s="95" t="s">
        <v>10</v>
      </c>
      <c r="AC372" s="95">
        <v>1</v>
      </c>
      <c r="AD372" s="95">
        <v>1</v>
      </c>
      <c r="AE372" s="95">
        <v>1</v>
      </c>
      <c r="AF372" s="125">
        <v>1</v>
      </c>
      <c r="AG372" s="95">
        <v>1</v>
      </c>
      <c r="AH372" s="95">
        <v>1</v>
      </c>
      <c r="AI372" s="95">
        <v>1</v>
      </c>
      <c r="AJ372" s="95">
        <v>1</v>
      </c>
      <c r="AK372" s="95">
        <v>1</v>
      </c>
      <c r="AL372" s="95">
        <v>1</v>
      </c>
      <c r="AM372" s="95">
        <v>1</v>
      </c>
      <c r="AN372" s="125"/>
      <c r="AO372" s="95"/>
      <c r="AP372" s="79">
        <v>30</v>
      </c>
      <c r="AQ372" s="85">
        <f t="shared" si="15"/>
        <v>30</v>
      </c>
      <c r="AR372" s="19"/>
      <c r="AS372"/>
      <c r="AT372" s="67">
        <f t="shared" si="16"/>
        <v>1</v>
      </c>
      <c r="AU372" s="67">
        <f t="shared" si="17"/>
        <v>0</v>
      </c>
      <c r="AV372" s="66"/>
      <c r="AW372" s="12"/>
      <c r="AX372" s="12">
        <v>1</v>
      </c>
      <c r="AY372" s="12">
        <v>1</v>
      </c>
      <c r="AZ372" s="12">
        <v>1</v>
      </c>
      <c r="BA372" s="12">
        <v>1</v>
      </c>
      <c r="BB372" s="12">
        <v>1</v>
      </c>
      <c r="BY372" s="12">
        <v>1</v>
      </c>
      <c r="CK372"/>
      <c r="CU372">
        <v>1</v>
      </c>
      <c r="CX372">
        <v>346</v>
      </c>
    </row>
    <row r="373" spans="1:102">
      <c r="A373" s="8">
        <v>347</v>
      </c>
      <c r="B373" s="8" t="s">
        <v>13</v>
      </c>
      <c r="C373" s="8" t="s">
        <v>141</v>
      </c>
      <c r="D373" s="8" t="s">
        <v>346</v>
      </c>
      <c r="E373" s="8" t="s">
        <v>15</v>
      </c>
      <c r="F373" s="8">
        <v>11</v>
      </c>
      <c r="G373" s="8">
        <v>16</v>
      </c>
      <c r="H373" s="8">
        <v>16</v>
      </c>
      <c r="I373" s="124"/>
      <c r="J373" s="95"/>
      <c r="K373" s="95" t="s">
        <v>49</v>
      </c>
      <c r="L373" s="95" t="s">
        <v>49</v>
      </c>
      <c r="M373" s="95">
        <v>1</v>
      </c>
      <c r="N373" s="95" t="s">
        <v>9</v>
      </c>
      <c r="O373" s="95">
        <v>1</v>
      </c>
      <c r="P373" s="125" t="s">
        <v>9</v>
      </c>
      <c r="Q373" s="124" t="s">
        <v>9</v>
      </c>
      <c r="R373" s="95">
        <v>1</v>
      </c>
      <c r="S373" s="95" t="s">
        <v>9</v>
      </c>
      <c r="T373" s="95">
        <v>1</v>
      </c>
      <c r="U373" s="95" t="s">
        <v>49</v>
      </c>
      <c r="V373" s="95" t="s">
        <v>49</v>
      </c>
      <c r="W373" s="95"/>
      <c r="X373" s="125"/>
      <c r="Y373" s="124"/>
      <c r="Z373" s="95"/>
      <c r="AA373" s="95" t="s">
        <v>49</v>
      </c>
      <c r="AB373" s="95" t="s">
        <v>49</v>
      </c>
      <c r="AC373" s="95">
        <v>1</v>
      </c>
      <c r="AD373" s="95">
        <v>1</v>
      </c>
      <c r="AE373" s="95">
        <v>1</v>
      </c>
      <c r="AF373" s="125">
        <v>1</v>
      </c>
      <c r="AG373" s="95">
        <v>1</v>
      </c>
      <c r="AH373" s="95" t="s">
        <v>9</v>
      </c>
      <c r="AI373" s="95">
        <v>1</v>
      </c>
      <c r="AJ373" s="95">
        <v>1</v>
      </c>
      <c r="AK373" s="95" t="s">
        <v>49</v>
      </c>
      <c r="AL373" s="95" t="s">
        <v>49</v>
      </c>
      <c r="AM373" s="95"/>
      <c r="AN373" s="125"/>
      <c r="AO373" s="95">
        <v>11</v>
      </c>
      <c r="AP373" s="79"/>
      <c r="AQ373" s="85">
        <f t="shared" si="15"/>
        <v>11</v>
      </c>
      <c r="AR373" s="19"/>
      <c r="AS373"/>
      <c r="AT373" s="67">
        <f t="shared" si="16"/>
        <v>0</v>
      </c>
      <c r="AU373" s="67">
        <f t="shared" si="17"/>
        <v>5</v>
      </c>
      <c r="AV373" s="66"/>
      <c r="AW373" s="12"/>
      <c r="BA373" s="12">
        <v>1</v>
      </c>
      <c r="BC373" s="12">
        <v>1</v>
      </c>
      <c r="CK373"/>
      <c r="CX373">
        <v>347</v>
      </c>
    </row>
    <row r="374" spans="1:102">
      <c r="A374" s="8">
        <v>348</v>
      </c>
      <c r="B374" s="8" t="s">
        <v>12</v>
      </c>
      <c r="C374" s="8" t="s">
        <v>106</v>
      </c>
      <c r="D374" s="8" t="s">
        <v>349</v>
      </c>
      <c r="E374" s="8" t="s">
        <v>6</v>
      </c>
      <c r="F374" s="8">
        <v>10</v>
      </c>
      <c r="G374" s="8" t="s">
        <v>15</v>
      </c>
      <c r="H374" s="8" t="s">
        <v>15</v>
      </c>
      <c r="I374" s="124" t="s">
        <v>15</v>
      </c>
      <c r="J374" s="95" t="s">
        <v>10</v>
      </c>
      <c r="K374" s="95" t="s">
        <v>10</v>
      </c>
      <c r="L374" s="95" t="s">
        <v>10</v>
      </c>
      <c r="M374" s="95" t="s">
        <v>10</v>
      </c>
      <c r="N374" s="95" t="s">
        <v>10</v>
      </c>
      <c r="O374" s="95" t="s">
        <v>9</v>
      </c>
      <c r="P374" s="125">
        <v>1</v>
      </c>
      <c r="Q374" s="124" t="s">
        <v>9</v>
      </c>
      <c r="R374" s="95">
        <v>1</v>
      </c>
      <c r="S374" s="95">
        <v>1</v>
      </c>
      <c r="T374" s="95" t="s">
        <v>10</v>
      </c>
      <c r="U374" s="95">
        <v>1</v>
      </c>
      <c r="V374" s="95">
        <v>1</v>
      </c>
      <c r="W374" s="95"/>
      <c r="X374" s="125" t="s">
        <v>15</v>
      </c>
      <c r="Y374" s="124" t="s">
        <v>15</v>
      </c>
      <c r="Z374" s="95" t="s">
        <v>10</v>
      </c>
      <c r="AA374" s="95" t="s">
        <v>10</v>
      </c>
      <c r="AB374" s="95" t="s">
        <v>10</v>
      </c>
      <c r="AC374" s="95">
        <v>1</v>
      </c>
      <c r="AD374" s="95">
        <v>1</v>
      </c>
      <c r="AE374" s="95">
        <v>1</v>
      </c>
      <c r="AF374" s="125" t="s">
        <v>10</v>
      </c>
      <c r="AG374" s="95" t="s">
        <v>10</v>
      </c>
      <c r="AH374" s="95" t="s">
        <v>9</v>
      </c>
      <c r="AI374" s="95">
        <v>1</v>
      </c>
      <c r="AJ374" s="95">
        <v>1</v>
      </c>
      <c r="AK374" s="95" t="s">
        <v>10</v>
      </c>
      <c r="AL374" s="95" t="s">
        <v>10</v>
      </c>
      <c r="AM374" s="95" t="s">
        <v>10</v>
      </c>
      <c r="AN374" s="125" t="s">
        <v>15</v>
      </c>
      <c r="AO374" s="95"/>
      <c r="AP374" s="79">
        <v>10</v>
      </c>
      <c r="AQ374" s="85">
        <f t="shared" si="15"/>
        <v>10</v>
      </c>
      <c r="AR374" s="19"/>
      <c r="AS374"/>
      <c r="AT374" s="67">
        <f t="shared" si="16"/>
        <v>14</v>
      </c>
      <c r="AU374" s="67">
        <f t="shared" si="17"/>
        <v>3</v>
      </c>
      <c r="AV374" s="66"/>
      <c r="AW374" s="12">
        <v>1</v>
      </c>
      <c r="AX374" s="12">
        <v>1</v>
      </c>
      <c r="AY374" s="12">
        <v>1</v>
      </c>
      <c r="BA374" s="12">
        <v>1</v>
      </c>
      <c r="BB374" s="12">
        <v>1</v>
      </c>
      <c r="BD374" s="12">
        <v>1</v>
      </c>
      <c r="BK374" s="12">
        <v>1</v>
      </c>
      <c r="BW374" s="12">
        <v>1</v>
      </c>
      <c r="BY374" s="12">
        <v>1</v>
      </c>
      <c r="CK374"/>
      <c r="CX374">
        <v>348</v>
      </c>
    </row>
    <row r="375" spans="1:102">
      <c r="A375" s="8">
        <v>349</v>
      </c>
      <c r="B375" s="8" t="s">
        <v>13</v>
      </c>
      <c r="C375" s="8" t="s">
        <v>103</v>
      </c>
      <c r="D375" s="8" t="s">
        <v>357</v>
      </c>
      <c r="E375" s="8" t="s">
        <v>15</v>
      </c>
      <c r="F375" s="8">
        <v>28</v>
      </c>
      <c r="G375" s="8">
        <v>28</v>
      </c>
      <c r="H375" s="8">
        <v>28</v>
      </c>
      <c r="I375" s="124" t="s">
        <v>49</v>
      </c>
      <c r="J375" s="95">
        <v>1</v>
      </c>
      <c r="K375" s="95">
        <v>1</v>
      </c>
      <c r="L375" s="95">
        <v>1</v>
      </c>
      <c r="M375" s="95">
        <v>1</v>
      </c>
      <c r="N375" s="95">
        <v>1</v>
      </c>
      <c r="O375" s="95">
        <v>1</v>
      </c>
      <c r="P375" s="125">
        <v>1</v>
      </c>
      <c r="Q375" s="124">
        <v>1</v>
      </c>
      <c r="R375" s="95">
        <v>1</v>
      </c>
      <c r="S375" s="95" t="s">
        <v>373</v>
      </c>
      <c r="T375" s="95">
        <v>1</v>
      </c>
      <c r="U375" s="95">
        <v>1</v>
      </c>
      <c r="V375" s="95">
        <v>1</v>
      </c>
      <c r="W375" s="95">
        <v>1</v>
      </c>
      <c r="X375" s="125" t="s">
        <v>49</v>
      </c>
      <c r="Y375" s="124" t="s">
        <v>49</v>
      </c>
      <c r="Z375" s="95">
        <v>1</v>
      </c>
      <c r="AA375" s="95">
        <v>1</v>
      </c>
      <c r="AB375" s="95">
        <v>1</v>
      </c>
      <c r="AC375" s="95">
        <v>1</v>
      </c>
      <c r="AD375" s="95">
        <v>1</v>
      </c>
      <c r="AE375" s="95">
        <v>1</v>
      </c>
      <c r="AF375" s="125">
        <v>1</v>
      </c>
      <c r="AG375" s="95">
        <v>1</v>
      </c>
      <c r="AH375" s="95">
        <v>1</v>
      </c>
      <c r="AI375" s="95">
        <v>1</v>
      </c>
      <c r="AJ375" s="95">
        <v>1</v>
      </c>
      <c r="AK375" s="95">
        <v>1</v>
      </c>
      <c r="AL375" s="95">
        <v>1</v>
      </c>
      <c r="AM375" s="95">
        <v>1</v>
      </c>
      <c r="AN375" s="125" t="s">
        <v>49</v>
      </c>
      <c r="AO375" s="95">
        <v>1</v>
      </c>
      <c r="AP375" s="79">
        <v>27</v>
      </c>
      <c r="AQ375" s="85">
        <f>SUM(COUNTIF(I375:AN375,"1")+COUNTIF(I375:AN375,"*1*"))</f>
        <v>28</v>
      </c>
      <c r="AR375" s="19" t="s">
        <v>244</v>
      </c>
      <c r="AS375" s="62">
        <v>1</v>
      </c>
      <c r="AT375" s="67">
        <f t="shared" si="16"/>
        <v>0</v>
      </c>
      <c r="AU375" s="67">
        <f t="shared" si="17"/>
        <v>0</v>
      </c>
      <c r="AV375" s="64"/>
      <c r="AW375" s="12"/>
      <c r="AZ375" s="12">
        <v>1</v>
      </c>
      <c r="BA375" s="12">
        <v>1</v>
      </c>
      <c r="CK375"/>
      <c r="CX375">
        <v>349</v>
      </c>
    </row>
    <row r="376" spans="1:102">
      <c r="A376" s="8">
        <v>350</v>
      </c>
      <c r="B376" s="8" t="s">
        <v>13</v>
      </c>
      <c r="C376" s="8" t="s">
        <v>80</v>
      </c>
      <c r="D376" s="8" t="s">
        <v>346</v>
      </c>
      <c r="E376" s="8" t="s">
        <v>15</v>
      </c>
      <c r="F376" s="8">
        <v>17</v>
      </c>
      <c r="G376" s="8">
        <v>20</v>
      </c>
      <c r="H376" s="8">
        <v>20</v>
      </c>
      <c r="I376" s="124"/>
      <c r="J376" s="95" t="s">
        <v>49</v>
      </c>
      <c r="K376" s="95" t="s">
        <v>49</v>
      </c>
      <c r="L376" s="95">
        <v>1</v>
      </c>
      <c r="M376" s="95">
        <v>1</v>
      </c>
      <c r="N376" s="95">
        <v>1</v>
      </c>
      <c r="O376" s="95" t="s">
        <v>9</v>
      </c>
      <c r="P376" s="125" t="s">
        <v>9</v>
      </c>
      <c r="Q376" s="124">
        <v>1</v>
      </c>
      <c r="R376" s="95" t="s">
        <v>9</v>
      </c>
      <c r="S376" s="95">
        <v>1</v>
      </c>
      <c r="T376" s="95">
        <v>1</v>
      </c>
      <c r="U376" s="95">
        <v>1</v>
      </c>
      <c r="V376" s="95" t="s">
        <v>49</v>
      </c>
      <c r="W376" s="95" t="s">
        <v>49</v>
      </c>
      <c r="X376" s="125"/>
      <c r="Y376" s="124"/>
      <c r="Z376" s="95" t="s">
        <v>49</v>
      </c>
      <c r="AA376" s="95" t="s">
        <v>49</v>
      </c>
      <c r="AB376" s="95">
        <v>1</v>
      </c>
      <c r="AC376" s="95">
        <v>1</v>
      </c>
      <c r="AD376" s="95">
        <v>1</v>
      </c>
      <c r="AE376" s="95">
        <v>1</v>
      </c>
      <c r="AF376" s="125">
        <v>1</v>
      </c>
      <c r="AG376" s="95">
        <v>1</v>
      </c>
      <c r="AH376" s="95">
        <v>1</v>
      </c>
      <c r="AI376" s="95">
        <v>1</v>
      </c>
      <c r="AJ376" s="95">
        <v>1</v>
      </c>
      <c r="AK376" s="95">
        <v>1</v>
      </c>
      <c r="AL376" s="95" t="s">
        <v>49</v>
      </c>
      <c r="AM376" s="95" t="s">
        <v>49</v>
      </c>
      <c r="AN376" s="125"/>
      <c r="AO376" s="95">
        <v>17</v>
      </c>
      <c r="AP376" s="79"/>
      <c r="AQ376" s="85">
        <f t="shared" si="15"/>
        <v>17</v>
      </c>
      <c r="AR376" s="19"/>
      <c r="AS376"/>
      <c r="AT376" s="67">
        <f t="shared" si="16"/>
        <v>0</v>
      </c>
      <c r="AU376" s="67">
        <f t="shared" si="17"/>
        <v>3</v>
      </c>
      <c r="AV376" s="66"/>
      <c r="AW376" s="12"/>
      <c r="CK376"/>
      <c r="CX376">
        <v>350</v>
      </c>
    </row>
    <row r="377" spans="1:102">
      <c r="A377" s="8">
        <v>351</v>
      </c>
      <c r="B377" s="8" t="s">
        <v>12</v>
      </c>
      <c r="C377" s="8" t="s">
        <v>106</v>
      </c>
      <c r="D377" s="8" t="s">
        <v>349</v>
      </c>
      <c r="E377" s="8" t="s">
        <v>6</v>
      </c>
      <c r="F377" s="8">
        <v>29</v>
      </c>
      <c r="G377" s="8">
        <v>32</v>
      </c>
      <c r="H377" s="8">
        <v>32</v>
      </c>
      <c r="I377" s="124">
        <v>1</v>
      </c>
      <c r="J377" s="95">
        <v>1</v>
      </c>
      <c r="K377" s="95">
        <v>1</v>
      </c>
      <c r="L377" s="95">
        <v>1</v>
      </c>
      <c r="M377" s="95">
        <v>1</v>
      </c>
      <c r="N377" s="95">
        <v>1</v>
      </c>
      <c r="O377" s="95">
        <v>1</v>
      </c>
      <c r="P377" s="125" t="s">
        <v>9</v>
      </c>
      <c r="Q377" s="124">
        <v>1</v>
      </c>
      <c r="R377" s="95">
        <v>1</v>
      </c>
      <c r="S377" s="95">
        <v>1</v>
      </c>
      <c r="T377" s="95">
        <v>1</v>
      </c>
      <c r="U377" s="95">
        <v>1</v>
      </c>
      <c r="V377" s="95">
        <v>1</v>
      </c>
      <c r="W377" s="95">
        <v>1</v>
      </c>
      <c r="X377" s="125">
        <v>1</v>
      </c>
      <c r="Y377" s="124">
        <v>1</v>
      </c>
      <c r="Z377" s="95">
        <v>1</v>
      </c>
      <c r="AA377" s="95">
        <v>1</v>
      </c>
      <c r="AB377" s="95" t="s">
        <v>9</v>
      </c>
      <c r="AC377" s="95" t="s">
        <v>9</v>
      </c>
      <c r="AD377" s="95">
        <v>1</v>
      </c>
      <c r="AE377" s="95">
        <v>1</v>
      </c>
      <c r="AF377" s="125">
        <v>1</v>
      </c>
      <c r="AG377" s="95">
        <v>1</v>
      </c>
      <c r="AH377" s="95">
        <v>1</v>
      </c>
      <c r="AI377" s="95">
        <v>1</v>
      </c>
      <c r="AJ377" s="95">
        <v>1</v>
      </c>
      <c r="AK377" s="95">
        <v>1</v>
      </c>
      <c r="AL377" s="95">
        <v>1</v>
      </c>
      <c r="AM377" s="95">
        <v>1</v>
      </c>
      <c r="AN377" s="125">
        <v>1</v>
      </c>
      <c r="AO377" s="95"/>
      <c r="AP377" s="79">
        <v>29</v>
      </c>
      <c r="AQ377" s="85">
        <f t="shared" si="15"/>
        <v>29</v>
      </c>
      <c r="AR377" s="19"/>
      <c r="AS377"/>
      <c r="AT377" s="67">
        <f t="shared" si="16"/>
        <v>0</v>
      </c>
      <c r="AU377" s="67">
        <f t="shared" si="17"/>
        <v>3</v>
      </c>
      <c r="AV377" s="66"/>
      <c r="AW377" s="12"/>
      <c r="AX377" s="12">
        <v>1</v>
      </c>
      <c r="AZ377" s="12">
        <v>1</v>
      </c>
      <c r="BA377" s="12">
        <v>1</v>
      </c>
      <c r="BE377" s="12">
        <v>1</v>
      </c>
      <c r="BG377" s="12">
        <v>1</v>
      </c>
      <c r="BK377" s="12">
        <v>1</v>
      </c>
      <c r="BP377" s="12">
        <v>3</v>
      </c>
      <c r="BS377" s="12">
        <v>1</v>
      </c>
      <c r="BY377" s="12">
        <v>1</v>
      </c>
      <c r="CK377"/>
      <c r="CN377">
        <v>1</v>
      </c>
      <c r="CX377">
        <v>351</v>
      </c>
    </row>
    <row r="378" spans="1:102">
      <c r="A378" s="8">
        <v>352</v>
      </c>
      <c r="B378" s="8" t="s">
        <v>12</v>
      </c>
      <c r="C378" s="8" t="s">
        <v>62</v>
      </c>
      <c r="D378" s="8" t="s">
        <v>42</v>
      </c>
      <c r="E378" s="8" t="s">
        <v>6</v>
      </c>
      <c r="F378" s="8"/>
      <c r="G378" s="8"/>
      <c r="H378" s="8"/>
      <c r="I378" s="124"/>
      <c r="J378" s="95"/>
      <c r="K378" s="95"/>
      <c r="L378" s="95"/>
      <c r="M378" s="95"/>
      <c r="N378" s="95"/>
      <c r="O378" s="95"/>
      <c r="P378" s="125"/>
      <c r="Q378" s="124"/>
      <c r="R378" s="95"/>
      <c r="S378" s="95"/>
      <c r="T378" s="95"/>
      <c r="U378" s="95"/>
      <c r="V378" s="95"/>
      <c r="W378" s="95"/>
      <c r="X378" s="125"/>
      <c r="Y378" s="124"/>
      <c r="Z378" s="95"/>
      <c r="AA378" s="95"/>
      <c r="AB378" s="95"/>
      <c r="AC378" s="95"/>
      <c r="AD378" s="95"/>
      <c r="AE378" s="95"/>
      <c r="AF378" s="125"/>
      <c r="AG378" s="95"/>
      <c r="AH378" s="95"/>
      <c r="AI378" s="95"/>
      <c r="AJ378" s="95"/>
      <c r="AK378" s="95"/>
      <c r="AL378" s="95"/>
      <c r="AM378" s="95"/>
      <c r="AN378" s="125"/>
      <c r="AO378" s="95"/>
      <c r="AP378" s="79"/>
      <c r="AQ378" s="85">
        <f t="shared" si="15"/>
        <v>0</v>
      </c>
      <c r="AR378" s="19"/>
      <c r="AS378"/>
      <c r="AT378" s="67">
        <f t="shared" si="16"/>
        <v>0</v>
      </c>
      <c r="AU378" s="67">
        <f t="shared" si="17"/>
        <v>0</v>
      </c>
      <c r="AV378" s="66"/>
      <c r="AW378" s="12"/>
      <c r="BV378" s="12">
        <v>1</v>
      </c>
      <c r="BW378" s="12">
        <v>1</v>
      </c>
      <c r="BX378" s="12">
        <v>1</v>
      </c>
      <c r="BY378" s="12">
        <v>1</v>
      </c>
      <c r="CK378"/>
      <c r="CX378">
        <v>352</v>
      </c>
    </row>
    <row r="379" spans="1:102">
      <c r="A379" s="8">
        <v>353</v>
      </c>
      <c r="B379" s="8" t="s">
        <v>12</v>
      </c>
      <c r="C379" s="8" t="s">
        <v>245</v>
      </c>
      <c r="D379" s="8" t="s">
        <v>12</v>
      </c>
      <c r="E379" s="8" t="s">
        <v>6</v>
      </c>
      <c r="F379" s="8"/>
      <c r="G379" s="8"/>
      <c r="H379" s="8"/>
      <c r="I379" s="124"/>
      <c r="J379" s="95"/>
      <c r="K379" s="95"/>
      <c r="L379" s="95"/>
      <c r="M379" s="95"/>
      <c r="N379" s="95"/>
      <c r="O379" s="95"/>
      <c r="P379" s="125"/>
      <c r="Q379" s="124"/>
      <c r="R379" s="95"/>
      <c r="S379" s="95"/>
      <c r="T379" s="95"/>
      <c r="U379" s="95"/>
      <c r="V379" s="95"/>
      <c r="W379" s="95"/>
      <c r="X379" s="125"/>
      <c r="Y379" s="124"/>
      <c r="Z379" s="95"/>
      <c r="AA379" s="95"/>
      <c r="AB379" s="95"/>
      <c r="AC379" s="95"/>
      <c r="AD379" s="95"/>
      <c r="AE379" s="95"/>
      <c r="AF379" s="125"/>
      <c r="AG379" s="95"/>
      <c r="AH379" s="95"/>
      <c r="AI379" s="95"/>
      <c r="AJ379" s="95"/>
      <c r="AK379" s="95"/>
      <c r="AL379" s="95"/>
      <c r="AM379" s="95"/>
      <c r="AN379" s="125"/>
      <c r="AO379" s="95"/>
      <c r="AP379" s="79"/>
      <c r="AQ379" s="85">
        <f t="shared" si="15"/>
        <v>0</v>
      </c>
      <c r="AR379" s="19"/>
      <c r="AS379"/>
      <c r="AT379" s="67">
        <f t="shared" si="16"/>
        <v>0</v>
      </c>
      <c r="AU379" s="67">
        <f t="shared" si="17"/>
        <v>0</v>
      </c>
      <c r="AV379" s="66"/>
      <c r="AW379" s="12"/>
      <c r="CK379"/>
      <c r="CX379">
        <v>353</v>
      </c>
    </row>
    <row r="380" spans="1:102">
      <c r="A380" s="8">
        <v>354</v>
      </c>
      <c r="B380" s="8" t="s">
        <v>12</v>
      </c>
      <c r="C380" s="8" t="s">
        <v>136</v>
      </c>
      <c r="D380" s="8" t="s">
        <v>12</v>
      </c>
      <c r="E380" s="8" t="s">
        <v>77</v>
      </c>
      <c r="F380" s="8">
        <v>31</v>
      </c>
      <c r="G380" s="8">
        <v>31</v>
      </c>
      <c r="H380" s="8">
        <v>31</v>
      </c>
      <c r="I380" s="124">
        <v>1</v>
      </c>
      <c r="J380" s="95">
        <v>1</v>
      </c>
      <c r="K380" s="95">
        <v>1</v>
      </c>
      <c r="L380" s="95">
        <v>1</v>
      </c>
      <c r="M380" s="95">
        <v>1</v>
      </c>
      <c r="N380" s="95">
        <v>1</v>
      </c>
      <c r="O380" s="95">
        <v>1</v>
      </c>
      <c r="P380" s="125">
        <v>1</v>
      </c>
      <c r="Q380" s="124">
        <v>1</v>
      </c>
      <c r="R380" s="95">
        <v>1</v>
      </c>
      <c r="S380" s="95">
        <v>1</v>
      </c>
      <c r="T380" s="95">
        <v>1</v>
      </c>
      <c r="U380" s="95">
        <v>1</v>
      </c>
      <c r="V380" s="95">
        <v>1</v>
      </c>
      <c r="W380" s="95">
        <v>1</v>
      </c>
      <c r="X380" s="125">
        <v>1</v>
      </c>
      <c r="Y380" s="124">
        <v>1</v>
      </c>
      <c r="Z380" s="95">
        <v>1</v>
      </c>
      <c r="AA380" s="95">
        <v>1</v>
      </c>
      <c r="AB380" s="95">
        <v>1</v>
      </c>
      <c r="AC380" s="95">
        <v>1</v>
      </c>
      <c r="AD380" s="95">
        <v>1</v>
      </c>
      <c r="AE380" s="95">
        <v>1</v>
      </c>
      <c r="AF380" s="125">
        <v>1</v>
      </c>
      <c r="AG380" s="95">
        <v>1</v>
      </c>
      <c r="AH380" s="95">
        <v>1</v>
      </c>
      <c r="AI380" s="95">
        <v>1</v>
      </c>
      <c r="AJ380" s="95">
        <v>1</v>
      </c>
      <c r="AK380" s="95">
        <v>1</v>
      </c>
      <c r="AL380" s="95">
        <v>1</v>
      </c>
      <c r="AM380" s="95">
        <v>1</v>
      </c>
      <c r="AN380" s="125"/>
      <c r="AO380" s="95"/>
      <c r="AP380" s="79">
        <v>31</v>
      </c>
      <c r="AQ380" s="85">
        <f t="shared" si="15"/>
        <v>31</v>
      </c>
      <c r="AR380" s="19" t="s">
        <v>246</v>
      </c>
      <c r="AS380">
        <v>1</v>
      </c>
      <c r="AT380" s="67">
        <f t="shared" si="16"/>
        <v>0</v>
      </c>
      <c r="AU380" s="67">
        <f t="shared" si="17"/>
        <v>0</v>
      </c>
      <c r="AV380" s="66"/>
      <c r="AW380" s="12"/>
      <c r="AZ380" s="12">
        <v>1</v>
      </c>
      <c r="BA380" s="12">
        <v>1</v>
      </c>
      <c r="BB380" s="12">
        <v>1</v>
      </c>
      <c r="BG380" s="12">
        <v>2</v>
      </c>
      <c r="BS380" s="12">
        <v>1</v>
      </c>
      <c r="BV380" s="12">
        <v>1</v>
      </c>
      <c r="CI380" s="12">
        <v>1</v>
      </c>
      <c r="CK380"/>
      <c r="CX380">
        <v>354</v>
      </c>
    </row>
    <row r="381" spans="1:102">
      <c r="A381" s="8">
        <v>355</v>
      </c>
      <c r="B381" s="8" t="s">
        <v>13</v>
      </c>
      <c r="C381" s="8" t="s">
        <v>161</v>
      </c>
      <c r="D381" s="8" t="s">
        <v>357</v>
      </c>
      <c r="E381" s="8" t="s">
        <v>15</v>
      </c>
      <c r="F381" s="8"/>
      <c r="G381" s="8"/>
      <c r="H381" s="8"/>
      <c r="I381" s="124"/>
      <c r="J381" s="95"/>
      <c r="K381" s="95"/>
      <c r="L381" s="95"/>
      <c r="M381" s="95"/>
      <c r="N381" s="95"/>
      <c r="O381" s="95"/>
      <c r="P381" s="125"/>
      <c r="Q381" s="124"/>
      <c r="R381" s="95"/>
      <c r="S381" s="95"/>
      <c r="T381" s="95"/>
      <c r="U381" s="95"/>
      <c r="V381" s="95"/>
      <c r="W381" s="95"/>
      <c r="X381" s="125"/>
      <c r="Y381" s="124"/>
      <c r="Z381" s="95"/>
      <c r="AA381" s="95"/>
      <c r="AB381" s="95"/>
      <c r="AC381" s="95"/>
      <c r="AD381" s="95"/>
      <c r="AE381" s="95"/>
      <c r="AF381" s="125"/>
      <c r="AG381" s="95"/>
      <c r="AH381" s="95"/>
      <c r="AI381" s="95"/>
      <c r="AJ381" s="95"/>
      <c r="AK381" s="95"/>
      <c r="AL381" s="95"/>
      <c r="AM381" s="95"/>
      <c r="AN381" s="125"/>
      <c r="AO381" s="95"/>
      <c r="AP381" s="79"/>
      <c r="AQ381" s="85">
        <f t="shared" si="15"/>
        <v>0</v>
      </c>
      <c r="AR381" s="19"/>
      <c r="AS381"/>
      <c r="AT381" s="67">
        <f t="shared" si="16"/>
        <v>0</v>
      </c>
      <c r="AU381" s="67">
        <f t="shared" si="17"/>
        <v>0</v>
      </c>
      <c r="AV381" s="66"/>
      <c r="AW381" s="12"/>
      <c r="CK381"/>
      <c r="CX381">
        <v>355</v>
      </c>
    </row>
    <row r="382" spans="1:102">
      <c r="A382" s="8">
        <v>356</v>
      </c>
      <c r="B382" s="8" t="s">
        <v>13</v>
      </c>
      <c r="C382" s="54" t="s">
        <v>247</v>
      </c>
      <c r="D382" s="59" t="s">
        <v>325</v>
      </c>
      <c r="E382" s="8" t="s">
        <v>15</v>
      </c>
      <c r="F382" s="8"/>
      <c r="G382" s="8"/>
      <c r="H382" s="8"/>
      <c r="I382" s="124"/>
      <c r="J382" s="95"/>
      <c r="K382" s="95"/>
      <c r="L382" s="95"/>
      <c r="M382" s="95"/>
      <c r="N382" s="95"/>
      <c r="O382" s="95"/>
      <c r="P382" s="125"/>
      <c r="Q382" s="124"/>
      <c r="R382" s="95"/>
      <c r="S382" s="95"/>
      <c r="T382" s="95"/>
      <c r="U382" s="95"/>
      <c r="V382" s="95"/>
      <c r="W382" s="95"/>
      <c r="X382" s="125"/>
      <c r="Y382" s="124"/>
      <c r="Z382" s="95"/>
      <c r="AA382" s="95"/>
      <c r="AB382" s="95"/>
      <c r="AC382" s="95"/>
      <c r="AD382" s="95"/>
      <c r="AE382" s="95"/>
      <c r="AF382" s="125"/>
      <c r="AG382" s="95"/>
      <c r="AH382" s="95"/>
      <c r="AI382" s="95"/>
      <c r="AJ382" s="95"/>
      <c r="AK382" s="95"/>
      <c r="AL382" s="95"/>
      <c r="AM382" s="95"/>
      <c r="AN382" s="125"/>
      <c r="AO382" s="95"/>
      <c r="AP382" s="79"/>
      <c r="AQ382" s="85">
        <f t="shared" si="15"/>
        <v>0</v>
      </c>
      <c r="AR382" s="19"/>
      <c r="AS382"/>
      <c r="AT382" s="67">
        <f t="shared" si="16"/>
        <v>0</v>
      </c>
      <c r="AU382" s="67">
        <f t="shared" si="17"/>
        <v>0</v>
      </c>
      <c r="AV382" s="66"/>
      <c r="AW382" s="12"/>
      <c r="CK382"/>
      <c r="CX382">
        <v>356</v>
      </c>
    </row>
    <row r="383" spans="1:102">
      <c r="A383" s="8">
        <v>357</v>
      </c>
      <c r="B383" s="8" t="s">
        <v>13</v>
      </c>
      <c r="C383" s="8" t="s">
        <v>248</v>
      </c>
      <c r="D383" s="8" t="s">
        <v>358</v>
      </c>
      <c r="E383" s="8" t="s">
        <v>15</v>
      </c>
      <c r="F383" s="8"/>
      <c r="G383" s="8"/>
      <c r="H383" s="8"/>
      <c r="I383" s="124"/>
      <c r="J383" s="95"/>
      <c r="K383" s="95"/>
      <c r="L383" s="95"/>
      <c r="M383" s="95"/>
      <c r="N383" s="95"/>
      <c r="O383" s="95"/>
      <c r="P383" s="125"/>
      <c r="Q383" s="124"/>
      <c r="R383" s="95"/>
      <c r="S383" s="95"/>
      <c r="T383" s="95"/>
      <c r="U383" s="95"/>
      <c r="V383" s="95"/>
      <c r="W383" s="95"/>
      <c r="X383" s="125"/>
      <c r="Y383" s="124"/>
      <c r="Z383" s="95"/>
      <c r="AA383" s="95"/>
      <c r="AB383" s="95"/>
      <c r="AC383" s="95"/>
      <c r="AD383" s="95"/>
      <c r="AE383" s="95"/>
      <c r="AF383" s="125"/>
      <c r="AG383" s="95"/>
      <c r="AH383" s="95"/>
      <c r="AI383" s="95"/>
      <c r="AJ383" s="95"/>
      <c r="AK383" s="95"/>
      <c r="AL383" s="95"/>
      <c r="AM383" s="95"/>
      <c r="AN383" s="125"/>
      <c r="AO383" s="95"/>
      <c r="AP383" s="79"/>
      <c r="AQ383" s="85">
        <f t="shared" si="15"/>
        <v>0</v>
      </c>
      <c r="AR383" s="19"/>
      <c r="AS383"/>
      <c r="AT383" s="67">
        <f t="shared" si="16"/>
        <v>0</v>
      </c>
      <c r="AU383" s="67">
        <f t="shared" si="17"/>
        <v>0</v>
      </c>
      <c r="AV383" s="66"/>
      <c r="AW383" s="12"/>
      <c r="CK383"/>
      <c r="CX383">
        <v>357</v>
      </c>
    </row>
    <row r="384" spans="1:102">
      <c r="A384" s="8">
        <v>358</v>
      </c>
      <c r="B384" s="8" t="s">
        <v>12</v>
      </c>
      <c r="C384" s="8" t="s">
        <v>136</v>
      </c>
      <c r="D384" s="8" t="s">
        <v>12</v>
      </c>
      <c r="E384" s="8" t="s">
        <v>42</v>
      </c>
      <c r="F384" s="8">
        <v>31</v>
      </c>
      <c r="G384" s="8">
        <v>32</v>
      </c>
      <c r="H384" s="8">
        <v>32</v>
      </c>
      <c r="I384" s="124">
        <v>1</v>
      </c>
      <c r="J384" s="95">
        <v>1</v>
      </c>
      <c r="K384" s="95">
        <v>1</v>
      </c>
      <c r="L384" s="95">
        <v>1</v>
      </c>
      <c r="M384" s="95">
        <v>1</v>
      </c>
      <c r="N384" s="95">
        <v>1</v>
      </c>
      <c r="O384" s="95">
        <v>1</v>
      </c>
      <c r="P384" s="125">
        <v>1</v>
      </c>
      <c r="Q384" s="124">
        <v>1</v>
      </c>
      <c r="R384" s="95" t="s">
        <v>9</v>
      </c>
      <c r="S384" s="95">
        <v>1</v>
      </c>
      <c r="T384" s="95">
        <v>1</v>
      </c>
      <c r="U384" s="95">
        <v>1</v>
      </c>
      <c r="V384" s="95">
        <v>1</v>
      </c>
      <c r="W384" s="95">
        <v>1</v>
      </c>
      <c r="X384" s="125">
        <v>1</v>
      </c>
      <c r="Y384" s="124">
        <v>1</v>
      </c>
      <c r="Z384" s="95">
        <v>1</v>
      </c>
      <c r="AA384" s="95">
        <v>1</v>
      </c>
      <c r="AB384" s="95">
        <v>1</v>
      </c>
      <c r="AC384" s="95">
        <v>1</v>
      </c>
      <c r="AD384" s="95">
        <v>1</v>
      </c>
      <c r="AE384" s="95">
        <v>1</v>
      </c>
      <c r="AF384" s="125">
        <v>1</v>
      </c>
      <c r="AG384" s="95">
        <v>1</v>
      </c>
      <c r="AH384" s="95">
        <v>1</v>
      </c>
      <c r="AI384" s="95">
        <v>1</v>
      </c>
      <c r="AJ384" s="95">
        <v>1</v>
      </c>
      <c r="AK384" s="95">
        <v>1</v>
      </c>
      <c r="AL384" s="95">
        <v>1</v>
      </c>
      <c r="AM384" s="95">
        <v>1</v>
      </c>
      <c r="AN384" s="125">
        <v>1</v>
      </c>
      <c r="AO384" s="95"/>
      <c r="AP384" s="79">
        <v>31</v>
      </c>
      <c r="AQ384" s="85">
        <f t="shared" si="15"/>
        <v>31</v>
      </c>
      <c r="AR384" s="19" t="s">
        <v>249</v>
      </c>
      <c r="AS384"/>
      <c r="AT384" s="67">
        <f t="shared" si="16"/>
        <v>0</v>
      </c>
      <c r="AU384" s="67">
        <f t="shared" si="17"/>
        <v>1</v>
      </c>
      <c r="AV384" s="66"/>
      <c r="AW384" s="12"/>
      <c r="AZ384" s="12">
        <v>1</v>
      </c>
      <c r="BA384" s="12">
        <v>1</v>
      </c>
      <c r="BG384" s="12">
        <v>1</v>
      </c>
      <c r="BO384" s="12">
        <v>1</v>
      </c>
      <c r="BS384" s="12">
        <v>1</v>
      </c>
      <c r="BT384" s="12">
        <v>1</v>
      </c>
      <c r="BV384" s="12">
        <v>1</v>
      </c>
      <c r="CK384"/>
      <c r="CX384">
        <v>358</v>
      </c>
    </row>
    <row r="385" spans="1:102">
      <c r="A385" s="8">
        <v>359</v>
      </c>
      <c r="B385" s="8" t="s">
        <v>13</v>
      </c>
      <c r="C385" s="8" t="s">
        <v>78</v>
      </c>
      <c r="D385" s="8" t="s">
        <v>359</v>
      </c>
      <c r="E385" s="8" t="s">
        <v>15</v>
      </c>
      <c r="F385" s="8">
        <v>15</v>
      </c>
      <c r="G385" s="8" t="s">
        <v>15</v>
      </c>
      <c r="H385" s="8">
        <v>20</v>
      </c>
      <c r="I385" s="124"/>
      <c r="J385" s="95"/>
      <c r="K385" s="95"/>
      <c r="L385" s="95"/>
      <c r="M385" s="95"/>
      <c r="N385" s="95">
        <v>1</v>
      </c>
      <c r="O385" s="95"/>
      <c r="P385" s="125"/>
      <c r="Q385" s="124" t="s">
        <v>9</v>
      </c>
      <c r="R385" s="95" t="s">
        <v>9</v>
      </c>
      <c r="S385" s="95">
        <v>1</v>
      </c>
      <c r="T385" s="95">
        <v>1</v>
      </c>
      <c r="U385" s="95">
        <v>1</v>
      </c>
      <c r="V385" s="95">
        <v>1</v>
      </c>
      <c r="W385" s="95" t="s">
        <v>49</v>
      </c>
      <c r="X385" s="125"/>
      <c r="Y385" s="124"/>
      <c r="Z385" s="95" t="s">
        <v>49</v>
      </c>
      <c r="AA385" s="95">
        <v>1</v>
      </c>
      <c r="AB385" s="95">
        <v>1</v>
      </c>
      <c r="AC385" s="95">
        <v>1</v>
      </c>
      <c r="AD385" s="95">
        <v>1</v>
      </c>
      <c r="AE385" s="95" t="s">
        <v>49</v>
      </c>
      <c r="AF385" s="125">
        <v>1</v>
      </c>
      <c r="AG385" s="95">
        <v>1</v>
      </c>
      <c r="AH385" s="95" t="s">
        <v>49</v>
      </c>
      <c r="AI385" s="95">
        <v>1</v>
      </c>
      <c r="AJ385" s="95">
        <v>1</v>
      </c>
      <c r="AK385" s="95">
        <v>1</v>
      </c>
      <c r="AL385" s="95">
        <v>1</v>
      </c>
      <c r="AM385" s="95" t="s">
        <v>49</v>
      </c>
      <c r="AN385" s="125"/>
      <c r="AO385" s="95">
        <v>10</v>
      </c>
      <c r="AP385" s="79">
        <v>5</v>
      </c>
      <c r="AQ385" s="85">
        <f t="shared" si="15"/>
        <v>15</v>
      </c>
      <c r="AR385" s="19" t="s">
        <v>250</v>
      </c>
      <c r="AS385"/>
      <c r="AT385" s="67">
        <f t="shared" si="16"/>
        <v>0</v>
      </c>
      <c r="AU385" s="67">
        <f t="shared" si="17"/>
        <v>2</v>
      </c>
      <c r="AV385" s="66"/>
      <c r="AW385" s="12"/>
      <c r="AZ385" s="12">
        <v>1</v>
      </c>
      <c r="BA385" s="12">
        <v>1</v>
      </c>
      <c r="CK385"/>
      <c r="CX385">
        <v>359</v>
      </c>
    </row>
    <row r="386" spans="1:102">
      <c r="A386" s="8">
        <v>360</v>
      </c>
      <c r="B386" s="8" t="s">
        <v>12</v>
      </c>
      <c r="C386" s="8" t="s">
        <v>71</v>
      </c>
      <c r="D386" s="8" t="s">
        <v>366</v>
      </c>
      <c r="E386" s="8" t="s">
        <v>77</v>
      </c>
      <c r="F386" s="8">
        <v>24</v>
      </c>
      <c r="G386" s="8">
        <v>28</v>
      </c>
      <c r="H386" s="8">
        <v>29</v>
      </c>
      <c r="I386" s="124"/>
      <c r="J386" s="95">
        <v>1</v>
      </c>
      <c r="K386" s="95" t="s">
        <v>10</v>
      </c>
      <c r="L386" s="95" t="s">
        <v>10</v>
      </c>
      <c r="M386" s="95">
        <v>1</v>
      </c>
      <c r="N386" s="95">
        <v>1</v>
      </c>
      <c r="O386" s="95">
        <v>1</v>
      </c>
      <c r="P386" s="125">
        <v>1</v>
      </c>
      <c r="Q386" s="124">
        <v>1</v>
      </c>
      <c r="R386" s="95">
        <v>1</v>
      </c>
      <c r="S386" s="95">
        <v>1</v>
      </c>
      <c r="T386" s="95">
        <v>1</v>
      </c>
      <c r="U386" s="95">
        <v>1</v>
      </c>
      <c r="V386" s="95">
        <v>1</v>
      </c>
      <c r="W386" s="95">
        <v>1</v>
      </c>
      <c r="X386" s="125"/>
      <c r="Y386" s="124"/>
      <c r="Z386" s="95">
        <v>1</v>
      </c>
      <c r="AA386" s="95" t="s">
        <v>10</v>
      </c>
      <c r="AB386" s="95" t="s">
        <v>9</v>
      </c>
      <c r="AC386" s="95">
        <v>1</v>
      </c>
      <c r="AD386" s="95">
        <v>1</v>
      </c>
      <c r="AE386" s="95">
        <v>1</v>
      </c>
      <c r="AF386" s="125">
        <v>1</v>
      </c>
      <c r="AG386" s="95">
        <v>1</v>
      </c>
      <c r="AH386" s="95">
        <v>1</v>
      </c>
      <c r="AI386" s="95">
        <v>1</v>
      </c>
      <c r="AJ386" s="95">
        <v>1</v>
      </c>
      <c r="AK386" s="95" t="s">
        <v>10</v>
      </c>
      <c r="AL386" s="95">
        <v>1</v>
      </c>
      <c r="AM386" s="95">
        <v>1</v>
      </c>
      <c r="AN386" s="125">
        <v>1</v>
      </c>
      <c r="AO386" s="95"/>
      <c r="AP386" s="79">
        <v>24</v>
      </c>
      <c r="AQ386" s="85">
        <f t="shared" si="15"/>
        <v>24</v>
      </c>
      <c r="AR386" s="19"/>
      <c r="AS386"/>
      <c r="AT386" s="67">
        <f t="shared" si="16"/>
        <v>4</v>
      </c>
      <c r="AU386" s="67">
        <f t="shared" si="17"/>
        <v>1</v>
      </c>
      <c r="AV386" s="66"/>
      <c r="AW386" s="12">
        <v>1</v>
      </c>
      <c r="AY386" s="12">
        <v>1</v>
      </c>
      <c r="BA386" s="12">
        <v>1</v>
      </c>
      <c r="BB386" s="12">
        <v>1</v>
      </c>
      <c r="BD386" s="12">
        <v>1</v>
      </c>
      <c r="BE386" s="12">
        <v>1</v>
      </c>
      <c r="BK386" s="12">
        <v>1</v>
      </c>
      <c r="BO386" s="12">
        <v>1</v>
      </c>
      <c r="BQ386" s="12">
        <v>2</v>
      </c>
      <c r="BS386" s="12">
        <v>1</v>
      </c>
      <c r="BV386" s="12">
        <v>1</v>
      </c>
      <c r="BW386" s="12">
        <v>1</v>
      </c>
      <c r="BY386" s="12">
        <v>1</v>
      </c>
      <c r="CK386"/>
      <c r="CX386">
        <v>360</v>
      </c>
    </row>
    <row r="387" spans="1:102">
      <c r="A387" s="8">
        <v>361</v>
      </c>
      <c r="B387" s="8" t="s">
        <v>13</v>
      </c>
      <c r="C387" s="8" t="s">
        <v>55</v>
      </c>
      <c r="D387" s="8" t="s">
        <v>346</v>
      </c>
      <c r="E387" s="8" t="s">
        <v>15</v>
      </c>
      <c r="F387" s="8">
        <v>18</v>
      </c>
      <c r="G387" s="8">
        <v>20</v>
      </c>
      <c r="H387" s="8">
        <v>20</v>
      </c>
      <c r="I387" s="124"/>
      <c r="J387" s="95" t="s">
        <v>49</v>
      </c>
      <c r="K387" s="95" t="s">
        <v>49</v>
      </c>
      <c r="L387" s="95">
        <v>1</v>
      </c>
      <c r="M387" s="95">
        <v>1</v>
      </c>
      <c r="N387" s="95">
        <v>1</v>
      </c>
      <c r="O387" s="95">
        <v>1</v>
      </c>
      <c r="P387" s="125">
        <v>1</v>
      </c>
      <c r="Q387" s="124">
        <v>1</v>
      </c>
      <c r="R387" s="95">
        <v>1</v>
      </c>
      <c r="S387" s="95">
        <v>1</v>
      </c>
      <c r="T387" s="95">
        <v>1</v>
      </c>
      <c r="U387" s="95">
        <v>1</v>
      </c>
      <c r="V387" s="95" t="s">
        <v>49</v>
      </c>
      <c r="W387" s="95" t="s">
        <v>49</v>
      </c>
      <c r="X387" s="125"/>
      <c r="Y387" s="124"/>
      <c r="Z387" s="95" t="s">
        <v>49</v>
      </c>
      <c r="AA387" s="95" t="s">
        <v>49</v>
      </c>
      <c r="AB387" s="95">
        <v>1</v>
      </c>
      <c r="AC387" s="95">
        <v>1</v>
      </c>
      <c r="AD387" s="95">
        <v>1</v>
      </c>
      <c r="AE387" s="95">
        <v>1</v>
      </c>
      <c r="AF387" s="125" t="s">
        <v>9</v>
      </c>
      <c r="AG387" s="95" t="s">
        <v>9</v>
      </c>
      <c r="AH387" s="95">
        <v>1</v>
      </c>
      <c r="AI387" s="95">
        <v>1</v>
      </c>
      <c r="AJ387" s="95">
        <v>1</v>
      </c>
      <c r="AK387" s="95">
        <v>1</v>
      </c>
      <c r="AL387" s="95" t="s">
        <v>49</v>
      </c>
      <c r="AM387" s="95" t="s">
        <v>49</v>
      </c>
      <c r="AN387" s="125"/>
      <c r="AO387" s="95">
        <v>18</v>
      </c>
      <c r="AP387" s="79"/>
      <c r="AQ387" s="85">
        <f t="shared" si="15"/>
        <v>18</v>
      </c>
      <c r="AR387" s="19"/>
      <c r="AS387"/>
      <c r="AT387" s="67">
        <f t="shared" si="16"/>
        <v>0</v>
      </c>
      <c r="AU387" s="67">
        <f t="shared" si="17"/>
        <v>2</v>
      </c>
      <c r="AV387" s="66"/>
      <c r="AW387" s="12"/>
      <c r="CK387"/>
      <c r="CX387">
        <v>361</v>
      </c>
    </row>
    <row r="388" spans="1:102">
      <c r="A388" s="8">
        <v>362</v>
      </c>
      <c r="B388" s="8" t="s">
        <v>13</v>
      </c>
      <c r="C388" s="8" t="s">
        <v>103</v>
      </c>
      <c r="D388" s="8" t="s">
        <v>357</v>
      </c>
      <c r="E388" s="8" t="s">
        <v>15</v>
      </c>
      <c r="F388" s="8"/>
      <c r="G388" s="8"/>
      <c r="H388" s="8"/>
      <c r="I388" s="124"/>
      <c r="J388" s="95"/>
      <c r="K388" s="95"/>
      <c r="L388" s="95"/>
      <c r="M388" s="95"/>
      <c r="N388" s="95"/>
      <c r="O388" s="95"/>
      <c r="P388" s="125"/>
      <c r="Q388" s="124"/>
      <c r="R388" s="95"/>
      <c r="S388" s="95"/>
      <c r="T388" s="95"/>
      <c r="U388" s="95"/>
      <c r="V388" s="95"/>
      <c r="W388" s="95"/>
      <c r="X388" s="125"/>
      <c r="Y388" s="124"/>
      <c r="Z388" s="95"/>
      <c r="AA388" s="95"/>
      <c r="AB388" s="95"/>
      <c r="AC388" s="95"/>
      <c r="AD388" s="95"/>
      <c r="AE388" s="95"/>
      <c r="AF388" s="125"/>
      <c r="AG388" s="95"/>
      <c r="AH388" s="95"/>
      <c r="AI388" s="95"/>
      <c r="AJ388" s="95"/>
      <c r="AK388" s="95"/>
      <c r="AL388" s="95"/>
      <c r="AM388" s="95"/>
      <c r="AN388" s="125"/>
      <c r="AO388" s="95"/>
      <c r="AP388" s="79"/>
      <c r="AQ388" s="85">
        <f t="shared" si="15"/>
        <v>0</v>
      </c>
      <c r="AR388" s="19"/>
      <c r="AS388"/>
      <c r="AT388" s="67">
        <f t="shared" si="16"/>
        <v>0</v>
      </c>
      <c r="AU388" s="67">
        <f t="shared" si="17"/>
        <v>0</v>
      </c>
      <c r="AV388" s="66"/>
      <c r="AW388" s="12"/>
      <c r="BZ388" s="12">
        <v>1</v>
      </c>
      <c r="CK388"/>
      <c r="CX388">
        <v>362</v>
      </c>
    </row>
    <row r="389" spans="1:102">
      <c r="A389" s="8">
        <v>363</v>
      </c>
      <c r="B389" s="8" t="s">
        <v>12</v>
      </c>
      <c r="C389" s="8" t="s">
        <v>216</v>
      </c>
      <c r="D389" s="8" t="s">
        <v>42</v>
      </c>
      <c r="E389" s="8" t="s">
        <v>6</v>
      </c>
      <c r="F389" s="8">
        <v>30</v>
      </c>
      <c r="G389" s="8">
        <v>32</v>
      </c>
      <c r="H389" s="8">
        <v>32</v>
      </c>
      <c r="I389" s="124">
        <v>1</v>
      </c>
      <c r="J389" s="95">
        <v>1</v>
      </c>
      <c r="K389" s="95">
        <v>1</v>
      </c>
      <c r="L389" s="95">
        <v>1</v>
      </c>
      <c r="M389" s="95">
        <v>1</v>
      </c>
      <c r="N389" s="95">
        <v>1</v>
      </c>
      <c r="O389" s="95">
        <v>1</v>
      </c>
      <c r="P389" s="125" t="s">
        <v>9</v>
      </c>
      <c r="Q389" s="124">
        <v>1</v>
      </c>
      <c r="R389" s="95">
        <v>1</v>
      </c>
      <c r="S389" s="95">
        <v>1</v>
      </c>
      <c r="T389" s="95">
        <v>1</v>
      </c>
      <c r="U389" s="95">
        <v>1</v>
      </c>
      <c r="V389" s="95">
        <v>1</v>
      </c>
      <c r="W389" s="95">
        <v>1</v>
      </c>
      <c r="X389" s="125">
        <v>1</v>
      </c>
      <c r="Y389" s="124">
        <v>1</v>
      </c>
      <c r="Z389" s="95">
        <v>1</v>
      </c>
      <c r="AA389" s="95">
        <v>1</v>
      </c>
      <c r="AB389" s="95">
        <v>1</v>
      </c>
      <c r="AC389" s="95">
        <v>1</v>
      </c>
      <c r="AD389" s="95">
        <v>1</v>
      </c>
      <c r="AE389" s="95">
        <v>1</v>
      </c>
      <c r="AF389" s="125">
        <v>1</v>
      </c>
      <c r="AG389" s="95">
        <v>1</v>
      </c>
      <c r="AH389" s="95">
        <v>1</v>
      </c>
      <c r="AI389" s="95">
        <v>1</v>
      </c>
      <c r="AJ389" s="95">
        <v>1</v>
      </c>
      <c r="AK389" s="95" t="s">
        <v>9</v>
      </c>
      <c r="AL389" s="95">
        <v>1</v>
      </c>
      <c r="AM389" s="95">
        <v>1</v>
      </c>
      <c r="AN389" s="125">
        <v>1</v>
      </c>
      <c r="AO389" s="95"/>
      <c r="AP389" s="79">
        <v>30</v>
      </c>
      <c r="AQ389" s="85">
        <f t="shared" si="15"/>
        <v>30</v>
      </c>
      <c r="AR389" s="19" t="s">
        <v>251</v>
      </c>
      <c r="AS389"/>
      <c r="AT389" s="67">
        <f t="shared" si="16"/>
        <v>0</v>
      </c>
      <c r="AU389" s="67">
        <f t="shared" si="17"/>
        <v>2</v>
      </c>
      <c r="AV389" s="66"/>
      <c r="AW389" s="12">
        <v>1</v>
      </c>
      <c r="AZ389" s="12">
        <v>1</v>
      </c>
      <c r="BA389" s="12">
        <v>1</v>
      </c>
      <c r="BB389" s="12">
        <v>1</v>
      </c>
      <c r="BE389" s="12">
        <v>1</v>
      </c>
      <c r="BV389" s="12">
        <v>1</v>
      </c>
      <c r="BW389" s="12">
        <v>1</v>
      </c>
      <c r="BY389" s="12">
        <v>1</v>
      </c>
      <c r="CK389"/>
      <c r="CX389">
        <v>363</v>
      </c>
    </row>
    <row r="390" spans="1:102">
      <c r="A390" s="8">
        <v>364</v>
      </c>
      <c r="B390" s="8" t="s">
        <v>12</v>
      </c>
      <c r="C390" s="8" t="s">
        <v>91</v>
      </c>
      <c r="D390" s="8" t="s">
        <v>366</v>
      </c>
      <c r="E390" s="8" t="s">
        <v>6</v>
      </c>
      <c r="F390" s="8"/>
      <c r="G390" s="8"/>
      <c r="H390" s="8"/>
      <c r="I390" s="124"/>
      <c r="J390" s="95"/>
      <c r="K390" s="95"/>
      <c r="L390" s="95"/>
      <c r="M390" s="95"/>
      <c r="N390" s="95"/>
      <c r="O390" s="95"/>
      <c r="P390" s="125"/>
      <c r="Q390" s="124"/>
      <c r="R390" s="95"/>
      <c r="S390" s="95"/>
      <c r="T390" s="95"/>
      <c r="U390" s="95"/>
      <c r="V390" s="95"/>
      <c r="W390" s="95"/>
      <c r="X390" s="125"/>
      <c r="Y390" s="124"/>
      <c r="Z390" s="95"/>
      <c r="AA390" s="95"/>
      <c r="AB390" s="95"/>
      <c r="AC390" s="95"/>
      <c r="AD390" s="95"/>
      <c r="AE390" s="95"/>
      <c r="AF390" s="125"/>
      <c r="AG390" s="95"/>
      <c r="AH390" s="95"/>
      <c r="AI390" s="95"/>
      <c r="AJ390" s="95"/>
      <c r="AK390" s="95"/>
      <c r="AL390" s="95"/>
      <c r="AM390" s="95"/>
      <c r="AN390" s="125"/>
      <c r="AO390" s="95"/>
      <c r="AP390" s="79"/>
      <c r="AQ390" s="85">
        <f t="shared" ref="AQ390:AQ453" si="18">SUM(I390:AN390)</f>
        <v>0</v>
      </c>
      <c r="AR390" s="19"/>
      <c r="AS390"/>
      <c r="AT390" s="67">
        <f t="shared" ref="AT390:AT453" si="19">COUNTIF(I390:AN390,"*am*")</f>
        <v>0</v>
      </c>
      <c r="AU390" s="67">
        <f t="shared" ref="AU390:AU453" si="20">COUNTIF(I390:AN390,"pm")</f>
        <v>0</v>
      </c>
      <c r="AV390" s="66"/>
      <c r="AW390" s="12"/>
      <c r="BE390" s="12">
        <v>1</v>
      </c>
      <c r="BP390" s="12">
        <v>6</v>
      </c>
      <c r="BQ390" s="12">
        <v>2</v>
      </c>
      <c r="CK390"/>
      <c r="CX390">
        <v>364</v>
      </c>
    </row>
    <row r="391" spans="1:102" s="8" customFormat="1">
      <c r="A391" s="8">
        <v>365</v>
      </c>
      <c r="B391" s="8" t="s">
        <v>13</v>
      </c>
      <c r="C391" s="8" t="s">
        <v>197</v>
      </c>
      <c r="D391" s="8" t="s">
        <v>357</v>
      </c>
      <c r="E391" s="8" t="s">
        <v>15</v>
      </c>
      <c r="F391" s="8">
        <v>11</v>
      </c>
      <c r="G391" s="8" t="s">
        <v>15</v>
      </c>
      <c r="H391" s="8" t="s">
        <v>15</v>
      </c>
      <c r="I391" s="124"/>
      <c r="J391" s="95"/>
      <c r="K391" s="95"/>
      <c r="L391" s="95"/>
      <c r="M391" s="95"/>
      <c r="N391" s="95" t="s">
        <v>49</v>
      </c>
      <c r="O391" s="95"/>
      <c r="P391" s="125"/>
      <c r="Q391" s="124"/>
      <c r="R391" s="95"/>
      <c r="S391" s="95" t="s">
        <v>49</v>
      </c>
      <c r="T391" s="95">
        <v>1</v>
      </c>
      <c r="U391" s="95">
        <v>1</v>
      </c>
      <c r="V391" s="95"/>
      <c r="W391" s="95"/>
      <c r="X391" s="125"/>
      <c r="Y391" s="124"/>
      <c r="Z391" s="95"/>
      <c r="AA391" s="95"/>
      <c r="AB391" s="95"/>
      <c r="AC391" s="95">
        <v>1</v>
      </c>
      <c r="AD391" s="95" t="s">
        <v>373</v>
      </c>
      <c r="AE391" s="95">
        <v>1</v>
      </c>
      <c r="AF391" s="125">
        <v>1</v>
      </c>
      <c r="AG391" s="95">
        <v>1</v>
      </c>
      <c r="AH391" s="95">
        <v>1</v>
      </c>
      <c r="AI391" s="95" t="s">
        <v>373</v>
      </c>
      <c r="AJ391" s="95"/>
      <c r="AK391" s="95"/>
      <c r="AL391" s="95"/>
      <c r="AM391" s="95"/>
      <c r="AN391" s="125"/>
      <c r="AO391" s="95">
        <v>2</v>
      </c>
      <c r="AP391" s="79">
        <v>7</v>
      </c>
      <c r="AQ391" s="85">
        <f>SUM(COUNTIF(I391:AN391,"1")+COUNTIF(I391:AN391,"*1*"))</f>
        <v>9</v>
      </c>
      <c r="AR391" s="102" t="s">
        <v>376</v>
      </c>
      <c r="AT391" s="67">
        <f t="shared" si="19"/>
        <v>0</v>
      </c>
      <c r="AU391" s="67">
        <f t="shared" si="20"/>
        <v>0</v>
      </c>
      <c r="AW391" s="80"/>
      <c r="AX391" s="80"/>
      <c r="AY391" s="80"/>
      <c r="AZ391" s="80"/>
      <c r="BA391" s="80"/>
      <c r="BB391" s="80"/>
      <c r="BC391" s="80"/>
      <c r="BD391" s="80"/>
      <c r="BE391" s="80"/>
      <c r="BF391" s="80"/>
      <c r="BG391" s="80"/>
      <c r="BH391" s="80"/>
      <c r="BI391" s="80"/>
      <c r="BJ391" s="80"/>
      <c r="BK391" s="80"/>
      <c r="BL391" s="80"/>
      <c r="BM391" s="80"/>
      <c r="BN391" s="80"/>
      <c r="BO391" s="80"/>
      <c r="BP391" s="80"/>
      <c r="BQ391" s="80"/>
      <c r="BR391" s="80"/>
      <c r="BS391" s="80"/>
      <c r="BT391" s="80"/>
      <c r="BU391" s="80"/>
      <c r="BV391" s="80"/>
      <c r="BW391" s="80"/>
      <c r="BX391" s="80"/>
      <c r="BY391" s="80"/>
      <c r="BZ391" s="80"/>
      <c r="CA391" s="80"/>
      <c r="CB391" s="80"/>
      <c r="CC391" s="80"/>
      <c r="CD391" s="80"/>
      <c r="CE391" s="80"/>
      <c r="CF391" s="80"/>
      <c r="CG391" s="80"/>
      <c r="CH391" s="80"/>
      <c r="CI391" s="80"/>
      <c r="CJ391" s="80"/>
      <c r="CX391" s="8">
        <v>365</v>
      </c>
    </row>
    <row r="392" spans="1:102">
      <c r="A392" s="8">
        <v>366</v>
      </c>
      <c r="B392" s="8" t="s">
        <v>13</v>
      </c>
      <c r="C392" s="8" t="s">
        <v>252</v>
      </c>
      <c r="D392" s="8" t="s">
        <v>325</v>
      </c>
      <c r="E392" s="8" t="s">
        <v>15</v>
      </c>
      <c r="F392" s="8"/>
      <c r="G392" s="8"/>
      <c r="H392" s="8"/>
      <c r="I392" s="124"/>
      <c r="J392" s="95"/>
      <c r="K392" s="95"/>
      <c r="L392" s="95"/>
      <c r="M392" s="95"/>
      <c r="N392" s="95"/>
      <c r="O392" s="95"/>
      <c r="P392" s="125"/>
      <c r="Q392" s="124"/>
      <c r="R392" s="95"/>
      <c r="S392" s="95"/>
      <c r="T392" s="95"/>
      <c r="U392" s="95"/>
      <c r="V392" s="95"/>
      <c r="W392" s="95"/>
      <c r="X392" s="125"/>
      <c r="Y392" s="124"/>
      <c r="Z392" s="95"/>
      <c r="AA392" s="95"/>
      <c r="AB392" s="95"/>
      <c r="AC392" s="95"/>
      <c r="AD392" s="95"/>
      <c r="AE392" s="95"/>
      <c r="AF392" s="125"/>
      <c r="AG392" s="95"/>
      <c r="AH392" s="95"/>
      <c r="AI392" s="95"/>
      <c r="AJ392" s="95"/>
      <c r="AK392" s="95"/>
      <c r="AL392" s="95"/>
      <c r="AM392" s="95"/>
      <c r="AN392" s="125"/>
      <c r="AO392" s="95"/>
      <c r="AP392" s="79"/>
      <c r="AQ392" s="85">
        <f t="shared" si="18"/>
        <v>0</v>
      </c>
      <c r="AR392" s="19"/>
      <c r="AS392"/>
      <c r="AT392" s="67">
        <f t="shared" si="19"/>
        <v>0</v>
      </c>
      <c r="AU392" s="67">
        <f t="shared" si="20"/>
        <v>0</v>
      </c>
      <c r="AV392" s="66"/>
      <c r="AW392" s="12"/>
      <c r="CK392"/>
      <c r="CX392">
        <v>366</v>
      </c>
    </row>
    <row r="393" spans="1:102">
      <c r="A393" s="8">
        <v>367</v>
      </c>
      <c r="B393" s="8" t="s">
        <v>13</v>
      </c>
      <c r="C393" s="8" t="s">
        <v>80</v>
      </c>
      <c r="D393" s="8" t="s">
        <v>346</v>
      </c>
      <c r="E393" s="8" t="s">
        <v>15</v>
      </c>
      <c r="F393" s="8">
        <v>11</v>
      </c>
      <c r="G393" s="8">
        <v>20</v>
      </c>
      <c r="H393" s="8">
        <v>20</v>
      </c>
      <c r="I393" s="124"/>
      <c r="J393" s="95"/>
      <c r="K393" s="95" t="s">
        <v>49</v>
      </c>
      <c r="L393" s="95">
        <v>1</v>
      </c>
      <c r="M393" s="95">
        <v>1</v>
      </c>
      <c r="N393" s="95">
        <v>1</v>
      </c>
      <c r="O393" s="95" t="s">
        <v>9</v>
      </c>
      <c r="P393" s="125">
        <v>1</v>
      </c>
      <c r="Q393" s="124" t="s">
        <v>9</v>
      </c>
      <c r="R393" s="95" t="s">
        <v>9</v>
      </c>
      <c r="S393" s="95" t="s">
        <v>9</v>
      </c>
      <c r="T393" s="95">
        <v>1</v>
      </c>
      <c r="U393" s="95">
        <v>1</v>
      </c>
      <c r="V393" s="95" t="s">
        <v>49</v>
      </c>
      <c r="W393" s="95"/>
      <c r="X393" s="125"/>
      <c r="Y393" s="124"/>
      <c r="Z393" s="95"/>
      <c r="AA393" s="95" t="s">
        <v>49</v>
      </c>
      <c r="AB393" s="95">
        <v>1</v>
      </c>
      <c r="AC393" s="95">
        <v>1</v>
      </c>
      <c r="AD393" s="95" t="s">
        <v>9</v>
      </c>
      <c r="AE393" s="95">
        <v>1</v>
      </c>
      <c r="AF393" s="125" t="s">
        <v>9</v>
      </c>
      <c r="AG393" s="95" t="s">
        <v>9</v>
      </c>
      <c r="AH393" s="95" t="s">
        <v>9</v>
      </c>
      <c r="AI393" s="95">
        <v>1</v>
      </c>
      <c r="AJ393" s="95" t="s">
        <v>9</v>
      </c>
      <c r="AK393" s="95">
        <v>1</v>
      </c>
      <c r="AL393" s="95" t="s">
        <v>49</v>
      </c>
      <c r="AM393" s="95"/>
      <c r="AN393" s="125"/>
      <c r="AO393" s="95">
        <v>11</v>
      </c>
      <c r="AP393" s="79"/>
      <c r="AQ393" s="85">
        <f t="shared" si="18"/>
        <v>11</v>
      </c>
      <c r="AR393" s="19"/>
      <c r="AS393"/>
      <c r="AT393" s="67">
        <f t="shared" si="19"/>
        <v>0</v>
      </c>
      <c r="AU393" s="67">
        <f t="shared" si="20"/>
        <v>9</v>
      </c>
      <c r="AV393" s="66"/>
      <c r="AW393" s="12"/>
      <c r="BA393" s="12">
        <v>1</v>
      </c>
      <c r="CK393"/>
      <c r="CX393">
        <v>367</v>
      </c>
    </row>
    <row r="394" spans="1:102">
      <c r="A394" s="8">
        <v>368</v>
      </c>
      <c r="B394" s="8" t="s">
        <v>13</v>
      </c>
      <c r="C394" s="8" t="s">
        <v>253</v>
      </c>
      <c r="D394" s="8" t="s">
        <v>358</v>
      </c>
      <c r="E394" s="8" t="s">
        <v>6</v>
      </c>
      <c r="F394" s="8"/>
      <c r="G394" s="8"/>
      <c r="H394" s="8"/>
      <c r="I394" s="124"/>
      <c r="J394" s="95"/>
      <c r="K394" s="95"/>
      <c r="L394" s="95"/>
      <c r="M394" s="95"/>
      <c r="N394" s="95"/>
      <c r="O394" s="95"/>
      <c r="P394" s="125"/>
      <c r="Q394" s="124"/>
      <c r="R394" s="95"/>
      <c r="S394" s="95"/>
      <c r="T394" s="95"/>
      <c r="U394" s="95"/>
      <c r="V394" s="95"/>
      <c r="W394" s="95"/>
      <c r="X394" s="125"/>
      <c r="Y394" s="124"/>
      <c r="Z394" s="95"/>
      <c r="AA394" s="95"/>
      <c r="AB394" s="95"/>
      <c r="AC394" s="95"/>
      <c r="AD394" s="95"/>
      <c r="AE394" s="95"/>
      <c r="AF394" s="125"/>
      <c r="AG394" s="95"/>
      <c r="AH394" s="95"/>
      <c r="AI394" s="95"/>
      <c r="AJ394" s="95"/>
      <c r="AK394" s="95"/>
      <c r="AL394" s="95"/>
      <c r="AM394" s="95"/>
      <c r="AN394" s="125"/>
      <c r="AO394" s="95"/>
      <c r="AP394" s="79"/>
      <c r="AQ394" s="85">
        <f t="shared" si="18"/>
        <v>0</v>
      </c>
      <c r="AR394" s="19"/>
      <c r="AS394"/>
      <c r="AT394" s="67">
        <f t="shared" si="19"/>
        <v>0</v>
      </c>
      <c r="AU394" s="67">
        <f t="shared" si="20"/>
        <v>0</v>
      </c>
      <c r="AV394" s="66"/>
      <c r="AW394" s="12"/>
      <c r="CK394"/>
      <c r="CX394">
        <v>368</v>
      </c>
    </row>
    <row r="395" spans="1:102">
      <c r="A395" s="8">
        <v>369</v>
      </c>
      <c r="B395" s="8" t="s">
        <v>12</v>
      </c>
      <c r="C395" s="8" t="s">
        <v>91</v>
      </c>
      <c r="D395" s="8" t="s">
        <v>366</v>
      </c>
      <c r="E395" s="8" t="s">
        <v>42</v>
      </c>
      <c r="F395" s="8"/>
      <c r="G395" s="8"/>
      <c r="H395" s="8"/>
      <c r="I395" s="124"/>
      <c r="J395" s="95"/>
      <c r="K395" s="95"/>
      <c r="L395" s="95"/>
      <c r="M395" s="95"/>
      <c r="N395" s="95"/>
      <c r="O395" s="95"/>
      <c r="P395" s="125"/>
      <c r="Q395" s="124"/>
      <c r="R395" s="95"/>
      <c r="S395" s="95"/>
      <c r="T395" s="95"/>
      <c r="U395" s="95"/>
      <c r="V395" s="95"/>
      <c r="W395" s="95"/>
      <c r="X395" s="125"/>
      <c r="Y395" s="124"/>
      <c r="Z395" s="95"/>
      <c r="AA395" s="95"/>
      <c r="AB395" s="95"/>
      <c r="AC395" s="95"/>
      <c r="AD395" s="95"/>
      <c r="AE395" s="95"/>
      <c r="AF395" s="125"/>
      <c r="AG395" s="95"/>
      <c r="AH395" s="95"/>
      <c r="AI395" s="95"/>
      <c r="AJ395" s="95"/>
      <c r="AK395" s="95"/>
      <c r="AL395" s="95"/>
      <c r="AM395" s="95"/>
      <c r="AN395" s="125"/>
      <c r="AO395" s="95"/>
      <c r="AP395" s="79"/>
      <c r="AQ395" s="85">
        <f t="shared" si="18"/>
        <v>0</v>
      </c>
      <c r="AR395" s="19"/>
      <c r="AS395"/>
      <c r="AT395" s="67">
        <f t="shared" si="19"/>
        <v>0</v>
      </c>
      <c r="AU395" s="67">
        <f t="shared" si="20"/>
        <v>0</v>
      </c>
      <c r="AV395" s="66"/>
      <c r="AW395" s="12"/>
      <c r="BD395" s="12">
        <v>1</v>
      </c>
      <c r="BV395" s="12">
        <v>1</v>
      </c>
      <c r="BY395" s="12">
        <v>1</v>
      </c>
      <c r="CK395"/>
      <c r="CX395">
        <v>369</v>
      </c>
    </row>
    <row r="396" spans="1:102">
      <c r="A396" s="8">
        <v>370</v>
      </c>
      <c r="B396" s="8" t="s">
        <v>12</v>
      </c>
      <c r="C396" s="8" t="s">
        <v>40</v>
      </c>
      <c r="D396" s="8" t="s">
        <v>40</v>
      </c>
      <c r="E396" s="8" t="s">
        <v>15</v>
      </c>
      <c r="F396" s="8"/>
      <c r="G396" s="8"/>
      <c r="H396" s="8"/>
      <c r="I396" s="124"/>
      <c r="J396" s="95"/>
      <c r="K396" s="95"/>
      <c r="L396" s="95"/>
      <c r="M396" s="95"/>
      <c r="N396" s="95"/>
      <c r="O396" s="95"/>
      <c r="P396" s="125"/>
      <c r="Q396" s="124"/>
      <c r="R396" s="95"/>
      <c r="S396" s="95"/>
      <c r="T396" s="95"/>
      <c r="U396" s="95"/>
      <c r="V396" s="95"/>
      <c r="W396" s="95"/>
      <c r="X396" s="125"/>
      <c r="Y396" s="124"/>
      <c r="Z396" s="95"/>
      <c r="AA396" s="95"/>
      <c r="AB396" s="95"/>
      <c r="AC396" s="95"/>
      <c r="AD396" s="95"/>
      <c r="AE396" s="95"/>
      <c r="AF396" s="125"/>
      <c r="AG396" s="95"/>
      <c r="AH396" s="95"/>
      <c r="AI396" s="95"/>
      <c r="AJ396" s="95"/>
      <c r="AK396" s="95"/>
      <c r="AL396" s="95"/>
      <c r="AM396" s="95"/>
      <c r="AN396" s="125"/>
      <c r="AO396" s="95"/>
      <c r="AP396" s="79"/>
      <c r="AQ396" s="85">
        <f t="shared" si="18"/>
        <v>0</v>
      </c>
      <c r="AR396" s="19"/>
      <c r="AS396"/>
      <c r="AT396" s="67">
        <f t="shared" si="19"/>
        <v>0</v>
      </c>
      <c r="AU396" s="67">
        <f t="shared" si="20"/>
        <v>0</v>
      </c>
      <c r="AV396" s="66"/>
      <c r="AW396" s="12"/>
      <c r="CK396"/>
      <c r="CX396">
        <v>370</v>
      </c>
    </row>
    <row r="397" spans="1:102">
      <c r="A397" s="8">
        <v>371</v>
      </c>
      <c r="B397" s="8" t="s">
        <v>12</v>
      </c>
      <c r="C397" s="8" t="s">
        <v>73</v>
      </c>
      <c r="D397" s="8" t="s">
        <v>165</v>
      </c>
      <c r="E397" s="8" t="s">
        <v>42</v>
      </c>
      <c r="F397" s="8">
        <v>32</v>
      </c>
      <c r="G397" s="8">
        <v>32</v>
      </c>
      <c r="H397" s="8">
        <v>32</v>
      </c>
      <c r="I397" s="124">
        <v>1</v>
      </c>
      <c r="J397" s="95">
        <v>1</v>
      </c>
      <c r="K397" s="95">
        <v>1</v>
      </c>
      <c r="L397" s="95">
        <v>1</v>
      </c>
      <c r="M397" s="95">
        <v>1</v>
      </c>
      <c r="N397" s="95">
        <v>1</v>
      </c>
      <c r="O397" s="95">
        <v>1</v>
      </c>
      <c r="P397" s="125">
        <v>1</v>
      </c>
      <c r="Q397" s="124">
        <v>1</v>
      </c>
      <c r="R397" s="95">
        <v>1</v>
      </c>
      <c r="S397" s="95">
        <v>1</v>
      </c>
      <c r="T397" s="95">
        <v>1</v>
      </c>
      <c r="U397" s="95">
        <v>1</v>
      </c>
      <c r="V397" s="95">
        <v>1</v>
      </c>
      <c r="W397" s="95">
        <v>1</v>
      </c>
      <c r="X397" s="125">
        <v>1</v>
      </c>
      <c r="Y397" s="124">
        <v>1</v>
      </c>
      <c r="Z397" s="95">
        <v>1</v>
      </c>
      <c r="AA397" s="95">
        <v>1</v>
      </c>
      <c r="AB397" s="95">
        <v>1</v>
      </c>
      <c r="AC397" s="95">
        <v>1</v>
      </c>
      <c r="AD397" s="95">
        <v>1</v>
      </c>
      <c r="AE397" s="95">
        <v>1</v>
      </c>
      <c r="AF397" s="125">
        <v>1</v>
      </c>
      <c r="AG397" s="95">
        <v>1</v>
      </c>
      <c r="AH397" s="95">
        <v>1</v>
      </c>
      <c r="AI397" s="95">
        <v>1</v>
      </c>
      <c r="AJ397" s="95">
        <v>1</v>
      </c>
      <c r="AK397" s="95">
        <v>1</v>
      </c>
      <c r="AL397" s="95">
        <v>1</v>
      </c>
      <c r="AM397" s="95">
        <v>1</v>
      </c>
      <c r="AN397" s="125">
        <v>1</v>
      </c>
      <c r="AO397" s="95"/>
      <c r="AP397" s="79">
        <v>32</v>
      </c>
      <c r="AQ397" s="85">
        <f t="shared" si="18"/>
        <v>32</v>
      </c>
      <c r="AR397" s="19" t="s">
        <v>255</v>
      </c>
      <c r="AS397">
        <v>1</v>
      </c>
      <c r="AT397" s="67">
        <f t="shared" si="19"/>
        <v>0</v>
      </c>
      <c r="AU397" s="67">
        <f t="shared" si="20"/>
        <v>0</v>
      </c>
      <c r="AV397" s="66">
        <v>1</v>
      </c>
      <c r="AW397" s="12"/>
      <c r="AZ397" s="12">
        <v>1</v>
      </c>
      <c r="BA397" s="12">
        <v>1</v>
      </c>
      <c r="BB397" s="12">
        <v>1</v>
      </c>
      <c r="BG397" s="12">
        <v>3</v>
      </c>
      <c r="BL397" s="12">
        <v>1</v>
      </c>
      <c r="BQ397" s="12">
        <v>1</v>
      </c>
      <c r="BV397" s="12">
        <v>1</v>
      </c>
      <c r="BZ397" s="12">
        <v>1</v>
      </c>
      <c r="CK397"/>
      <c r="CX397">
        <v>371</v>
      </c>
    </row>
    <row r="398" spans="1:102">
      <c r="A398" s="8">
        <v>372</v>
      </c>
      <c r="B398" s="8" t="s">
        <v>13</v>
      </c>
      <c r="C398" s="8" t="s">
        <v>256</v>
      </c>
      <c r="D398" s="8" t="s">
        <v>358</v>
      </c>
      <c r="E398" s="8" t="s">
        <v>42</v>
      </c>
      <c r="F398" s="8"/>
      <c r="G398" s="8"/>
      <c r="H398" s="8"/>
      <c r="I398" s="124"/>
      <c r="J398" s="95"/>
      <c r="K398" s="95"/>
      <c r="L398" s="95"/>
      <c r="M398" s="95"/>
      <c r="N398" s="95"/>
      <c r="O398" s="95"/>
      <c r="P398" s="125"/>
      <c r="Q398" s="124"/>
      <c r="R398" s="95"/>
      <c r="S398" s="95"/>
      <c r="T398" s="95"/>
      <c r="U398" s="95"/>
      <c r="V398" s="95"/>
      <c r="W398" s="95"/>
      <c r="X398" s="125"/>
      <c r="Y398" s="124"/>
      <c r="Z398" s="95"/>
      <c r="AA398" s="95"/>
      <c r="AB398" s="95"/>
      <c r="AC398" s="95"/>
      <c r="AD398" s="95"/>
      <c r="AE398" s="95"/>
      <c r="AF398" s="125"/>
      <c r="AG398" s="95"/>
      <c r="AH398" s="95"/>
      <c r="AI398" s="95"/>
      <c r="AJ398" s="95"/>
      <c r="AK398" s="95"/>
      <c r="AL398" s="95"/>
      <c r="AM398" s="95"/>
      <c r="AN398" s="125"/>
      <c r="AO398" s="95"/>
      <c r="AP398" s="79"/>
      <c r="AQ398" s="85">
        <f t="shared" si="18"/>
        <v>0</v>
      </c>
      <c r="AR398" s="19"/>
      <c r="AS398"/>
      <c r="AT398" s="67">
        <f t="shared" si="19"/>
        <v>0</v>
      </c>
      <c r="AU398" s="67">
        <f t="shared" si="20"/>
        <v>0</v>
      </c>
      <c r="AV398" s="66"/>
      <c r="AW398" s="12"/>
      <c r="CK398"/>
      <c r="CM398" t="s">
        <v>326</v>
      </c>
      <c r="CX398">
        <v>372</v>
      </c>
    </row>
    <row r="399" spans="1:102">
      <c r="A399" s="8">
        <v>373</v>
      </c>
      <c r="B399" s="8" t="s">
        <v>12</v>
      </c>
      <c r="C399" s="8" t="s">
        <v>40</v>
      </c>
      <c r="D399" s="8" t="s">
        <v>40</v>
      </c>
      <c r="E399" s="8" t="s">
        <v>153</v>
      </c>
      <c r="F399" s="8"/>
      <c r="G399" s="8"/>
      <c r="H399" s="8"/>
      <c r="I399" s="124"/>
      <c r="J399" s="95"/>
      <c r="K399" s="95"/>
      <c r="L399" s="95"/>
      <c r="M399" s="95"/>
      <c r="N399" s="95"/>
      <c r="O399" s="95"/>
      <c r="P399" s="125"/>
      <c r="Q399" s="124"/>
      <c r="R399" s="95"/>
      <c r="S399" s="95"/>
      <c r="T399" s="95"/>
      <c r="U399" s="95"/>
      <c r="V399" s="95"/>
      <c r="W399" s="95"/>
      <c r="X399" s="125"/>
      <c r="Y399" s="124"/>
      <c r="Z399" s="95"/>
      <c r="AA399" s="95"/>
      <c r="AB399" s="95"/>
      <c r="AC399" s="95"/>
      <c r="AD399" s="95"/>
      <c r="AE399" s="95"/>
      <c r="AF399" s="125"/>
      <c r="AG399" s="95"/>
      <c r="AH399" s="95"/>
      <c r="AI399" s="95"/>
      <c r="AJ399" s="95"/>
      <c r="AK399" s="95"/>
      <c r="AL399" s="95"/>
      <c r="AM399" s="95"/>
      <c r="AN399" s="125"/>
      <c r="AO399" s="95"/>
      <c r="AP399" s="79"/>
      <c r="AQ399" s="85">
        <f t="shared" si="18"/>
        <v>0</v>
      </c>
      <c r="AR399" s="19"/>
      <c r="AS399"/>
      <c r="AT399" s="67">
        <f t="shared" si="19"/>
        <v>0</v>
      </c>
      <c r="AU399" s="67">
        <f t="shared" si="20"/>
        <v>0</v>
      </c>
      <c r="AV399" s="66"/>
      <c r="AW399" s="12"/>
      <c r="BQ399" s="12">
        <v>1</v>
      </c>
      <c r="CK399"/>
      <c r="CX399">
        <v>373</v>
      </c>
    </row>
    <row r="400" spans="1:102">
      <c r="A400" s="8">
        <v>374</v>
      </c>
      <c r="B400" s="8" t="s">
        <v>12</v>
      </c>
      <c r="C400" s="8" t="s">
        <v>5</v>
      </c>
      <c r="D400" s="8" t="s">
        <v>42</v>
      </c>
      <c r="E400" s="8" t="s">
        <v>42</v>
      </c>
      <c r="F400" s="8"/>
      <c r="G400" s="8"/>
      <c r="H400" s="8"/>
      <c r="I400" s="124"/>
      <c r="J400" s="95"/>
      <c r="K400" s="95"/>
      <c r="L400" s="95"/>
      <c r="M400" s="95"/>
      <c r="N400" s="95"/>
      <c r="O400" s="95"/>
      <c r="P400" s="125"/>
      <c r="Q400" s="124"/>
      <c r="R400" s="95"/>
      <c r="S400" s="95"/>
      <c r="T400" s="95"/>
      <c r="U400" s="95"/>
      <c r="V400" s="95"/>
      <c r="W400" s="95"/>
      <c r="X400" s="125"/>
      <c r="Y400" s="124"/>
      <c r="Z400" s="95"/>
      <c r="AA400" s="95"/>
      <c r="AB400" s="95"/>
      <c r="AC400" s="95"/>
      <c r="AD400" s="95"/>
      <c r="AE400" s="95"/>
      <c r="AF400" s="125"/>
      <c r="AG400" s="95"/>
      <c r="AH400" s="95"/>
      <c r="AI400" s="95"/>
      <c r="AJ400" s="95"/>
      <c r="AK400" s="95"/>
      <c r="AL400" s="95"/>
      <c r="AM400" s="95"/>
      <c r="AN400" s="125"/>
      <c r="AO400" s="95"/>
      <c r="AP400" s="79"/>
      <c r="AQ400" s="85">
        <f t="shared" si="18"/>
        <v>0</v>
      </c>
      <c r="AR400" s="19"/>
      <c r="AS400"/>
      <c r="AT400" s="67">
        <f t="shared" si="19"/>
        <v>0</v>
      </c>
      <c r="AU400" s="67">
        <f t="shared" si="20"/>
        <v>0</v>
      </c>
      <c r="AV400" s="66"/>
      <c r="AW400" s="12"/>
      <c r="BQ400" s="12">
        <v>2</v>
      </c>
      <c r="BS400" s="12">
        <v>1</v>
      </c>
      <c r="BY400" s="12">
        <v>1</v>
      </c>
      <c r="CK400"/>
      <c r="CX400">
        <v>374</v>
      </c>
    </row>
    <row r="401" spans="1:103">
      <c r="A401" s="8">
        <v>375</v>
      </c>
      <c r="B401" s="8" t="s">
        <v>12</v>
      </c>
      <c r="C401" s="8" t="s">
        <v>44</v>
      </c>
      <c r="D401" s="8" t="s">
        <v>349</v>
      </c>
      <c r="E401" s="8" t="s">
        <v>6</v>
      </c>
      <c r="F401" s="8">
        <v>11</v>
      </c>
      <c r="G401" s="8" t="s">
        <v>15</v>
      </c>
      <c r="H401" s="8" t="s">
        <v>15</v>
      </c>
      <c r="I401" s="124" t="s">
        <v>15</v>
      </c>
      <c r="J401" s="95" t="s">
        <v>10</v>
      </c>
      <c r="K401" s="95" t="s">
        <v>10</v>
      </c>
      <c r="L401" s="95">
        <v>1</v>
      </c>
      <c r="M401" s="95">
        <v>1</v>
      </c>
      <c r="N401" s="95">
        <v>1</v>
      </c>
      <c r="O401" s="95" t="s">
        <v>9</v>
      </c>
      <c r="P401" s="125" t="s">
        <v>10</v>
      </c>
      <c r="Q401" s="124" t="s">
        <v>10</v>
      </c>
      <c r="R401" s="95" t="s">
        <v>10</v>
      </c>
      <c r="S401" s="95">
        <v>1</v>
      </c>
      <c r="T401" s="95">
        <v>1</v>
      </c>
      <c r="U401" s="95">
        <v>1</v>
      </c>
      <c r="V401" s="95">
        <v>1</v>
      </c>
      <c r="W401" s="95" t="s">
        <v>15</v>
      </c>
      <c r="X401" s="125" t="s">
        <v>15</v>
      </c>
      <c r="Y401" s="124" t="s">
        <v>15</v>
      </c>
      <c r="Z401" s="95" t="s">
        <v>257</v>
      </c>
      <c r="AA401" s="95" t="s">
        <v>10</v>
      </c>
      <c r="AB401" s="95" t="s">
        <v>10</v>
      </c>
      <c r="AC401" s="95" t="s">
        <v>10</v>
      </c>
      <c r="AD401" s="95" t="s">
        <v>10</v>
      </c>
      <c r="AE401" s="95">
        <v>1</v>
      </c>
      <c r="AF401" s="125" t="s">
        <v>9</v>
      </c>
      <c r="AG401" s="95">
        <v>1</v>
      </c>
      <c r="AH401" s="95">
        <v>1</v>
      </c>
      <c r="AI401" s="95">
        <v>1</v>
      </c>
      <c r="AJ401" s="95" t="s">
        <v>10</v>
      </c>
      <c r="AK401" s="95" t="s">
        <v>10</v>
      </c>
      <c r="AL401" s="95" t="s">
        <v>10</v>
      </c>
      <c r="AM401" s="95" t="s">
        <v>10</v>
      </c>
      <c r="AN401" s="125" t="s">
        <v>49</v>
      </c>
      <c r="AO401" s="95"/>
      <c r="AP401" s="79">
        <v>11</v>
      </c>
      <c r="AQ401" s="85">
        <f t="shared" si="18"/>
        <v>11</v>
      </c>
      <c r="AR401" s="19" t="s">
        <v>258</v>
      </c>
      <c r="AS401"/>
      <c r="AT401" s="67">
        <f t="shared" si="19"/>
        <v>14</v>
      </c>
      <c r="AU401" s="67">
        <f t="shared" si="20"/>
        <v>2</v>
      </c>
      <c r="AV401" s="66"/>
      <c r="AW401" s="12">
        <v>1</v>
      </c>
      <c r="AX401" s="12">
        <v>1</v>
      </c>
      <c r="AY401" s="12">
        <v>1</v>
      </c>
      <c r="AZ401" s="12">
        <v>1</v>
      </c>
      <c r="BA401" s="12">
        <v>1</v>
      </c>
      <c r="BG401" s="12">
        <v>1</v>
      </c>
      <c r="BH401" s="12">
        <v>1</v>
      </c>
      <c r="BK401" s="12">
        <v>1</v>
      </c>
      <c r="BM401" s="12" t="s">
        <v>326</v>
      </c>
      <c r="BQ401" s="12">
        <v>10</v>
      </c>
      <c r="BW401" s="12">
        <v>1</v>
      </c>
      <c r="BY401" s="12">
        <v>1</v>
      </c>
      <c r="BZ401" s="12">
        <v>2</v>
      </c>
      <c r="CK401"/>
      <c r="CL401">
        <v>1</v>
      </c>
      <c r="CX401">
        <v>375</v>
      </c>
    </row>
    <row r="402" spans="1:103">
      <c r="A402" s="8">
        <v>376</v>
      </c>
      <c r="B402" s="8" t="s">
        <v>12</v>
      </c>
      <c r="C402" s="8" t="s">
        <v>106</v>
      </c>
      <c r="D402" s="8" t="s">
        <v>349</v>
      </c>
      <c r="E402" s="8" t="s">
        <v>6</v>
      </c>
      <c r="F402" s="8">
        <v>2</v>
      </c>
      <c r="G402" s="8" t="s">
        <v>15</v>
      </c>
      <c r="H402" s="8" t="s">
        <v>15</v>
      </c>
      <c r="I402" s="124" t="s">
        <v>15</v>
      </c>
      <c r="J402" s="95" t="s">
        <v>15</v>
      </c>
      <c r="K402" s="95">
        <v>1</v>
      </c>
      <c r="L402" s="95" t="s">
        <v>10</v>
      </c>
      <c r="M402" s="95" t="s">
        <v>10</v>
      </c>
      <c r="N402" s="95" t="s">
        <v>10</v>
      </c>
      <c r="O402" s="95" t="s">
        <v>10</v>
      </c>
      <c r="P402" s="125" t="s">
        <v>10</v>
      </c>
      <c r="Q402" s="124" t="s">
        <v>9</v>
      </c>
      <c r="R402" s="95" t="s">
        <v>9</v>
      </c>
      <c r="S402" s="95" t="s">
        <v>10</v>
      </c>
      <c r="T402" s="95" t="s">
        <v>10</v>
      </c>
      <c r="U402" s="95" t="s">
        <v>10</v>
      </c>
      <c r="V402" s="95" t="s">
        <v>10</v>
      </c>
      <c r="W402" s="95" t="s">
        <v>15</v>
      </c>
      <c r="X402" s="125" t="s">
        <v>15</v>
      </c>
      <c r="Y402" s="124" t="s">
        <v>15</v>
      </c>
      <c r="Z402" s="95" t="s">
        <v>10</v>
      </c>
      <c r="AA402" s="95" t="s">
        <v>10</v>
      </c>
      <c r="AB402" s="95" t="s">
        <v>10</v>
      </c>
      <c r="AC402" s="95" t="s">
        <v>10</v>
      </c>
      <c r="AD402" s="95" t="s">
        <v>10</v>
      </c>
      <c r="AE402" s="95" t="s">
        <v>10</v>
      </c>
      <c r="AF402" s="125" t="s">
        <v>10</v>
      </c>
      <c r="AG402" s="95" t="s">
        <v>10</v>
      </c>
      <c r="AH402" s="95" t="s">
        <v>10</v>
      </c>
      <c r="AI402" s="95" t="s">
        <v>9</v>
      </c>
      <c r="AJ402" s="95" t="s">
        <v>10</v>
      </c>
      <c r="AK402" s="95">
        <v>1</v>
      </c>
      <c r="AL402" s="95" t="s">
        <v>10</v>
      </c>
      <c r="AM402" s="95" t="s">
        <v>10</v>
      </c>
      <c r="AN402" s="125" t="s">
        <v>15</v>
      </c>
      <c r="AO402" s="95"/>
      <c r="AP402" s="79">
        <v>2</v>
      </c>
      <c r="AQ402" s="85">
        <f t="shared" si="18"/>
        <v>2</v>
      </c>
      <c r="AR402" s="19"/>
      <c r="AS402"/>
      <c r="AT402" s="67">
        <f t="shared" si="19"/>
        <v>21</v>
      </c>
      <c r="AU402" s="67">
        <f t="shared" si="20"/>
        <v>3</v>
      </c>
      <c r="AV402" s="66"/>
      <c r="AW402" s="12">
        <v>1</v>
      </c>
      <c r="AX402" s="12">
        <v>1</v>
      </c>
      <c r="AY402" s="12">
        <v>1</v>
      </c>
      <c r="BB402" s="12">
        <v>1</v>
      </c>
      <c r="BE402" s="12">
        <v>1</v>
      </c>
      <c r="BO402" s="12">
        <v>1</v>
      </c>
      <c r="BQ402" s="12">
        <v>1</v>
      </c>
      <c r="BW402" s="12">
        <v>1</v>
      </c>
      <c r="BY402" s="12">
        <v>1</v>
      </c>
      <c r="CK402"/>
      <c r="CX402">
        <v>376</v>
      </c>
    </row>
    <row r="403" spans="1:103">
      <c r="A403" s="8">
        <v>377</v>
      </c>
      <c r="B403" s="8" t="s">
        <v>12</v>
      </c>
      <c r="C403" s="8" t="s">
        <v>62</v>
      </c>
      <c r="D403" s="8" t="s">
        <v>42</v>
      </c>
      <c r="E403" s="8" t="s">
        <v>6</v>
      </c>
      <c r="F403" s="8">
        <v>28</v>
      </c>
      <c r="G403" s="8">
        <v>31</v>
      </c>
      <c r="H403" s="8">
        <v>31</v>
      </c>
      <c r="I403" s="124">
        <v>1</v>
      </c>
      <c r="J403" s="95">
        <v>1</v>
      </c>
      <c r="K403" s="95">
        <v>1</v>
      </c>
      <c r="L403" s="95">
        <v>1</v>
      </c>
      <c r="M403" s="95">
        <v>1</v>
      </c>
      <c r="N403" s="95">
        <v>1</v>
      </c>
      <c r="O403" s="95">
        <v>1</v>
      </c>
      <c r="P403" s="125" t="s">
        <v>9</v>
      </c>
      <c r="Q403" s="124" t="s">
        <v>9</v>
      </c>
      <c r="R403" s="95">
        <v>1</v>
      </c>
      <c r="S403" s="95">
        <v>1</v>
      </c>
      <c r="T403" s="95">
        <v>1</v>
      </c>
      <c r="U403" s="95">
        <v>1</v>
      </c>
      <c r="V403" s="95">
        <v>1</v>
      </c>
      <c r="W403" s="95">
        <v>1</v>
      </c>
      <c r="X403" s="125">
        <v>1</v>
      </c>
      <c r="Y403" s="124"/>
      <c r="Z403" s="95">
        <v>1</v>
      </c>
      <c r="AA403" s="95" t="s">
        <v>9</v>
      </c>
      <c r="AB403" s="95">
        <v>1</v>
      </c>
      <c r="AC403" s="95">
        <v>1</v>
      </c>
      <c r="AD403" s="95">
        <v>1</v>
      </c>
      <c r="AE403" s="95">
        <v>1</v>
      </c>
      <c r="AF403" s="125">
        <v>1</v>
      </c>
      <c r="AG403" s="95">
        <v>1</v>
      </c>
      <c r="AH403" s="95">
        <v>1</v>
      </c>
      <c r="AI403" s="95">
        <v>1</v>
      </c>
      <c r="AJ403" s="95">
        <v>1</v>
      </c>
      <c r="AK403" s="95">
        <v>1</v>
      </c>
      <c r="AL403" s="95">
        <v>1</v>
      </c>
      <c r="AM403" s="95">
        <v>1</v>
      </c>
      <c r="AN403" s="125">
        <v>1</v>
      </c>
      <c r="AO403" s="95"/>
      <c r="AP403" s="79">
        <v>28</v>
      </c>
      <c r="AQ403" s="85">
        <f t="shared" si="18"/>
        <v>28</v>
      </c>
      <c r="AR403" s="19" t="s">
        <v>259</v>
      </c>
      <c r="AS403"/>
      <c r="AT403" s="67">
        <f t="shared" si="19"/>
        <v>0</v>
      </c>
      <c r="AU403" s="67">
        <f t="shared" si="20"/>
        <v>3</v>
      </c>
      <c r="AV403" s="66"/>
      <c r="AW403" s="12">
        <v>1</v>
      </c>
      <c r="AX403" s="12">
        <v>1</v>
      </c>
      <c r="AZ403" s="12">
        <v>1</v>
      </c>
      <c r="BA403" s="12">
        <v>1</v>
      </c>
      <c r="BB403" s="12">
        <v>1</v>
      </c>
      <c r="BK403" s="12" t="s">
        <v>326</v>
      </c>
      <c r="BO403" s="12">
        <v>3</v>
      </c>
      <c r="BQ403" s="12">
        <v>1</v>
      </c>
      <c r="BV403" s="12">
        <v>1</v>
      </c>
      <c r="BY403" s="12">
        <v>1</v>
      </c>
      <c r="BZ403" s="12" t="s">
        <v>326</v>
      </c>
      <c r="CK403"/>
      <c r="CO403">
        <v>1</v>
      </c>
      <c r="CX403">
        <v>377</v>
      </c>
    </row>
    <row r="404" spans="1:103">
      <c r="A404" s="8">
        <v>378</v>
      </c>
      <c r="B404" s="8" t="s">
        <v>13</v>
      </c>
      <c r="C404" s="8" t="s">
        <v>14</v>
      </c>
      <c r="D404" s="8" t="s">
        <v>345</v>
      </c>
      <c r="E404" s="8" t="s">
        <v>15</v>
      </c>
      <c r="F404" s="8"/>
      <c r="G404" s="8"/>
      <c r="H404" s="8"/>
      <c r="I404" s="124"/>
      <c r="J404" s="95"/>
      <c r="K404" s="95"/>
      <c r="L404" s="95"/>
      <c r="M404" s="95"/>
      <c r="N404" s="95"/>
      <c r="O404" s="95"/>
      <c r="P404" s="125"/>
      <c r="Q404" s="124"/>
      <c r="R404" s="95"/>
      <c r="S404" s="95"/>
      <c r="T404" s="95"/>
      <c r="U404" s="95"/>
      <c r="V404" s="95"/>
      <c r="W404" s="95"/>
      <c r="X404" s="125"/>
      <c r="Y404" s="124"/>
      <c r="Z404" s="95"/>
      <c r="AA404" s="95"/>
      <c r="AB404" s="95"/>
      <c r="AC404" s="95"/>
      <c r="AD404" s="95"/>
      <c r="AE404" s="95"/>
      <c r="AF404" s="125"/>
      <c r="AG404" s="95"/>
      <c r="AH404" s="95"/>
      <c r="AI404" s="95"/>
      <c r="AJ404" s="95"/>
      <c r="AK404" s="95"/>
      <c r="AL404" s="95"/>
      <c r="AM404" s="95"/>
      <c r="AN404" s="125"/>
      <c r="AO404" s="95"/>
      <c r="AP404" s="79"/>
      <c r="AQ404" s="85">
        <f t="shared" si="18"/>
        <v>0</v>
      </c>
      <c r="AR404" s="19"/>
      <c r="AS404"/>
      <c r="AT404" s="67">
        <f t="shared" si="19"/>
        <v>0</v>
      </c>
      <c r="AU404" s="67">
        <f t="shared" si="20"/>
        <v>0</v>
      </c>
      <c r="AV404" s="66"/>
      <c r="AW404" s="12"/>
      <c r="CG404" s="12" t="s">
        <v>326</v>
      </c>
      <c r="CI404" s="12">
        <v>1</v>
      </c>
      <c r="CK404"/>
      <c r="CX404">
        <v>378</v>
      </c>
    </row>
    <row r="405" spans="1:103">
      <c r="A405" s="8">
        <v>379</v>
      </c>
      <c r="B405" s="8" t="s">
        <v>12</v>
      </c>
      <c r="C405" s="8" t="s">
        <v>93</v>
      </c>
      <c r="D405" s="8" t="s">
        <v>12</v>
      </c>
      <c r="E405" s="8" t="s">
        <v>6</v>
      </c>
      <c r="F405" s="8"/>
      <c r="G405" s="8"/>
      <c r="H405" s="8"/>
      <c r="I405" s="124"/>
      <c r="J405" s="95"/>
      <c r="K405" s="95"/>
      <c r="L405" s="95"/>
      <c r="M405" s="95"/>
      <c r="N405" s="95"/>
      <c r="O405" s="95"/>
      <c r="P405" s="125"/>
      <c r="Q405" s="124"/>
      <c r="R405" s="95"/>
      <c r="S405" s="95"/>
      <c r="T405" s="95"/>
      <c r="U405" s="95"/>
      <c r="V405" s="95"/>
      <c r="W405" s="95"/>
      <c r="X405" s="125"/>
      <c r="Y405" s="124"/>
      <c r="Z405" s="95"/>
      <c r="AA405" s="95"/>
      <c r="AB405" s="95"/>
      <c r="AC405" s="95"/>
      <c r="AD405" s="95"/>
      <c r="AE405" s="95"/>
      <c r="AF405" s="125"/>
      <c r="AG405" s="95"/>
      <c r="AH405" s="95"/>
      <c r="AI405" s="95"/>
      <c r="AJ405" s="95"/>
      <c r="AK405" s="95"/>
      <c r="AL405" s="95"/>
      <c r="AM405" s="95"/>
      <c r="AN405" s="125"/>
      <c r="AO405" s="95"/>
      <c r="AP405" s="79"/>
      <c r="AQ405" s="85">
        <f t="shared" si="18"/>
        <v>0</v>
      </c>
      <c r="AR405" s="19"/>
      <c r="AS405"/>
      <c r="AT405" s="67">
        <f t="shared" si="19"/>
        <v>0</v>
      </c>
      <c r="AU405" s="67">
        <f t="shared" si="20"/>
        <v>0</v>
      </c>
      <c r="AV405" s="66"/>
      <c r="AW405" s="12"/>
      <c r="CK405"/>
      <c r="CX405">
        <v>379</v>
      </c>
    </row>
    <row r="406" spans="1:103">
      <c r="A406" s="8">
        <v>380</v>
      </c>
      <c r="B406" s="8" t="s">
        <v>12</v>
      </c>
      <c r="C406" s="8" t="s">
        <v>136</v>
      </c>
      <c r="D406" s="8" t="s">
        <v>12</v>
      </c>
      <c r="E406" s="8" t="s">
        <v>42</v>
      </c>
      <c r="F406" s="8">
        <v>30</v>
      </c>
      <c r="G406" s="8">
        <v>30</v>
      </c>
      <c r="H406" s="8">
        <v>30</v>
      </c>
      <c r="I406" s="124"/>
      <c r="J406" s="95">
        <v>1</v>
      </c>
      <c r="K406" s="95">
        <v>1</v>
      </c>
      <c r="L406" s="95">
        <v>1</v>
      </c>
      <c r="M406" s="95">
        <v>1</v>
      </c>
      <c r="N406" s="95">
        <v>1</v>
      </c>
      <c r="O406" s="95">
        <v>1</v>
      </c>
      <c r="P406" s="125">
        <v>1</v>
      </c>
      <c r="Q406" s="124">
        <v>1</v>
      </c>
      <c r="R406" s="95">
        <v>1</v>
      </c>
      <c r="S406" s="95">
        <v>1</v>
      </c>
      <c r="T406" s="95">
        <v>1</v>
      </c>
      <c r="U406" s="95">
        <v>1</v>
      </c>
      <c r="V406" s="95">
        <v>1</v>
      </c>
      <c r="W406" s="95">
        <v>1</v>
      </c>
      <c r="X406" s="125"/>
      <c r="Y406" s="124">
        <v>1</v>
      </c>
      <c r="Z406" s="95">
        <v>1</v>
      </c>
      <c r="AA406" s="95">
        <v>1</v>
      </c>
      <c r="AB406" s="95">
        <v>1</v>
      </c>
      <c r="AC406" s="95">
        <v>1</v>
      </c>
      <c r="AD406" s="95">
        <v>1</v>
      </c>
      <c r="AE406" s="95">
        <v>1</v>
      </c>
      <c r="AF406" s="125">
        <v>1</v>
      </c>
      <c r="AG406" s="95">
        <v>1</v>
      </c>
      <c r="AH406" s="95">
        <v>1</v>
      </c>
      <c r="AI406" s="95">
        <v>1</v>
      </c>
      <c r="AJ406" s="95">
        <v>1</v>
      </c>
      <c r="AK406" s="95">
        <v>1</v>
      </c>
      <c r="AL406" s="95">
        <v>1</v>
      </c>
      <c r="AM406" s="95">
        <v>1</v>
      </c>
      <c r="AN406" s="125">
        <v>1</v>
      </c>
      <c r="AO406" s="95"/>
      <c r="AP406" s="79">
        <v>30</v>
      </c>
      <c r="AQ406" s="85">
        <f t="shared" si="18"/>
        <v>30</v>
      </c>
      <c r="AR406" s="19" t="s">
        <v>260</v>
      </c>
      <c r="AS406">
        <v>1</v>
      </c>
      <c r="AT406" s="67">
        <f t="shared" si="19"/>
        <v>0</v>
      </c>
      <c r="AU406" s="67">
        <f t="shared" si="20"/>
        <v>0</v>
      </c>
      <c r="AV406" s="66"/>
      <c r="AW406" s="12"/>
      <c r="AZ406" s="12">
        <v>1</v>
      </c>
      <c r="BA406" s="12">
        <v>1</v>
      </c>
      <c r="CK406"/>
      <c r="CX406">
        <v>380</v>
      </c>
    </row>
    <row r="407" spans="1:103">
      <c r="A407" s="8">
        <v>381</v>
      </c>
      <c r="B407" s="8" t="s">
        <v>12</v>
      </c>
      <c r="C407" s="8" t="s">
        <v>62</v>
      </c>
      <c r="D407" s="8" t="s">
        <v>42</v>
      </c>
      <c r="E407" s="8" t="s">
        <v>42</v>
      </c>
      <c r="F407" s="8"/>
      <c r="G407" s="8"/>
      <c r="H407" s="8"/>
      <c r="I407" s="124"/>
      <c r="J407" s="95"/>
      <c r="K407" s="95"/>
      <c r="L407" s="95"/>
      <c r="M407" s="95"/>
      <c r="N407" s="95"/>
      <c r="O407" s="95"/>
      <c r="P407" s="125"/>
      <c r="Q407" s="124"/>
      <c r="R407" s="95"/>
      <c r="S407" s="95"/>
      <c r="T407" s="95"/>
      <c r="U407" s="95"/>
      <c r="V407" s="95"/>
      <c r="W407" s="95"/>
      <c r="X407" s="125"/>
      <c r="Y407" s="124"/>
      <c r="Z407" s="95"/>
      <c r="AA407" s="95"/>
      <c r="AB407" s="95"/>
      <c r="AC407" s="95"/>
      <c r="AD407" s="95"/>
      <c r="AE407" s="95"/>
      <c r="AF407" s="125"/>
      <c r="AG407" s="95"/>
      <c r="AH407" s="95"/>
      <c r="AI407" s="95"/>
      <c r="AJ407" s="95"/>
      <c r="AK407" s="95"/>
      <c r="AL407" s="95"/>
      <c r="AM407" s="95"/>
      <c r="AN407" s="125"/>
      <c r="AO407" s="95"/>
      <c r="AP407" s="79"/>
      <c r="AQ407" s="85">
        <f t="shared" si="18"/>
        <v>0</v>
      </c>
      <c r="AR407" s="19"/>
      <c r="AS407"/>
      <c r="AT407" s="67">
        <f t="shared" si="19"/>
        <v>0</v>
      </c>
      <c r="AU407" s="67">
        <f t="shared" si="20"/>
        <v>0</v>
      </c>
      <c r="AV407" s="66"/>
      <c r="AW407" s="12"/>
      <c r="BD407" s="12">
        <v>1</v>
      </c>
      <c r="BE407" s="12">
        <v>1</v>
      </c>
      <c r="BP407" s="12">
        <v>1</v>
      </c>
      <c r="BQ407" s="12">
        <v>8</v>
      </c>
      <c r="BS407" s="12">
        <v>1</v>
      </c>
      <c r="BV407" s="12">
        <v>1</v>
      </c>
      <c r="BY407" s="12">
        <v>1</v>
      </c>
      <c r="CK407">
        <v>1</v>
      </c>
      <c r="CX407">
        <v>381</v>
      </c>
      <c r="CY407" t="s">
        <v>330</v>
      </c>
    </row>
    <row r="408" spans="1:103">
      <c r="A408" s="8">
        <v>382</v>
      </c>
      <c r="B408" s="8" t="s">
        <v>12</v>
      </c>
      <c r="C408" s="8" t="s">
        <v>240</v>
      </c>
      <c r="D408" s="8" t="s">
        <v>42</v>
      </c>
      <c r="E408" s="8" t="s">
        <v>6</v>
      </c>
      <c r="F408" s="8"/>
      <c r="G408" s="8"/>
      <c r="H408" s="8"/>
      <c r="I408" s="124"/>
      <c r="J408" s="95"/>
      <c r="K408" s="95"/>
      <c r="L408" s="95"/>
      <c r="M408" s="95"/>
      <c r="N408" s="95"/>
      <c r="O408" s="95"/>
      <c r="P408" s="125"/>
      <c r="Q408" s="124"/>
      <c r="R408" s="95"/>
      <c r="S408" s="95"/>
      <c r="T408" s="95"/>
      <c r="U408" s="95"/>
      <c r="V408" s="95"/>
      <c r="W408" s="95"/>
      <c r="X408" s="125"/>
      <c r="Y408" s="124"/>
      <c r="Z408" s="95"/>
      <c r="AA408" s="95"/>
      <c r="AB408" s="95"/>
      <c r="AC408" s="95"/>
      <c r="AD408" s="95"/>
      <c r="AE408" s="95"/>
      <c r="AF408" s="125"/>
      <c r="AG408" s="95"/>
      <c r="AH408" s="95"/>
      <c r="AI408" s="95"/>
      <c r="AJ408" s="95"/>
      <c r="AK408" s="95"/>
      <c r="AL408" s="95"/>
      <c r="AM408" s="95"/>
      <c r="AN408" s="125"/>
      <c r="AO408" s="95"/>
      <c r="AP408" s="79"/>
      <c r="AQ408" s="85">
        <f t="shared" si="18"/>
        <v>0</v>
      </c>
      <c r="AR408" s="19"/>
      <c r="AS408"/>
      <c r="AT408" s="67">
        <f t="shared" si="19"/>
        <v>0</v>
      </c>
      <c r="AU408" s="67">
        <f t="shared" si="20"/>
        <v>0</v>
      </c>
      <c r="AV408" s="66"/>
      <c r="AW408" s="12"/>
      <c r="BG408" s="12">
        <v>1</v>
      </c>
      <c r="BQ408" s="12">
        <v>1</v>
      </c>
      <c r="BV408" s="12">
        <v>1</v>
      </c>
      <c r="BY408" s="12">
        <v>1</v>
      </c>
      <c r="CK408"/>
      <c r="CX408">
        <v>382</v>
      </c>
    </row>
    <row r="409" spans="1:103">
      <c r="A409" s="8">
        <v>383</v>
      </c>
      <c r="B409" s="8" t="s">
        <v>12</v>
      </c>
      <c r="C409" s="8" t="s">
        <v>92</v>
      </c>
      <c r="D409" s="8" t="s">
        <v>165</v>
      </c>
      <c r="E409" s="8" t="s">
        <v>42</v>
      </c>
      <c r="F409" s="8"/>
      <c r="G409" s="8"/>
      <c r="H409" s="8"/>
      <c r="I409" s="124"/>
      <c r="J409" s="95"/>
      <c r="K409" s="95"/>
      <c r="L409" s="95"/>
      <c r="M409" s="95"/>
      <c r="N409" s="95"/>
      <c r="O409" s="95"/>
      <c r="P409" s="125"/>
      <c r="Q409" s="124"/>
      <c r="R409" s="95"/>
      <c r="S409" s="95"/>
      <c r="T409" s="95"/>
      <c r="U409" s="95"/>
      <c r="V409" s="95"/>
      <c r="W409" s="95"/>
      <c r="X409" s="125"/>
      <c r="Y409" s="124"/>
      <c r="Z409" s="95"/>
      <c r="AA409" s="95"/>
      <c r="AB409" s="95"/>
      <c r="AC409" s="95"/>
      <c r="AD409" s="95"/>
      <c r="AE409" s="95"/>
      <c r="AF409" s="125"/>
      <c r="AG409" s="95"/>
      <c r="AH409" s="95"/>
      <c r="AI409" s="95"/>
      <c r="AJ409" s="95"/>
      <c r="AK409" s="95"/>
      <c r="AL409" s="95"/>
      <c r="AM409" s="95"/>
      <c r="AN409" s="125"/>
      <c r="AO409" s="95"/>
      <c r="AP409" s="79"/>
      <c r="AQ409" s="85">
        <f t="shared" si="18"/>
        <v>0</v>
      </c>
      <c r="AR409" s="19"/>
      <c r="AS409"/>
      <c r="AT409" s="67">
        <f t="shared" si="19"/>
        <v>0</v>
      </c>
      <c r="AU409" s="67">
        <f t="shared" si="20"/>
        <v>0</v>
      </c>
      <c r="AV409" s="66"/>
      <c r="AW409" s="12"/>
      <c r="CK409"/>
      <c r="CX409">
        <v>383</v>
      </c>
    </row>
    <row r="410" spans="1:103">
      <c r="A410" s="8">
        <v>384</v>
      </c>
      <c r="B410" s="8" t="s">
        <v>13</v>
      </c>
      <c r="C410" s="15" t="s">
        <v>323</v>
      </c>
      <c r="D410" s="8" t="s">
        <v>365</v>
      </c>
      <c r="E410" s="8" t="s">
        <v>15</v>
      </c>
      <c r="F410" s="8"/>
      <c r="G410" s="8"/>
      <c r="H410" s="8"/>
      <c r="I410" s="124"/>
      <c r="J410" s="95"/>
      <c r="K410" s="95"/>
      <c r="L410" s="95"/>
      <c r="M410" s="95"/>
      <c r="N410" s="95"/>
      <c r="O410" s="95"/>
      <c r="P410" s="125"/>
      <c r="Q410" s="124"/>
      <c r="R410" s="95"/>
      <c r="S410" s="95"/>
      <c r="T410" s="95"/>
      <c r="U410" s="95"/>
      <c r="V410" s="95"/>
      <c r="W410" s="95"/>
      <c r="X410" s="125"/>
      <c r="Y410" s="124"/>
      <c r="Z410" s="95"/>
      <c r="AA410" s="95"/>
      <c r="AB410" s="95"/>
      <c r="AC410" s="95"/>
      <c r="AD410" s="95"/>
      <c r="AE410" s="95"/>
      <c r="AF410" s="125"/>
      <c r="AG410" s="95"/>
      <c r="AH410" s="95"/>
      <c r="AI410" s="95"/>
      <c r="AJ410" s="95"/>
      <c r="AK410" s="95"/>
      <c r="AL410" s="95"/>
      <c r="AM410" s="95"/>
      <c r="AN410" s="125"/>
      <c r="AO410" s="95"/>
      <c r="AP410" s="79"/>
      <c r="AQ410" s="85">
        <f t="shared" si="18"/>
        <v>0</v>
      </c>
      <c r="AR410" s="19"/>
      <c r="AS410"/>
      <c r="AT410" s="67">
        <f t="shared" si="19"/>
        <v>0</v>
      </c>
      <c r="AU410" s="67">
        <f t="shared" si="20"/>
        <v>0</v>
      </c>
      <c r="AV410" s="66"/>
      <c r="AW410" s="12"/>
      <c r="CK410"/>
      <c r="CX410">
        <v>384</v>
      </c>
    </row>
    <row r="411" spans="1:103">
      <c r="A411" s="8">
        <v>385</v>
      </c>
      <c r="B411" s="8" t="s">
        <v>13</v>
      </c>
      <c r="C411" s="8" t="s">
        <v>80</v>
      </c>
      <c r="D411" s="8" t="s">
        <v>346</v>
      </c>
      <c r="E411" s="8" t="s">
        <v>15</v>
      </c>
      <c r="F411" s="8"/>
      <c r="G411" s="8"/>
      <c r="H411" s="8"/>
      <c r="I411" s="124"/>
      <c r="J411" s="95"/>
      <c r="K411" s="95"/>
      <c r="L411" s="95"/>
      <c r="M411" s="95"/>
      <c r="N411" s="95"/>
      <c r="O411" s="95"/>
      <c r="P411" s="125"/>
      <c r="Q411" s="124"/>
      <c r="R411" s="95"/>
      <c r="S411" s="95"/>
      <c r="T411" s="95"/>
      <c r="U411" s="95"/>
      <c r="V411" s="95"/>
      <c r="W411" s="95"/>
      <c r="X411" s="125"/>
      <c r="Y411" s="124"/>
      <c r="Z411" s="95"/>
      <c r="AA411" s="95"/>
      <c r="AB411" s="95"/>
      <c r="AC411" s="95"/>
      <c r="AD411" s="95"/>
      <c r="AE411" s="95"/>
      <c r="AF411" s="125"/>
      <c r="AG411" s="95"/>
      <c r="AH411" s="95"/>
      <c r="AI411" s="95"/>
      <c r="AJ411" s="95"/>
      <c r="AK411" s="95"/>
      <c r="AL411" s="95"/>
      <c r="AM411" s="95"/>
      <c r="AN411" s="125"/>
      <c r="AO411" s="95"/>
      <c r="AP411" s="79"/>
      <c r="AQ411" s="85">
        <f t="shared" si="18"/>
        <v>0</v>
      </c>
      <c r="AR411" s="19"/>
      <c r="AS411"/>
      <c r="AT411" s="67">
        <f t="shared" si="19"/>
        <v>0</v>
      </c>
      <c r="AU411" s="67">
        <f t="shared" si="20"/>
        <v>0</v>
      </c>
      <c r="AV411" s="66"/>
      <c r="AW411" s="12"/>
      <c r="CK411"/>
      <c r="CX411">
        <v>385</v>
      </c>
    </row>
    <row r="412" spans="1:103">
      <c r="A412" s="8">
        <v>386</v>
      </c>
      <c r="B412" s="8" t="s">
        <v>13</v>
      </c>
      <c r="C412" s="8" t="s">
        <v>80</v>
      </c>
      <c r="D412" s="8" t="s">
        <v>346</v>
      </c>
      <c r="E412" s="8" t="s">
        <v>15</v>
      </c>
      <c r="F412" s="8">
        <v>16</v>
      </c>
      <c r="G412" s="8">
        <v>20</v>
      </c>
      <c r="H412" s="8">
        <v>20</v>
      </c>
      <c r="I412" s="124"/>
      <c r="J412" s="95"/>
      <c r="K412" s="95" t="s">
        <v>49</v>
      </c>
      <c r="L412" s="95">
        <v>1</v>
      </c>
      <c r="M412" s="95">
        <v>1</v>
      </c>
      <c r="N412" s="95">
        <v>1</v>
      </c>
      <c r="O412" s="95" t="s">
        <v>9</v>
      </c>
      <c r="P412" s="125">
        <v>1</v>
      </c>
      <c r="Q412" s="124" t="s">
        <v>9</v>
      </c>
      <c r="R412" s="95" t="s">
        <v>9</v>
      </c>
      <c r="S412" s="95" t="s">
        <v>9</v>
      </c>
      <c r="T412" s="95">
        <v>1</v>
      </c>
      <c r="U412" s="95">
        <v>1</v>
      </c>
      <c r="V412" s="95" t="s">
        <v>49</v>
      </c>
      <c r="W412" s="95"/>
      <c r="X412" s="125"/>
      <c r="Y412" s="124"/>
      <c r="Z412" s="95"/>
      <c r="AA412" s="95" t="s">
        <v>49</v>
      </c>
      <c r="AB412" s="95">
        <v>1</v>
      </c>
      <c r="AC412" s="95">
        <v>1</v>
      </c>
      <c r="AD412" s="95">
        <v>1</v>
      </c>
      <c r="AE412" s="95">
        <v>1</v>
      </c>
      <c r="AF412" s="125">
        <v>1</v>
      </c>
      <c r="AG412" s="95">
        <v>1</v>
      </c>
      <c r="AH412" s="95">
        <v>1</v>
      </c>
      <c r="AI412" s="95">
        <v>1</v>
      </c>
      <c r="AJ412" s="95">
        <v>1</v>
      </c>
      <c r="AK412" s="95">
        <v>1</v>
      </c>
      <c r="AL412" s="95" t="s">
        <v>49</v>
      </c>
      <c r="AM412" s="95"/>
      <c r="AN412" s="125"/>
      <c r="AO412" s="95">
        <v>16</v>
      </c>
      <c r="AP412" s="79"/>
      <c r="AQ412" s="85">
        <f t="shared" si="18"/>
        <v>16</v>
      </c>
      <c r="AR412" s="19"/>
      <c r="AS412"/>
      <c r="AT412" s="67">
        <f t="shared" si="19"/>
        <v>0</v>
      </c>
      <c r="AU412" s="67">
        <f t="shared" si="20"/>
        <v>4</v>
      </c>
      <c r="AV412" s="66"/>
      <c r="AW412" s="12"/>
      <c r="BA412" s="12">
        <v>1</v>
      </c>
      <c r="CK412"/>
      <c r="CX412">
        <v>386</v>
      </c>
    </row>
    <row r="413" spans="1:103">
      <c r="A413" s="8">
        <v>387</v>
      </c>
      <c r="B413" s="8" t="s">
        <v>12</v>
      </c>
      <c r="C413" s="8" t="s">
        <v>40</v>
      </c>
      <c r="D413" s="8" t="s">
        <v>40</v>
      </c>
      <c r="E413" s="8" t="s">
        <v>15</v>
      </c>
      <c r="F413" s="8"/>
      <c r="G413" s="8"/>
      <c r="H413" s="8"/>
      <c r="I413" s="124"/>
      <c r="J413" s="95"/>
      <c r="K413" s="95"/>
      <c r="L413" s="95"/>
      <c r="M413" s="95"/>
      <c r="N413" s="95"/>
      <c r="O413" s="95"/>
      <c r="P413" s="125"/>
      <c r="Q413" s="124"/>
      <c r="R413" s="95"/>
      <c r="S413" s="95"/>
      <c r="T413" s="95"/>
      <c r="U413" s="95"/>
      <c r="V413" s="95"/>
      <c r="W413" s="95"/>
      <c r="X413" s="125"/>
      <c r="Y413" s="124"/>
      <c r="Z413" s="95"/>
      <c r="AA413" s="95"/>
      <c r="AB413" s="95"/>
      <c r="AC413" s="95"/>
      <c r="AD413" s="95"/>
      <c r="AE413" s="95"/>
      <c r="AF413" s="125"/>
      <c r="AG413" s="95"/>
      <c r="AH413" s="95"/>
      <c r="AI413" s="95"/>
      <c r="AJ413" s="95"/>
      <c r="AK413" s="95"/>
      <c r="AL413" s="95"/>
      <c r="AM413" s="95"/>
      <c r="AN413" s="125"/>
      <c r="AO413" s="95"/>
      <c r="AP413" s="79"/>
      <c r="AQ413" s="85">
        <f t="shared" si="18"/>
        <v>0</v>
      </c>
      <c r="AR413" s="19"/>
      <c r="AS413"/>
      <c r="AT413" s="67">
        <f t="shared" si="19"/>
        <v>0</v>
      </c>
      <c r="AU413" s="67">
        <f t="shared" si="20"/>
        <v>0</v>
      </c>
      <c r="AV413" s="66"/>
      <c r="AW413" s="12"/>
      <c r="CK413"/>
      <c r="CX413">
        <v>387</v>
      </c>
    </row>
    <row r="414" spans="1:103">
      <c r="A414" s="8">
        <v>388</v>
      </c>
      <c r="B414" s="8" t="s">
        <v>12</v>
      </c>
      <c r="C414" s="8" t="s">
        <v>40</v>
      </c>
      <c r="D414" s="8" t="s">
        <v>40</v>
      </c>
      <c r="E414" s="8" t="s">
        <v>42</v>
      </c>
      <c r="F414" s="8"/>
      <c r="G414" s="8"/>
      <c r="H414" s="8"/>
      <c r="I414" s="124"/>
      <c r="J414" s="95"/>
      <c r="K414" s="95"/>
      <c r="L414" s="95"/>
      <c r="M414" s="95"/>
      <c r="N414" s="95"/>
      <c r="O414" s="95"/>
      <c r="P414" s="125"/>
      <c r="Q414" s="124"/>
      <c r="R414" s="95"/>
      <c r="S414" s="95"/>
      <c r="T414" s="95"/>
      <c r="U414" s="95"/>
      <c r="V414" s="95"/>
      <c r="W414" s="95"/>
      <c r="X414" s="125"/>
      <c r="Y414" s="124"/>
      <c r="Z414" s="95"/>
      <c r="AA414" s="95"/>
      <c r="AB414" s="95"/>
      <c r="AC414" s="95"/>
      <c r="AD414" s="95"/>
      <c r="AE414" s="95"/>
      <c r="AF414" s="125"/>
      <c r="AG414" s="95"/>
      <c r="AH414" s="95"/>
      <c r="AI414" s="95"/>
      <c r="AJ414" s="95"/>
      <c r="AK414" s="95"/>
      <c r="AL414" s="95"/>
      <c r="AM414" s="95"/>
      <c r="AN414" s="125"/>
      <c r="AO414" s="95"/>
      <c r="AP414" s="79"/>
      <c r="AQ414" s="85">
        <f t="shared" si="18"/>
        <v>0</v>
      </c>
      <c r="AR414" s="19"/>
      <c r="AS414"/>
      <c r="AT414" s="67">
        <f t="shared" si="19"/>
        <v>0</v>
      </c>
      <c r="AU414" s="67">
        <f t="shared" si="20"/>
        <v>0</v>
      </c>
      <c r="AV414" s="66"/>
      <c r="AW414" s="12"/>
      <c r="CK414"/>
      <c r="CX414">
        <v>388</v>
      </c>
    </row>
    <row r="415" spans="1:103">
      <c r="A415" s="8">
        <v>389</v>
      </c>
      <c r="B415" s="8" t="s">
        <v>13</v>
      </c>
      <c r="C415" s="8" t="s">
        <v>261</v>
      </c>
      <c r="D415" s="8" t="s">
        <v>346</v>
      </c>
      <c r="E415" s="8" t="s">
        <v>15</v>
      </c>
      <c r="F415" s="8"/>
      <c r="G415" s="8"/>
      <c r="H415" s="8"/>
      <c r="I415" s="124"/>
      <c r="J415" s="95"/>
      <c r="K415" s="95"/>
      <c r="L415" s="95"/>
      <c r="M415" s="95"/>
      <c r="N415" s="95"/>
      <c r="O415" s="95"/>
      <c r="P415" s="125"/>
      <c r="Q415" s="124"/>
      <c r="R415" s="95"/>
      <c r="S415" s="95"/>
      <c r="T415" s="95"/>
      <c r="U415" s="95"/>
      <c r="V415" s="95"/>
      <c r="W415" s="95"/>
      <c r="X415" s="125"/>
      <c r="Y415" s="124"/>
      <c r="Z415" s="95"/>
      <c r="AA415" s="95"/>
      <c r="AB415" s="95"/>
      <c r="AC415" s="95"/>
      <c r="AD415" s="95"/>
      <c r="AE415" s="95"/>
      <c r="AF415" s="125"/>
      <c r="AG415" s="95"/>
      <c r="AH415" s="95"/>
      <c r="AI415" s="95"/>
      <c r="AJ415" s="95"/>
      <c r="AK415" s="95"/>
      <c r="AL415" s="95"/>
      <c r="AM415" s="95"/>
      <c r="AN415" s="125"/>
      <c r="AO415" s="95"/>
      <c r="AP415" s="79"/>
      <c r="AQ415" s="85">
        <f t="shared" si="18"/>
        <v>0</v>
      </c>
      <c r="AR415" s="19"/>
      <c r="AS415"/>
      <c r="AT415" s="67">
        <f t="shared" si="19"/>
        <v>0</v>
      </c>
      <c r="AU415" s="67">
        <f t="shared" si="20"/>
        <v>0</v>
      </c>
      <c r="AV415" s="66"/>
      <c r="AW415" s="12"/>
      <c r="CK415"/>
      <c r="CX415">
        <v>389</v>
      </c>
    </row>
    <row r="416" spans="1:103">
      <c r="A416" s="8">
        <v>390</v>
      </c>
      <c r="B416" s="8" t="s">
        <v>13</v>
      </c>
      <c r="C416" s="8" t="s">
        <v>197</v>
      </c>
      <c r="D416" s="8" t="s">
        <v>357</v>
      </c>
      <c r="E416" s="8" t="s">
        <v>15</v>
      </c>
      <c r="F416" s="8"/>
      <c r="G416" s="8"/>
      <c r="H416" s="8"/>
      <c r="I416" s="124"/>
      <c r="J416" s="95"/>
      <c r="K416" s="95"/>
      <c r="L416" s="95"/>
      <c r="M416" s="95"/>
      <c r="N416" s="95"/>
      <c r="O416" s="95"/>
      <c r="P416" s="125"/>
      <c r="Q416" s="124"/>
      <c r="R416" s="95"/>
      <c r="S416" s="95"/>
      <c r="T416" s="95"/>
      <c r="U416" s="95"/>
      <c r="V416" s="95"/>
      <c r="W416" s="95"/>
      <c r="X416" s="125"/>
      <c r="Y416" s="124"/>
      <c r="Z416" s="95"/>
      <c r="AA416" s="95"/>
      <c r="AB416" s="95"/>
      <c r="AC416" s="95"/>
      <c r="AD416" s="95"/>
      <c r="AE416" s="95"/>
      <c r="AF416" s="125"/>
      <c r="AG416" s="95"/>
      <c r="AH416" s="95"/>
      <c r="AI416" s="95"/>
      <c r="AJ416" s="95"/>
      <c r="AK416" s="95"/>
      <c r="AL416" s="95"/>
      <c r="AM416" s="95"/>
      <c r="AN416" s="125"/>
      <c r="AO416" s="95"/>
      <c r="AP416" s="79"/>
      <c r="AQ416" s="85">
        <f t="shared" si="18"/>
        <v>0</v>
      </c>
      <c r="AR416" s="19"/>
      <c r="AS416"/>
      <c r="AT416" s="67">
        <f t="shared" si="19"/>
        <v>0</v>
      </c>
      <c r="AU416" s="67">
        <f t="shared" si="20"/>
        <v>0</v>
      </c>
      <c r="AV416" s="66"/>
      <c r="AW416" s="12"/>
      <c r="CK416"/>
      <c r="CX416">
        <v>390</v>
      </c>
    </row>
    <row r="417" spans="1:102">
      <c r="A417" s="8">
        <v>391</v>
      </c>
      <c r="B417" s="8" t="s">
        <v>12</v>
      </c>
      <c r="C417" s="8" t="s">
        <v>40</v>
      </c>
      <c r="D417" s="8" t="s">
        <v>40</v>
      </c>
      <c r="E417" s="8" t="s">
        <v>77</v>
      </c>
      <c r="F417" s="8"/>
      <c r="G417" s="8"/>
      <c r="H417" s="8"/>
      <c r="I417" s="124"/>
      <c r="J417" s="95"/>
      <c r="K417" s="95"/>
      <c r="L417" s="95"/>
      <c r="M417" s="95"/>
      <c r="N417" s="95"/>
      <c r="O417" s="95"/>
      <c r="P417" s="125"/>
      <c r="Q417" s="124"/>
      <c r="R417" s="95"/>
      <c r="S417" s="95"/>
      <c r="T417" s="95"/>
      <c r="U417" s="95"/>
      <c r="V417" s="95"/>
      <c r="W417" s="95"/>
      <c r="X417" s="125"/>
      <c r="Y417" s="124"/>
      <c r="Z417" s="95"/>
      <c r="AA417" s="95"/>
      <c r="AB417" s="95"/>
      <c r="AC417" s="95"/>
      <c r="AD417" s="95"/>
      <c r="AE417" s="95"/>
      <c r="AF417" s="125"/>
      <c r="AG417" s="95"/>
      <c r="AH417" s="95"/>
      <c r="AI417" s="95"/>
      <c r="AJ417" s="95"/>
      <c r="AK417" s="95"/>
      <c r="AL417" s="95"/>
      <c r="AM417" s="95"/>
      <c r="AN417" s="125"/>
      <c r="AO417" s="95"/>
      <c r="AP417" s="79"/>
      <c r="AQ417" s="85">
        <f t="shared" si="18"/>
        <v>0</v>
      </c>
      <c r="AR417" s="19"/>
      <c r="AS417"/>
      <c r="AT417" s="67">
        <f t="shared" si="19"/>
        <v>0</v>
      </c>
      <c r="AU417" s="67">
        <f t="shared" si="20"/>
        <v>0</v>
      </c>
      <c r="AV417" s="66"/>
      <c r="AW417" s="12"/>
      <c r="BK417" s="12">
        <v>1</v>
      </c>
      <c r="CK417"/>
      <c r="CX417">
        <v>391</v>
      </c>
    </row>
    <row r="418" spans="1:102">
      <c r="A418" s="8">
        <v>392</v>
      </c>
      <c r="B418" s="8" t="s">
        <v>13</v>
      </c>
      <c r="C418" s="8" t="s">
        <v>80</v>
      </c>
      <c r="D418" s="8" t="s">
        <v>346</v>
      </c>
      <c r="E418" s="8" t="s">
        <v>15</v>
      </c>
      <c r="F418" s="8">
        <v>16</v>
      </c>
      <c r="G418" s="8">
        <v>20</v>
      </c>
      <c r="H418" s="8">
        <v>20</v>
      </c>
      <c r="I418" s="124"/>
      <c r="J418" s="95"/>
      <c r="K418" s="95" t="s">
        <v>49</v>
      </c>
      <c r="L418" s="95">
        <v>1</v>
      </c>
      <c r="M418" s="95">
        <v>1</v>
      </c>
      <c r="N418" s="95">
        <v>1</v>
      </c>
      <c r="O418" s="95" t="s">
        <v>9</v>
      </c>
      <c r="P418" s="125" t="s">
        <v>9</v>
      </c>
      <c r="Q418" s="124">
        <v>1</v>
      </c>
      <c r="R418" s="95">
        <v>1</v>
      </c>
      <c r="S418" s="95">
        <v>1</v>
      </c>
      <c r="T418" s="95">
        <v>1</v>
      </c>
      <c r="U418" s="95">
        <v>1</v>
      </c>
      <c r="V418" s="95" t="s">
        <v>49</v>
      </c>
      <c r="W418" s="95"/>
      <c r="X418" s="125"/>
      <c r="Y418" s="124"/>
      <c r="Z418" s="95"/>
      <c r="AA418" s="95" t="s">
        <v>49</v>
      </c>
      <c r="AB418" s="95">
        <v>1</v>
      </c>
      <c r="AC418" s="95">
        <v>1</v>
      </c>
      <c r="AD418" s="95">
        <v>1</v>
      </c>
      <c r="AE418" s="95" t="s">
        <v>9</v>
      </c>
      <c r="AF418" s="125" t="s">
        <v>9</v>
      </c>
      <c r="AG418" s="95">
        <v>1</v>
      </c>
      <c r="AH418" s="95">
        <v>1</v>
      </c>
      <c r="AI418" s="95">
        <v>1</v>
      </c>
      <c r="AJ418" s="95">
        <v>1</v>
      </c>
      <c r="AK418" s="95">
        <v>1</v>
      </c>
      <c r="AL418" s="95" t="s">
        <v>49</v>
      </c>
      <c r="AM418" s="95"/>
      <c r="AN418" s="125"/>
      <c r="AO418" s="95">
        <v>16</v>
      </c>
      <c r="AP418" s="79"/>
      <c r="AQ418" s="85">
        <f t="shared" si="18"/>
        <v>16</v>
      </c>
      <c r="AR418" s="19" t="s">
        <v>262</v>
      </c>
      <c r="AS418"/>
      <c r="AT418" s="67">
        <f t="shared" si="19"/>
        <v>0</v>
      </c>
      <c r="AU418" s="67">
        <f t="shared" si="20"/>
        <v>4</v>
      </c>
      <c r="AV418" s="66"/>
      <c r="AW418" s="12"/>
      <c r="CK418"/>
      <c r="CX418">
        <v>392</v>
      </c>
    </row>
    <row r="419" spans="1:102">
      <c r="A419" s="8">
        <v>393</v>
      </c>
      <c r="B419" s="8" t="s">
        <v>12</v>
      </c>
      <c r="C419" s="8" t="s">
        <v>91</v>
      </c>
      <c r="D419" s="8" t="s">
        <v>366</v>
      </c>
      <c r="E419" s="8" t="s">
        <v>42</v>
      </c>
      <c r="F419" s="8"/>
      <c r="G419" s="8"/>
      <c r="H419" s="8"/>
      <c r="I419" s="124"/>
      <c r="J419" s="95"/>
      <c r="K419" s="95"/>
      <c r="L419" s="95"/>
      <c r="M419" s="95"/>
      <c r="N419" s="95"/>
      <c r="O419" s="95"/>
      <c r="P419" s="125"/>
      <c r="Q419" s="124"/>
      <c r="R419" s="95"/>
      <c r="S419" s="95"/>
      <c r="T419" s="95"/>
      <c r="U419" s="95"/>
      <c r="V419" s="95"/>
      <c r="W419" s="95"/>
      <c r="X419" s="125"/>
      <c r="Y419" s="124"/>
      <c r="Z419" s="95"/>
      <c r="AA419" s="95"/>
      <c r="AB419" s="95"/>
      <c r="AC419" s="95"/>
      <c r="AD419" s="95"/>
      <c r="AE419" s="95"/>
      <c r="AF419" s="125"/>
      <c r="AG419" s="95"/>
      <c r="AH419" s="95"/>
      <c r="AI419" s="95"/>
      <c r="AJ419" s="95"/>
      <c r="AK419" s="95"/>
      <c r="AL419" s="95"/>
      <c r="AM419" s="95"/>
      <c r="AN419" s="125"/>
      <c r="AO419" s="95"/>
      <c r="AP419" s="79"/>
      <c r="AQ419" s="85">
        <f t="shared" si="18"/>
        <v>0</v>
      </c>
      <c r="AR419" s="19"/>
      <c r="AS419"/>
      <c r="AT419" s="67">
        <f t="shared" si="19"/>
        <v>0</v>
      </c>
      <c r="AU419" s="67">
        <f t="shared" si="20"/>
        <v>0</v>
      </c>
      <c r="AV419" s="66"/>
      <c r="AW419" s="12"/>
      <c r="BE419" s="12">
        <v>1</v>
      </c>
      <c r="BQ419" s="12">
        <v>1</v>
      </c>
      <c r="BV419" s="12">
        <v>1</v>
      </c>
      <c r="BY419" s="12">
        <v>1</v>
      </c>
      <c r="CK419"/>
      <c r="CX419">
        <v>393</v>
      </c>
    </row>
    <row r="420" spans="1:102">
      <c r="A420" s="8">
        <v>394</v>
      </c>
      <c r="B420" s="8" t="s">
        <v>12</v>
      </c>
      <c r="C420" s="8" t="s">
        <v>40</v>
      </c>
      <c r="D420" s="8" t="s">
        <v>40</v>
      </c>
      <c r="E420" s="8" t="s">
        <v>42</v>
      </c>
      <c r="F420" s="8"/>
      <c r="G420" s="8"/>
      <c r="H420" s="8"/>
      <c r="I420" s="124"/>
      <c r="J420" s="95"/>
      <c r="K420" s="95"/>
      <c r="L420" s="95"/>
      <c r="M420" s="95"/>
      <c r="N420" s="95"/>
      <c r="O420" s="95"/>
      <c r="P420" s="125"/>
      <c r="Q420" s="124"/>
      <c r="R420" s="95"/>
      <c r="S420" s="95"/>
      <c r="T420" s="95"/>
      <c r="U420" s="95"/>
      <c r="V420" s="95"/>
      <c r="W420" s="95"/>
      <c r="X420" s="125"/>
      <c r="Y420" s="124"/>
      <c r="Z420" s="95"/>
      <c r="AA420" s="95"/>
      <c r="AB420" s="95"/>
      <c r="AC420" s="95"/>
      <c r="AD420" s="95"/>
      <c r="AE420" s="95"/>
      <c r="AF420" s="125"/>
      <c r="AG420" s="95"/>
      <c r="AH420" s="95"/>
      <c r="AI420" s="95"/>
      <c r="AJ420" s="95"/>
      <c r="AK420" s="95"/>
      <c r="AL420" s="95"/>
      <c r="AM420" s="95"/>
      <c r="AN420" s="125"/>
      <c r="AO420" s="95"/>
      <c r="AP420" s="79"/>
      <c r="AQ420" s="85">
        <f t="shared" si="18"/>
        <v>0</v>
      </c>
      <c r="AR420" s="19"/>
      <c r="AS420"/>
      <c r="AT420" s="67">
        <f t="shared" si="19"/>
        <v>0</v>
      </c>
      <c r="AU420" s="67">
        <f t="shared" si="20"/>
        <v>0</v>
      </c>
      <c r="AV420" s="66"/>
      <c r="AW420" s="12"/>
      <c r="BP420" s="12">
        <v>1</v>
      </c>
      <c r="BQ420" s="12">
        <v>1</v>
      </c>
      <c r="BR420" s="12">
        <v>1</v>
      </c>
      <c r="BS420" s="12">
        <v>1</v>
      </c>
      <c r="BZ420" s="12" t="s">
        <v>326</v>
      </c>
      <c r="CK420"/>
      <c r="CL420">
        <v>1</v>
      </c>
      <c r="CX420">
        <v>394</v>
      </c>
    </row>
    <row r="421" spans="1:102">
      <c r="A421" s="8">
        <v>395</v>
      </c>
      <c r="B421" s="8" t="s">
        <v>12</v>
      </c>
      <c r="C421" s="8" t="s">
        <v>40</v>
      </c>
      <c r="D421" s="8" t="s">
        <v>40</v>
      </c>
      <c r="E421" s="8" t="s">
        <v>6</v>
      </c>
      <c r="F421" s="8"/>
      <c r="G421" s="8"/>
      <c r="H421" s="8"/>
      <c r="I421" s="124"/>
      <c r="J421" s="95"/>
      <c r="K421" s="95"/>
      <c r="L421" s="95"/>
      <c r="M421" s="95"/>
      <c r="N421" s="95"/>
      <c r="O421" s="95"/>
      <c r="P421" s="125"/>
      <c r="Q421" s="124"/>
      <c r="R421" s="95"/>
      <c r="S421" s="95"/>
      <c r="T421" s="95"/>
      <c r="U421" s="95"/>
      <c r="V421" s="95"/>
      <c r="W421" s="95"/>
      <c r="X421" s="125"/>
      <c r="Y421" s="124"/>
      <c r="Z421" s="95"/>
      <c r="AA421" s="95"/>
      <c r="AB421" s="95"/>
      <c r="AC421" s="95"/>
      <c r="AD421" s="95"/>
      <c r="AE421" s="95"/>
      <c r="AF421" s="125"/>
      <c r="AG421" s="95"/>
      <c r="AH421" s="95"/>
      <c r="AI421" s="95"/>
      <c r="AJ421" s="95"/>
      <c r="AK421" s="95"/>
      <c r="AL421" s="95"/>
      <c r="AM421" s="95"/>
      <c r="AN421" s="125"/>
      <c r="AO421" s="95"/>
      <c r="AP421" s="79"/>
      <c r="AQ421" s="85">
        <f t="shared" si="18"/>
        <v>0</v>
      </c>
      <c r="AR421" s="19"/>
      <c r="AS421"/>
      <c r="AT421" s="67">
        <f t="shared" si="19"/>
        <v>0</v>
      </c>
      <c r="AU421" s="67">
        <f t="shared" si="20"/>
        <v>0</v>
      </c>
      <c r="AV421" s="66"/>
      <c r="AW421" s="12"/>
      <c r="CK421"/>
      <c r="CX421">
        <v>395</v>
      </c>
    </row>
    <row r="422" spans="1:102">
      <c r="A422" s="8">
        <v>396</v>
      </c>
      <c r="B422" s="8" t="s">
        <v>12</v>
      </c>
      <c r="C422" s="8" t="s">
        <v>40</v>
      </c>
      <c r="D422" s="8" t="s">
        <v>40</v>
      </c>
      <c r="E422" s="8" t="s">
        <v>77</v>
      </c>
      <c r="F422" s="8"/>
      <c r="G422" s="8"/>
      <c r="H422" s="8"/>
      <c r="I422" s="124"/>
      <c r="J422" s="95"/>
      <c r="K422" s="95"/>
      <c r="L422" s="95"/>
      <c r="M422" s="95"/>
      <c r="N422" s="95"/>
      <c r="O422" s="95"/>
      <c r="P422" s="125"/>
      <c r="Q422" s="124"/>
      <c r="R422" s="95"/>
      <c r="S422" s="95"/>
      <c r="T422" s="95"/>
      <c r="U422" s="95"/>
      <c r="V422" s="95"/>
      <c r="W422" s="95"/>
      <c r="X422" s="125"/>
      <c r="Y422" s="124"/>
      <c r="Z422" s="95"/>
      <c r="AA422" s="95"/>
      <c r="AB422" s="95"/>
      <c r="AC422" s="95"/>
      <c r="AD422" s="95"/>
      <c r="AE422" s="95"/>
      <c r="AF422" s="125"/>
      <c r="AG422" s="95"/>
      <c r="AH422" s="95"/>
      <c r="AI422" s="95"/>
      <c r="AJ422" s="95"/>
      <c r="AK422" s="95"/>
      <c r="AL422" s="95"/>
      <c r="AM422" s="95"/>
      <c r="AN422" s="125"/>
      <c r="AO422" s="95"/>
      <c r="AP422" s="79"/>
      <c r="AQ422" s="85">
        <f t="shared" si="18"/>
        <v>0</v>
      </c>
      <c r="AR422" s="19"/>
      <c r="AS422"/>
      <c r="AT422" s="67">
        <f t="shared" si="19"/>
        <v>0</v>
      </c>
      <c r="AU422" s="67">
        <f t="shared" si="20"/>
        <v>0</v>
      </c>
      <c r="AV422" s="66"/>
      <c r="AW422" s="12"/>
      <c r="CK422"/>
      <c r="CX422">
        <v>396</v>
      </c>
    </row>
    <row r="423" spans="1:102">
      <c r="A423" s="8">
        <v>397</v>
      </c>
      <c r="B423" s="8" t="s">
        <v>12</v>
      </c>
      <c r="C423" s="8" t="s">
        <v>91</v>
      </c>
      <c r="D423" s="8" t="s">
        <v>366</v>
      </c>
      <c r="E423" s="8" t="s">
        <v>77</v>
      </c>
      <c r="F423" s="8"/>
      <c r="G423" s="8"/>
      <c r="H423" s="8"/>
      <c r="I423" s="124"/>
      <c r="J423" s="95"/>
      <c r="K423" s="95"/>
      <c r="L423" s="95"/>
      <c r="M423" s="95"/>
      <c r="N423" s="95"/>
      <c r="O423" s="95"/>
      <c r="P423" s="125"/>
      <c r="Q423" s="124"/>
      <c r="R423" s="95"/>
      <c r="S423" s="95"/>
      <c r="T423" s="95"/>
      <c r="U423" s="95"/>
      <c r="V423" s="95"/>
      <c r="W423" s="95"/>
      <c r="X423" s="125"/>
      <c r="Y423" s="124"/>
      <c r="Z423" s="95"/>
      <c r="AA423" s="95"/>
      <c r="AB423" s="95"/>
      <c r="AC423" s="95"/>
      <c r="AD423" s="95"/>
      <c r="AE423" s="95"/>
      <c r="AF423" s="125"/>
      <c r="AG423" s="95"/>
      <c r="AH423" s="95"/>
      <c r="AI423" s="95"/>
      <c r="AJ423" s="95"/>
      <c r="AK423" s="95"/>
      <c r="AL423" s="95"/>
      <c r="AM423" s="95"/>
      <c r="AN423" s="125"/>
      <c r="AO423" s="95"/>
      <c r="AP423" s="79"/>
      <c r="AQ423" s="85">
        <f t="shared" si="18"/>
        <v>0</v>
      </c>
      <c r="AR423" s="19"/>
      <c r="AS423"/>
      <c r="AT423" s="67">
        <f t="shared" si="19"/>
        <v>0</v>
      </c>
      <c r="AU423" s="67">
        <f t="shared" si="20"/>
        <v>0</v>
      </c>
      <c r="AV423" s="66"/>
      <c r="AW423" s="12"/>
      <c r="BK423" s="12">
        <v>1</v>
      </c>
      <c r="CK423"/>
      <c r="CX423">
        <v>397</v>
      </c>
    </row>
    <row r="424" spans="1:102">
      <c r="A424" s="8">
        <v>398</v>
      </c>
      <c r="B424" s="8" t="s">
        <v>12</v>
      </c>
      <c r="C424" s="8" t="s">
        <v>123</v>
      </c>
      <c r="D424" s="8" t="s">
        <v>366</v>
      </c>
      <c r="E424" s="8" t="s">
        <v>42</v>
      </c>
      <c r="F424" s="8"/>
      <c r="G424" s="8"/>
      <c r="H424" s="8"/>
      <c r="I424" s="124"/>
      <c r="J424" s="95"/>
      <c r="K424" s="95"/>
      <c r="L424" s="95"/>
      <c r="M424" s="95"/>
      <c r="N424" s="95"/>
      <c r="O424" s="95"/>
      <c r="P424" s="125"/>
      <c r="Q424" s="124"/>
      <c r="R424" s="95"/>
      <c r="S424" s="95"/>
      <c r="T424" s="95"/>
      <c r="U424" s="95"/>
      <c r="V424" s="95"/>
      <c r="W424" s="95"/>
      <c r="X424" s="125"/>
      <c r="Y424" s="124"/>
      <c r="Z424" s="95"/>
      <c r="AA424" s="95"/>
      <c r="AB424" s="95"/>
      <c r="AC424" s="95"/>
      <c r="AD424" s="95"/>
      <c r="AE424" s="95"/>
      <c r="AF424" s="125"/>
      <c r="AG424" s="95"/>
      <c r="AH424" s="95"/>
      <c r="AI424" s="95"/>
      <c r="AJ424" s="95"/>
      <c r="AK424" s="95"/>
      <c r="AL424" s="95"/>
      <c r="AM424" s="95"/>
      <c r="AN424" s="125"/>
      <c r="AO424" s="95"/>
      <c r="AP424" s="79"/>
      <c r="AQ424" s="85">
        <f t="shared" si="18"/>
        <v>0</v>
      </c>
      <c r="AR424" s="19"/>
      <c r="AS424"/>
      <c r="AT424" s="67">
        <f t="shared" si="19"/>
        <v>0</v>
      </c>
      <c r="AU424" s="67">
        <f t="shared" si="20"/>
        <v>0</v>
      </c>
      <c r="AV424" s="66"/>
      <c r="AW424" s="12"/>
      <c r="BK424" s="12">
        <v>1</v>
      </c>
      <c r="BQ424" s="12">
        <v>1</v>
      </c>
      <c r="CK424"/>
      <c r="CX424">
        <v>398</v>
      </c>
    </row>
    <row r="425" spans="1:102">
      <c r="A425" s="8">
        <v>399</v>
      </c>
      <c r="B425" s="8" t="s">
        <v>12</v>
      </c>
      <c r="C425" s="8" t="s">
        <v>40</v>
      </c>
      <c r="D425" s="8" t="s">
        <v>40</v>
      </c>
      <c r="E425" s="8" t="s">
        <v>6</v>
      </c>
      <c r="F425" s="8"/>
      <c r="G425" s="8"/>
      <c r="H425" s="8"/>
      <c r="I425" s="124"/>
      <c r="J425" s="95"/>
      <c r="K425" s="95"/>
      <c r="L425" s="95"/>
      <c r="M425" s="95"/>
      <c r="N425" s="95"/>
      <c r="O425" s="95"/>
      <c r="P425" s="125"/>
      <c r="Q425" s="124"/>
      <c r="R425" s="95"/>
      <c r="S425" s="95"/>
      <c r="T425" s="95"/>
      <c r="U425" s="95"/>
      <c r="V425" s="95"/>
      <c r="W425" s="95"/>
      <c r="X425" s="125"/>
      <c r="Y425" s="124"/>
      <c r="Z425" s="95"/>
      <c r="AA425" s="95"/>
      <c r="AB425" s="95"/>
      <c r="AC425" s="95"/>
      <c r="AD425" s="95"/>
      <c r="AE425" s="95"/>
      <c r="AF425" s="125"/>
      <c r="AG425" s="95"/>
      <c r="AH425" s="95"/>
      <c r="AI425" s="95"/>
      <c r="AJ425" s="95"/>
      <c r="AK425" s="95"/>
      <c r="AL425" s="95"/>
      <c r="AM425" s="95"/>
      <c r="AN425" s="125"/>
      <c r="AO425" s="95"/>
      <c r="AP425" s="79"/>
      <c r="AQ425" s="85">
        <f t="shared" si="18"/>
        <v>0</v>
      </c>
      <c r="AR425" s="19"/>
      <c r="AS425"/>
      <c r="AT425" s="67">
        <f t="shared" si="19"/>
        <v>0</v>
      </c>
      <c r="AU425" s="67">
        <f t="shared" si="20"/>
        <v>0</v>
      </c>
      <c r="AV425" s="66"/>
      <c r="AW425" s="12"/>
      <c r="CK425"/>
      <c r="CX425">
        <v>399</v>
      </c>
    </row>
    <row r="426" spans="1:102">
      <c r="A426" s="8">
        <v>400</v>
      </c>
      <c r="B426" s="8" t="s">
        <v>12</v>
      </c>
      <c r="C426" s="8" t="s">
        <v>93</v>
      </c>
      <c r="D426" s="8" t="s">
        <v>12</v>
      </c>
      <c r="E426" s="8" t="s">
        <v>42</v>
      </c>
      <c r="F426" s="8"/>
      <c r="G426" s="8"/>
      <c r="H426" s="8"/>
      <c r="I426" s="124"/>
      <c r="J426" s="95"/>
      <c r="K426" s="95"/>
      <c r="L426" s="95"/>
      <c r="M426" s="95"/>
      <c r="N426" s="95"/>
      <c r="O426" s="95"/>
      <c r="P426" s="125"/>
      <c r="Q426" s="124"/>
      <c r="R426" s="95"/>
      <c r="S426" s="95"/>
      <c r="T426" s="95"/>
      <c r="U426" s="95"/>
      <c r="V426" s="95"/>
      <c r="W426" s="95"/>
      <c r="X426" s="125"/>
      <c r="Y426" s="124"/>
      <c r="Z426" s="95"/>
      <c r="AA426" s="95"/>
      <c r="AB426" s="95"/>
      <c r="AC426" s="95"/>
      <c r="AD426" s="95"/>
      <c r="AE426" s="95"/>
      <c r="AF426" s="125"/>
      <c r="AG426" s="95"/>
      <c r="AH426" s="95"/>
      <c r="AI426" s="95"/>
      <c r="AJ426" s="95"/>
      <c r="AK426" s="95"/>
      <c r="AL426" s="95"/>
      <c r="AM426" s="95"/>
      <c r="AN426" s="125"/>
      <c r="AO426" s="95"/>
      <c r="AP426" s="79"/>
      <c r="AQ426" s="85">
        <f t="shared" si="18"/>
        <v>0</v>
      </c>
      <c r="AR426" s="19"/>
      <c r="AS426"/>
      <c r="AT426" s="67">
        <f t="shared" si="19"/>
        <v>0</v>
      </c>
      <c r="AU426" s="67">
        <f t="shared" si="20"/>
        <v>0</v>
      </c>
      <c r="AV426" s="66"/>
      <c r="AW426" s="12"/>
      <c r="BR426" s="12" t="s">
        <v>326</v>
      </c>
      <c r="CK426"/>
      <c r="CX426">
        <v>400</v>
      </c>
    </row>
    <row r="427" spans="1:102">
      <c r="A427" s="8">
        <v>401</v>
      </c>
      <c r="B427" s="8" t="s">
        <v>12</v>
      </c>
      <c r="C427" s="8" t="s">
        <v>123</v>
      </c>
      <c r="D427" s="8" t="s">
        <v>366</v>
      </c>
      <c r="E427" s="8" t="s">
        <v>42</v>
      </c>
      <c r="F427" s="8">
        <v>23</v>
      </c>
      <c r="G427" s="8" t="s">
        <v>15</v>
      </c>
      <c r="H427" s="8" t="s">
        <v>15</v>
      </c>
      <c r="I427" s="124">
        <v>1</v>
      </c>
      <c r="J427" s="95">
        <v>1</v>
      </c>
      <c r="K427" s="95">
        <v>1</v>
      </c>
      <c r="L427" s="95">
        <v>1</v>
      </c>
      <c r="M427" s="95">
        <v>1</v>
      </c>
      <c r="N427" s="95">
        <v>1</v>
      </c>
      <c r="O427" s="95">
        <v>1</v>
      </c>
      <c r="P427" s="125">
        <v>1</v>
      </c>
      <c r="Q427" s="124">
        <v>1</v>
      </c>
      <c r="R427" s="95">
        <v>1</v>
      </c>
      <c r="S427" s="95">
        <v>1</v>
      </c>
      <c r="T427" s="95" t="s">
        <v>10</v>
      </c>
      <c r="U427" s="95">
        <v>1</v>
      </c>
      <c r="V427" s="95">
        <v>1</v>
      </c>
      <c r="W427" s="95">
        <v>1</v>
      </c>
      <c r="X427" s="125"/>
      <c r="Y427" s="124" t="s">
        <v>10</v>
      </c>
      <c r="Z427" s="95" t="s">
        <v>10</v>
      </c>
      <c r="AA427" s="95" t="s">
        <v>10</v>
      </c>
      <c r="AB427" s="95">
        <v>1</v>
      </c>
      <c r="AC427" s="95">
        <v>1</v>
      </c>
      <c r="AD427" s="95">
        <v>1</v>
      </c>
      <c r="AE427" s="95">
        <v>1</v>
      </c>
      <c r="AF427" s="125">
        <v>1</v>
      </c>
      <c r="AG427" s="95">
        <v>1</v>
      </c>
      <c r="AH427" s="95">
        <v>1</v>
      </c>
      <c r="AI427" s="95">
        <v>1</v>
      </c>
      <c r="AJ427" s="95">
        <v>1</v>
      </c>
      <c r="AK427" s="95" t="s">
        <v>10</v>
      </c>
      <c r="AL427" s="95" t="s">
        <v>10</v>
      </c>
      <c r="AM427" s="95" t="s">
        <v>10</v>
      </c>
      <c r="AN427" s="125" t="s">
        <v>15</v>
      </c>
      <c r="AO427" s="95"/>
      <c r="AP427" s="79">
        <v>23</v>
      </c>
      <c r="AQ427" s="85">
        <f t="shared" si="18"/>
        <v>23</v>
      </c>
      <c r="AR427" s="19"/>
      <c r="AS427"/>
      <c r="AT427" s="67">
        <f t="shared" si="19"/>
        <v>7</v>
      </c>
      <c r="AU427" s="67">
        <f t="shared" si="20"/>
        <v>0</v>
      </c>
      <c r="AV427" s="66"/>
      <c r="AW427" s="12">
        <v>1</v>
      </c>
      <c r="AX427" s="12">
        <v>1</v>
      </c>
      <c r="AY427" s="12">
        <v>1</v>
      </c>
      <c r="BA427" s="12">
        <v>1</v>
      </c>
      <c r="BB427" s="12">
        <v>1</v>
      </c>
      <c r="BE427" s="12">
        <v>1</v>
      </c>
      <c r="BK427" s="12">
        <v>1</v>
      </c>
      <c r="BO427" s="12">
        <v>2</v>
      </c>
      <c r="BQ427" s="12">
        <v>1</v>
      </c>
      <c r="BS427" s="12">
        <v>1</v>
      </c>
      <c r="BV427" s="12">
        <v>1</v>
      </c>
      <c r="BW427" s="12">
        <v>1</v>
      </c>
      <c r="BY427" s="12">
        <v>1</v>
      </c>
      <c r="CK427"/>
      <c r="CX427">
        <v>401</v>
      </c>
    </row>
    <row r="428" spans="1:102">
      <c r="A428" s="8">
        <v>402</v>
      </c>
      <c r="B428" s="8" t="s">
        <v>12</v>
      </c>
      <c r="C428" s="8" t="s">
        <v>88</v>
      </c>
      <c r="D428" s="8" t="s">
        <v>12</v>
      </c>
      <c r="E428" s="8" t="s">
        <v>6</v>
      </c>
      <c r="F428" s="8">
        <v>32</v>
      </c>
      <c r="G428" s="8">
        <v>32</v>
      </c>
      <c r="H428" s="8">
        <v>32</v>
      </c>
      <c r="I428" s="124">
        <v>1</v>
      </c>
      <c r="J428" s="95">
        <v>1</v>
      </c>
      <c r="K428" s="95">
        <v>1</v>
      </c>
      <c r="L428" s="95">
        <v>1</v>
      </c>
      <c r="M428" s="95">
        <v>1</v>
      </c>
      <c r="N428" s="95">
        <v>1</v>
      </c>
      <c r="O428" s="95">
        <v>1</v>
      </c>
      <c r="P428" s="125">
        <v>1</v>
      </c>
      <c r="Q428" s="124">
        <v>1</v>
      </c>
      <c r="R428" s="95">
        <v>1</v>
      </c>
      <c r="S428" s="95">
        <v>1</v>
      </c>
      <c r="T428" s="95">
        <v>1</v>
      </c>
      <c r="U428" s="95">
        <v>1</v>
      </c>
      <c r="V428" s="95">
        <v>1</v>
      </c>
      <c r="W428" s="95">
        <v>1</v>
      </c>
      <c r="X428" s="125">
        <v>1</v>
      </c>
      <c r="Y428" s="124">
        <v>1</v>
      </c>
      <c r="Z428" s="95">
        <v>1</v>
      </c>
      <c r="AA428" s="95">
        <v>1</v>
      </c>
      <c r="AB428" s="95">
        <v>1</v>
      </c>
      <c r="AC428" s="95">
        <v>1</v>
      </c>
      <c r="AD428" s="95">
        <v>1</v>
      </c>
      <c r="AE428" s="95">
        <v>1</v>
      </c>
      <c r="AF428" s="125">
        <v>1</v>
      </c>
      <c r="AG428" s="95">
        <v>1</v>
      </c>
      <c r="AH428" s="95">
        <v>1</v>
      </c>
      <c r="AI428" s="95">
        <v>1</v>
      </c>
      <c r="AJ428" s="95">
        <v>1</v>
      </c>
      <c r="AK428" s="95">
        <v>1</v>
      </c>
      <c r="AL428" s="95">
        <v>1</v>
      </c>
      <c r="AM428" s="95">
        <v>1</v>
      </c>
      <c r="AN428" s="125">
        <v>1</v>
      </c>
      <c r="AO428" s="95"/>
      <c r="AP428" s="79">
        <v>32</v>
      </c>
      <c r="AQ428" s="85">
        <f t="shared" si="18"/>
        <v>32</v>
      </c>
      <c r="AR428" s="19" t="s">
        <v>263</v>
      </c>
      <c r="AS428">
        <v>1</v>
      </c>
      <c r="AT428" s="67">
        <f t="shared" si="19"/>
        <v>0</v>
      </c>
      <c r="AU428" s="67">
        <f t="shared" si="20"/>
        <v>0</v>
      </c>
      <c r="AV428" s="66">
        <v>1</v>
      </c>
      <c r="AW428" s="12"/>
      <c r="AZ428" s="12">
        <v>1</v>
      </c>
      <c r="BA428" s="12">
        <v>1</v>
      </c>
      <c r="BB428" s="12">
        <v>1</v>
      </c>
      <c r="BE428" s="12">
        <v>1</v>
      </c>
      <c r="BI428" s="12">
        <v>1</v>
      </c>
      <c r="BO428" s="12">
        <v>1</v>
      </c>
      <c r="BV428" s="12">
        <v>1</v>
      </c>
      <c r="BY428" s="12">
        <v>1</v>
      </c>
      <c r="BZ428" s="12" t="s">
        <v>326</v>
      </c>
      <c r="CK428"/>
      <c r="CX428">
        <v>402</v>
      </c>
    </row>
    <row r="429" spans="1:102">
      <c r="A429" s="8">
        <v>403</v>
      </c>
      <c r="B429" s="8" t="s">
        <v>12</v>
      </c>
      <c r="C429" s="8" t="s">
        <v>92</v>
      </c>
      <c r="D429" s="8" t="s">
        <v>165</v>
      </c>
      <c r="E429" s="8" t="s">
        <v>42</v>
      </c>
      <c r="F429" s="8"/>
      <c r="G429" s="8"/>
      <c r="H429" s="8"/>
      <c r="I429" s="124"/>
      <c r="J429" s="95"/>
      <c r="K429" s="95"/>
      <c r="L429" s="95"/>
      <c r="M429" s="95"/>
      <c r="N429" s="95"/>
      <c r="O429" s="95"/>
      <c r="P429" s="125"/>
      <c r="Q429" s="124"/>
      <c r="R429" s="95"/>
      <c r="S429" s="95"/>
      <c r="T429" s="95"/>
      <c r="U429" s="95"/>
      <c r="V429" s="95"/>
      <c r="W429" s="95"/>
      <c r="X429" s="125"/>
      <c r="Y429" s="124"/>
      <c r="Z429" s="95"/>
      <c r="AA429" s="95"/>
      <c r="AB429" s="95"/>
      <c r="AC429" s="95"/>
      <c r="AD429" s="95"/>
      <c r="AE429" s="95"/>
      <c r="AF429" s="125"/>
      <c r="AG429" s="95"/>
      <c r="AH429" s="95"/>
      <c r="AI429" s="95"/>
      <c r="AJ429" s="95"/>
      <c r="AK429" s="95"/>
      <c r="AL429" s="95"/>
      <c r="AM429" s="95"/>
      <c r="AN429" s="125"/>
      <c r="AO429" s="95"/>
      <c r="AP429" s="79"/>
      <c r="AQ429" s="85">
        <f t="shared" si="18"/>
        <v>0</v>
      </c>
      <c r="AR429" s="19"/>
      <c r="AS429"/>
      <c r="AT429" s="67">
        <f t="shared" si="19"/>
        <v>0</v>
      </c>
      <c r="AU429" s="67">
        <f t="shared" si="20"/>
        <v>0</v>
      </c>
      <c r="AV429" s="66"/>
      <c r="AW429" s="12"/>
      <c r="BK429" s="12" t="s">
        <v>326</v>
      </c>
      <c r="CK429"/>
      <c r="CX429">
        <v>403</v>
      </c>
    </row>
    <row r="430" spans="1:102">
      <c r="A430" s="8">
        <v>404</v>
      </c>
      <c r="B430" s="8" t="s">
        <v>13</v>
      </c>
      <c r="C430" s="8" t="s">
        <v>17</v>
      </c>
      <c r="D430" s="8" t="s">
        <v>345</v>
      </c>
      <c r="E430" s="8" t="s">
        <v>15</v>
      </c>
      <c r="F430" s="8"/>
      <c r="G430" s="8"/>
      <c r="H430" s="8"/>
      <c r="I430" s="124"/>
      <c r="J430" s="95"/>
      <c r="K430" s="95"/>
      <c r="L430" s="95"/>
      <c r="M430" s="95"/>
      <c r="N430" s="95"/>
      <c r="O430" s="95"/>
      <c r="P430" s="125"/>
      <c r="Q430" s="124"/>
      <c r="R430" s="95"/>
      <c r="S430" s="95"/>
      <c r="T430" s="95"/>
      <c r="U430" s="95"/>
      <c r="V430" s="95"/>
      <c r="W430" s="95"/>
      <c r="X430" s="125"/>
      <c r="Y430" s="124"/>
      <c r="Z430" s="95"/>
      <c r="AA430" s="95"/>
      <c r="AB430" s="95"/>
      <c r="AC430" s="95"/>
      <c r="AD430" s="95"/>
      <c r="AE430" s="95"/>
      <c r="AF430" s="125"/>
      <c r="AG430" s="95"/>
      <c r="AH430" s="95"/>
      <c r="AI430" s="95"/>
      <c r="AJ430" s="95"/>
      <c r="AK430" s="95"/>
      <c r="AL430" s="95"/>
      <c r="AM430" s="95"/>
      <c r="AN430" s="125"/>
      <c r="AO430" s="95"/>
      <c r="AP430" s="79"/>
      <c r="AQ430" s="85">
        <f t="shared" si="18"/>
        <v>0</v>
      </c>
      <c r="AR430" s="19"/>
      <c r="AS430"/>
      <c r="AT430" s="67">
        <f t="shared" si="19"/>
        <v>0</v>
      </c>
      <c r="AU430" s="67">
        <f t="shared" si="20"/>
        <v>0</v>
      </c>
      <c r="AV430" s="66"/>
      <c r="AW430" s="12"/>
      <c r="CE430" s="12">
        <v>1</v>
      </c>
      <c r="CK430"/>
      <c r="CX430">
        <v>404</v>
      </c>
    </row>
    <row r="431" spans="1:102">
      <c r="A431" s="8">
        <v>405</v>
      </c>
      <c r="B431" s="8" t="s">
        <v>13</v>
      </c>
      <c r="C431" s="8" t="s">
        <v>99</v>
      </c>
      <c r="D431" s="8" t="s">
        <v>346</v>
      </c>
      <c r="E431" s="8" t="s">
        <v>15</v>
      </c>
      <c r="F431" s="8"/>
      <c r="G431" s="8"/>
      <c r="H431" s="8"/>
      <c r="I431" s="124"/>
      <c r="J431" s="95"/>
      <c r="K431" s="95"/>
      <c r="L431" s="95"/>
      <c r="M431" s="95"/>
      <c r="N431" s="95"/>
      <c r="O431" s="95"/>
      <c r="P431" s="125"/>
      <c r="Q431" s="124"/>
      <c r="R431" s="95"/>
      <c r="S431" s="95"/>
      <c r="T431" s="95"/>
      <c r="U431" s="95"/>
      <c r="V431" s="95"/>
      <c r="W431" s="95"/>
      <c r="X431" s="125"/>
      <c r="Y431" s="124"/>
      <c r="Z431" s="95"/>
      <c r="AA431" s="95"/>
      <c r="AB431" s="95"/>
      <c r="AC431" s="95"/>
      <c r="AD431" s="95"/>
      <c r="AE431" s="95"/>
      <c r="AF431" s="125"/>
      <c r="AG431" s="95"/>
      <c r="AH431" s="95"/>
      <c r="AI431" s="95"/>
      <c r="AJ431" s="95"/>
      <c r="AK431" s="95"/>
      <c r="AL431" s="95"/>
      <c r="AM431" s="95"/>
      <c r="AN431" s="125"/>
      <c r="AO431" s="95"/>
      <c r="AP431" s="79"/>
      <c r="AQ431" s="85">
        <f t="shared" si="18"/>
        <v>0</v>
      </c>
      <c r="AR431" s="19"/>
      <c r="AS431"/>
      <c r="AT431" s="67">
        <f t="shared" si="19"/>
        <v>0</v>
      </c>
      <c r="AU431" s="67">
        <f t="shared" si="20"/>
        <v>0</v>
      </c>
      <c r="AV431" s="66"/>
      <c r="AW431" s="12"/>
      <c r="CI431" s="12">
        <v>1</v>
      </c>
      <c r="CK431"/>
      <c r="CX431">
        <v>405</v>
      </c>
    </row>
    <row r="432" spans="1:102">
      <c r="A432" s="8">
        <v>406</v>
      </c>
      <c r="B432" s="8" t="s">
        <v>13</v>
      </c>
      <c r="C432" s="8" t="s">
        <v>14</v>
      </c>
      <c r="D432" s="8" t="s">
        <v>345</v>
      </c>
      <c r="E432" s="8" t="s">
        <v>15</v>
      </c>
      <c r="F432" s="8"/>
      <c r="G432" s="8"/>
      <c r="H432" s="8"/>
      <c r="I432" s="124"/>
      <c r="J432" s="95"/>
      <c r="K432" s="95"/>
      <c r="L432" s="95"/>
      <c r="M432" s="95"/>
      <c r="N432" s="95"/>
      <c r="O432" s="95"/>
      <c r="P432" s="125"/>
      <c r="Q432" s="124"/>
      <c r="R432" s="95"/>
      <c r="S432" s="95"/>
      <c r="T432" s="95"/>
      <c r="U432" s="95"/>
      <c r="V432" s="95"/>
      <c r="W432" s="95"/>
      <c r="X432" s="125"/>
      <c r="Y432" s="124"/>
      <c r="Z432" s="95"/>
      <c r="AA432" s="95"/>
      <c r="AB432" s="95"/>
      <c r="AC432" s="95"/>
      <c r="AD432" s="95"/>
      <c r="AE432" s="95"/>
      <c r="AF432" s="125"/>
      <c r="AG432" s="95"/>
      <c r="AH432" s="95"/>
      <c r="AI432" s="95"/>
      <c r="AJ432" s="95"/>
      <c r="AK432" s="95"/>
      <c r="AL432" s="95"/>
      <c r="AM432" s="95"/>
      <c r="AN432" s="125"/>
      <c r="AO432" s="95"/>
      <c r="AP432" s="79"/>
      <c r="AQ432" s="85">
        <f t="shared" si="18"/>
        <v>0</v>
      </c>
      <c r="AR432" s="19"/>
      <c r="AS432"/>
      <c r="AT432" s="67">
        <f t="shared" si="19"/>
        <v>0</v>
      </c>
      <c r="AU432" s="67">
        <f t="shared" si="20"/>
        <v>0</v>
      </c>
      <c r="AV432" s="66"/>
      <c r="AW432" s="12"/>
      <c r="CK432"/>
      <c r="CX432">
        <v>406</v>
      </c>
    </row>
    <row r="433" spans="1:103">
      <c r="A433" s="8">
        <v>407</v>
      </c>
      <c r="B433" s="8" t="s">
        <v>13</v>
      </c>
      <c r="C433" s="8" t="s">
        <v>14</v>
      </c>
      <c r="D433" s="8" t="s">
        <v>345</v>
      </c>
      <c r="E433" s="8" t="s">
        <v>15</v>
      </c>
      <c r="F433" s="8"/>
      <c r="G433" s="8"/>
      <c r="H433" s="8"/>
      <c r="I433" s="124"/>
      <c r="J433" s="95"/>
      <c r="K433" s="95"/>
      <c r="L433" s="95"/>
      <c r="M433" s="95"/>
      <c r="N433" s="95"/>
      <c r="O433" s="95"/>
      <c r="P433" s="125"/>
      <c r="Q433" s="124"/>
      <c r="R433" s="95"/>
      <c r="S433" s="95"/>
      <c r="T433" s="95"/>
      <c r="U433" s="95"/>
      <c r="V433" s="95"/>
      <c r="W433" s="95"/>
      <c r="X433" s="125"/>
      <c r="Y433" s="124"/>
      <c r="Z433" s="95"/>
      <c r="AA433" s="95"/>
      <c r="AB433" s="95"/>
      <c r="AC433" s="95"/>
      <c r="AD433" s="95"/>
      <c r="AE433" s="95"/>
      <c r="AF433" s="125"/>
      <c r="AG433" s="95"/>
      <c r="AH433" s="95"/>
      <c r="AI433" s="95"/>
      <c r="AJ433" s="95"/>
      <c r="AK433" s="95"/>
      <c r="AL433" s="95"/>
      <c r="AM433" s="95"/>
      <c r="AN433" s="125"/>
      <c r="AO433" s="95"/>
      <c r="AP433" s="79"/>
      <c r="AQ433" s="85">
        <f t="shared" si="18"/>
        <v>0</v>
      </c>
      <c r="AR433" s="19"/>
      <c r="AS433"/>
      <c r="AT433" s="67">
        <f t="shared" si="19"/>
        <v>0</v>
      </c>
      <c r="AU433" s="67">
        <f t="shared" si="20"/>
        <v>0</v>
      </c>
      <c r="AV433" s="66"/>
      <c r="AW433" s="12"/>
      <c r="CG433" s="12">
        <v>1</v>
      </c>
      <c r="CK433"/>
      <c r="CX433">
        <v>407</v>
      </c>
    </row>
    <row r="434" spans="1:103">
      <c r="A434" s="8">
        <v>408</v>
      </c>
      <c r="B434" s="8" t="s">
        <v>12</v>
      </c>
      <c r="C434" s="8" t="s">
        <v>162</v>
      </c>
      <c r="D434" s="8" t="s">
        <v>12</v>
      </c>
      <c r="E434" s="8" t="s">
        <v>6</v>
      </c>
      <c r="F434" s="8"/>
      <c r="G434" s="8"/>
      <c r="H434" s="8"/>
      <c r="I434" s="124"/>
      <c r="J434" s="95"/>
      <c r="K434" s="95"/>
      <c r="L434" s="95"/>
      <c r="M434" s="95"/>
      <c r="N434" s="95"/>
      <c r="O434" s="95"/>
      <c r="P434" s="125"/>
      <c r="Q434" s="124"/>
      <c r="R434" s="95"/>
      <c r="S434" s="95"/>
      <c r="T434" s="95"/>
      <c r="U434" s="95"/>
      <c r="V434" s="95"/>
      <c r="W434" s="95"/>
      <c r="X434" s="125"/>
      <c r="Y434" s="124"/>
      <c r="Z434" s="95"/>
      <c r="AA434" s="95"/>
      <c r="AB434" s="95"/>
      <c r="AC434" s="95"/>
      <c r="AD434" s="95"/>
      <c r="AE434" s="95"/>
      <c r="AF434" s="125"/>
      <c r="AG434" s="95"/>
      <c r="AH434" s="95"/>
      <c r="AI434" s="95"/>
      <c r="AJ434" s="95"/>
      <c r="AK434" s="95"/>
      <c r="AL434" s="95"/>
      <c r="AM434" s="95"/>
      <c r="AN434" s="125"/>
      <c r="AO434" s="95"/>
      <c r="AP434" s="79"/>
      <c r="AQ434" s="85">
        <f t="shared" si="18"/>
        <v>0</v>
      </c>
      <c r="AR434" s="19"/>
      <c r="AS434"/>
      <c r="AT434" s="67">
        <f t="shared" si="19"/>
        <v>0</v>
      </c>
      <c r="AU434" s="67">
        <f t="shared" si="20"/>
        <v>0</v>
      </c>
      <c r="AV434" s="66"/>
      <c r="AW434" s="12"/>
      <c r="BV434" s="12">
        <v>1</v>
      </c>
      <c r="CK434"/>
      <c r="CM434" t="s">
        <v>326</v>
      </c>
      <c r="CX434">
        <v>408</v>
      </c>
    </row>
    <row r="435" spans="1:103">
      <c r="A435" s="8">
        <v>409</v>
      </c>
      <c r="B435" s="8" t="s">
        <v>13</v>
      </c>
      <c r="C435" s="8" t="s">
        <v>56</v>
      </c>
      <c r="D435" s="8" t="s">
        <v>360</v>
      </c>
      <c r="E435" s="8" t="s">
        <v>15</v>
      </c>
      <c r="F435" s="8"/>
      <c r="G435" s="8"/>
      <c r="H435" s="8"/>
      <c r="I435" s="124"/>
      <c r="J435" s="95"/>
      <c r="K435" s="95"/>
      <c r="L435" s="95"/>
      <c r="M435" s="95"/>
      <c r="N435" s="95"/>
      <c r="O435" s="95"/>
      <c r="P435" s="125"/>
      <c r="Q435" s="124"/>
      <c r="R435" s="95"/>
      <c r="S435" s="95"/>
      <c r="T435" s="95"/>
      <c r="U435" s="95"/>
      <c r="V435" s="95"/>
      <c r="W435" s="95"/>
      <c r="X435" s="125"/>
      <c r="Y435" s="124"/>
      <c r="Z435" s="95"/>
      <c r="AA435" s="95"/>
      <c r="AB435" s="95"/>
      <c r="AC435" s="95"/>
      <c r="AD435" s="95"/>
      <c r="AE435" s="95"/>
      <c r="AF435" s="125"/>
      <c r="AG435" s="95"/>
      <c r="AH435" s="95"/>
      <c r="AI435" s="95"/>
      <c r="AJ435" s="95"/>
      <c r="AK435" s="95"/>
      <c r="AL435" s="95"/>
      <c r="AM435" s="95"/>
      <c r="AN435" s="125"/>
      <c r="AO435" s="95"/>
      <c r="AP435" s="79"/>
      <c r="AQ435" s="85">
        <f t="shared" si="18"/>
        <v>0</v>
      </c>
      <c r="AR435" s="19"/>
      <c r="AS435"/>
      <c r="AT435" s="67">
        <f t="shared" si="19"/>
        <v>0</v>
      </c>
      <c r="AU435" s="67">
        <f t="shared" si="20"/>
        <v>0</v>
      </c>
      <c r="AV435" s="66"/>
      <c r="AW435" s="12"/>
      <c r="CK435"/>
      <c r="CX435">
        <v>409</v>
      </c>
    </row>
    <row r="436" spans="1:103">
      <c r="A436" s="8">
        <v>410</v>
      </c>
      <c r="B436" s="8" t="s">
        <v>12</v>
      </c>
      <c r="C436" s="8" t="s">
        <v>216</v>
      </c>
      <c r="D436" s="8" t="s">
        <v>42</v>
      </c>
      <c r="E436" s="8" t="s">
        <v>42</v>
      </c>
      <c r="F436" s="8"/>
      <c r="G436" s="8"/>
      <c r="H436" s="8"/>
      <c r="I436" s="124"/>
      <c r="J436" s="95"/>
      <c r="K436" s="95"/>
      <c r="L436" s="95"/>
      <c r="M436" s="95"/>
      <c r="N436" s="95"/>
      <c r="O436" s="95"/>
      <c r="P436" s="125"/>
      <c r="Q436" s="124"/>
      <c r="R436" s="95"/>
      <c r="S436" s="95"/>
      <c r="T436" s="95"/>
      <c r="U436" s="95"/>
      <c r="V436" s="95"/>
      <c r="W436" s="95"/>
      <c r="X436" s="125"/>
      <c r="Y436" s="124"/>
      <c r="Z436" s="95"/>
      <c r="AA436" s="95"/>
      <c r="AB436" s="95"/>
      <c r="AC436" s="95"/>
      <c r="AD436" s="95"/>
      <c r="AE436" s="95"/>
      <c r="AF436" s="125"/>
      <c r="AG436" s="95"/>
      <c r="AH436" s="95"/>
      <c r="AI436" s="95"/>
      <c r="AJ436" s="95"/>
      <c r="AK436" s="95"/>
      <c r="AL436" s="95"/>
      <c r="AM436" s="95"/>
      <c r="AN436" s="125"/>
      <c r="AO436" s="95"/>
      <c r="AP436" s="79"/>
      <c r="AQ436" s="85">
        <f t="shared" si="18"/>
        <v>0</v>
      </c>
      <c r="AR436" s="19"/>
      <c r="AS436"/>
      <c r="AT436" s="67">
        <f t="shared" si="19"/>
        <v>0</v>
      </c>
      <c r="AU436" s="67">
        <f t="shared" si="20"/>
        <v>0</v>
      </c>
      <c r="AV436" s="66"/>
      <c r="AW436" s="12"/>
      <c r="BG436" s="12">
        <v>1</v>
      </c>
      <c r="BV436" s="12">
        <v>1</v>
      </c>
      <c r="BY436" s="12">
        <v>1</v>
      </c>
      <c r="BZ436" s="12">
        <v>2</v>
      </c>
      <c r="CK436"/>
      <c r="CX436">
        <v>410</v>
      </c>
    </row>
    <row r="437" spans="1:103">
      <c r="A437" s="8">
        <v>411</v>
      </c>
      <c r="B437" s="8" t="s">
        <v>12</v>
      </c>
      <c r="C437" s="8" t="s">
        <v>71</v>
      </c>
      <c r="D437" s="8" t="s">
        <v>366</v>
      </c>
      <c r="E437" s="8" t="s">
        <v>6</v>
      </c>
      <c r="F437" s="8"/>
      <c r="G437" s="8"/>
      <c r="H437" s="8"/>
      <c r="I437" s="124"/>
      <c r="J437" s="95"/>
      <c r="K437" s="95"/>
      <c r="L437" s="95"/>
      <c r="M437" s="95"/>
      <c r="N437" s="95"/>
      <c r="O437" s="95"/>
      <c r="P437" s="125"/>
      <c r="Q437" s="124"/>
      <c r="R437" s="95"/>
      <c r="S437" s="95"/>
      <c r="T437" s="95"/>
      <c r="U437" s="95"/>
      <c r="V437" s="95"/>
      <c r="W437" s="95"/>
      <c r="X437" s="125"/>
      <c r="Y437" s="124"/>
      <c r="Z437" s="95"/>
      <c r="AA437" s="95"/>
      <c r="AB437" s="95"/>
      <c r="AC437" s="95"/>
      <c r="AD437" s="95"/>
      <c r="AE437" s="95"/>
      <c r="AF437" s="125"/>
      <c r="AG437" s="95"/>
      <c r="AH437" s="95"/>
      <c r="AI437" s="95"/>
      <c r="AJ437" s="95"/>
      <c r="AK437" s="95"/>
      <c r="AL437" s="95"/>
      <c r="AM437" s="95"/>
      <c r="AN437" s="125"/>
      <c r="AO437" s="95"/>
      <c r="AP437" s="79"/>
      <c r="AQ437" s="85">
        <f t="shared" si="18"/>
        <v>0</v>
      </c>
      <c r="AR437" s="19"/>
      <c r="AS437"/>
      <c r="AT437" s="67">
        <f t="shared" si="19"/>
        <v>0</v>
      </c>
      <c r="AU437" s="67">
        <f t="shared" si="20"/>
        <v>0</v>
      </c>
      <c r="AV437" s="66"/>
      <c r="AW437" s="12"/>
      <c r="BK437" s="12">
        <v>1</v>
      </c>
      <c r="BY437" s="12">
        <v>1</v>
      </c>
      <c r="CK437"/>
      <c r="CX437">
        <v>411</v>
      </c>
    </row>
    <row r="438" spans="1:103">
      <c r="A438" s="8">
        <v>412</v>
      </c>
      <c r="B438" s="8" t="s">
        <v>12</v>
      </c>
      <c r="C438" s="8" t="s">
        <v>41</v>
      </c>
      <c r="D438" s="8" t="s">
        <v>42</v>
      </c>
      <c r="E438" s="8" t="s">
        <v>42</v>
      </c>
      <c r="F438" s="8">
        <v>29</v>
      </c>
      <c r="G438" s="8">
        <v>31</v>
      </c>
      <c r="H438" s="8">
        <v>32</v>
      </c>
      <c r="I438" s="124" t="s">
        <v>9</v>
      </c>
      <c r="J438" s="95">
        <v>1</v>
      </c>
      <c r="K438" s="95">
        <v>1</v>
      </c>
      <c r="L438" s="95">
        <v>1</v>
      </c>
      <c r="M438" s="95">
        <v>1</v>
      </c>
      <c r="N438" s="95">
        <v>1</v>
      </c>
      <c r="O438" s="95" t="s">
        <v>9</v>
      </c>
      <c r="P438" s="125">
        <v>1</v>
      </c>
      <c r="Q438" s="124">
        <v>1</v>
      </c>
      <c r="R438" s="95">
        <v>1</v>
      </c>
      <c r="S438" s="95">
        <v>1</v>
      </c>
      <c r="T438" s="95">
        <v>1</v>
      </c>
      <c r="U438" s="95">
        <v>1</v>
      </c>
      <c r="V438" s="95">
        <v>1</v>
      </c>
      <c r="W438" s="95">
        <v>1</v>
      </c>
      <c r="X438" s="125">
        <v>1</v>
      </c>
      <c r="Y438" s="124">
        <v>1</v>
      </c>
      <c r="Z438" s="95">
        <v>1</v>
      </c>
      <c r="AA438" s="95">
        <v>1</v>
      </c>
      <c r="AB438" s="95">
        <v>1</v>
      </c>
      <c r="AC438" s="95">
        <v>1</v>
      </c>
      <c r="AD438" s="95">
        <v>1</v>
      </c>
      <c r="AE438" s="95">
        <v>1</v>
      </c>
      <c r="AF438" s="125">
        <v>1</v>
      </c>
      <c r="AG438" s="95">
        <v>1</v>
      </c>
      <c r="AH438" s="95">
        <v>1</v>
      </c>
      <c r="AI438" s="95">
        <v>1</v>
      </c>
      <c r="AJ438" s="95">
        <v>1</v>
      </c>
      <c r="AK438" s="95">
        <v>1</v>
      </c>
      <c r="AL438" s="95">
        <v>1</v>
      </c>
      <c r="AM438" s="95" t="s">
        <v>10</v>
      </c>
      <c r="AN438" s="125">
        <v>1</v>
      </c>
      <c r="AO438" s="95"/>
      <c r="AP438" s="79">
        <v>29</v>
      </c>
      <c r="AQ438" s="85">
        <f t="shared" si="18"/>
        <v>29</v>
      </c>
      <c r="AR438" s="19" t="s">
        <v>264</v>
      </c>
      <c r="AS438"/>
      <c r="AT438" s="67">
        <f t="shared" si="19"/>
        <v>1</v>
      </c>
      <c r="AU438" s="67">
        <f t="shared" si="20"/>
        <v>2</v>
      </c>
      <c r="AV438" s="66"/>
      <c r="AW438" s="12">
        <v>1</v>
      </c>
      <c r="AX438" s="12">
        <v>1</v>
      </c>
      <c r="AY438" s="12">
        <v>1</v>
      </c>
      <c r="AZ438" s="12">
        <v>1</v>
      </c>
      <c r="BA438" s="12">
        <v>1</v>
      </c>
      <c r="BB438" s="12">
        <v>1</v>
      </c>
      <c r="BW438" s="12">
        <v>1</v>
      </c>
      <c r="BY438" s="12">
        <v>1</v>
      </c>
      <c r="CK438"/>
      <c r="CM438" t="s">
        <v>326</v>
      </c>
      <c r="CX438">
        <v>412</v>
      </c>
    </row>
    <row r="439" spans="1:103">
      <c r="A439" s="8">
        <v>413</v>
      </c>
      <c r="B439" s="8" t="s">
        <v>13</v>
      </c>
      <c r="C439" s="8" t="s">
        <v>78</v>
      </c>
      <c r="D439" s="8" t="s">
        <v>359</v>
      </c>
      <c r="E439" s="8" t="s">
        <v>15</v>
      </c>
      <c r="F439" s="8"/>
      <c r="G439" s="8"/>
      <c r="H439" s="8"/>
      <c r="I439" s="124"/>
      <c r="J439" s="95"/>
      <c r="K439" s="95"/>
      <c r="L439" s="95"/>
      <c r="M439" s="95"/>
      <c r="N439" s="95"/>
      <c r="O439" s="95"/>
      <c r="P439" s="125"/>
      <c r="Q439" s="124"/>
      <c r="R439" s="95"/>
      <c r="S439" s="95"/>
      <c r="T439" s="95"/>
      <c r="U439" s="95"/>
      <c r="V439" s="95"/>
      <c r="W439" s="95"/>
      <c r="X439" s="125"/>
      <c r="Y439" s="124"/>
      <c r="Z439" s="95"/>
      <c r="AA439" s="95"/>
      <c r="AB439" s="95"/>
      <c r="AC439" s="95"/>
      <c r="AD439" s="95"/>
      <c r="AE439" s="95"/>
      <c r="AF439" s="125"/>
      <c r="AG439" s="95"/>
      <c r="AH439" s="95"/>
      <c r="AI439" s="95"/>
      <c r="AJ439" s="95"/>
      <c r="AK439" s="95"/>
      <c r="AL439" s="95"/>
      <c r="AM439" s="95"/>
      <c r="AN439" s="125"/>
      <c r="AO439" s="95"/>
      <c r="AP439" s="79"/>
      <c r="AQ439" s="85">
        <f t="shared" si="18"/>
        <v>0</v>
      </c>
      <c r="AR439" s="19"/>
      <c r="AS439"/>
      <c r="AT439" s="67">
        <f t="shared" si="19"/>
        <v>0</v>
      </c>
      <c r="AU439" s="67">
        <f t="shared" si="20"/>
        <v>0</v>
      </c>
      <c r="AV439" s="66"/>
      <c r="AW439" s="12"/>
      <c r="CK439"/>
      <c r="CX439">
        <v>413</v>
      </c>
    </row>
    <row r="440" spans="1:103">
      <c r="A440" s="8">
        <v>414</v>
      </c>
      <c r="B440" s="8" t="s">
        <v>12</v>
      </c>
      <c r="C440" s="8" t="s">
        <v>62</v>
      </c>
      <c r="D440" s="8" t="s">
        <v>42</v>
      </c>
      <c r="E440" s="8" t="s">
        <v>42</v>
      </c>
      <c r="F440" s="8">
        <v>32</v>
      </c>
      <c r="G440" s="8">
        <v>32</v>
      </c>
      <c r="H440" s="8">
        <v>32</v>
      </c>
      <c r="I440" s="124">
        <v>1</v>
      </c>
      <c r="J440" s="95">
        <v>1</v>
      </c>
      <c r="K440" s="95">
        <v>1</v>
      </c>
      <c r="L440" s="95">
        <v>1</v>
      </c>
      <c r="M440" s="95">
        <v>1</v>
      </c>
      <c r="N440" s="95">
        <v>1</v>
      </c>
      <c r="O440" s="95">
        <v>1</v>
      </c>
      <c r="P440" s="125">
        <v>1</v>
      </c>
      <c r="Q440" s="124">
        <v>1</v>
      </c>
      <c r="R440" s="95">
        <v>1</v>
      </c>
      <c r="S440" s="95">
        <v>1</v>
      </c>
      <c r="T440" s="95">
        <v>1</v>
      </c>
      <c r="U440" s="95">
        <v>1</v>
      </c>
      <c r="V440" s="95">
        <v>1</v>
      </c>
      <c r="W440" s="95">
        <v>1</v>
      </c>
      <c r="X440" s="125">
        <v>1</v>
      </c>
      <c r="Y440" s="124">
        <v>1</v>
      </c>
      <c r="Z440" s="95">
        <v>1</v>
      </c>
      <c r="AA440" s="95">
        <v>1</v>
      </c>
      <c r="AB440" s="95">
        <v>1</v>
      </c>
      <c r="AC440" s="95">
        <v>1</v>
      </c>
      <c r="AD440" s="95">
        <v>1</v>
      </c>
      <c r="AE440" s="95">
        <v>1</v>
      </c>
      <c r="AF440" s="125">
        <v>1</v>
      </c>
      <c r="AG440" s="95">
        <v>1</v>
      </c>
      <c r="AH440" s="95">
        <v>1</v>
      </c>
      <c r="AI440" s="95">
        <v>1</v>
      </c>
      <c r="AJ440" s="95">
        <v>1</v>
      </c>
      <c r="AK440" s="95">
        <v>1</v>
      </c>
      <c r="AL440" s="95">
        <v>1</v>
      </c>
      <c r="AM440" s="95">
        <v>1</v>
      </c>
      <c r="AN440" s="125">
        <v>1</v>
      </c>
      <c r="AO440" s="95"/>
      <c r="AP440" s="79">
        <v>32</v>
      </c>
      <c r="AQ440" s="85">
        <f t="shared" si="18"/>
        <v>32</v>
      </c>
      <c r="AR440" s="19"/>
      <c r="AS440">
        <v>1</v>
      </c>
      <c r="AT440" s="67">
        <f t="shared" si="19"/>
        <v>0</v>
      </c>
      <c r="AU440" s="67">
        <f t="shared" si="20"/>
        <v>0</v>
      </c>
      <c r="AV440" s="66">
        <v>1</v>
      </c>
      <c r="AW440" s="12"/>
      <c r="AZ440" s="12">
        <v>1</v>
      </c>
      <c r="BA440" s="12">
        <v>1</v>
      </c>
      <c r="BB440" s="12">
        <v>1</v>
      </c>
      <c r="BD440" s="12">
        <v>1</v>
      </c>
      <c r="BE440" s="12">
        <v>1</v>
      </c>
      <c r="BG440" s="12">
        <v>1</v>
      </c>
      <c r="BO440" s="12">
        <v>4</v>
      </c>
      <c r="BP440" s="12">
        <v>1</v>
      </c>
      <c r="BQ440" s="12">
        <v>3</v>
      </c>
      <c r="BV440" s="12">
        <v>1</v>
      </c>
      <c r="BY440" s="12">
        <v>1</v>
      </c>
      <c r="CI440" s="12">
        <v>1</v>
      </c>
      <c r="CK440"/>
      <c r="CR440" t="s">
        <v>326</v>
      </c>
      <c r="CX440">
        <v>414</v>
      </c>
      <c r="CY440" t="s">
        <v>331</v>
      </c>
    </row>
    <row r="441" spans="1:103">
      <c r="A441" s="8">
        <v>415</v>
      </c>
      <c r="B441" s="8" t="s">
        <v>13</v>
      </c>
      <c r="C441" s="8" t="s">
        <v>78</v>
      </c>
      <c r="D441" s="8" t="s">
        <v>359</v>
      </c>
      <c r="E441" s="8" t="s">
        <v>15</v>
      </c>
      <c r="F441" s="8"/>
      <c r="G441" s="8"/>
      <c r="H441" s="8"/>
      <c r="I441" s="124"/>
      <c r="J441" s="95"/>
      <c r="K441" s="95"/>
      <c r="L441" s="95"/>
      <c r="M441" s="95"/>
      <c r="N441" s="95"/>
      <c r="O441" s="95"/>
      <c r="P441" s="125"/>
      <c r="Q441" s="124"/>
      <c r="R441" s="95"/>
      <c r="S441" s="95"/>
      <c r="T441" s="95"/>
      <c r="U441" s="95"/>
      <c r="V441" s="95"/>
      <c r="W441" s="95"/>
      <c r="X441" s="125"/>
      <c r="Y441" s="124"/>
      <c r="Z441" s="95"/>
      <c r="AA441" s="95"/>
      <c r="AB441" s="95"/>
      <c r="AC441" s="95"/>
      <c r="AD441" s="95"/>
      <c r="AE441" s="95"/>
      <c r="AF441" s="125"/>
      <c r="AG441" s="95"/>
      <c r="AH441" s="95"/>
      <c r="AI441" s="95"/>
      <c r="AJ441" s="95"/>
      <c r="AK441" s="95"/>
      <c r="AL441" s="95"/>
      <c r="AM441" s="95"/>
      <c r="AN441" s="125"/>
      <c r="AO441" s="95"/>
      <c r="AP441" s="79"/>
      <c r="AQ441" s="85">
        <f t="shared" si="18"/>
        <v>0</v>
      </c>
      <c r="AR441" s="19"/>
      <c r="AS441"/>
      <c r="AT441" s="67">
        <f t="shared" si="19"/>
        <v>0</v>
      </c>
      <c r="AU441" s="67">
        <f t="shared" si="20"/>
        <v>0</v>
      </c>
      <c r="AV441" s="66"/>
      <c r="AW441" s="12"/>
      <c r="CK441"/>
      <c r="CX441">
        <v>415</v>
      </c>
    </row>
    <row r="442" spans="1:103">
      <c r="A442" s="8">
        <v>417</v>
      </c>
      <c r="B442" s="8" t="s">
        <v>13</v>
      </c>
      <c r="C442" s="8" t="s">
        <v>78</v>
      </c>
      <c r="D442" s="8" t="s">
        <v>359</v>
      </c>
      <c r="E442" s="8" t="s">
        <v>15</v>
      </c>
      <c r="F442" s="8">
        <v>23</v>
      </c>
      <c r="G442" s="8">
        <v>24</v>
      </c>
      <c r="H442" s="8">
        <v>24</v>
      </c>
      <c r="I442" s="124"/>
      <c r="J442" s="95" t="s">
        <v>49</v>
      </c>
      <c r="K442" s="95">
        <v>1</v>
      </c>
      <c r="L442" s="95">
        <v>1</v>
      </c>
      <c r="M442" s="95">
        <v>1</v>
      </c>
      <c r="N442" s="95">
        <v>1</v>
      </c>
      <c r="O442" s="95">
        <v>1</v>
      </c>
      <c r="P442" s="125">
        <v>1</v>
      </c>
      <c r="Q442" s="124">
        <v>1</v>
      </c>
      <c r="R442" s="95">
        <v>1</v>
      </c>
      <c r="S442" s="95">
        <v>1</v>
      </c>
      <c r="T442" s="95">
        <v>1</v>
      </c>
      <c r="U442" s="95">
        <v>1</v>
      </c>
      <c r="V442" s="95">
        <v>1</v>
      </c>
      <c r="W442" s="95" t="s">
        <v>49</v>
      </c>
      <c r="X442" s="125"/>
      <c r="Y442" s="124"/>
      <c r="Z442" s="95" t="s">
        <v>49</v>
      </c>
      <c r="AA442" s="95">
        <v>1</v>
      </c>
      <c r="AB442" s="95">
        <v>1</v>
      </c>
      <c r="AC442" s="95">
        <v>1</v>
      </c>
      <c r="AD442" s="95">
        <v>1</v>
      </c>
      <c r="AE442" s="95">
        <v>1</v>
      </c>
      <c r="AF442" s="125">
        <v>1</v>
      </c>
      <c r="AG442" s="95">
        <v>1</v>
      </c>
      <c r="AH442" s="95" t="s">
        <v>9</v>
      </c>
      <c r="AI442" s="95">
        <v>1</v>
      </c>
      <c r="AJ442" s="95">
        <v>1</v>
      </c>
      <c r="AK442" s="95">
        <v>1</v>
      </c>
      <c r="AL442" s="95">
        <v>1</v>
      </c>
      <c r="AM442" s="95" t="s">
        <v>49</v>
      </c>
      <c r="AN442" s="125"/>
      <c r="AO442" s="95">
        <v>15</v>
      </c>
      <c r="AP442" s="79">
        <v>8</v>
      </c>
      <c r="AQ442" s="85">
        <f t="shared" si="18"/>
        <v>23</v>
      </c>
      <c r="AR442" s="19"/>
      <c r="AS442"/>
      <c r="AT442" s="67">
        <f t="shared" si="19"/>
        <v>0</v>
      </c>
      <c r="AU442" s="67">
        <f t="shared" si="20"/>
        <v>1</v>
      </c>
      <c r="AV442" s="66"/>
      <c r="AW442" s="12"/>
      <c r="BC442" s="12">
        <v>1</v>
      </c>
      <c r="BQ442" s="12">
        <v>1</v>
      </c>
      <c r="CK442"/>
      <c r="CX442">
        <v>417</v>
      </c>
      <c r="CY442" t="s">
        <v>332</v>
      </c>
    </row>
    <row r="443" spans="1:103">
      <c r="A443" s="8">
        <v>418</v>
      </c>
      <c r="B443" s="8" t="s">
        <v>13</v>
      </c>
      <c r="C443" s="8" t="s">
        <v>80</v>
      </c>
      <c r="D443" s="8" t="s">
        <v>346</v>
      </c>
      <c r="E443" s="8" t="s">
        <v>15</v>
      </c>
      <c r="F443" s="8">
        <v>19</v>
      </c>
      <c r="G443" s="8">
        <v>20</v>
      </c>
      <c r="H443" s="8">
        <v>20</v>
      </c>
      <c r="I443" s="124"/>
      <c r="J443" s="95" t="s">
        <v>49</v>
      </c>
      <c r="K443" s="95" t="s">
        <v>49</v>
      </c>
      <c r="L443" s="95">
        <v>1</v>
      </c>
      <c r="M443" s="95">
        <v>1</v>
      </c>
      <c r="N443" s="95">
        <v>1</v>
      </c>
      <c r="O443" s="95">
        <v>1</v>
      </c>
      <c r="P443" s="125">
        <v>1</v>
      </c>
      <c r="Q443" s="124">
        <v>1</v>
      </c>
      <c r="R443" s="95" t="s">
        <v>9</v>
      </c>
      <c r="S443" s="95">
        <v>1</v>
      </c>
      <c r="T443" s="95">
        <v>1</v>
      </c>
      <c r="U443" s="95">
        <v>1</v>
      </c>
      <c r="V443" s="95" t="s">
        <v>49</v>
      </c>
      <c r="W443" s="95" t="s">
        <v>49</v>
      </c>
      <c r="X443" s="125"/>
      <c r="Y443" s="124"/>
      <c r="Z443" s="95" t="s">
        <v>49</v>
      </c>
      <c r="AA443" s="95" t="s">
        <v>49</v>
      </c>
      <c r="AB443" s="95">
        <v>1</v>
      </c>
      <c r="AC443" s="95">
        <v>1</v>
      </c>
      <c r="AD443" s="95">
        <v>1</v>
      </c>
      <c r="AE443" s="95">
        <v>1</v>
      </c>
      <c r="AF443" s="125">
        <v>1</v>
      </c>
      <c r="AG443" s="95">
        <v>1</v>
      </c>
      <c r="AH443" s="95">
        <v>1</v>
      </c>
      <c r="AI443" s="95">
        <v>1</v>
      </c>
      <c r="AJ443" s="95">
        <v>1</v>
      </c>
      <c r="AK443" s="95">
        <v>1</v>
      </c>
      <c r="AL443" s="95" t="s">
        <v>49</v>
      </c>
      <c r="AM443" s="95" t="s">
        <v>49</v>
      </c>
      <c r="AN443" s="125"/>
      <c r="AO443" s="95">
        <v>19</v>
      </c>
      <c r="AP443" s="79"/>
      <c r="AQ443" s="85">
        <f t="shared" si="18"/>
        <v>19</v>
      </c>
      <c r="AR443" s="19"/>
      <c r="AS443"/>
      <c r="AT443" s="67">
        <f t="shared" si="19"/>
        <v>0</v>
      </c>
      <c r="AU443" s="67">
        <f t="shared" si="20"/>
        <v>1</v>
      </c>
      <c r="AV443" s="66"/>
      <c r="AW443" s="12"/>
      <c r="BA443" s="12">
        <v>1</v>
      </c>
      <c r="CI443" s="12">
        <v>1</v>
      </c>
      <c r="CK443"/>
      <c r="CX443">
        <v>418</v>
      </c>
    </row>
    <row r="444" spans="1:103">
      <c r="A444" s="8">
        <v>419</v>
      </c>
      <c r="B444" s="8" t="s">
        <v>12</v>
      </c>
      <c r="C444" s="8" t="s">
        <v>123</v>
      </c>
      <c r="D444" s="8" t="s">
        <v>366</v>
      </c>
      <c r="E444" s="8" t="s">
        <v>6</v>
      </c>
      <c r="F444" s="8">
        <v>27</v>
      </c>
      <c r="G444" s="8">
        <v>27</v>
      </c>
      <c r="H444" s="8">
        <v>29</v>
      </c>
      <c r="I444" s="124"/>
      <c r="J444" s="95">
        <v>1</v>
      </c>
      <c r="K444" s="95">
        <v>1</v>
      </c>
      <c r="L444" s="95">
        <v>1</v>
      </c>
      <c r="M444" s="95">
        <v>1</v>
      </c>
      <c r="N444" s="95">
        <v>1</v>
      </c>
      <c r="O444" s="95">
        <v>1</v>
      </c>
      <c r="P444" s="125">
        <v>1</v>
      </c>
      <c r="Q444" s="124">
        <v>1</v>
      </c>
      <c r="R444" s="95">
        <v>1</v>
      </c>
      <c r="S444" s="95">
        <v>1</v>
      </c>
      <c r="T444" s="95">
        <v>1</v>
      </c>
      <c r="U444" s="95">
        <v>1</v>
      </c>
      <c r="V444" s="95">
        <v>1</v>
      </c>
      <c r="W444" s="95">
        <v>1</v>
      </c>
      <c r="X444" s="125">
        <v>1</v>
      </c>
      <c r="Y444" s="124"/>
      <c r="Z444" s="95" t="s">
        <v>10</v>
      </c>
      <c r="AA444" s="95">
        <v>1</v>
      </c>
      <c r="AB444" s="95">
        <v>1</v>
      </c>
      <c r="AC444" s="95">
        <v>1</v>
      </c>
      <c r="AD444" s="95">
        <v>1</v>
      </c>
      <c r="AE444" s="95">
        <v>1</v>
      </c>
      <c r="AF444" s="125">
        <v>1</v>
      </c>
      <c r="AG444" s="95">
        <v>1</v>
      </c>
      <c r="AH444" s="95">
        <v>1</v>
      </c>
      <c r="AI444" s="95">
        <v>1</v>
      </c>
      <c r="AJ444" s="95">
        <v>1</v>
      </c>
      <c r="AK444" s="95">
        <v>1</v>
      </c>
      <c r="AL444" s="95">
        <v>1</v>
      </c>
      <c r="AM444" s="95" t="s">
        <v>10</v>
      </c>
      <c r="AN444" s="125"/>
      <c r="AO444" s="95"/>
      <c r="AP444" s="79">
        <v>27</v>
      </c>
      <c r="AQ444" s="85">
        <f t="shared" si="18"/>
        <v>27</v>
      </c>
      <c r="AR444" s="19"/>
      <c r="AS444"/>
      <c r="AT444" s="67">
        <f t="shared" si="19"/>
        <v>2</v>
      </c>
      <c r="AU444" s="67">
        <f t="shared" si="20"/>
        <v>0</v>
      </c>
      <c r="AV444" s="66"/>
      <c r="AW444" s="12"/>
      <c r="AY444" s="12">
        <v>1</v>
      </c>
      <c r="AZ444" s="12">
        <v>1</v>
      </c>
      <c r="BA444" s="12">
        <v>1</v>
      </c>
      <c r="BK444" s="12">
        <v>1</v>
      </c>
      <c r="BO444" s="12">
        <v>1</v>
      </c>
      <c r="BR444" s="12">
        <v>1</v>
      </c>
      <c r="BS444" s="12">
        <v>1</v>
      </c>
      <c r="BY444" s="12">
        <v>1</v>
      </c>
      <c r="CK444"/>
      <c r="CX444">
        <v>419</v>
      </c>
    </row>
    <row r="445" spans="1:103">
      <c r="A445" s="8">
        <v>420</v>
      </c>
      <c r="B445" s="8" t="s">
        <v>12</v>
      </c>
      <c r="C445" s="8" t="s">
        <v>40</v>
      </c>
      <c r="D445" s="8" t="s">
        <v>40</v>
      </c>
      <c r="E445" s="8" t="s">
        <v>6</v>
      </c>
      <c r="F445" s="8"/>
      <c r="G445" s="8"/>
      <c r="H445" s="8"/>
      <c r="I445" s="124"/>
      <c r="J445" s="95"/>
      <c r="K445" s="95"/>
      <c r="L445" s="95"/>
      <c r="M445" s="95"/>
      <c r="N445" s="95"/>
      <c r="O445" s="95"/>
      <c r="P445" s="125"/>
      <c r="Q445" s="124"/>
      <c r="R445" s="95"/>
      <c r="S445" s="95"/>
      <c r="T445" s="95"/>
      <c r="U445" s="95"/>
      <c r="V445" s="95"/>
      <c r="W445" s="95"/>
      <c r="X445" s="125"/>
      <c r="Y445" s="124"/>
      <c r="Z445" s="95"/>
      <c r="AA445" s="95"/>
      <c r="AB445" s="95"/>
      <c r="AC445" s="95"/>
      <c r="AD445" s="95"/>
      <c r="AE445" s="95"/>
      <c r="AF445" s="125"/>
      <c r="AG445" s="95"/>
      <c r="AH445" s="95"/>
      <c r="AI445" s="95"/>
      <c r="AJ445" s="95"/>
      <c r="AK445" s="95"/>
      <c r="AL445" s="95"/>
      <c r="AM445" s="95"/>
      <c r="AN445" s="125"/>
      <c r="AO445" s="95"/>
      <c r="AP445" s="79"/>
      <c r="AQ445" s="85">
        <f t="shared" si="18"/>
        <v>0</v>
      </c>
      <c r="AR445" s="19"/>
      <c r="AS445"/>
      <c r="AT445" s="67">
        <f t="shared" si="19"/>
        <v>0</v>
      </c>
      <c r="AU445" s="67">
        <f t="shared" si="20"/>
        <v>0</v>
      </c>
      <c r="AV445" s="66"/>
      <c r="AW445" s="12"/>
      <c r="BK445" s="12">
        <v>1</v>
      </c>
      <c r="BS445" s="12">
        <v>1</v>
      </c>
      <c r="CK445"/>
      <c r="CX445">
        <v>420</v>
      </c>
    </row>
    <row r="446" spans="1:103">
      <c r="A446" s="8">
        <v>421</v>
      </c>
      <c r="B446" s="8" t="s">
        <v>12</v>
      </c>
      <c r="C446" s="8" t="s">
        <v>41</v>
      </c>
      <c r="D446" s="8" t="s">
        <v>42</v>
      </c>
      <c r="E446" s="8" t="s">
        <v>6</v>
      </c>
      <c r="F446" s="8">
        <v>32</v>
      </c>
      <c r="G446" s="8">
        <v>32</v>
      </c>
      <c r="H446" s="8">
        <v>32</v>
      </c>
      <c r="I446" s="124">
        <v>1</v>
      </c>
      <c r="J446" s="95">
        <v>1</v>
      </c>
      <c r="K446" s="95">
        <v>1</v>
      </c>
      <c r="L446" s="95">
        <v>1</v>
      </c>
      <c r="M446" s="95">
        <v>1</v>
      </c>
      <c r="N446" s="95">
        <v>1</v>
      </c>
      <c r="O446" s="95">
        <v>1</v>
      </c>
      <c r="P446" s="125">
        <v>1</v>
      </c>
      <c r="Q446" s="124">
        <v>1</v>
      </c>
      <c r="R446" s="95">
        <v>1</v>
      </c>
      <c r="S446" s="95">
        <v>1</v>
      </c>
      <c r="T446" s="95">
        <v>1</v>
      </c>
      <c r="U446" s="95">
        <v>1</v>
      </c>
      <c r="V446" s="95">
        <v>1</v>
      </c>
      <c r="W446" s="95">
        <v>1</v>
      </c>
      <c r="X446" s="125">
        <v>1</v>
      </c>
      <c r="Y446" s="124">
        <v>1</v>
      </c>
      <c r="Z446" s="95">
        <v>1</v>
      </c>
      <c r="AA446" s="95">
        <v>1</v>
      </c>
      <c r="AB446" s="95">
        <v>1</v>
      </c>
      <c r="AC446" s="95">
        <v>1</v>
      </c>
      <c r="AD446" s="95">
        <v>1</v>
      </c>
      <c r="AE446" s="95">
        <v>1</v>
      </c>
      <c r="AF446" s="125">
        <v>1</v>
      </c>
      <c r="AG446" s="95">
        <v>1</v>
      </c>
      <c r="AH446" s="95">
        <v>1</v>
      </c>
      <c r="AI446" s="95">
        <v>1</v>
      </c>
      <c r="AJ446" s="95">
        <v>1</v>
      </c>
      <c r="AK446" s="95">
        <v>1</v>
      </c>
      <c r="AL446" s="95">
        <v>1</v>
      </c>
      <c r="AM446" s="95">
        <v>1</v>
      </c>
      <c r="AN446" s="125">
        <v>1</v>
      </c>
      <c r="AO446" s="95"/>
      <c r="AP446" s="79">
        <v>32</v>
      </c>
      <c r="AQ446" s="85">
        <f t="shared" si="18"/>
        <v>32</v>
      </c>
      <c r="AR446" s="19" t="s">
        <v>266</v>
      </c>
      <c r="AS446">
        <v>1</v>
      </c>
      <c r="AT446" s="67">
        <f t="shared" si="19"/>
        <v>0</v>
      </c>
      <c r="AU446" s="67">
        <f t="shared" si="20"/>
        <v>0</v>
      </c>
      <c r="AV446" s="66">
        <v>1</v>
      </c>
      <c r="AW446" s="12"/>
      <c r="AX446" s="12">
        <v>1</v>
      </c>
      <c r="AZ446" s="12">
        <v>1</v>
      </c>
      <c r="BA446" s="12">
        <v>1</v>
      </c>
      <c r="BG446" s="12">
        <v>1</v>
      </c>
      <c r="BQ446" s="12">
        <v>2</v>
      </c>
      <c r="BV446" s="12">
        <v>1</v>
      </c>
      <c r="BY446" s="12">
        <v>1</v>
      </c>
      <c r="CK446"/>
      <c r="CX446" s="8">
        <v>421</v>
      </c>
    </row>
    <row r="447" spans="1:103">
      <c r="A447" s="8">
        <v>424</v>
      </c>
      <c r="B447" s="8" t="s">
        <v>13</v>
      </c>
      <c r="C447" s="8" t="s">
        <v>63</v>
      </c>
      <c r="D447" s="8" t="s">
        <v>346</v>
      </c>
      <c r="E447" s="8" t="s">
        <v>15</v>
      </c>
      <c r="F447" s="8">
        <v>8</v>
      </c>
      <c r="G447" s="8" t="s">
        <v>15</v>
      </c>
      <c r="H447" s="8" t="s">
        <v>15</v>
      </c>
      <c r="I447" s="124"/>
      <c r="J447" s="95"/>
      <c r="K447" s="95" t="s">
        <v>49</v>
      </c>
      <c r="L447" s="95" t="s">
        <v>49</v>
      </c>
      <c r="M447" s="95">
        <v>1</v>
      </c>
      <c r="N447" s="95" t="s">
        <v>49</v>
      </c>
      <c r="O447" s="95">
        <v>1</v>
      </c>
      <c r="P447" s="125">
        <v>1</v>
      </c>
      <c r="Q447" s="124">
        <v>1</v>
      </c>
      <c r="R447" s="95">
        <v>1</v>
      </c>
      <c r="S447" s="95" t="s">
        <v>49</v>
      </c>
      <c r="T447" s="95">
        <v>1</v>
      </c>
      <c r="U447" s="95" t="s">
        <v>49</v>
      </c>
      <c r="V447" s="95" t="s">
        <v>49</v>
      </c>
      <c r="W447" s="95"/>
      <c r="X447" s="125"/>
      <c r="Y447" s="124"/>
      <c r="Z447" s="95"/>
      <c r="AA447" s="95"/>
      <c r="AB447" s="95"/>
      <c r="AC447" s="95"/>
      <c r="AD447" s="95"/>
      <c r="AE447" s="95" t="s">
        <v>9</v>
      </c>
      <c r="AF447" s="125">
        <v>1</v>
      </c>
      <c r="AG447" s="95" t="s">
        <v>9</v>
      </c>
      <c r="AH447" s="95" t="s">
        <v>9</v>
      </c>
      <c r="AI447" s="95" t="s">
        <v>49</v>
      </c>
      <c r="AJ447" s="95">
        <v>1</v>
      </c>
      <c r="AK447" s="95" t="s">
        <v>49</v>
      </c>
      <c r="AL447" s="95" t="s">
        <v>49</v>
      </c>
      <c r="AM447" s="95"/>
      <c r="AN447" s="125"/>
      <c r="AO447" s="95">
        <v>8</v>
      </c>
      <c r="AP447" s="79"/>
      <c r="AQ447" s="85">
        <f t="shared" si="18"/>
        <v>8</v>
      </c>
      <c r="AR447" s="19"/>
      <c r="AS447"/>
      <c r="AT447" s="67">
        <f t="shared" si="19"/>
        <v>0</v>
      </c>
      <c r="AU447" s="67">
        <f t="shared" si="20"/>
        <v>3</v>
      </c>
      <c r="AV447" s="66"/>
      <c r="AW447" s="12"/>
      <c r="CK447"/>
      <c r="CX447">
        <v>424</v>
      </c>
    </row>
    <row r="448" spans="1:103">
      <c r="A448" s="8">
        <v>425</v>
      </c>
      <c r="B448" s="8" t="s">
        <v>13</v>
      </c>
      <c r="C448" s="8" t="s">
        <v>63</v>
      </c>
      <c r="D448" s="8" t="s">
        <v>346</v>
      </c>
      <c r="E448" s="8" t="s">
        <v>15</v>
      </c>
      <c r="F448" s="8">
        <v>7</v>
      </c>
      <c r="G448" s="8">
        <v>12</v>
      </c>
      <c r="H448" s="8">
        <v>12</v>
      </c>
      <c r="I448" s="124"/>
      <c r="J448" s="95"/>
      <c r="K448" s="95" t="s">
        <v>49</v>
      </c>
      <c r="L448" s="95" t="s">
        <v>49</v>
      </c>
      <c r="M448" s="95">
        <v>1</v>
      </c>
      <c r="N448" s="95" t="s">
        <v>49</v>
      </c>
      <c r="O448" s="95" t="s">
        <v>9</v>
      </c>
      <c r="P448" s="125" t="s">
        <v>9</v>
      </c>
      <c r="Q448" s="124">
        <v>1</v>
      </c>
      <c r="R448" s="95">
        <v>1</v>
      </c>
      <c r="S448" s="95" t="s">
        <v>49</v>
      </c>
      <c r="T448" s="95">
        <v>1</v>
      </c>
      <c r="U448" s="95" t="s">
        <v>49</v>
      </c>
      <c r="V448" s="95" t="s">
        <v>49</v>
      </c>
      <c r="W448" s="95"/>
      <c r="X448" s="125"/>
      <c r="Y448" s="124"/>
      <c r="Z448" s="95"/>
      <c r="AA448" s="95" t="s">
        <v>49</v>
      </c>
      <c r="AB448" s="95" t="s">
        <v>49</v>
      </c>
      <c r="AC448" s="95" t="s">
        <v>9</v>
      </c>
      <c r="AD448" s="95" t="s">
        <v>49</v>
      </c>
      <c r="AE448" s="95" t="s">
        <v>9</v>
      </c>
      <c r="AF448" s="125">
        <v>1</v>
      </c>
      <c r="AG448" s="95">
        <v>1</v>
      </c>
      <c r="AH448" s="95" t="s">
        <v>9</v>
      </c>
      <c r="AI448" s="95" t="s">
        <v>49</v>
      </c>
      <c r="AJ448" s="95">
        <v>1</v>
      </c>
      <c r="AK448" s="95" t="s">
        <v>49</v>
      </c>
      <c r="AL448" s="95" t="s">
        <v>49</v>
      </c>
      <c r="AM448" s="95"/>
      <c r="AN448" s="125"/>
      <c r="AO448" s="95">
        <v>7</v>
      </c>
      <c r="AP448" s="79"/>
      <c r="AQ448" s="85">
        <f t="shared" si="18"/>
        <v>7</v>
      </c>
      <c r="AR448" s="19"/>
      <c r="AS448"/>
      <c r="AT448" s="67">
        <f t="shared" si="19"/>
        <v>0</v>
      </c>
      <c r="AU448" s="67">
        <f t="shared" si="20"/>
        <v>5</v>
      </c>
      <c r="AV448" s="66"/>
      <c r="AW448" s="12"/>
      <c r="CK448"/>
      <c r="CX448">
        <v>425</v>
      </c>
    </row>
    <row r="449" spans="1:102">
      <c r="A449" s="8">
        <v>426</v>
      </c>
      <c r="B449" s="8" t="s">
        <v>12</v>
      </c>
      <c r="C449" s="8" t="s">
        <v>44</v>
      </c>
      <c r="D449" s="8" t="s">
        <v>349</v>
      </c>
      <c r="E449" s="8" t="s">
        <v>6</v>
      </c>
      <c r="F449" s="8">
        <v>5</v>
      </c>
      <c r="G449" s="8" t="s">
        <v>15</v>
      </c>
      <c r="H449" s="8" t="s">
        <v>15</v>
      </c>
      <c r="I449" s="124"/>
      <c r="J449" s="95"/>
      <c r="K449" s="95"/>
      <c r="L449" s="95" t="s">
        <v>10</v>
      </c>
      <c r="M449" s="95" t="s">
        <v>9</v>
      </c>
      <c r="N449" s="95" t="s">
        <v>9</v>
      </c>
      <c r="O449" s="95" t="s">
        <v>10</v>
      </c>
      <c r="P449" s="125" t="s">
        <v>9</v>
      </c>
      <c r="Q449" s="124" t="s">
        <v>9</v>
      </c>
      <c r="R449" s="95">
        <v>1</v>
      </c>
      <c r="S449" s="95" t="s">
        <v>9</v>
      </c>
      <c r="T449" s="95" t="s">
        <v>9</v>
      </c>
      <c r="U449" s="95" t="s">
        <v>9</v>
      </c>
      <c r="V449" s="95" t="s">
        <v>10</v>
      </c>
      <c r="W449" s="95" t="s">
        <v>10</v>
      </c>
      <c r="X449" s="125">
        <v>1</v>
      </c>
      <c r="Y449" s="124" t="s">
        <v>15</v>
      </c>
      <c r="Z449" s="95" t="s">
        <v>10</v>
      </c>
      <c r="AA449" s="95" t="s">
        <v>10</v>
      </c>
      <c r="AB449" s="95">
        <v>1</v>
      </c>
      <c r="AC449" s="95" t="s">
        <v>9</v>
      </c>
      <c r="AD449" s="95" t="s">
        <v>9</v>
      </c>
      <c r="AE449" s="95" t="s">
        <v>10</v>
      </c>
      <c r="AF449" s="125" t="s">
        <v>10</v>
      </c>
      <c r="AG449" s="95" t="s">
        <v>10</v>
      </c>
      <c r="AH449" s="95" t="s">
        <v>10</v>
      </c>
      <c r="AI449" s="95" t="s">
        <v>10</v>
      </c>
      <c r="AJ449" s="95" t="s">
        <v>10</v>
      </c>
      <c r="AK449" s="95" t="s">
        <v>9</v>
      </c>
      <c r="AL449" s="95" t="s">
        <v>10</v>
      </c>
      <c r="AM449" s="95">
        <v>1</v>
      </c>
      <c r="AN449" s="125">
        <v>1</v>
      </c>
      <c r="AO449" s="95"/>
      <c r="AP449" s="79">
        <v>5</v>
      </c>
      <c r="AQ449" s="85">
        <f t="shared" si="18"/>
        <v>5</v>
      </c>
      <c r="AR449" s="19"/>
      <c r="AS449"/>
      <c r="AT449" s="67">
        <f t="shared" si="19"/>
        <v>13</v>
      </c>
      <c r="AU449" s="67">
        <f t="shared" si="20"/>
        <v>10</v>
      </c>
      <c r="AV449" s="66"/>
      <c r="AW449" s="12">
        <v>1</v>
      </c>
      <c r="AY449" s="12">
        <v>1</v>
      </c>
      <c r="BA449" s="12">
        <v>1</v>
      </c>
      <c r="BB449" s="12">
        <v>1</v>
      </c>
      <c r="BK449" s="12">
        <v>1</v>
      </c>
      <c r="BW449" s="12">
        <v>1</v>
      </c>
      <c r="BY449" s="12">
        <v>1</v>
      </c>
      <c r="CI449" s="12">
        <v>1</v>
      </c>
      <c r="CK449"/>
      <c r="CX449">
        <v>426</v>
      </c>
    </row>
    <row r="450" spans="1:102">
      <c r="A450" s="8">
        <v>427</v>
      </c>
      <c r="B450" s="8" t="s">
        <v>13</v>
      </c>
      <c r="C450" s="8" t="s">
        <v>248</v>
      </c>
      <c r="D450" s="8" t="s">
        <v>358</v>
      </c>
      <c r="E450" s="8" t="s">
        <v>15</v>
      </c>
      <c r="F450" s="8"/>
      <c r="G450" s="8"/>
      <c r="H450" s="8"/>
      <c r="I450" s="124"/>
      <c r="J450" s="95"/>
      <c r="K450" s="95"/>
      <c r="L450" s="95"/>
      <c r="M450" s="95"/>
      <c r="N450" s="95"/>
      <c r="O450" s="95"/>
      <c r="P450" s="125"/>
      <c r="Q450" s="124"/>
      <c r="R450" s="95"/>
      <c r="S450" s="95"/>
      <c r="T450" s="95"/>
      <c r="U450" s="95"/>
      <c r="V450" s="95"/>
      <c r="W450" s="95"/>
      <c r="X450" s="125"/>
      <c r="Y450" s="124"/>
      <c r="Z450" s="95"/>
      <c r="AA450" s="95"/>
      <c r="AB450" s="95"/>
      <c r="AC450" s="95"/>
      <c r="AD450" s="95"/>
      <c r="AE450" s="95"/>
      <c r="AF450" s="125"/>
      <c r="AG450" s="95"/>
      <c r="AH450" s="95"/>
      <c r="AI450" s="95"/>
      <c r="AJ450" s="95"/>
      <c r="AK450" s="95"/>
      <c r="AL450" s="95"/>
      <c r="AM450" s="95"/>
      <c r="AN450" s="125"/>
      <c r="AO450" s="95"/>
      <c r="AP450" s="79"/>
      <c r="AQ450" s="85">
        <f t="shared" si="18"/>
        <v>0</v>
      </c>
      <c r="AR450" s="19"/>
      <c r="AS450"/>
      <c r="AT450" s="67">
        <f t="shared" si="19"/>
        <v>0</v>
      </c>
      <c r="AU450" s="67">
        <f t="shared" si="20"/>
        <v>0</v>
      </c>
      <c r="AV450" s="66"/>
      <c r="AW450" s="12"/>
      <c r="CK450"/>
      <c r="CX450">
        <v>427</v>
      </c>
    </row>
    <row r="451" spans="1:102">
      <c r="A451" s="8">
        <v>428</v>
      </c>
      <c r="B451" s="8" t="s">
        <v>13</v>
      </c>
      <c r="C451" s="8" t="s">
        <v>55</v>
      </c>
      <c r="D451" s="8" t="s">
        <v>346</v>
      </c>
      <c r="E451" s="8" t="s">
        <v>15</v>
      </c>
      <c r="F451" s="8"/>
      <c r="G451" s="8"/>
      <c r="H451" s="8"/>
      <c r="I451" s="124"/>
      <c r="J451" s="95"/>
      <c r="K451" s="95"/>
      <c r="L451" s="95"/>
      <c r="M451" s="95"/>
      <c r="N451" s="95"/>
      <c r="O451" s="95"/>
      <c r="P451" s="125"/>
      <c r="Q451" s="124"/>
      <c r="R451" s="95"/>
      <c r="S451" s="95"/>
      <c r="T451" s="95"/>
      <c r="U451" s="95"/>
      <c r="V451" s="95"/>
      <c r="W451" s="95"/>
      <c r="X451" s="125"/>
      <c r="Y451" s="124"/>
      <c r="Z451" s="95"/>
      <c r="AA451" s="95"/>
      <c r="AB451" s="95"/>
      <c r="AC451" s="95"/>
      <c r="AD451" s="95"/>
      <c r="AE451" s="95"/>
      <c r="AF451" s="125"/>
      <c r="AG451" s="95"/>
      <c r="AH451" s="95"/>
      <c r="AI451" s="95"/>
      <c r="AJ451" s="95"/>
      <c r="AK451" s="95"/>
      <c r="AL451" s="95"/>
      <c r="AM451" s="95"/>
      <c r="AN451" s="125"/>
      <c r="AO451" s="95"/>
      <c r="AP451" s="79"/>
      <c r="AQ451" s="85">
        <f t="shared" si="18"/>
        <v>0</v>
      </c>
      <c r="AR451" s="19"/>
      <c r="AS451"/>
      <c r="AT451" s="67">
        <f t="shared" si="19"/>
        <v>0</v>
      </c>
      <c r="AU451" s="67">
        <f t="shared" si="20"/>
        <v>0</v>
      </c>
      <c r="AV451" s="66"/>
      <c r="AW451" s="12"/>
      <c r="CK451"/>
      <c r="CX451">
        <v>428</v>
      </c>
    </row>
    <row r="452" spans="1:102">
      <c r="A452" s="8">
        <v>429</v>
      </c>
      <c r="B452" s="8" t="s">
        <v>12</v>
      </c>
      <c r="C452" s="8" t="s">
        <v>73</v>
      </c>
      <c r="D452" s="8" t="s">
        <v>165</v>
      </c>
      <c r="E452" s="8" t="s">
        <v>6</v>
      </c>
      <c r="F452" s="8">
        <v>32</v>
      </c>
      <c r="G452" s="8">
        <v>32</v>
      </c>
      <c r="H452" s="8">
        <v>32</v>
      </c>
      <c r="I452" s="124">
        <v>1</v>
      </c>
      <c r="J452" s="95">
        <v>1</v>
      </c>
      <c r="K452" s="95">
        <v>1</v>
      </c>
      <c r="L452" s="95">
        <v>1</v>
      </c>
      <c r="M452" s="95">
        <v>1</v>
      </c>
      <c r="N452" s="95">
        <v>1</v>
      </c>
      <c r="O452" s="95">
        <v>1</v>
      </c>
      <c r="P452" s="125">
        <v>1</v>
      </c>
      <c r="Q452" s="124">
        <v>1</v>
      </c>
      <c r="R452" s="95">
        <v>1</v>
      </c>
      <c r="S452" s="95">
        <v>1</v>
      </c>
      <c r="T452" s="95">
        <v>1</v>
      </c>
      <c r="U452" s="95">
        <v>1</v>
      </c>
      <c r="V452" s="95">
        <v>1</v>
      </c>
      <c r="W452" s="95">
        <v>1</v>
      </c>
      <c r="X452" s="125">
        <v>1</v>
      </c>
      <c r="Y452" s="124">
        <v>1</v>
      </c>
      <c r="Z452" s="95">
        <v>1</v>
      </c>
      <c r="AA452" s="95">
        <v>1</v>
      </c>
      <c r="AB452" s="95">
        <v>1</v>
      </c>
      <c r="AC452" s="95">
        <v>1</v>
      </c>
      <c r="AD452" s="95">
        <v>1</v>
      </c>
      <c r="AE452" s="95">
        <v>1</v>
      </c>
      <c r="AF452" s="125">
        <v>1</v>
      </c>
      <c r="AG452" s="95">
        <v>1</v>
      </c>
      <c r="AH452" s="95">
        <v>1</v>
      </c>
      <c r="AI452" s="95">
        <v>1</v>
      </c>
      <c r="AJ452" s="95">
        <v>1</v>
      </c>
      <c r="AK452" s="95">
        <v>1</v>
      </c>
      <c r="AL452" s="95">
        <v>1</v>
      </c>
      <c r="AM452" s="95">
        <v>1</v>
      </c>
      <c r="AN452" s="125">
        <v>1</v>
      </c>
      <c r="AO452" s="95"/>
      <c r="AP452" s="79">
        <v>32</v>
      </c>
      <c r="AQ452" s="85">
        <f t="shared" si="18"/>
        <v>32</v>
      </c>
      <c r="AR452" s="19" t="s">
        <v>267</v>
      </c>
      <c r="AS452">
        <v>1</v>
      </c>
      <c r="AT452" s="67">
        <f t="shared" si="19"/>
        <v>0</v>
      </c>
      <c r="AU452" s="67">
        <f t="shared" si="20"/>
        <v>0</v>
      </c>
      <c r="AV452" s="66">
        <v>1</v>
      </c>
      <c r="AW452" s="12"/>
      <c r="BA452" s="12">
        <v>1</v>
      </c>
      <c r="BQ452" s="12">
        <v>1</v>
      </c>
      <c r="BY452" s="12">
        <v>1</v>
      </c>
      <c r="CK452"/>
      <c r="CX452">
        <v>429</v>
      </c>
    </row>
    <row r="453" spans="1:102">
      <c r="A453" s="8">
        <v>430</v>
      </c>
      <c r="B453" s="8" t="s">
        <v>12</v>
      </c>
      <c r="C453" s="8" t="s">
        <v>40</v>
      </c>
      <c r="D453" s="8" t="s">
        <v>40</v>
      </c>
      <c r="E453" s="8" t="s">
        <v>6</v>
      </c>
      <c r="F453" s="8"/>
      <c r="G453" s="8"/>
      <c r="H453" s="8"/>
      <c r="I453" s="124"/>
      <c r="J453" s="95"/>
      <c r="K453" s="95"/>
      <c r="L453" s="95"/>
      <c r="M453" s="95"/>
      <c r="N453" s="95"/>
      <c r="O453" s="95"/>
      <c r="P453" s="125"/>
      <c r="Q453" s="124"/>
      <c r="R453" s="95"/>
      <c r="S453" s="95"/>
      <c r="T453" s="95"/>
      <c r="U453" s="95"/>
      <c r="V453" s="95"/>
      <c r="W453" s="95"/>
      <c r="X453" s="125"/>
      <c r="Y453" s="124"/>
      <c r="Z453" s="95"/>
      <c r="AA453" s="95"/>
      <c r="AB453" s="95"/>
      <c r="AC453" s="95"/>
      <c r="AD453" s="95"/>
      <c r="AE453" s="95"/>
      <c r="AF453" s="125"/>
      <c r="AG453" s="95"/>
      <c r="AH453" s="95"/>
      <c r="AI453" s="95"/>
      <c r="AJ453" s="95"/>
      <c r="AK453" s="95"/>
      <c r="AL453" s="95"/>
      <c r="AM453" s="95"/>
      <c r="AN453" s="125"/>
      <c r="AO453" s="95"/>
      <c r="AP453" s="79"/>
      <c r="AQ453" s="85">
        <f t="shared" si="18"/>
        <v>0</v>
      </c>
      <c r="AR453" s="19"/>
      <c r="AS453"/>
      <c r="AT453" s="67">
        <f t="shared" si="19"/>
        <v>0</v>
      </c>
      <c r="AU453" s="67">
        <f t="shared" si="20"/>
        <v>0</v>
      </c>
      <c r="AV453" s="66"/>
      <c r="AW453" s="12"/>
      <c r="CK453"/>
      <c r="CX453">
        <v>430</v>
      </c>
    </row>
    <row r="454" spans="1:102">
      <c r="A454" s="8">
        <v>431</v>
      </c>
      <c r="B454" s="8" t="s">
        <v>13</v>
      </c>
      <c r="C454" s="8" t="s">
        <v>80</v>
      </c>
      <c r="D454" s="8" t="s">
        <v>346</v>
      </c>
      <c r="E454" s="8" t="s">
        <v>15</v>
      </c>
      <c r="F454" s="8"/>
      <c r="G454" s="8"/>
      <c r="H454" s="8"/>
      <c r="I454" s="124"/>
      <c r="J454" s="95"/>
      <c r="K454" s="95"/>
      <c r="L454" s="95"/>
      <c r="M454" s="95"/>
      <c r="N454" s="95"/>
      <c r="O454" s="95"/>
      <c r="P454" s="125"/>
      <c r="Q454" s="124"/>
      <c r="R454" s="95"/>
      <c r="S454" s="95"/>
      <c r="T454" s="95"/>
      <c r="U454" s="95"/>
      <c r="V454" s="95"/>
      <c r="W454" s="95"/>
      <c r="X454" s="125"/>
      <c r="Y454" s="124"/>
      <c r="Z454" s="95"/>
      <c r="AA454" s="95"/>
      <c r="AB454" s="95"/>
      <c r="AC454" s="95"/>
      <c r="AD454" s="95"/>
      <c r="AE454" s="95"/>
      <c r="AF454" s="125"/>
      <c r="AG454" s="95"/>
      <c r="AH454" s="95"/>
      <c r="AI454" s="95"/>
      <c r="AJ454" s="95"/>
      <c r="AK454" s="95"/>
      <c r="AL454" s="95"/>
      <c r="AM454" s="95"/>
      <c r="AN454" s="125"/>
      <c r="AO454" s="95"/>
      <c r="AP454" s="79"/>
      <c r="AQ454" s="85">
        <f t="shared" ref="AQ454:AQ517" si="21">SUM(I454:AN454)</f>
        <v>0</v>
      </c>
      <c r="AR454" s="19"/>
      <c r="AS454"/>
      <c r="AT454" s="67">
        <f t="shared" ref="AT454:AT517" si="22">COUNTIF(I454:AN454,"*am*")</f>
        <v>0</v>
      </c>
      <c r="AU454" s="67">
        <f t="shared" ref="AU454:AU517" si="23">COUNTIF(I454:AN454,"pm")</f>
        <v>0</v>
      </c>
      <c r="AV454" s="66"/>
      <c r="AW454" s="12"/>
      <c r="CK454"/>
      <c r="CX454">
        <v>431</v>
      </c>
    </row>
    <row r="455" spans="1:102">
      <c r="A455" s="8">
        <v>432</v>
      </c>
      <c r="B455" s="8" t="s">
        <v>13</v>
      </c>
      <c r="C455" s="8" t="s">
        <v>105</v>
      </c>
      <c r="D455" s="8" t="s">
        <v>359</v>
      </c>
      <c r="E455" s="8" t="s">
        <v>15</v>
      </c>
      <c r="F455" s="8"/>
      <c r="G455" s="8"/>
      <c r="H455" s="8"/>
      <c r="I455" s="124"/>
      <c r="J455" s="95"/>
      <c r="K455" s="95"/>
      <c r="L455" s="95"/>
      <c r="M455" s="95"/>
      <c r="N455" s="95"/>
      <c r="O455" s="95"/>
      <c r="P455" s="125"/>
      <c r="Q455" s="124"/>
      <c r="R455" s="95"/>
      <c r="S455" s="95"/>
      <c r="T455" s="95"/>
      <c r="U455" s="95"/>
      <c r="V455" s="95"/>
      <c r="W455" s="95"/>
      <c r="X455" s="125"/>
      <c r="Y455" s="124"/>
      <c r="Z455" s="95"/>
      <c r="AA455" s="95"/>
      <c r="AB455" s="95"/>
      <c r="AC455" s="95"/>
      <c r="AD455" s="95"/>
      <c r="AE455" s="95"/>
      <c r="AF455" s="125"/>
      <c r="AG455" s="95"/>
      <c r="AH455" s="95"/>
      <c r="AI455" s="95"/>
      <c r="AJ455" s="95"/>
      <c r="AK455" s="95"/>
      <c r="AL455" s="95"/>
      <c r="AM455" s="95"/>
      <c r="AN455" s="125"/>
      <c r="AO455" s="95"/>
      <c r="AP455" s="79"/>
      <c r="AQ455" s="85">
        <f t="shared" si="21"/>
        <v>0</v>
      </c>
      <c r="AR455" s="19"/>
      <c r="AS455"/>
      <c r="AT455" s="67">
        <f t="shared" si="22"/>
        <v>0</v>
      </c>
      <c r="AU455" s="67">
        <f t="shared" si="23"/>
        <v>0</v>
      </c>
      <c r="AV455" s="66"/>
      <c r="AW455" s="12"/>
      <c r="CK455"/>
      <c r="CX455">
        <v>432</v>
      </c>
    </row>
    <row r="456" spans="1:102">
      <c r="A456" s="8">
        <v>433</v>
      </c>
      <c r="B456" s="8" t="s">
        <v>13</v>
      </c>
      <c r="C456" s="8" t="s">
        <v>118</v>
      </c>
      <c r="D456" s="8" t="s">
        <v>345</v>
      </c>
      <c r="E456" s="8" t="s">
        <v>15</v>
      </c>
      <c r="F456" s="8"/>
      <c r="G456" s="8"/>
      <c r="H456" s="8"/>
      <c r="I456" s="124"/>
      <c r="J456" s="95"/>
      <c r="K456" s="95"/>
      <c r="L456" s="95"/>
      <c r="M456" s="95"/>
      <c r="N456" s="95"/>
      <c r="O456" s="95"/>
      <c r="P456" s="125"/>
      <c r="Q456" s="124"/>
      <c r="R456" s="95"/>
      <c r="S456" s="95"/>
      <c r="T456" s="95"/>
      <c r="U456" s="95"/>
      <c r="V456" s="95"/>
      <c r="W456" s="95"/>
      <c r="X456" s="125"/>
      <c r="Y456" s="124"/>
      <c r="Z456" s="95"/>
      <c r="AA456" s="95"/>
      <c r="AB456" s="95"/>
      <c r="AC456" s="95"/>
      <c r="AD456" s="95"/>
      <c r="AE456" s="95"/>
      <c r="AF456" s="125"/>
      <c r="AG456" s="95"/>
      <c r="AH456" s="95"/>
      <c r="AI456" s="95"/>
      <c r="AJ456" s="95"/>
      <c r="AK456" s="95"/>
      <c r="AL456" s="95"/>
      <c r="AM456" s="95"/>
      <c r="AN456" s="125"/>
      <c r="AO456" s="95"/>
      <c r="AP456" s="79"/>
      <c r="AQ456" s="85">
        <f t="shared" si="21"/>
        <v>0</v>
      </c>
      <c r="AR456" s="19"/>
      <c r="AS456"/>
      <c r="AT456" s="67">
        <f t="shared" si="22"/>
        <v>0</v>
      </c>
      <c r="AU456" s="67">
        <f t="shared" si="23"/>
        <v>0</v>
      </c>
      <c r="AV456" s="66"/>
      <c r="AW456" s="12"/>
      <c r="BP456" s="12" t="s">
        <v>326</v>
      </c>
      <c r="CE456" s="12">
        <v>1</v>
      </c>
      <c r="CK456"/>
      <c r="CX456">
        <v>433</v>
      </c>
    </row>
    <row r="457" spans="1:102">
      <c r="A457" s="8">
        <v>434</v>
      </c>
      <c r="B457" s="8" t="s">
        <v>13</v>
      </c>
      <c r="C457" s="8" t="s">
        <v>56</v>
      </c>
      <c r="D457" s="8" t="s">
        <v>360</v>
      </c>
      <c r="E457" s="8" t="s">
        <v>15</v>
      </c>
      <c r="F457" s="8">
        <v>4</v>
      </c>
      <c r="G457" s="8" t="s">
        <v>15</v>
      </c>
      <c r="H457" s="8">
        <v>8</v>
      </c>
      <c r="I457" s="124"/>
      <c r="J457" s="95"/>
      <c r="K457" s="95" t="s">
        <v>49</v>
      </c>
      <c r="L457" s="95" t="s">
        <v>49</v>
      </c>
      <c r="M457" s="95" t="s">
        <v>49</v>
      </c>
      <c r="N457" s="95" t="s">
        <v>49</v>
      </c>
      <c r="O457" s="95">
        <v>1</v>
      </c>
      <c r="P457" s="125">
        <v>1</v>
      </c>
      <c r="Q457" s="124">
        <v>1</v>
      </c>
      <c r="R457" s="95">
        <v>1</v>
      </c>
      <c r="S457" s="95" t="s">
        <v>49</v>
      </c>
      <c r="T457" s="95" t="s">
        <v>49</v>
      </c>
      <c r="U457" s="95" t="s">
        <v>49</v>
      </c>
      <c r="V457" s="95" t="s">
        <v>49</v>
      </c>
      <c r="W457" s="95"/>
      <c r="X457" s="125"/>
      <c r="Y457" s="124"/>
      <c r="Z457" s="95"/>
      <c r="AA457" s="95"/>
      <c r="AB457" s="95"/>
      <c r="AC457" s="95"/>
      <c r="AD457" s="95"/>
      <c r="AE457" s="95"/>
      <c r="AF457" s="125"/>
      <c r="AG457" s="95"/>
      <c r="AH457" s="95"/>
      <c r="AI457" s="95"/>
      <c r="AJ457" s="95"/>
      <c r="AK457" s="95"/>
      <c r="AL457" s="95"/>
      <c r="AM457" s="95"/>
      <c r="AN457" s="125"/>
      <c r="AO457" s="95">
        <v>4</v>
      </c>
      <c r="AP457" s="79"/>
      <c r="AQ457" s="85">
        <f t="shared" si="21"/>
        <v>4</v>
      </c>
      <c r="AR457" s="19"/>
      <c r="AS457"/>
      <c r="AT457" s="67">
        <f t="shared" si="22"/>
        <v>0</v>
      </c>
      <c r="AU457" s="67">
        <f t="shared" si="23"/>
        <v>0</v>
      </c>
      <c r="AV457" s="66"/>
      <c r="AW457" s="12"/>
      <c r="CK457"/>
      <c r="CX457">
        <v>434</v>
      </c>
    </row>
    <row r="458" spans="1:102">
      <c r="A458" s="8">
        <v>435</v>
      </c>
      <c r="B458" s="8" t="s">
        <v>13</v>
      </c>
      <c r="C458" s="8" t="s">
        <v>201</v>
      </c>
      <c r="D458" s="8" t="s">
        <v>357</v>
      </c>
      <c r="E458" s="8" t="s">
        <v>15</v>
      </c>
      <c r="F458" s="8">
        <v>27</v>
      </c>
      <c r="G458" s="8">
        <v>28</v>
      </c>
      <c r="H458" s="8">
        <v>28</v>
      </c>
      <c r="I458" s="124" t="s">
        <v>49</v>
      </c>
      <c r="J458" s="95">
        <v>1</v>
      </c>
      <c r="K458" s="95">
        <v>1</v>
      </c>
      <c r="L458" s="95">
        <v>1</v>
      </c>
      <c r="M458" s="95">
        <v>1</v>
      </c>
      <c r="N458" s="95">
        <v>1</v>
      </c>
      <c r="O458" s="95">
        <v>1</v>
      </c>
      <c r="P458" s="125" t="s">
        <v>9</v>
      </c>
      <c r="Q458" s="124">
        <v>1</v>
      </c>
      <c r="R458" s="95">
        <v>1</v>
      </c>
      <c r="S458" s="95">
        <v>1</v>
      </c>
      <c r="T458" s="95">
        <v>1</v>
      </c>
      <c r="U458" s="95">
        <v>1</v>
      </c>
      <c r="V458" s="95">
        <v>1</v>
      </c>
      <c r="W458" s="95">
        <v>1</v>
      </c>
      <c r="X458" s="125" t="s">
        <v>49</v>
      </c>
      <c r="Y458" s="124" t="s">
        <v>49</v>
      </c>
      <c r="Z458" s="95">
        <v>1</v>
      </c>
      <c r="AA458" s="95">
        <v>1</v>
      </c>
      <c r="AB458" s="95">
        <v>1</v>
      </c>
      <c r="AC458" s="95">
        <v>1</v>
      </c>
      <c r="AD458" s="95">
        <v>1</v>
      </c>
      <c r="AE458" s="95">
        <v>1</v>
      </c>
      <c r="AF458" s="125">
        <v>1</v>
      </c>
      <c r="AG458" s="95">
        <v>1</v>
      </c>
      <c r="AH458" s="95">
        <v>1</v>
      </c>
      <c r="AI458" s="95">
        <v>1</v>
      </c>
      <c r="AJ458" s="95">
        <v>1</v>
      </c>
      <c r="AK458" s="95">
        <v>1</v>
      </c>
      <c r="AL458" s="95">
        <v>1</v>
      </c>
      <c r="AM458" s="95">
        <v>1</v>
      </c>
      <c r="AN458" s="125" t="s">
        <v>49</v>
      </c>
      <c r="AO458" s="95"/>
      <c r="AP458" s="79">
        <v>27</v>
      </c>
      <c r="AQ458" s="85">
        <f t="shared" si="21"/>
        <v>27</v>
      </c>
      <c r="AR458" s="19" t="s">
        <v>268</v>
      </c>
      <c r="AS458"/>
      <c r="AT458" s="67">
        <f t="shared" si="22"/>
        <v>0</v>
      </c>
      <c r="AU458" s="67">
        <f t="shared" si="23"/>
        <v>1</v>
      </c>
      <c r="AV458" s="66"/>
      <c r="AW458" s="12"/>
      <c r="AZ458" s="12">
        <v>1</v>
      </c>
      <c r="BA458" s="12">
        <v>1</v>
      </c>
      <c r="BB458" s="12">
        <v>1</v>
      </c>
      <c r="CK458"/>
      <c r="CX458">
        <v>435</v>
      </c>
    </row>
    <row r="459" spans="1:102">
      <c r="A459" s="8">
        <v>436</v>
      </c>
      <c r="B459" s="8" t="s">
        <v>12</v>
      </c>
      <c r="C459" s="8" t="s">
        <v>44</v>
      </c>
      <c r="D459" s="8" t="s">
        <v>349</v>
      </c>
      <c r="E459" s="8" t="s">
        <v>6</v>
      </c>
      <c r="F459" s="8">
        <v>21</v>
      </c>
      <c r="G459" s="8" t="s">
        <v>15</v>
      </c>
      <c r="H459" s="8" t="s">
        <v>15</v>
      </c>
      <c r="I459" s="124" t="s">
        <v>15</v>
      </c>
      <c r="J459" s="95">
        <v>1</v>
      </c>
      <c r="K459" s="95">
        <v>1</v>
      </c>
      <c r="L459" s="95">
        <v>1</v>
      </c>
      <c r="M459" s="95">
        <v>1</v>
      </c>
      <c r="N459" s="95">
        <v>1</v>
      </c>
      <c r="O459" s="95">
        <v>1</v>
      </c>
      <c r="P459" s="125">
        <v>1</v>
      </c>
      <c r="Q459" s="124">
        <v>1</v>
      </c>
      <c r="R459" s="95">
        <v>1</v>
      </c>
      <c r="S459" s="95"/>
      <c r="T459" s="95"/>
      <c r="U459" s="95"/>
      <c r="V459" s="95">
        <v>1</v>
      </c>
      <c r="W459" s="95"/>
      <c r="X459" s="125"/>
      <c r="Y459" s="124" t="s">
        <v>15</v>
      </c>
      <c r="Z459" s="95" t="s">
        <v>10</v>
      </c>
      <c r="AA459" s="95" t="s">
        <v>10</v>
      </c>
      <c r="AB459" s="95">
        <v>1</v>
      </c>
      <c r="AC459" s="95">
        <v>1</v>
      </c>
      <c r="AD459" s="95">
        <v>1</v>
      </c>
      <c r="AE459" s="95">
        <v>1</v>
      </c>
      <c r="AF459" s="125" t="s">
        <v>9</v>
      </c>
      <c r="AG459" s="95">
        <v>1</v>
      </c>
      <c r="AH459" s="95">
        <v>1</v>
      </c>
      <c r="AI459" s="95">
        <v>1</v>
      </c>
      <c r="AJ459" s="95">
        <v>1</v>
      </c>
      <c r="AK459" s="95">
        <v>1</v>
      </c>
      <c r="AL459" s="95" t="s">
        <v>10</v>
      </c>
      <c r="AM459" s="95">
        <v>1</v>
      </c>
      <c r="AN459" s="125" t="s">
        <v>15</v>
      </c>
      <c r="AO459" s="95"/>
      <c r="AP459" s="79">
        <v>20</v>
      </c>
      <c r="AQ459" s="85">
        <f t="shared" si="21"/>
        <v>20</v>
      </c>
      <c r="AR459" s="19" t="s">
        <v>269</v>
      </c>
      <c r="AS459"/>
      <c r="AT459" s="67">
        <f t="shared" si="22"/>
        <v>3</v>
      </c>
      <c r="AU459" s="67">
        <f t="shared" si="23"/>
        <v>1</v>
      </c>
      <c r="AV459" s="66"/>
      <c r="AW459" s="12">
        <v>1</v>
      </c>
      <c r="AX459" s="12">
        <v>1</v>
      </c>
      <c r="AY459" s="12">
        <v>1</v>
      </c>
      <c r="AZ459" s="12">
        <v>1</v>
      </c>
      <c r="BA459" s="12">
        <v>1</v>
      </c>
      <c r="BB459" s="12">
        <v>1</v>
      </c>
      <c r="BD459" s="12">
        <v>1</v>
      </c>
      <c r="BE459" s="12">
        <v>1</v>
      </c>
      <c r="BO459" s="12">
        <v>2</v>
      </c>
      <c r="BV459" s="12">
        <v>1</v>
      </c>
      <c r="BW459" s="12">
        <v>1</v>
      </c>
      <c r="BY459" s="12">
        <v>1</v>
      </c>
      <c r="BZ459" s="12">
        <v>1</v>
      </c>
      <c r="CK459"/>
      <c r="CX459">
        <v>436</v>
      </c>
    </row>
    <row r="460" spans="1:102">
      <c r="A460" s="8">
        <v>437</v>
      </c>
      <c r="B460" s="8" t="s">
        <v>13</v>
      </c>
      <c r="C460" s="8" t="s">
        <v>68</v>
      </c>
      <c r="D460" s="8" t="s">
        <v>357</v>
      </c>
      <c r="E460" s="8" t="s">
        <v>15</v>
      </c>
      <c r="F460" s="8">
        <v>24</v>
      </c>
      <c r="G460" s="8">
        <v>24</v>
      </c>
      <c r="H460" s="8">
        <v>24</v>
      </c>
      <c r="I460" s="124" t="s">
        <v>49</v>
      </c>
      <c r="J460" s="95" t="s">
        <v>49</v>
      </c>
      <c r="K460" s="95">
        <v>1</v>
      </c>
      <c r="L460" s="95">
        <v>1</v>
      </c>
      <c r="M460" s="95">
        <v>1</v>
      </c>
      <c r="N460" s="95">
        <v>1</v>
      </c>
      <c r="O460" s="95">
        <v>1</v>
      </c>
      <c r="P460" s="125">
        <v>1</v>
      </c>
      <c r="Q460" s="124">
        <v>1</v>
      </c>
      <c r="R460" s="95">
        <v>1</v>
      </c>
      <c r="S460" s="95">
        <v>1</v>
      </c>
      <c r="T460" s="95">
        <v>1</v>
      </c>
      <c r="U460" s="95">
        <v>1</v>
      </c>
      <c r="V460" s="95">
        <v>1</v>
      </c>
      <c r="W460" s="95" t="s">
        <v>49</v>
      </c>
      <c r="X460" s="125" t="s">
        <v>49</v>
      </c>
      <c r="Y460" s="124" t="s">
        <v>49</v>
      </c>
      <c r="Z460" s="95" t="s">
        <v>49</v>
      </c>
      <c r="AA460" s="95">
        <v>1</v>
      </c>
      <c r="AB460" s="95">
        <v>1</v>
      </c>
      <c r="AC460" s="95">
        <v>1</v>
      </c>
      <c r="AD460" s="95">
        <v>1</v>
      </c>
      <c r="AE460" s="95">
        <v>1</v>
      </c>
      <c r="AF460" s="125">
        <v>1</v>
      </c>
      <c r="AG460" s="95">
        <v>1</v>
      </c>
      <c r="AH460" s="95">
        <v>1</v>
      </c>
      <c r="AI460" s="95">
        <v>1</v>
      </c>
      <c r="AJ460" s="95">
        <v>1</v>
      </c>
      <c r="AK460" s="95">
        <v>1</v>
      </c>
      <c r="AL460" s="95">
        <v>1</v>
      </c>
      <c r="AM460" s="95" t="s">
        <v>49</v>
      </c>
      <c r="AN460" s="125" t="s">
        <v>49</v>
      </c>
      <c r="AO460" s="95">
        <v>12</v>
      </c>
      <c r="AP460" s="79">
        <v>12</v>
      </c>
      <c r="AQ460" s="85">
        <f t="shared" si="21"/>
        <v>24</v>
      </c>
      <c r="AR460" s="19"/>
      <c r="AS460">
        <v>1</v>
      </c>
      <c r="AT460" s="67">
        <f t="shared" si="22"/>
        <v>0</v>
      </c>
      <c r="AU460" s="67">
        <f t="shared" si="23"/>
        <v>0</v>
      </c>
      <c r="AV460" s="66"/>
      <c r="AW460" s="12"/>
      <c r="BA460" s="12">
        <v>1</v>
      </c>
      <c r="BB460" s="12">
        <v>1</v>
      </c>
      <c r="CK460"/>
      <c r="CX460">
        <v>437</v>
      </c>
    </row>
    <row r="461" spans="1:102">
      <c r="A461" s="8">
        <v>438</v>
      </c>
      <c r="B461" s="8" t="s">
        <v>13</v>
      </c>
      <c r="C461" s="8" t="s">
        <v>270</v>
      </c>
      <c r="D461" s="8" t="s">
        <v>358</v>
      </c>
      <c r="E461" s="8" t="s">
        <v>15</v>
      </c>
      <c r="F461" s="8"/>
      <c r="G461" s="8"/>
      <c r="H461" s="8"/>
      <c r="I461" s="124"/>
      <c r="J461" s="95"/>
      <c r="K461" s="95"/>
      <c r="L461" s="95"/>
      <c r="M461" s="95"/>
      <c r="N461" s="95"/>
      <c r="O461" s="95"/>
      <c r="P461" s="125"/>
      <c r="Q461" s="124"/>
      <c r="R461" s="95"/>
      <c r="S461" s="95"/>
      <c r="T461" s="95"/>
      <c r="U461" s="95"/>
      <c r="V461" s="95"/>
      <c r="W461" s="95"/>
      <c r="X461" s="125"/>
      <c r="Y461" s="124"/>
      <c r="Z461" s="95"/>
      <c r="AA461" s="95"/>
      <c r="AB461" s="95"/>
      <c r="AC461" s="95"/>
      <c r="AD461" s="95"/>
      <c r="AE461" s="95"/>
      <c r="AF461" s="125"/>
      <c r="AG461" s="95"/>
      <c r="AH461" s="95"/>
      <c r="AI461" s="95"/>
      <c r="AJ461" s="95"/>
      <c r="AK461" s="95"/>
      <c r="AL461" s="95"/>
      <c r="AM461" s="95"/>
      <c r="AN461" s="125"/>
      <c r="AO461" s="95"/>
      <c r="AP461" s="79"/>
      <c r="AQ461" s="85">
        <f t="shared" si="21"/>
        <v>0</v>
      </c>
      <c r="AR461" s="19"/>
      <c r="AS461"/>
      <c r="AT461" s="67">
        <f t="shared" si="22"/>
        <v>0</v>
      </c>
      <c r="AU461" s="67">
        <f t="shared" si="23"/>
        <v>0</v>
      </c>
      <c r="AV461" s="66"/>
      <c r="AW461" s="12"/>
      <c r="CK461"/>
      <c r="CX461">
        <v>438</v>
      </c>
    </row>
    <row r="462" spans="1:102">
      <c r="A462" s="8">
        <v>439</v>
      </c>
      <c r="B462" s="8" t="s">
        <v>12</v>
      </c>
      <c r="C462" s="8" t="s">
        <v>91</v>
      </c>
      <c r="D462" s="8" t="s">
        <v>366</v>
      </c>
      <c r="E462" s="8" t="s">
        <v>77</v>
      </c>
      <c r="F462" s="8"/>
      <c r="G462" s="8"/>
      <c r="H462" s="8"/>
      <c r="I462" s="124"/>
      <c r="J462" s="95"/>
      <c r="K462" s="95"/>
      <c r="L462" s="95"/>
      <c r="M462" s="95"/>
      <c r="N462" s="95"/>
      <c r="O462" s="95"/>
      <c r="P462" s="125"/>
      <c r="Q462" s="124"/>
      <c r="R462" s="95"/>
      <c r="S462" s="95"/>
      <c r="T462" s="95"/>
      <c r="U462" s="95"/>
      <c r="V462" s="95"/>
      <c r="W462" s="95"/>
      <c r="X462" s="125"/>
      <c r="Y462" s="124"/>
      <c r="Z462" s="95"/>
      <c r="AA462" s="95"/>
      <c r="AB462" s="95"/>
      <c r="AC462" s="95"/>
      <c r="AD462" s="95"/>
      <c r="AE462" s="95"/>
      <c r="AF462" s="125"/>
      <c r="AG462" s="95"/>
      <c r="AH462" s="95"/>
      <c r="AI462" s="95"/>
      <c r="AJ462" s="95"/>
      <c r="AK462" s="95"/>
      <c r="AL462" s="95"/>
      <c r="AM462" s="95"/>
      <c r="AN462" s="125"/>
      <c r="AO462" s="95"/>
      <c r="AP462" s="79"/>
      <c r="AQ462" s="85">
        <f t="shared" si="21"/>
        <v>0</v>
      </c>
      <c r="AR462" s="19"/>
      <c r="AS462"/>
      <c r="AT462" s="67">
        <f t="shared" si="22"/>
        <v>0</v>
      </c>
      <c r="AU462" s="67">
        <f t="shared" si="23"/>
        <v>0</v>
      </c>
      <c r="AV462" s="66"/>
      <c r="AW462" s="12"/>
      <c r="BK462" s="12">
        <v>1</v>
      </c>
      <c r="BV462" s="12">
        <v>1</v>
      </c>
      <c r="BY462" s="12">
        <v>1</v>
      </c>
      <c r="CK462"/>
      <c r="CN462">
        <v>1</v>
      </c>
      <c r="CX462">
        <v>439</v>
      </c>
    </row>
    <row r="463" spans="1:102">
      <c r="A463" s="8">
        <v>440</v>
      </c>
      <c r="B463" s="8" t="s">
        <v>12</v>
      </c>
      <c r="C463" s="8" t="s">
        <v>5</v>
      </c>
      <c r="D463" s="8" t="s">
        <v>42</v>
      </c>
      <c r="E463" s="8" t="s">
        <v>42</v>
      </c>
      <c r="F463" s="8">
        <v>26</v>
      </c>
      <c r="G463" s="8">
        <v>28</v>
      </c>
      <c r="H463" s="8">
        <v>28</v>
      </c>
      <c r="I463" s="124"/>
      <c r="J463" s="95">
        <v>1</v>
      </c>
      <c r="K463" s="95">
        <v>1</v>
      </c>
      <c r="L463" s="95" t="s">
        <v>9</v>
      </c>
      <c r="M463" s="95">
        <v>1</v>
      </c>
      <c r="N463" s="95">
        <v>1</v>
      </c>
      <c r="O463" s="95">
        <v>1</v>
      </c>
      <c r="P463" s="125">
        <v>1</v>
      </c>
      <c r="Q463" s="124" t="s">
        <v>9</v>
      </c>
      <c r="R463" s="95">
        <v>1</v>
      </c>
      <c r="S463" s="95">
        <v>1</v>
      </c>
      <c r="T463" s="95">
        <v>1</v>
      </c>
      <c r="U463" s="95">
        <v>1</v>
      </c>
      <c r="V463" s="95">
        <v>1</v>
      </c>
      <c r="W463" s="95">
        <v>1</v>
      </c>
      <c r="X463" s="125"/>
      <c r="Y463" s="124"/>
      <c r="Z463" s="95">
        <v>1</v>
      </c>
      <c r="AA463" s="95">
        <v>1</v>
      </c>
      <c r="AB463" s="95">
        <v>1</v>
      </c>
      <c r="AC463" s="95">
        <v>1</v>
      </c>
      <c r="AD463" s="95">
        <v>1</v>
      </c>
      <c r="AE463" s="95">
        <v>1</v>
      </c>
      <c r="AF463" s="125">
        <v>1</v>
      </c>
      <c r="AG463" s="95">
        <v>1</v>
      </c>
      <c r="AH463" s="95">
        <v>1</v>
      </c>
      <c r="AI463" s="95">
        <v>1</v>
      </c>
      <c r="AJ463" s="95">
        <v>1</v>
      </c>
      <c r="AK463" s="95">
        <v>1</v>
      </c>
      <c r="AL463" s="95">
        <v>1</v>
      </c>
      <c r="AM463" s="95">
        <v>1</v>
      </c>
      <c r="AN463" s="125"/>
      <c r="AO463" s="95"/>
      <c r="AP463" s="79">
        <v>26</v>
      </c>
      <c r="AQ463" s="85">
        <f t="shared" si="21"/>
        <v>26</v>
      </c>
      <c r="AR463" s="19"/>
      <c r="AS463"/>
      <c r="AT463" s="67">
        <f t="shared" si="22"/>
        <v>0</v>
      </c>
      <c r="AU463" s="67">
        <f t="shared" si="23"/>
        <v>2</v>
      </c>
      <c r="AV463" s="66"/>
      <c r="AW463" s="11">
        <v>1</v>
      </c>
      <c r="AZ463" s="12">
        <v>1</v>
      </c>
      <c r="BA463" s="12">
        <v>1</v>
      </c>
      <c r="BB463" s="12">
        <v>1</v>
      </c>
      <c r="BD463" s="12">
        <v>1</v>
      </c>
      <c r="BE463" s="12">
        <v>1</v>
      </c>
      <c r="BR463" s="12">
        <v>1</v>
      </c>
      <c r="BV463" s="12">
        <v>1</v>
      </c>
      <c r="BY463" s="12">
        <v>1</v>
      </c>
      <c r="BZ463" s="12">
        <v>1</v>
      </c>
      <c r="CK463"/>
      <c r="CX463">
        <v>440</v>
      </c>
    </row>
    <row r="464" spans="1:102">
      <c r="A464" s="8" t="s">
        <v>271</v>
      </c>
      <c r="B464" s="8" t="s">
        <v>13</v>
      </c>
      <c r="C464" s="8" t="s">
        <v>55</v>
      </c>
      <c r="D464" s="8" t="s">
        <v>346</v>
      </c>
      <c r="E464" s="8" t="s">
        <v>15</v>
      </c>
      <c r="F464" s="8">
        <v>20</v>
      </c>
      <c r="G464" s="8">
        <v>20</v>
      </c>
      <c r="H464" s="8">
        <v>20</v>
      </c>
      <c r="I464" s="124"/>
      <c r="J464" s="95"/>
      <c r="K464" s="95" t="s">
        <v>49</v>
      </c>
      <c r="L464" s="95">
        <v>1</v>
      </c>
      <c r="M464" s="95">
        <v>1</v>
      </c>
      <c r="N464" s="95">
        <v>1</v>
      </c>
      <c r="O464" s="95">
        <v>1</v>
      </c>
      <c r="P464" s="125">
        <v>1</v>
      </c>
      <c r="Q464" s="124">
        <v>1</v>
      </c>
      <c r="R464" s="95">
        <v>1</v>
      </c>
      <c r="S464" s="95">
        <v>1</v>
      </c>
      <c r="T464" s="95">
        <v>1</v>
      </c>
      <c r="U464" s="95">
        <v>1</v>
      </c>
      <c r="V464" s="95" t="s">
        <v>49</v>
      </c>
      <c r="W464" s="95"/>
      <c r="X464" s="125"/>
      <c r="Y464" s="124"/>
      <c r="Z464" s="95"/>
      <c r="AA464" s="95" t="s">
        <v>49</v>
      </c>
      <c r="AB464" s="95">
        <v>1</v>
      </c>
      <c r="AC464" s="95">
        <v>1</v>
      </c>
      <c r="AD464" s="95">
        <v>1</v>
      </c>
      <c r="AE464" s="95">
        <v>1</v>
      </c>
      <c r="AF464" s="125">
        <v>1</v>
      </c>
      <c r="AG464" s="95">
        <v>1</v>
      </c>
      <c r="AH464" s="95">
        <v>1</v>
      </c>
      <c r="AI464" s="95">
        <v>1</v>
      </c>
      <c r="AJ464" s="95">
        <v>1</v>
      </c>
      <c r="AK464" s="95">
        <v>1</v>
      </c>
      <c r="AL464" s="95" t="s">
        <v>49</v>
      </c>
      <c r="AM464" s="95"/>
      <c r="AN464" s="125"/>
      <c r="AO464" s="95">
        <v>20</v>
      </c>
      <c r="AP464" s="79"/>
      <c r="AQ464" s="85">
        <f t="shared" si="21"/>
        <v>20</v>
      </c>
      <c r="AR464" s="19" t="s">
        <v>272</v>
      </c>
      <c r="AS464">
        <v>1</v>
      </c>
      <c r="AT464" s="67">
        <f t="shared" si="22"/>
        <v>0</v>
      </c>
      <c r="AU464" s="67">
        <f t="shared" si="23"/>
        <v>0</v>
      </c>
      <c r="AV464" s="66"/>
      <c r="AW464" s="12"/>
      <c r="BB464" s="12">
        <v>1</v>
      </c>
      <c r="CK464"/>
      <c r="CX464" t="s">
        <v>271</v>
      </c>
    </row>
    <row r="465" spans="1:102">
      <c r="A465" s="8" t="s">
        <v>273</v>
      </c>
      <c r="B465" s="8" t="s">
        <v>13</v>
      </c>
      <c r="C465" s="8" t="s">
        <v>274</v>
      </c>
      <c r="D465" s="8" t="s">
        <v>325</v>
      </c>
      <c r="E465" s="8" t="s">
        <v>15</v>
      </c>
      <c r="F465" s="8"/>
      <c r="G465" s="8"/>
      <c r="H465" s="8"/>
      <c r="I465" s="124"/>
      <c r="J465" s="95"/>
      <c r="K465" s="95"/>
      <c r="L465" s="95"/>
      <c r="M465" s="95"/>
      <c r="N465" s="95"/>
      <c r="O465" s="95"/>
      <c r="P465" s="125"/>
      <c r="Q465" s="124"/>
      <c r="R465" s="95"/>
      <c r="S465" s="95"/>
      <c r="T465" s="95"/>
      <c r="U465" s="95"/>
      <c r="V465" s="95"/>
      <c r="W465" s="95"/>
      <c r="X465" s="125"/>
      <c r="Y465" s="124"/>
      <c r="Z465" s="95"/>
      <c r="AA465" s="95"/>
      <c r="AB465" s="95"/>
      <c r="AC465" s="95"/>
      <c r="AD465" s="95"/>
      <c r="AE465" s="95"/>
      <c r="AF465" s="125"/>
      <c r="AG465" s="95"/>
      <c r="AH465" s="95"/>
      <c r="AI465" s="95"/>
      <c r="AJ465" s="95"/>
      <c r="AK465" s="95"/>
      <c r="AL465" s="95"/>
      <c r="AM465" s="95"/>
      <c r="AN465" s="125"/>
      <c r="AO465" s="95"/>
      <c r="AP465" s="79"/>
      <c r="AQ465" s="85">
        <f t="shared" si="21"/>
        <v>0</v>
      </c>
      <c r="AR465" s="19"/>
      <c r="AS465"/>
      <c r="AT465" s="67">
        <f t="shared" si="22"/>
        <v>0</v>
      </c>
      <c r="AU465" s="67">
        <f t="shared" si="23"/>
        <v>0</v>
      </c>
      <c r="AV465" s="66"/>
      <c r="AW465" s="12"/>
      <c r="CK465"/>
      <c r="CX465" t="s">
        <v>273</v>
      </c>
    </row>
    <row r="466" spans="1:102">
      <c r="A466" s="8">
        <v>442</v>
      </c>
      <c r="B466" s="8" t="s">
        <v>13</v>
      </c>
      <c r="C466" s="8" t="s">
        <v>141</v>
      </c>
      <c r="D466" s="8" t="s">
        <v>346</v>
      </c>
      <c r="E466" s="8" t="s">
        <v>15</v>
      </c>
      <c r="F466" s="8"/>
      <c r="G466" s="8"/>
      <c r="H466" s="8"/>
      <c r="I466" s="124"/>
      <c r="J466" s="95"/>
      <c r="K466" s="95"/>
      <c r="L466" s="95"/>
      <c r="M466" s="95"/>
      <c r="N466" s="95"/>
      <c r="O466" s="95"/>
      <c r="P466" s="125"/>
      <c r="Q466" s="124"/>
      <c r="R466" s="95"/>
      <c r="S466" s="95"/>
      <c r="T466" s="95"/>
      <c r="U466" s="95"/>
      <c r="V466" s="95"/>
      <c r="W466" s="95"/>
      <c r="X466" s="125"/>
      <c r="Y466" s="124"/>
      <c r="Z466" s="95"/>
      <c r="AA466" s="95"/>
      <c r="AB466" s="95"/>
      <c r="AC466" s="95"/>
      <c r="AD466" s="95"/>
      <c r="AE466" s="95"/>
      <c r="AF466" s="125"/>
      <c r="AG466" s="95"/>
      <c r="AH466" s="95"/>
      <c r="AI466" s="95"/>
      <c r="AJ466" s="95"/>
      <c r="AK466" s="95"/>
      <c r="AL466" s="95"/>
      <c r="AM466" s="95"/>
      <c r="AN466" s="125"/>
      <c r="AO466" s="95"/>
      <c r="AP466" s="79"/>
      <c r="AQ466" s="85">
        <f t="shared" si="21"/>
        <v>0</v>
      </c>
      <c r="AR466" s="19"/>
      <c r="AS466"/>
      <c r="AT466" s="67">
        <f t="shared" si="22"/>
        <v>0</v>
      </c>
      <c r="AU466" s="67">
        <f t="shared" si="23"/>
        <v>0</v>
      </c>
      <c r="AV466" s="66"/>
      <c r="AW466" s="12"/>
      <c r="CK466"/>
      <c r="CX466">
        <v>442</v>
      </c>
    </row>
    <row r="467" spans="1:102">
      <c r="A467" s="8">
        <v>443</v>
      </c>
      <c r="B467" s="8" t="s">
        <v>12</v>
      </c>
      <c r="C467" s="8" t="s">
        <v>123</v>
      </c>
      <c r="D467" s="8" t="s">
        <v>366</v>
      </c>
      <c r="E467" s="8" t="s">
        <v>6</v>
      </c>
      <c r="F467" s="8"/>
      <c r="G467" s="8"/>
      <c r="H467" s="8"/>
      <c r="I467" s="124"/>
      <c r="J467" s="95"/>
      <c r="K467" s="95"/>
      <c r="L467" s="95"/>
      <c r="M467" s="95"/>
      <c r="N467" s="95"/>
      <c r="O467" s="95"/>
      <c r="P467" s="125"/>
      <c r="Q467" s="124"/>
      <c r="R467" s="95"/>
      <c r="S467" s="95"/>
      <c r="T467" s="95"/>
      <c r="U467" s="95"/>
      <c r="V467" s="95"/>
      <c r="W467" s="95"/>
      <c r="X467" s="125"/>
      <c r="Y467" s="124"/>
      <c r="Z467" s="95"/>
      <c r="AA467" s="95"/>
      <c r="AB467" s="95"/>
      <c r="AC467" s="95"/>
      <c r="AD467" s="95"/>
      <c r="AE467" s="95"/>
      <c r="AF467" s="125"/>
      <c r="AG467" s="95"/>
      <c r="AH467" s="95"/>
      <c r="AI467" s="95"/>
      <c r="AJ467" s="95"/>
      <c r="AK467" s="95"/>
      <c r="AL467" s="95"/>
      <c r="AM467" s="95"/>
      <c r="AN467" s="125"/>
      <c r="AO467" s="95"/>
      <c r="AP467" s="79"/>
      <c r="AQ467" s="85">
        <f t="shared" si="21"/>
        <v>0</v>
      </c>
      <c r="AR467" s="19"/>
      <c r="AS467"/>
      <c r="AT467" s="67">
        <f t="shared" si="22"/>
        <v>0</v>
      </c>
      <c r="AU467" s="67">
        <f t="shared" si="23"/>
        <v>0</v>
      </c>
      <c r="AV467" s="66"/>
      <c r="AW467" s="12"/>
      <c r="BK467" s="12">
        <v>1</v>
      </c>
      <c r="BQ467" s="12">
        <v>3</v>
      </c>
      <c r="BY467" s="12">
        <v>1</v>
      </c>
      <c r="CK467"/>
      <c r="CX467">
        <v>443</v>
      </c>
    </row>
    <row r="468" spans="1:102">
      <c r="A468" s="8">
        <v>444</v>
      </c>
      <c r="B468" s="8" t="s">
        <v>12</v>
      </c>
      <c r="C468" s="8" t="s">
        <v>44</v>
      </c>
      <c r="D468" s="8" t="s">
        <v>349</v>
      </c>
      <c r="E468" s="8" t="s">
        <v>6</v>
      </c>
      <c r="F468" s="8">
        <v>12</v>
      </c>
      <c r="G468" s="8" t="s">
        <v>15</v>
      </c>
      <c r="H468" s="8" t="s">
        <v>15</v>
      </c>
      <c r="I468" s="124"/>
      <c r="J468" s="95">
        <v>1</v>
      </c>
      <c r="K468" s="95">
        <v>1</v>
      </c>
      <c r="L468" s="95">
        <v>1</v>
      </c>
      <c r="M468" s="95">
        <v>1</v>
      </c>
      <c r="N468" s="95">
        <v>1</v>
      </c>
      <c r="O468" s="95" t="s">
        <v>9</v>
      </c>
      <c r="P468" s="125" t="s">
        <v>9</v>
      </c>
      <c r="Q468" s="124" t="s">
        <v>9</v>
      </c>
      <c r="R468" s="95" t="s">
        <v>9</v>
      </c>
      <c r="S468" s="95" t="s">
        <v>9</v>
      </c>
      <c r="T468" s="95" t="s">
        <v>9</v>
      </c>
      <c r="U468" s="95" t="s">
        <v>9</v>
      </c>
      <c r="V468" s="95">
        <v>1</v>
      </c>
      <c r="W468" s="95">
        <v>1</v>
      </c>
      <c r="X468" s="125" t="s">
        <v>15</v>
      </c>
      <c r="Y468" s="124" t="s">
        <v>15</v>
      </c>
      <c r="Z468" s="95" t="s">
        <v>15</v>
      </c>
      <c r="AA468" s="95" t="s">
        <v>15</v>
      </c>
      <c r="AB468" s="95" t="s">
        <v>9</v>
      </c>
      <c r="AC468" s="95" t="s">
        <v>9</v>
      </c>
      <c r="AD468" s="95" t="s">
        <v>9</v>
      </c>
      <c r="AE468" s="95">
        <v>1</v>
      </c>
      <c r="AF468" s="125" t="s">
        <v>9</v>
      </c>
      <c r="AG468" s="95">
        <v>1</v>
      </c>
      <c r="AH468" s="95">
        <v>1</v>
      </c>
      <c r="AI468" s="95">
        <v>1</v>
      </c>
      <c r="AJ468" s="95">
        <v>1</v>
      </c>
      <c r="AK468" s="95" t="s">
        <v>9</v>
      </c>
      <c r="AL468" s="95" t="s">
        <v>10</v>
      </c>
      <c r="AM468" s="95" t="s">
        <v>10</v>
      </c>
      <c r="AN468" s="125" t="s">
        <v>15</v>
      </c>
      <c r="AO468" s="95"/>
      <c r="AP468" s="79">
        <v>12</v>
      </c>
      <c r="AQ468" s="85">
        <f t="shared" si="21"/>
        <v>12</v>
      </c>
      <c r="AR468" s="19"/>
      <c r="AS468"/>
      <c r="AT468" s="67">
        <f t="shared" si="22"/>
        <v>2</v>
      </c>
      <c r="AU468" s="67">
        <f t="shared" si="23"/>
        <v>12</v>
      </c>
      <c r="AV468" s="66"/>
      <c r="AW468" s="12"/>
      <c r="AX468" s="12">
        <v>1</v>
      </c>
      <c r="AY468" s="12">
        <v>1</v>
      </c>
      <c r="AZ468" s="12">
        <v>1</v>
      </c>
      <c r="BA468" s="12">
        <v>1</v>
      </c>
      <c r="BB468" s="12">
        <v>1</v>
      </c>
      <c r="BK468" s="12">
        <v>1</v>
      </c>
      <c r="BS468" s="12">
        <v>1</v>
      </c>
      <c r="CK468"/>
      <c r="CX468">
        <v>444</v>
      </c>
    </row>
    <row r="469" spans="1:102">
      <c r="A469" s="8">
        <v>445</v>
      </c>
      <c r="B469" s="8" t="s">
        <v>12</v>
      </c>
      <c r="C469" s="8" t="s">
        <v>106</v>
      </c>
      <c r="D469" s="8" t="s">
        <v>349</v>
      </c>
      <c r="E469" s="8" t="s">
        <v>6</v>
      </c>
      <c r="F469" s="8">
        <v>28</v>
      </c>
      <c r="G469" s="8">
        <v>29</v>
      </c>
      <c r="H469" s="8">
        <v>32</v>
      </c>
      <c r="I469" s="124">
        <v>1</v>
      </c>
      <c r="J469" s="95">
        <v>1</v>
      </c>
      <c r="K469" s="95" t="s">
        <v>10</v>
      </c>
      <c r="L469" s="95">
        <v>1</v>
      </c>
      <c r="M469" s="95">
        <v>1</v>
      </c>
      <c r="N469" s="95">
        <v>1</v>
      </c>
      <c r="O469" s="95">
        <v>1</v>
      </c>
      <c r="P469" s="125">
        <v>1</v>
      </c>
      <c r="Q469" s="124">
        <v>1</v>
      </c>
      <c r="R469" s="95">
        <v>1</v>
      </c>
      <c r="S469" s="95">
        <v>1</v>
      </c>
      <c r="T469" s="95">
        <v>1</v>
      </c>
      <c r="U469" s="95">
        <v>1</v>
      </c>
      <c r="V469" s="95" t="s">
        <v>10</v>
      </c>
      <c r="W469" s="95">
        <v>1</v>
      </c>
      <c r="X469" s="125">
        <v>1</v>
      </c>
      <c r="Y469" s="124">
        <v>1</v>
      </c>
      <c r="Z469" s="95">
        <v>1</v>
      </c>
      <c r="AA469" s="95" t="s">
        <v>10</v>
      </c>
      <c r="AB469" s="95">
        <v>1</v>
      </c>
      <c r="AC469" s="95">
        <v>1</v>
      </c>
      <c r="AD469" s="95">
        <v>1</v>
      </c>
      <c r="AE469" s="95">
        <v>1</v>
      </c>
      <c r="AF469" s="125">
        <v>1</v>
      </c>
      <c r="AG469" s="95" t="s">
        <v>9</v>
      </c>
      <c r="AH469" s="95">
        <v>1</v>
      </c>
      <c r="AI469" s="95">
        <v>1</v>
      </c>
      <c r="AJ469" s="95">
        <v>1</v>
      </c>
      <c r="AK469" s="95">
        <v>1</v>
      </c>
      <c r="AL469" s="95">
        <v>1</v>
      </c>
      <c r="AM469" s="95">
        <v>1</v>
      </c>
      <c r="AN469" s="125">
        <v>1</v>
      </c>
      <c r="AO469" s="95"/>
      <c r="AP469" s="79">
        <v>28</v>
      </c>
      <c r="AQ469" s="85">
        <f t="shared" si="21"/>
        <v>28</v>
      </c>
      <c r="AR469" s="19"/>
      <c r="AS469"/>
      <c r="AT469" s="67">
        <f t="shared" si="22"/>
        <v>3</v>
      </c>
      <c r="AU469" s="67">
        <f t="shared" si="23"/>
        <v>1</v>
      </c>
      <c r="AV469" s="66"/>
      <c r="AW469" s="12">
        <v>1</v>
      </c>
      <c r="AX469" s="12">
        <v>1</v>
      </c>
      <c r="AY469" s="12">
        <v>1</v>
      </c>
      <c r="BA469" s="12">
        <v>1</v>
      </c>
      <c r="BB469" s="12">
        <v>1</v>
      </c>
      <c r="BE469" s="12">
        <v>1</v>
      </c>
      <c r="BO469" s="12">
        <v>3</v>
      </c>
      <c r="BP469" s="12">
        <v>4</v>
      </c>
      <c r="BV469" s="12">
        <v>1</v>
      </c>
      <c r="BY469" s="12">
        <v>1</v>
      </c>
      <c r="CK469"/>
      <c r="CX469">
        <v>445</v>
      </c>
    </row>
    <row r="470" spans="1:102">
      <c r="A470" s="8">
        <v>446</v>
      </c>
      <c r="B470" s="8" t="s">
        <v>13</v>
      </c>
      <c r="C470" s="8" t="s">
        <v>14</v>
      </c>
      <c r="D470" s="8" t="s">
        <v>345</v>
      </c>
      <c r="E470" s="8" t="s">
        <v>15</v>
      </c>
      <c r="F470" s="8"/>
      <c r="G470" s="8"/>
      <c r="H470" s="8"/>
      <c r="I470" s="124"/>
      <c r="J470" s="95"/>
      <c r="K470" s="95"/>
      <c r="L470" s="95"/>
      <c r="M470" s="95"/>
      <c r="N470" s="95"/>
      <c r="O470" s="95"/>
      <c r="P470" s="125"/>
      <c r="Q470" s="124"/>
      <c r="R470" s="95"/>
      <c r="S470" s="95"/>
      <c r="T470" s="95"/>
      <c r="U470" s="95"/>
      <c r="V470" s="95"/>
      <c r="W470" s="95"/>
      <c r="X470" s="125"/>
      <c r="Y470" s="124"/>
      <c r="Z470" s="95"/>
      <c r="AA470" s="95"/>
      <c r="AB470" s="95"/>
      <c r="AC470" s="95"/>
      <c r="AD470" s="95"/>
      <c r="AE470" s="95"/>
      <c r="AF470" s="125"/>
      <c r="AG470" s="95"/>
      <c r="AH470" s="95"/>
      <c r="AI470" s="95"/>
      <c r="AJ470" s="95"/>
      <c r="AK470" s="95"/>
      <c r="AL470" s="95"/>
      <c r="AM470" s="95"/>
      <c r="AN470" s="125"/>
      <c r="AO470" s="95"/>
      <c r="AP470" s="79"/>
      <c r="AQ470" s="85">
        <f t="shared" si="21"/>
        <v>0</v>
      </c>
      <c r="AR470" s="19"/>
      <c r="AS470"/>
      <c r="AT470" s="67">
        <f t="shared" si="22"/>
        <v>0</v>
      </c>
      <c r="AU470" s="67">
        <f t="shared" si="23"/>
        <v>0</v>
      </c>
      <c r="AV470" s="66"/>
      <c r="AW470" s="12"/>
      <c r="CK470"/>
      <c r="CX470">
        <v>446</v>
      </c>
    </row>
    <row r="471" spans="1:102">
      <c r="A471" s="8">
        <v>447</v>
      </c>
      <c r="B471" s="8" t="s">
        <v>12</v>
      </c>
      <c r="C471" s="8" t="s">
        <v>40</v>
      </c>
      <c r="D471" s="8" t="s">
        <v>40</v>
      </c>
      <c r="E471" s="8" t="s">
        <v>15</v>
      </c>
      <c r="F471" s="8"/>
      <c r="G471" s="8"/>
      <c r="H471" s="8"/>
      <c r="I471" s="124"/>
      <c r="J471" s="95"/>
      <c r="K471" s="95"/>
      <c r="L471" s="95"/>
      <c r="M471" s="95"/>
      <c r="N471" s="95"/>
      <c r="O471" s="95"/>
      <c r="P471" s="125"/>
      <c r="Q471" s="124"/>
      <c r="R471" s="95"/>
      <c r="S471" s="95"/>
      <c r="T471" s="95"/>
      <c r="U471" s="95"/>
      <c r="V471" s="95"/>
      <c r="W471" s="95"/>
      <c r="X471" s="125"/>
      <c r="Y471" s="124"/>
      <c r="Z471" s="95"/>
      <c r="AA471" s="95"/>
      <c r="AB471" s="95"/>
      <c r="AC471" s="95"/>
      <c r="AD471" s="95"/>
      <c r="AE471" s="95"/>
      <c r="AF471" s="125"/>
      <c r="AG471" s="95"/>
      <c r="AH471" s="95"/>
      <c r="AI471" s="95"/>
      <c r="AJ471" s="95"/>
      <c r="AK471" s="95"/>
      <c r="AL471" s="95"/>
      <c r="AM471" s="95"/>
      <c r="AN471" s="125"/>
      <c r="AO471" s="95"/>
      <c r="AP471" s="79"/>
      <c r="AQ471" s="85">
        <f t="shared" si="21"/>
        <v>0</v>
      </c>
      <c r="AR471" s="19"/>
      <c r="AS471"/>
      <c r="AT471" s="67">
        <f t="shared" si="22"/>
        <v>0</v>
      </c>
      <c r="AU471" s="67">
        <f t="shared" si="23"/>
        <v>0</v>
      </c>
      <c r="AV471" s="66"/>
      <c r="AW471" s="12"/>
      <c r="CK471"/>
      <c r="CX471">
        <v>447</v>
      </c>
    </row>
    <row r="472" spans="1:102">
      <c r="A472" s="8">
        <v>448</v>
      </c>
      <c r="B472" s="8" t="s">
        <v>13</v>
      </c>
      <c r="C472" s="8" t="s">
        <v>64</v>
      </c>
      <c r="D472" s="8" t="s">
        <v>357</v>
      </c>
      <c r="E472" s="8" t="s">
        <v>15</v>
      </c>
      <c r="F472" s="8"/>
      <c r="G472" s="8"/>
      <c r="H472" s="8"/>
      <c r="I472" s="124"/>
      <c r="J472" s="95"/>
      <c r="K472" s="95"/>
      <c r="L472" s="95"/>
      <c r="M472" s="95"/>
      <c r="N472" s="95"/>
      <c r="O472" s="95"/>
      <c r="P472" s="125"/>
      <c r="Q472" s="124"/>
      <c r="R472" s="95"/>
      <c r="S472" s="95"/>
      <c r="T472" s="95"/>
      <c r="U472" s="95"/>
      <c r="V472" s="95"/>
      <c r="W472" s="95"/>
      <c r="X472" s="125"/>
      <c r="Y472" s="124"/>
      <c r="Z472" s="95"/>
      <c r="AA472" s="95"/>
      <c r="AB472" s="95"/>
      <c r="AC472" s="95"/>
      <c r="AD472" s="95"/>
      <c r="AE472" s="95"/>
      <c r="AF472" s="125"/>
      <c r="AG472" s="95"/>
      <c r="AH472" s="95"/>
      <c r="AI472" s="95"/>
      <c r="AJ472" s="95"/>
      <c r="AK472" s="95"/>
      <c r="AL472" s="95"/>
      <c r="AM472" s="95"/>
      <c r="AN472" s="125"/>
      <c r="AO472" s="95"/>
      <c r="AP472" s="79"/>
      <c r="AQ472" s="85">
        <f t="shared" si="21"/>
        <v>0</v>
      </c>
      <c r="AR472" s="19"/>
      <c r="AS472"/>
      <c r="AT472" s="67">
        <f t="shared" si="22"/>
        <v>0</v>
      </c>
      <c r="AU472" s="67">
        <f t="shared" si="23"/>
        <v>0</v>
      </c>
      <c r="AV472" s="66"/>
      <c r="AW472" s="12"/>
      <c r="CK472"/>
      <c r="CX472">
        <v>448</v>
      </c>
    </row>
    <row r="473" spans="1:102">
      <c r="A473" s="8">
        <v>449</v>
      </c>
      <c r="B473" s="8" t="s">
        <v>12</v>
      </c>
      <c r="C473" s="8" t="s">
        <v>62</v>
      </c>
      <c r="D473" s="8" t="s">
        <v>42</v>
      </c>
      <c r="E473" s="8" t="s">
        <v>42</v>
      </c>
      <c r="F473" s="8">
        <v>30</v>
      </c>
      <c r="G473" s="8">
        <v>30</v>
      </c>
      <c r="H473" s="8">
        <v>30</v>
      </c>
      <c r="I473" s="124">
        <v>1</v>
      </c>
      <c r="J473" s="95">
        <v>1</v>
      </c>
      <c r="K473" s="95">
        <v>1</v>
      </c>
      <c r="L473" s="95">
        <v>1</v>
      </c>
      <c r="M473" s="95">
        <v>1</v>
      </c>
      <c r="N473" s="95">
        <v>1</v>
      </c>
      <c r="O473" s="95">
        <v>1</v>
      </c>
      <c r="P473" s="125">
        <v>1</v>
      </c>
      <c r="Q473" s="124">
        <v>1</v>
      </c>
      <c r="R473" s="95" t="s">
        <v>49</v>
      </c>
      <c r="S473" s="95">
        <v>1</v>
      </c>
      <c r="T473" s="95">
        <v>1</v>
      </c>
      <c r="U473" s="95">
        <v>1</v>
      </c>
      <c r="V473" s="95">
        <v>1</v>
      </c>
      <c r="W473" s="95">
        <v>1</v>
      </c>
      <c r="X473" s="125">
        <v>1</v>
      </c>
      <c r="Y473" s="124">
        <v>1</v>
      </c>
      <c r="Z473" s="95">
        <v>1</v>
      </c>
      <c r="AA473" s="95">
        <v>1</v>
      </c>
      <c r="AB473" s="95">
        <v>1</v>
      </c>
      <c r="AC473" s="95">
        <v>1</v>
      </c>
      <c r="AD473" s="95">
        <v>1</v>
      </c>
      <c r="AE473" s="95">
        <v>1</v>
      </c>
      <c r="AF473" s="125">
        <v>1</v>
      </c>
      <c r="AG473" s="95">
        <v>1</v>
      </c>
      <c r="AH473" s="95">
        <v>1</v>
      </c>
      <c r="AI473" s="95">
        <v>1</v>
      </c>
      <c r="AJ473" s="95">
        <v>1</v>
      </c>
      <c r="AK473" s="95">
        <v>1</v>
      </c>
      <c r="AL473" s="95">
        <v>1</v>
      </c>
      <c r="AM473" s="95">
        <v>1</v>
      </c>
      <c r="AN473" s="125"/>
      <c r="AO473" s="95"/>
      <c r="AP473" s="79">
        <v>30</v>
      </c>
      <c r="AQ473" s="85">
        <f t="shared" si="21"/>
        <v>30</v>
      </c>
      <c r="AR473" s="19" t="s">
        <v>275</v>
      </c>
      <c r="AS473">
        <v>1</v>
      </c>
      <c r="AT473" s="67">
        <f t="shared" si="22"/>
        <v>0</v>
      </c>
      <c r="AU473" s="67">
        <f t="shared" si="23"/>
        <v>0</v>
      </c>
      <c r="AV473" s="66"/>
      <c r="AW473" s="12">
        <v>1</v>
      </c>
      <c r="AX473" s="12">
        <v>1</v>
      </c>
      <c r="AZ473" s="12">
        <v>1</v>
      </c>
      <c r="BA473" s="12">
        <v>1</v>
      </c>
      <c r="BB473" s="12">
        <v>1</v>
      </c>
      <c r="BE473" s="12">
        <v>1</v>
      </c>
      <c r="BK473" s="12">
        <v>1</v>
      </c>
      <c r="BQ473" s="12">
        <v>5</v>
      </c>
      <c r="BV473" s="12">
        <v>1</v>
      </c>
      <c r="BW473" s="12">
        <v>1</v>
      </c>
      <c r="BY473" s="12">
        <v>1</v>
      </c>
      <c r="BZ473" s="12">
        <v>1</v>
      </c>
      <c r="CK473"/>
      <c r="CR473" t="s">
        <v>326</v>
      </c>
      <c r="CX473">
        <v>449</v>
      </c>
    </row>
    <row r="474" spans="1:102">
      <c r="A474" s="8">
        <v>450</v>
      </c>
      <c r="B474" s="8" t="s">
        <v>12</v>
      </c>
      <c r="C474" s="8" t="s">
        <v>73</v>
      </c>
      <c r="D474" s="8" t="s">
        <v>165</v>
      </c>
      <c r="E474" s="8" t="s">
        <v>6</v>
      </c>
      <c r="F474" s="8">
        <v>28</v>
      </c>
      <c r="G474" s="8">
        <v>30</v>
      </c>
      <c r="H474" s="8">
        <v>31</v>
      </c>
      <c r="I474" s="124"/>
      <c r="J474" s="95">
        <v>1</v>
      </c>
      <c r="K474" s="95">
        <v>1</v>
      </c>
      <c r="L474" s="95">
        <v>1</v>
      </c>
      <c r="M474" s="95">
        <v>1</v>
      </c>
      <c r="N474" s="95">
        <v>1</v>
      </c>
      <c r="O474" s="95">
        <v>1</v>
      </c>
      <c r="P474" s="125">
        <v>1</v>
      </c>
      <c r="Q474" s="124">
        <v>1</v>
      </c>
      <c r="R474" s="95">
        <v>1</v>
      </c>
      <c r="S474" s="95">
        <v>1</v>
      </c>
      <c r="T474" s="95">
        <v>1</v>
      </c>
      <c r="U474" s="95">
        <v>1</v>
      </c>
      <c r="V474" s="95">
        <v>1</v>
      </c>
      <c r="W474" s="95">
        <v>1</v>
      </c>
      <c r="X474" s="125">
        <v>1</v>
      </c>
      <c r="Y474" s="124" t="s">
        <v>9</v>
      </c>
      <c r="Z474" s="95" t="s">
        <v>10</v>
      </c>
      <c r="AA474" s="95">
        <v>1</v>
      </c>
      <c r="AB474" s="95">
        <v>1</v>
      </c>
      <c r="AC474" s="95">
        <v>1</v>
      </c>
      <c r="AD474" s="95">
        <v>1</v>
      </c>
      <c r="AE474" s="95">
        <v>1</v>
      </c>
      <c r="AF474" s="125">
        <v>1</v>
      </c>
      <c r="AG474" s="95">
        <v>1</v>
      </c>
      <c r="AH474" s="95">
        <v>1</v>
      </c>
      <c r="AI474" s="95">
        <v>1</v>
      </c>
      <c r="AJ474" s="95">
        <v>1</v>
      </c>
      <c r="AK474" s="95">
        <v>1</v>
      </c>
      <c r="AL474" s="95">
        <v>1</v>
      </c>
      <c r="AM474" s="95">
        <v>1</v>
      </c>
      <c r="AN474" s="125" t="s">
        <v>9</v>
      </c>
      <c r="AO474" s="95"/>
      <c r="AP474" s="79">
        <v>28</v>
      </c>
      <c r="AQ474" s="85">
        <f t="shared" si="21"/>
        <v>28</v>
      </c>
      <c r="AR474" s="19"/>
      <c r="AS474"/>
      <c r="AT474" s="67">
        <f t="shared" si="22"/>
        <v>1</v>
      </c>
      <c r="AU474" s="67">
        <f t="shared" si="23"/>
        <v>2</v>
      </c>
      <c r="AV474" s="66"/>
      <c r="AW474" s="12">
        <v>1</v>
      </c>
      <c r="AY474" s="12">
        <v>1</v>
      </c>
      <c r="BA474" s="12">
        <v>1</v>
      </c>
      <c r="BB474" s="12">
        <v>1</v>
      </c>
      <c r="BK474" s="12">
        <v>1</v>
      </c>
      <c r="BV474" s="12">
        <v>1</v>
      </c>
      <c r="BY474" s="12">
        <v>1</v>
      </c>
      <c r="BZ474" s="12">
        <v>1</v>
      </c>
      <c r="CK474"/>
      <c r="CX474">
        <v>450</v>
      </c>
    </row>
    <row r="475" spans="1:102">
      <c r="A475" s="8">
        <v>451</v>
      </c>
      <c r="B475" s="8" t="s">
        <v>13</v>
      </c>
      <c r="C475" s="8" t="s">
        <v>59</v>
      </c>
      <c r="D475" s="8" t="s">
        <v>346</v>
      </c>
      <c r="E475" s="8" t="s">
        <v>15</v>
      </c>
      <c r="F475" s="8"/>
      <c r="G475" s="8"/>
      <c r="H475" s="8"/>
      <c r="I475" s="124"/>
      <c r="J475" s="95"/>
      <c r="K475" s="95"/>
      <c r="L475" s="95"/>
      <c r="M475" s="95"/>
      <c r="N475" s="95"/>
      <c r="O475" s="95"/>
      <c r="P475" s="125"/>
      <c r="Q475" s="124"/>
      <c r="R475" s="95"/>
      <c r="S475" s="95"/>
      <c r="T475" s="95"/>
      <c r="U475" s="95"/>
      <c r="V475" s="95"/>
      <c r="W475" s="95"/>
      <c r="X475" s="125"/>
      <c r="Y475" s="124"/>
      <c r="Z475" s="95"/>
      <c r="AA475" s="95"/>
      <c r="AB475" s="95"/>
      <c r="AC475" s="95"/>
      <c r="AD475" s="95"/>
      <c r="AE475" s="95"/>
      <c r="AF475" s="125"/>
      <c r="AG475" s="95"/>
      <c r="AH475" s="95"/>
      <c r="AI475" s="95"/>
      <c r="AJ475" s="95"/>
      <c r="AK475" s="95"/>
      <c r="AL475" s="95"/>
      <c r="AM475" s="95"/>
      <c r="AN475" s="125"/>
      <c r="AO475" s="95"/>
      <c r="AP475" s="79"/>
      <c r="AQ475" s="85">
        <f t="shared" si="21"/>
        <v>0</v>
      </c>
      <c r="AR475" s="19"/>
      <c r="AS475"/>
      <c r="AT475" s="67">
        <f t="shared" si="22"/>
        <v>0</v>
      </c>
      <c r="AU475" s="67">
        <f t="shared" si="23"/>
        <v>0</v>
      </c>
      <c r="AV475" s="66"/>
      <c r="AW475" s="12"/>
      <c r="CK475"/>
      <c r="CX475">
        <v>451</v>
      </c>
    </row>
    <row r="476" spans="1:102">
      <c r="A476" s="8">
        <v>452</v>
      </c>
      <c r="B476" s="8" t="s">
        <v>13</v>
      </c>
      <c r="C476" s="8" t="s">
        <v>63</v>
      </c>
      <c r="D476" s="8" t="s">
        <v>346</v>
      </c>
      <c r="E476" s="8" t="s">
        <v>15</v>
      </c>
      <c r="F476" s="8">
        <v>10</v>
      </c>
      <c r="G476" s="8">
        <v>12</v>
      </c>
      <c r="H476" s="8">
        <v>12</v>
      </c>
      <c r="I476" s="124"/>
      <c r="J476" s="95"/>
      <c r="K476" s="95" t="s">
        <v>49</v>
      </c>
      <c r="L476" s="95" t="s">
        <v>49</v>
      </c>
      <c r="M476" s="95">
        <v>1</v>
      </c>
      <c r="N476" s="95" t="s">
        <v>49</v>
      </c>
      <c r="O476" s="95" t="s">
        <v>9</v>
      </c>
      <c r="P476" s="125">
        <v>1</v>
      </c>
      <c r="Q476" s="124">
        <v>1</v>
      </c>
      <c r="R476" s="95" t="s">
        <v>9</v>
      </c>
      <c r="S476" s="95" t="s">
        <v>49</v>
      </c>
      <c r="T476" s="95">
        <v>1</v>
      </c>
      <c r="U476" s="95" t="s">
        <v>49</v>
      </c>
      <c r="V476" s="95" t="s">
        <v>49</v>
      </c>
      <c r="W476" s="95"/>
      <c r="X476" s="125"/>
      <c r="Y476" s="124"/>
      <c r="Z476" s="95"/>
      <c r="AA476" s="95" t="s">
        <v>49</v>
      </c>
      <c r="AB476" s="95" t="s">
        <v>49</v>
      </c>
      <c r="AC476" s="95">
        <v>1</v>
      </c>
      <c r="AD476" s="95" t="s">
        <v>49</v>
      </c>
      <c r="AE476" s="95">
        <v>1</v>
      </c>
      <c r="AF476" s="125">
        <v>1</v>
      </c>
      <c r="AG476" s="95">
        <v>1</v>
      </c>
      <c r="AH476" s="95">
        <v>1</v>
      </c>
      <c r="AI476" s="95" t="s">
        <v>49</v>
      </c>
      <c r="AJ476" s="95">
        <v>1</v>
      </c>
      <c r="AK476" s="95" t="s">
        <v>49</v>
      </c>
      <c r="AL476" s="95" t="s">
        <v>49</v>
      </c>
      <c r="AM476" s="95"/>
      <c r="AN476" s="125"/>
      <c r="AO476" s="95">
        <v>10</v>
      </c>
      <c r="AP476" s="79"/>
      <c r="AQ476" s="85">
        <f t="shared" si="21"/>
        <v>10</v>
      </c>
      <c r="AR476" s="19"/>
      <c r="AS476"/>
      <c r="AT476" s="67">
        <f t="shared" si="22"/>
        <v>0</v>
      </c>
      <c r="AU476" s="67">
        <f t="shared" si="23"/>
        <v>2</v>
      </c>
      <c r="AV476" s="66"/>
      <c r="AW476" s="12"/>
      <c r="CF476" s="12" t="s">
        <v>326</v>
      </c>
      <c r="CK476"/>
      <c r="CX476">
        <v>452</v>
      </c>
    </row>
    <row r="477" spans="1:102">
      <c r="A477" s="8">
        <v>453</v>
      </c>
      <c r="B477" s="8" t="s">
        <v>12</v>
      </c>
      <c r="C477" s="8" t="s">
        <v>40</v>
      </c>
      <c r="D477" s="8" t="s">
        <v>40</v>
      </c>
      <c r="E477" s="8" t="s">
        <v>6</v>
      </c>
      <c r="F477" s="8"/>
      <c r="G477" s="8"/>
      <c r="H477" s="8"/>
      <c r="I477" s="124"/>
      <c r="J477" s="95"/>
      <c r="K477" s="95"/>
      <c r="L477" s="95"/>
      <c r="M477" s="95"/>
      <c r="N477" s="95"/>
      <c r="O477" s="95"/>
      <c r="P477" s="125"/>
      <c r="Q477" s="124"/>
      <c r="R477" s="95"/>
      <c r="S477" s="95"/>
      <c r="T477" s="95"/>
      <c r="U477" s="95"/>
      <c r="V477" s="95"/>
      <c r="W477" s="95"/>
      <c r="X477" s="125"/>
      <c r="Y477" s="124"/>
      <c r="Z477" s="95"/>
      <c r="AA477" s="95"/>
      <c r="AB477" s="95"/>
      <c r="AC477" s="95"/>
      <c r="AD477" s="95"/>
      <c r="AE477" s="95"/>
      <c r="AF477" s="125"/>
      <c r="AG477" s="95"/>
      <c r="AH477" s="95"/>
      <c r="AI477" s="95"/>
      <c r="AJ477" s="95"/>
      <c r="AK477" s="95"/>
      <c r="AL477" s="95"/>
      <c r="AM477" s="95"/>
      <c r="AN477" s="125"/>
      <c r="AO477" s="95"/>
      <c r="AP477" s="79"/>
      <c r="AQ477" s="85">
        <f t="shared" si="21"/>
        <v>0</v>
      </c>
      <c r="AR477" s="19"/>
      <c r="AS477"/>
      <c r="AT477" s="67">
        <f t="shared" si="22"/>
        <v>0</v>
      </c>
      <c r="AU477" s="67">
        <f t="shared" si="23"/>
        <v>0</v>
      </c>
      <c r="AV477" s="66"/>
      <c r="AW477" s="12"/>
      <c r="CK477"/>
      <c r="CX477">
        <v>453</v>
      </c>
    </row>
    <row r="478" spans="1:102">
      <c r="A478" s="8">
        <v>454</v>
      </c>
      <c r="B478" s="8" t="s">
        <v>12</v>
      </c>
      <c r="C478" s="8" t="s">
        <v>88</v>
      </c>
      <c r="D478" s="8" t="s">
        <v>12</v>
      </c>
      <c r="E478" s="8" t="s">
        <v>42</v>
      </c>
      <c r="F478" s="8">
        <v>32</v>
      </c>
      <c r="G478" s="8">
        <v>32</v>
      </c>
      <c r="H478" s="8">
        <v>32</v>
      </c>
      <c r="I478" s="124">
        <v>1</v>
      </c>
      <c r="J478" s="95">
        <v>1</v>
      </c>
      <c r="K478" s="95">
        <v>1</v>
      </c>
      <c r="L478" s="95">
        <v>1</v>
      </c>
      <c r="M478" s="95">
        <v>1</v>
      </c>
      <c r="N478" s="95">
        <v>1</v>
      </c>
      <c r="O478" s="95">
        <v>1</v>
      </c>
      <c r="P478" s="125">
        <v>1</v>
      </c>
      <c r="Q478" s="124">
        <v>1</v>
      </c>
      <c r="R478" s="95">
        <v>1</v>
      </c>
      <c r="S478" s="95">
        <v>1</v>
      </c>
      <c r="T478" s="95">
        <v>1</v>
      </c>
      <c r="U478" s="95">
        <v>1</v>
      </c>
      <c r="V478" s="95">
        <v>1</v>
      </c>
      <c r="W478" s="95">
        <v>1</v>
      </c>
      <c r="X478" s="125">
        <v>1</v>
      </c>
      <c r="Y478" s="124">
        <v>1</v>
      </c>
      <c r="Z478" s="95">
        <v>1</v>
      </c>
      <c r="AA478" s="95">
        <v>1</v>
      </c>
      <c r="AB478" s="95">
        <v>1</v>
      </c>
      <c r="AC478" s="95">
        <v>1</v>
      </c>
      <c r="AD478" s="95">
        <v>1</v>
      </c>
      <c r="AE478" s="95">
        <v>1</v>
      </c>
      <c r="AF478" s="125">
        <v>1</v>
      </c>
      <c r="AG478" s="95">
        <v>1</v>
      </c>
      <c r="AH478" s="95">
        <v>1</v>
      </c>
      <c r="AI478" s="95">
        <v>1</v>
      </c>
      <c r="AJ478" s="95">
        <v>1</v>
      </c>
      <c r="AK478" s="95">
        <v>1</v>
      </c>
      <c r="AL478" s="95">
        <v>1</v>
      </c>
      <c r="AM478" s="95">
        <v>1</v>
      </c>
      <c r="AN478" s="125">
        <v>1</v>
      </c>
      <c r="AO478" s="95"/>
      <c r="AP478" s="79">
        <v>32</v>
      </c>
      <c r="AQ478" s="85">
        <f t="shared" si="21"/>
        <v>32</v>
      </c>
      <c r="AR478" s="19" t="s">
        <v>276</v>
      </c>
      <c r="AS478">
        <v>1</v>
      </c>
      <c r="AT478" s="67">
        <f t="shared" si="22"/>
        <v>0</v>
      </c>
      <c r="AU478" s="67">
        <f t="shared" si="23"/>
        <v>0</v>
      </c>
      <c r="AV478" s="66">
        <v>1</v>
      </c>
      <c r="AW478" s="12"/>
      <c r="AZ478" s="12">
        <v>1</v>
      </c>
      <c r="BA478" s="12">
        <v>1</v>
      </c>
      <c r="BB478" s="12">
        <v>1</v>
      </c>
      <c r="BE478" s="12">
        <v>1</v>
      </c>
      <c r="BV478" s="12">
        <v>1</v>
      </c>
      <c r="BX478" s="12">
        <v>1</v>
      </c>
      <c r="BY478" s="12">
        <v>1</v>
      </c>
      <c r="BZ478" s="12">
        <v>3</v>
      </c>
      <c r="CK478"/>
      <c r="CX478">
        <v>454</v>
      </c>
    </row>
    <row r="479" spans="1:102">
      <c r="A479" s="8">
        <v>455</v>
      </c>
      <c r="B479" s="8" t="s">
        <v>12</v>
      </c>
      <c r="C479" s="8" t="s">
        <v>40</v>
      </c>
      <c r="D479" s="8" t="s">
        <v>40</v>
      </c>
      <c r="E479" s="8" t="s">
        <v>42</v>
      </c>
      <c r="F479" s="8"/>
      <c r="G479" s="8"/>
      <c r="H479" s="8"/>
      <c r="I479" s="124"/>
      <c r="J479" s="95"/>
      <c r="K479" s="95"/>
      <c r="L479" s="95"/>
      <c r="M479" s="95"/>
      <c r="N479" s="95"/>
      <c r="O479" s="95"/>
      <c r="P479" s="125"/>
      <c r="Q479" s="124"/>
      <c r="R479" s="95"/>
      <c r="S479" s="95"/>
      <c r="T479" s="95"/>
      <c r="U479" s="95"/>
      <c r="V479" s="95"/>
      <c r="W479" s="95"/>
      <c r="X479" s="125"/>
      <c r="Y479" s="124"/>
      <c r="Z479" s="95"/>
      <c r="AA479" s="95"/>
      <c r="AB479" s="95"/>
      <c r="AC479" s="95"/>
      <c r="AD479" s="95"/>
      <c r="AE479" s="95"/>
      <c r="AF479" s="125"/>
      <c r="AG479" s="95"/>
      <c r="AH479" s="95"/>
      <c r="AI479" s="95"/>
      <c r="AJ479" s="95"/>
      <c r="AK479" s="95"/>
      <c r="AL479" s="95"/>
      <c r="AM479" s="95"/>
      <c r="AN479" s="125"/>
      <c r="AO479" s="95"/>
      <c r="AP479" s="79"/>
      <c r="AQ479" s="85">
        <f t="shared" si="21"/>
        <v>0</v>
      </c>
      <c r="AR479" s="19"/>
      <c r="AS479"/>
      <c r="AT479" s="67">
        <f t="shared" si="22"/>
        <v>0</v>
      </c>
      <c r="AU479" s="67">
        <f t="shared" si="23"/>
        <v>0</v>
      </c>
      <c r="AV479" s="66"/>
      <c r="AW479" s="12"/>
      <c r="CK479"/>
      <c r="CX479">
        <v>455</v>
      </c>
    </row>
    <row r="480" spans="1:102">
      <c r="A480" s="8">
        <v>456</v>
      </c>
      <c r="B480" s="8" t="s">
        <v>13</v>
      </c>
      <c r="C480" s="8" t="s">
        <v>54</v>
      </c>
      <c r="D480" s="8" t="s">
        <v>345</v>
      </c>
      <c r="E480" s="8" t="s">
        <v>15</v>
      </c>
      <c r="F480" s="8"/>
      <c r="G480" s="8"/>
      <c r="H480" s="8"/>
      <c r="I480" s="124"/>
      <c r="J480" s="95"/>
      <c r="K480" s="95"/>
      <c r="L480" s="95"/>
      <c r="M480" s="95"/>
      <c r="N480" s="95"/>
      <c r="O480" s="95"/>
      <c r="P480" s="125"/>
      <c r="Q480" s="124"/>
      <c r="R480" s="95"/>
      <c r="S480" s="95"/>
      <c r="T480" s="95"/>
      <c r="U480" s="95"/>
      <c r="V480" s="95"/>
      <c r="W480" s="95"/>
      <c r="X480" s="125"/>
      <c r="Y480" s="124"/>
      <c r="Z480" s="95"/>
      <c r="AA480" s="95"/>
      <c r="AB480" s="95"/>
      <c r="AC480" s="95"/>
      <c r="AD480" s="95"/>
      <c r="AE480" s="95"/>
      <c r="AF480" s="125"/>
      <c r="AG480" s="95"/>
      <c r="AH480" s="95"/>
      <c r="AI480" s="95"/>
      <c r="AJ480" s="95"/>
      <c r="AK480" s="95"/>
      <c r="AL480" s="95"/>
      <c r="AM480" s="95"/>
      <c r="AN480" s="125"/>
      <c r="AO480" s="95"/>
      <c r="AP480" s="79"/>
      <c r="AQ480" s="85">
        <f t="shared" si="21"/>
        <v>0</v>
      </c>
      <c r="AR480" s="19"/>
      <c r="AS480"/>
      <c r="AT480" s="67">
        <f t="shared" si="22"/>
        <v>0</v>
      </c>
      <c r="AU480" s="67">
        <f t="shared" si="23"/>
        <v>0</v>
      </c>
      <c r="AV480" s="66"/>
      <c r="AW480" s="12"/>
      <c r="CK480"/>
      <c r="CX480">
        <v>456</v>
      </c>
    </row>
    <row r="481" spans="1:102">
      <c r="A481" s="8">
        <v>457</v>
      </c>
      <c r="B481" s="8" t="s">
        <v>12</v>
      </c>
      <c r="C481" s="8" t="s">
        <v>40</v>
      </c>
      <c r="D481" s="8" t="s">
        <v>40</v>
      </c>
      <c r="E481" s="8" t="s">
        <v>42</v>
      </c>
      <c r="F481" s="8"/>
      <c r="G481" s="8"/>
      <c r="H481" s="8"/>
      <c r="I481" s="124"/>
      <c r="J481" s="95"/>
      <c r="K481" s="95"/>
      <c r="L481" s="95"/>
      <c r="M481" s="95"/>
      <c r="N481" s="95"/>
      <c r="O481" s="95"/>
      <c r="P481" s="125"/>
      <c r="Q481" s="124"/>
      <c r="R481" s="95"/>
      <c r="S481" s="95"/>
      <c r="T481" s="95"/>
      <c r="U481" s="95"/>
      <c r="V481" s="95"/>
      <c r="W481" s="95"/>
      <c r="X481" s="125"/>
      <c r="Y481" s="124"/>
      <c r="Z481" s="95"/>
      <c r="AA481" s="95"/>
      <c r="AB481" s="95"/>
      <c r="AC481" s="95"/>
      <c r="AD481" s="95"/>
      <c r="AE481" s="95"/>
      <c r="AF481" s="125"/>
      <c r="AG481" s="95"/>
      <c r="AH481" s="95"/>
      <c r="AI481" s="95"/>
      <c r="AJ481" s="95"/>
      <c r="AK481" s="95"/>
      <c r="AL481" s="95"/>
      <c r="AM481" s="95"/>
      <c r="AN481" s="125"/>
      <c r="AO481" s="95"/>
      <c r="AP481" s="79"/>
      <c r="AQ481" s="85">
        <f t="shared" si="21"/>
        <v>0</v>
      </c>
      <c r="AR481" s="19"/>
      <c r="AS481"/>
      <c r="AT481" s="67">
        <f t="shared" si="22"/>
        <v>0</v>
      </c>
      <c r="AU481" s="67">
        <f t="shared" si="23"/>
        <v>0</v>
      </c>
      <c r="AV481" s="66"/>
      <c r="AW481" s="12"/>
      <c r="BS481" s="12">
        <v>1</v>
      </c>
      <c r="CK481"/>
      <c r="CX481">
        <v>457</v>
      </c>
    </row>
    <row r="482" spans="1:102">
      <c r="A482" s="8">
        <v>458</v>
      </c>
      <c r="B482" s="8" t="s">
        <v>13</v>
      </c>
      <c r="C482" s="8" t="s">
        <v>56</v>
      </c>
      <c r="D482" s="8" t="s">
        <v>360</v>
      </c>
      <c r="E482" s="8" t="s">
        <v>15</v>
      </c>
      <c r="F482" s="8"/>
      <c r="G482" s="8"/>
      <c r="H482" s="8"/>
      <c r="I482" s="124"/>
      <c r="J482" s="95"/>
      <c r="K482" s="95"/>
      <c r="L482" s="95"/>
      <c r="M482" s="95"/>
      <c r="N482" s="95"/>
      <c r="O482" s="95"/>
      <c r="P482" s="125"/>
      <c r="Q482" s="124"/>
      <c r="R482" s="95"/>
      <c r="S482" s="95"/>
      <c r="T482" s="95"/>
      <c r="U482" s="95"/>
      <c r="V482" s="95"/>
      <c r="W482" s="95"/>
      <c r="X482" s="125"/>
      <c r="Y482" s="124"/>
      <c r="Z482" s="95"/>
      <c r="AA482" s="95"/>
      <c r="AB482" s="95"/>
      <c r="AC482" s="95"/>
      <c r="AD482" s="95"/>
      <c r="AE482" s="95"/>
      <c r="AF482" s="125"/>
      <c r="AG482" s="95"/>
      <c r="AH482" s="95"/>
      <c r="AI482" s="95"/>
      <c r="AJ482" s="95"/>
      <c r="AK482" s="95"/>
      <c r="AL482" s="95"/>
      <c r="AM482" s="95"/>
      <c r="AN482" s="125"/>
      <c r="AO482" s="95"/>
      <c r="AP482" s="79"/>
      <c r="AQ482" s="85">
        <f t="shared" si="21"/>
        <v>0</v>
      </c>
      <c r="AR482" s="19"/>
      <c r="AS482"/>
      <c r="AT482" s="67">
        <f t="shared" si="22"/>
        <v>0</v>
      </c>
      <c r="AU482" s="67">
        <f t="shared" si="23"/>
        <v>0</v>
      </c>
      <c r="AV482" s="66"/>
      <c r="AW482" s="12"/>
      <c r="CF482" s="12" t="s">
        <v>326</v>
      </c>
      <c r="CK482"/>
      <c r="CX482">
        <v>458</v>
      </c>
    </row>
    <row r="483" spans="1:102">
      <c r="A483" s="8">
        <v>459</v>
      </c>
      <c r="B483" s="8" t="s">
        <v>13</v>
      </c>
      <c r="C483" s="8" t="s">
        <v>201</v>
      </c>
      <c r="D483" s="8" t="s">
        <v>357</v>
      </c>
      <c r="E483" s="8" t="s">
        <v>42</v>
      </c>
      <c r="F483" s="8">
        <v>28</v>
      </c>
      <c r="G483" s="8">
        <v>28</v>
      </c>
      <c r="H483" s="8">
        <v>28</v>
      </c>
      <c r="I483" s="124" t="s">
        <v>49</v>
      </c>
      <c r="J483" s="95">
        <v>1</v>
      </c>
      <c r="K483" s="95">
        <v>1</v>
      </c>
      <c r="L483" s="95">
        <v>1</v>
      </c>
      <c r="M483" s="95">
        <v>1</v>
      </c>
      <c r="N483" s="95">
        <v>1</v>
      </c>
      <c r="O483" s="95">
        <v>1</v>
      </c>
      <c r="P483" s="125">
        <v>1</v>
      </c>
      <c r="Q483" s="124">
        <v>1</v>
      </c>
      <c r="R483" s="95">
        <v>1</v>
      </c>
      <c r="S483" s="95">
        <v>1</v>
      </c>
      <c r="T483" s="95">
        <v>1</v>
      </c>
      <c r="U483" s="95">
        <v>1</v>
      </c>
      <c r="V483" s="95">
        <v>1</v>
      </c>
      <c r="W483" s="95">
        <v>1</v>
      </c>
      <c r="X483" s="125" t="s">
        <v>49</v>
      </c>
      <c r="Y483" s="124" t="s">
        <v>49</v>
      </c>
      <c r="Z483" s="95">
        <v>1</v>
      </c>
      <c r="AA483" s="95">
        <v>1</v>
      </c>
      <c r="AB483" s="95">
        <v>1</v>
      </c>
      <c r="AC483" s="95">
        <v>1</v>
      </c>
      <c r="AD483" s="95">
        <v>1</v>
      </c>
      <c r="AE483" s="95">
        <v>1</v>
      </c>
      <c r="AF483" s="125">
        <v>1</v>
      </c>
      <c r="AG483" s="95">
        <v>1</v>
      </c>
      <c r="AH483" s="95">
        <v>1</v>
      </c>
      <c r="AI483" s="95">
        <v>1</v>
      </c>
      <c r="AJ483" s="95">
        <v>1</v>
      </c>
      <c r="AK483" s="95">
        <v>1</v>
      </c>
      <c r="AL483" s="95">
        <v>1</v>
      </c>
      <c r="AM483" s="95">
        <v>1</v>
      </c>
      <c r="AN483" s="125" t="s">
        <v>49</v>
      </c>
      <c r="AO483" s="95"/>
      <c r="AP483" s="79">
        <v>28</v>
      </c>
      <c r="AQ483" s="85">
        <f t="shared" si="21"/>
        <v>28</v>
      </c>
      <c r="AR483" s="19" t="s">
        <v>277</v>
      </c>
      <c r="AS483">
        <v>1</v>
      </c>
      <c r="AT483" s="67">
        <f t="shared" si="22"/>
        <v>0</v>
      </c>
      <c r="AU483" s="67">
        <f t="shared" si="23"/>
        <v>0</v>
      </c>
      <c r="AV483" s="66"/>
      <c r="AW483" s="12"/>
      <c r="BA483" s="12">
        <v>1</v>
      </c>
      <c r="CK483"/>
      <c r="CX483">
        <v>459</v>
      </c>
    </row>
    <row r="484" spans="1:102">
      <c r="A484" s="8">
        <v>460</v>
      </c>
      <c r="B484" s="8" t="s">
        <v>13</v>
      </c>
      <c r="C484" s="54" t="s">
        <v>247</v>
      </c>
      <c r="D484" s="59" t="s">
        <v>325</v>
      </c>
      <c r="E484" s="8" t="s">
        <v>15</v>
      </c>
      <c r="F484" s="8"/>
      <c r="G484" s="8"/>
      <c r="H484" s="8"/>
      <c r="I484" s="124"/>
      <c r="J484" s="95"/>
      <c r="K484" s="95"/>
      <c r="L484" s="95"/>
      <c r="M484" s="95"/>
      <c r="N484" s="95"/>
      <c r="O484" s="95"/>
      <c r="P484" s="125"/>
      <c r="Q484" s="124"/>
      <c r="R484" s="95"/>
      <c r="S484" s="95"/>
      <c r="T484" s="95"/>
      <c r="U484" s="95"/>
      <c r="V484" s="95"/>
      <c r="W484" s="95"/>
      <c r="X484" s="125"/>
      <c r="Y484" s="124"/>
      <c r="Z484" s="95"/>
      <c r="AA484" s="95"/>
      <c r="AB484" s="95"/>
      <c r="AC484" s="95"/>
      <c r="AD484" s="95"/>
      <c r="AE484" s="95"/>
      <c r="AF484" s="125"/>
      <c r="AG484" s="95"/>
      <c r="AH484" s="95"/>
      <c r="AI484" s="95"/>
      <c r="AJ484" s="95"/>
      <c r="AK484" s="95"/>
      <c r="AL484" s="95"/>
      <c r="AM484" s="95"/>
      <c r="AN484" s="125"/>
      <c r="AO484" s="95"/>
      <c r="AP484" s="79"/>
      <c r="AQ484" s="85">
        <f t="shared" si="21"/>
        <v>0</v>
      </c>
      <c r="AR484" s="19"/>
      <c r="AS484"/>
      <c r="AT484" s="67">
        <f t="shared" si="22"/>
        <v>0</v>
      </c>
      <c r="AU484" s="67">
        <f t="shared" si="23"/>
        <v>0</v>
      </c>
      <c r="AV484" s="66"/>
      <c r="AW484" s="12"/>
      <c r="CK484"/>
      <c r="CX484">
        <v>460</v>
      </c>
    </row>
    <row r="485" spans="1:102">
      <c r="A485" s="8">
        <v>461</v>
      </c>
      <c r="B485" s="8" t="s">
        <v>13</v>
      </c>
      <c r="C485" s="8" t="s">
        <v>278</v>
      </c>
      <c r="D485" s="8" t="s">
        <v>346</v>
      </c>
      <c r="E485" s="8" t="s">
        <v>15</v>
      </c>
      <c r="F485" s="8"/>
      <c r="G485" s="8"/>
      <c r="H485" s="8"/>
      <c r="I485" s="124"/>
      <c r="J485" s="95"/>
      <c r="K485" s="95"/>
      <c r="L485" s="95"/>
      <c r="M485" s="95"/>
      <c r="N485" s="95"/>
      <c r="O485" s="95"/>
      <c r="P485" s="125"/>
      <c r="Q485" s="124"/>
      <c r="R485" s="95"/>
      <c r="S485" s="95"/>
      <c r="T485" s="95"/>
      <c r="U485" s="95"/>
      <c r="V485" s="95"/>
      <c r="W485" s="95"/>
      <c r="X485" s="125"/>
      <c r="Y485" s="124"/>
      <c r="Z485" s="95"/>
      <c r="AA485" s="95"/>
      <c r="AB485" s="95"/>
      <c r="AC485" s="95"/>
      <c r="AD485" s="95"/>
      <c r="AE485" s="95"/>
      <c r="AF485" s="125"/>
      <c r="AG485" s="95"/>
      <c r="AH485" s="95"/>
      <c r="AI485" s="95"/>
      <c r="AJ485" s="95"/>
      <c r="AK485" s="95"/>
      <c r="AL485" s="95"/>
      <c r="AM485" s="95"/>
      <c r="AN485" s="125"/>
      <c r="AO485" s="95"/>
      <c r="AP485" s="79"/>
      <c r="AQ485" s="85">
        <f t="shared" si="21"/>
        <v>0</v>
      </c>
      <c r="AR485" s="19"/>
      <c r="AS485"/>
      <c r="AT485" s="67">
        <f t="shared" si="22"/>
        <v>0</v>
      </c>
      <c r="AU485" s="67">
        <f t="shared" si="23"/>
        <v>0</v>
      </c>
      <c r="AV485" s="66"/>
      <c r="AW485" s="12"/>
      <c r="CF485" s="12" t="s">
        <v>326</v>
      </c>
      <c r="CK485"/>
      <c r="CX485" s="8">
        <v>461</v>
      </c>
    </row>
    <row r="486" spans="1:102">
      <c r="A486" s="8">
        <v>463</v>
      </c>
      <c r="B486" s="8" t="s">
        <v>13</v>
      </c>
      <c r="C486" s="8" t="s">
        <v>80</v>
      </c>
      <c r="D486" s="8" t="s">
        <v>346</v>
      </c>
      <c r="E486" s="8" t="s">
        <v>15</v>
      </c>
      <c r="F486" s="8"/>
      <c r="G486" s="8"/>
      <c r="H486" s="8"/>
      <c r="I486" s="124"/>
      <c r="J486" s="95"/>
      <c r="K486" s="95"/>
      <c r="L486" s="95"/>
      <c r="M486" s="95"/>
      <c r="N486" s="95"/>
      <c r="O486" s="95"/>
      <c r="P486" s="125"/>
      <c r="Q486" s="124"/>
      <c r="R486" s="95"/>
      <c r="S486" s="95"/>
      <c r="T486" s="95"/>
      <c r="U486" s="95"/>
      <c r="V486" s="95"/>
      <c r="W486" s="95"/>
      <c r="X486" s="125"/>
      <c r="Y486" s="124"/>
      <c r="Z486" s="95"/>
      <c r="AA486" s="95"/>
      <c r="AB486" s="95"/>
      <c r="AC486" s="95"/>
      <c r="AD486" s="95"/>
      <c r="AE486" s="95"/>
      <c r="AF486" s="125"/>
      <c r="AG486" s="95"/>
      <c r="AH486" s="95"/>
      <c r="AI486" s="95"/>
      <c r="AJ486" s="95"/>
      <c r="AK486" s="95"/>
      <c r="AL486" s="95"/>
      <c r="AM486" s="95"/>
      <c r="AN486" s="125"/>
      <c r="AO486" s="95"/>
      <c r="AP486" s="79"/>
      <c r="AQ486" s="85">
        <f t="shared" si="21"/>
        <v>0</v>
      </c>
      <c r="AR486" s="19"/>
      <c r="AS486"/>
      <c r="AT486" s="67">
        <f t="shared" si="22"/>
        <v>0</v>
      </c>
      <c r="AU486" s="67">
        <f t="shared" si="23"/>
        <v>0</v>
      </c>
      <c r="AV486" s="66"/>
      <c r="AW486" s="12"/>
      <c r="CK486"/>
      <c r="CX486">
        <v>463</v>
      </c>
    </row>
    <row r="487" spans="1:102">
      <c r="A487" s="8">
        <v>464</v>
      </c>
      <c r="B487" s="8" t="s">
        <v>13</v>
      </c>
      <c r="C487" s="8" t="s">
        <v>99</v>
      </c>
      <c r="D487" s="8" t="s">
        <v>346</v>
      </c>
      <c r="E487" s="8" t="s">
        <v>15</v>
      </c>
      <c r="F487" s="8">
        <v>24</v>
      </c>
      <c r="G487" s="8">
        <v>24</v>
      </c>
      <c r="H487" s="8">
        <v>24</v>
      </c>
      <c r="I487" s="124"/>
      <c r="J487" s="95" t="s">
        <v>49</v>
      </c>
      <c r="K487" s="95">
        <v>1</v>
      </c>
      <c r="L487" s="95">
        <v>1</v>
      </c>
      <c r="M487" s="95">
        <v>1</v>
      </c>
      <c r="N487" s="95">
        <v>1</v>
      </c>
      <c r="O487" s="95">
        <v>1</v>
      </c>
      <c r="P487" s="125">
        <v>1</v>
      </c>
      <c r="Q487" s="124">
        <v>1</v>
      </c>
      <c r="R487" s="95">
        <v>1</v>
      </c>
      <c r="S487" s="95">
        <v>1</v>
      </c>
      <c r="T487" s="95">
        <v>1</v>
      </c>
      <c r="U487" s="95">
        <v>1</v>
      </c>
      <c r="V487" s="95">
        <v>1</v>
      </c>
      <c r="W487" s="95" t="s">
        <v>49</v>
      </c>
      <c r="X487" s="125"/>
      <c r="Y487" s="124"/>
      <c r="Z487" s="95" t="s">
        <v>49</v>
      </c>
      <c r="AA487" s="95">
        <v>1</v>
      </c>
      <c r="AB487" s="95">
        <v>1</v>
      </c>
      <c r="AC487" s="95">
        <v>1</v>
      </c>
      <c r="AD487" s="95">
        <v>1</v>
      </c>
      <c r="AE487" s="95">
        <v>1</v>
      </c>
      <c r="AF487" s="125">
        <v>1</v>
      </c>
      <c r="AG487" s="95">
        <v>1</v>
      </c>
      <c r="AH487" s="95">
        <v>1</v>
      </c>
      <c r="AI487" s="95">
        <v>1</v>
      </c>
      <c r="AJ487" s="95">
        <v>1</v>
      </c>
      <c r="AK487" s="95">
        <v>1</v>
      </c>
      <c r="AL487" s="95">
        <v>1</v>
      </c>
      <c r="AM487" s="95" t="s">
        <v>49</v>
      </c>
      <c r="AN487" s="125"/>
      <c r="AO487" s="95">
        <v>20</v>
      </c>
      <c r="AP487" s="79">
        <v>4</v>
      </c>
      <c r="AQ487" s="85">
        <f t="shared" si="21"/>
        <v>24</v>
      </c>
      <c r="AR487" s="19" t="s">
        <v>279</v>
      </c>
      <c r="AS487">
        <v>1</v>
      </c>
      <c r="AT487" s="67">
        <f t="shared" si="22"/>
        <v>0</v>
      </c>
      <c r="AU487" s="67">
        <f t="shared" si="23"/>
        <v>0</v>
      </c>
      <c r="AV487" s="66"/>
      <c r="AW487" s="12">
        <v>1</v>
      </c>
      <c r="BA487" s="12">
        <v>1</v>
      </c>
      <c r="BB487" s="12">
        <v>1</v>
      </c>
      <c r="CF487" s="12" t="s">
        <v>326</v>
      </c>
      <c r="CK487"/>
      <c r="CX487">
        <v>464</v>
      </c>
    </row>
    <row r="488" spans="1:102">
      <c r="A488" s="8">
        <v>465</v>
      </c>
      <c r="B488" s="8" t="s">
        <v>13</v>
      </c>
      <c r="C488" s="8" t="s">
        <v>17</v>
      </c>
      <c r="D488" s="8" t="s">
        <v>345</v>
      </c>
      <c r="E488" s="8" t="s">
        <v>15</v>
      </c>
      <c r="F488" s="8"/>
      <c r="G488" s="8"/>
      <c r="H488" s="8"/>
      <c r="I488" s="124"/>
      <c r="J488" s="95"/>
      <c r="K488" s="95"/>
      <c r="L488" s="95"/>
      <c r="M488" s="95"/>
      <c r="N488" s="95"/>
      <c r="O488" s="95"/>
      <c r="P488" s="125"/>
      <c r="Q488" s="124"/>
      <c r="R488" s="95"/>
      <c r="S488" s="95"/>
      <c r="T488" s="95"/>
      <c r="U488" s="95"/>
      <c r="V488" s="95"/>
      <c r="W488" s="95"/>
      <c r="X488" s="125"/>
      <c r="Y488" s="124"/>
      <c r="Z488" s="95"/>
      <c r="AA488" s="95"/>
      <c r="AB488" s="95"/>
      <c r="AC488" s="95"/>
      <c r="AD488" s="95"/>
      <c r="AE488" s="95"/>
      <c r="AF488" s="125"/>
      <c r="AG488" s="95"/>
      <c r="AH488" s="95"/>
      <c r="AI488" s="95"/>
      <c r="AJ488" s="95"/>
      <c r="AK488" s="95"/>
      <c r="AL488" s="95"/>
      <c r="AM488" s="95"/>
      <c r="AN488" s="125"/>
      <c r="AO488" s="95"/>
      <c r="AP488" s="79"/>
      <c r="AQ488" s="85">
        <f t="shared" si="21"/>
        <v>0</v>
      </c>
      <c r="AR488" s="19"/>
      <c r="AS488"/>
      <c r="AT488" s="67">
        <f t="shared" si="22"/>
        <v>0</v>
      </c>
      <c r="AU488" s="67">
        <f t="shared" si="23"/>
        <v>0</v>
      </c>
      <c r="AV488" s="66"/>
      <c r="AW488" s="12"/>
      <c r="CE488" s="12">
        <v>1</v>
      </c>
      <c r="CK488"/>
      <c r="CX488">
        <v>465</v>
      </c>
    </row>
    <row r="489" spans="1:102">
      <c r="A489" s="8">
        <v>466</v>
      </c>
      <c r="B489" s="8" t="s">
        <v>12</v>
      </c>
      <c r="C489" s="8" t="s">
        <v>41</v>
      </c>
      <c r="D489" s="8" t="s">
        <v>42</v>
      </c>
      <c r="E489" s="8" t="s">
        <v>6</v>
      </c>
      <c r="F489" s="8">
        <v>29</v>
      </c>
      <c r="G489" s="8">
        <v>31</v>
      </c>
      <c r="H489" s="8">
        <v>32</v>
      </c>
      <c r="I489" s="124">
        <v>1</v>
      </c>
      <c r="J489" s="95">
        <v>1</v>
      </c>
      <c r="K489" s="95">
        <v>1</v>
      </c>
      <c r="L489" s="95">
        <v>1</v>
      </c>
      <c r="M489" s="95">
        <v>1</v>
      </c>
      <c r="N489" s="95">
        <v>1</v>
      </c>
      <c r="O489" s="95">
        <v>1</v>
      </c>
      <c r="P489" s="125">
        <v>1</v>
      </c>
      <c r="Q489" s="124">
        <v>1</v>
      </c>
      <c r="R489" s="95">
        <v>1</v>
      </c>
      <c r="S489" s="95">
        <v>1</v>
      </c>
      <c r="T489" s="95">
        <v>1</v>
      </c>
      <c r="U489" s="95">
        <v>1</v>
      </c>
      <c r="V489" s="95" t="s">
        <v>9</v>
      </c>
      <c r="W489" s="95">
        <v>1</v>
      </c>
      <c r="X489" s="125">
        <v>1</v>
      </c>
      <c r="Y489" s="124">
        <v>1</v>
      </c>
      <c r="Z489" s="95">
        <v>1</v>
      </c>
      <c r="AA489" s="95">
        <v>1</v>
      </c>
      <c r="AB489" s="95">
        <v>1</v>
      </c>
      <c r="AC489" s="95">
        <v>1</v>
      </c>
      <c r="AD489" s="95">
        <v>1</v>
      </c>
      <c r="AE489" s="95">
        <v>1</v>
      </c>
      <c r="AF489" s="125">
        <v>1</v>
      </c>
      <c r="AG489" s="95" t="s">
        <v>9</v>
      </c>
      <c r="AH489" s="95">
        <v>1</v>
      </c>
      <c r="AI489" s="95">
        <v>1</v>
      </c>
      <c r="AJ489" s="95">
        <v>1</v>
      </c>
      <c r="AK489" s="95">
        <v>1</v>
      </c>
      <c r="AL489" s="95">
        <v>1</v>
      </c>
      <c r="AM489" s="95" t="s">
        <v>10</v>
      </c>
      <c r="AN489" s="125">
        <v>1</v>
      </c>
      <c r="AO489" s="95"/>
      <c r="AP489" s="79">
        <v>29</v>
      </c>
      <c r="AQ489" s="85">
        <f t="shared" si="21"/>
        <v>29</v>
      </c>
      <c r="AR489" s="19" t="s">
        <v>280</v>
      </c>
      <c r="AS489"/>
      <c r="AT489" s="67">
        <f t="shared" si="22"/>
        <v>1</v>
      </c>
      <c r="AU489" s="67">
        <f t="shared" si="23"/>
        <v>2</v>
      </c>
      <c r="AV489" s="66"/>
      <c r="AW489" s="12">
        <v>1</v>
      </c>
      <c r="AX489" s="12">
        <v>1</v>
      </c>
      <c r="AY489" s="12">
        <v>1</v>
      </c>
      <c r="AZ489" s="12">
        <v>1</v>
      </c>
      <c r="BA489" s="12">
        <v>1</v>
      </c>
      <c r="BB489" s="12">
        <v>1</v>
      </c>
      <c r="BO489" s="12">
        <v>2</v>
      </c>
      <c r="BY489" s="12" t="s">
        <v>326</v>
      </c>
      <c r="CK489"/>
      <c r="CR489" t="s">
        <v>326</v>
      </c>
      <c r="CX489">
        <v>466</v>
      </c>
    </row>
    <row r="490" spans="1:102">
      <c r="A490" s="8">
        <v>467</v>
      </c>
      <c r="B490" s="8" t="s">
        <v>12</v>
      </c>
      <c r="C490" s="8" t="s">
        <v>41</v>
      </c>
      <c r="D490" s="8" t="s">
        <v>42</v>
      </c>
      <c r="E490" s="8" t="s">
        <v>6</v>
      </c>
      <c r="F490" s="8">
        <v>32</v>
      </c>
      <c r="G490" s="8">
        <v>32</v>
      </c>
      <c r="H490" s="8">
        <v>32</v>
      </c>
      <c r="I490" s="124">
        <v>1</v>
      </c>
      <c r="J490" s="95">
        <v>1</v>
      </c>
      <c r="K490" s="95">
        <v>1</v>
      </c>
      <c r="L490" s="95">
        <v>1</v>
      </c>
      <c r="M490" s="95">
        <v>1</v>
      </c>
      <c r="N490" s="95">
        <v>1</v>
      </c>
      <c r="O490" s="95">
        <v>1</v>
      </c>
      <c r="P490" s="125">
        <v>1</v>
      </c>
      <c r="Q490" s="124">
        <v>1</v>
      </c>
      <c r="R490" s="95">
        <v>1</v>
      </c>
      <c r="S490" s="95">
        <v>1</v>
      </c>
      <c r="T490" s="95">
        <v>1</v>
      </c>
      <c r="U490" s="95">
        <v>1</v>
      </c>
      <c r="V490" s="95">
        <v>1</v>
      </c>
      <c r="W490" s="95">
        <v>1</v>
      </c>
      <c r="X490" s="125">
        <v>1</v>
      </c>
      <c r="Y490" s="124">
        <v>1</v>
      </c>
      <c r="Z490" s="95">
        <v>1</v>
      </c>
      <c r="AA490" s="95">
        <v>1</v>
      </c>
      <c r="AB490" s="95">
        <v>1</v>
      </c>
      <c r="AC490" s="95">
        <v>1</v>
      </c>
      <c r="AD490" s="95">
        <v>1</v>
      </c>
      <c r="AE490" s="95">
        <v>1</v>
      </c>
      <c r="AF490" s="125">
        <v>1</v>
      </c>
      <c r="AG490" s="95">
        <v>1</v>
      </c>
      <c r="AH490" s="95">
        <v>1</v>
      </c>
      <c r="AI490" s="95">
        <v>1</v>
      </c>
      <c r="AJ490" s="95">
        <v>1</v>
      </c>
      <c r="AK490" s="95">
        <v>1</v>
      </c>
      <c r="AL490" s="95">
        <v>1</v>
      </c>
      <c r="AM490" s="95">
        <v>1</v>
      </c>
      <c r="AN490" s="125">
        <v>1</v>
      </c>
      <c r="AO490" s="95"/>
      <c r="AP490" s="79">
        <v>32</v>
      </c>
      <c r="AQ490" s="85">
        <f t="shared" si="21"/>
        <v>32</v>
      </c>
      <c r="AR490" s="19" t="s">
        <v>281</v>
      </c>
      <c r="AS490">
        <v>1</v>
      </c>
      <c r="AT490" s="67">
        <f t="shared" si="22"/>
        <v>0</v>
      </c>
      <c r="AU490" s="67">
        <f t="shared" si="23"/>
        <v>0</v>
      </c>
      <c r="AV490" s="66">
        <v>1</v>
      </c>
      <c r="AW490" s="12"/>
      <c r="AX490" s="12">
        <v>1</v>
      </c>
      <c r="AZ490" s="12">
        <v>1</v>
      </c>
      <c r="BA490" s="12">
        <v>1</v>
      </c>
      <c r="BB490" s="12">
        <v>1</v>
      </c>
      <c r="BX490" s="12">
        <v>1</v>
      </c>
      <c r="BY490" s="12">
        <v>1</v>
      </c>
      <c r="BZ490" s="12">
        <v>1</v>
      </c>
      <c r="CK490"/>
      <c r="CX490">
        <v>467</v>
      </c>
    </row>
    <row r="491" spans="1:102">
      <c r="A491" s="8">
        <v>468</v>
      </c>
      <c r="B491" s="8" t="s">
        <v>13</v>
      </c>
      <c r="C491" s="8" t="s">
        <v>282</v>
      </c>
      <c r="D491" s="8" t="s">
        <v>358</v>
      </c>
      <c r="E491" s="8" t="s">
        <v>6</v>
      </c>
      <c r="F491" s="8">
        <v>28</v>
      </c>
      <c r="G491" s="8">
        <v>32</v>
      </c>
      <c r="H491" s="8">
        <v>32</v>
      </c>
      <c r="I491" s="124">
        <v>1</v>
      </c>
      <c r="J491" s="95">
        <v>1</v>
      </c>
      <c r="K491" s="95">
        <v>1</v>
      </c>
      <c r="L491" s="95">
        <v>1</v>
      </c>
      <c r="M491" s="95">
        <v>1</v>
      </c>
      <c r="N491" s="95" t="s">
        <v>9</v>
      </c>
      <c r="O491" s="95" t="s">
        <v>9</v>
      </c>
      <c r="P491" s="125" t="s">
        <v>9</v>
      </c>
      <c r="Q491" s="124" t="s">
        <v>9</v>
      </c>
      <c r="R491" s="95">
        <v>1</v>
      </c>
      <c r="S491" s="95">
        <v>1</v>
      </c>
      <c r="T491" s="95">
        <v>1</v>
      </c>
      <c r="U491" s="95">
        <v>1</v>
      </c>
      <c r="V491" s="95">
        <v>1</v>
      </c>
      <c r="W491" s="95">
        <v>1</v>
      </c>
      <c r="X491" s="125">
        <v>1</v>
      </c>
      <c r="Y491" s="124">
        <v>1</v>
      </c>
      <c r="Z491" s="95">
        <v>1</v>
      </c>
      <c r="AA491" s="95">
        <v>1</v>
      </c>
      <c r="AB491" s="95">
        <v>1</v>
      </c>
      <c r="AC491" s="95">
        <v>1</v>
      </c>
      <c r="AD491" s="95">
        <v>1</v>
      </c>
      <c r="AE491" s="95">
        <v>1</v>
      </c>
      <c r="AF491" s="125">
        <v>1</v>
      </c>
      <c r="AG491" s="95">
        <v>1</v>
      </c>
      <c r="AH491" s="95">
        <v>1</v>
      </c>
      <c r="AI491" s="95">
        <v>1</v>
      </c>
      <c r="AJ491" s="95">
        <v>1</v>
      </c>
      <c r="AK491" s="95">
        <v>1</v>
      </c>
      <c r="AL491" s="95">
        <v>1</v>
      </c>
      <c r="AM491" s="95">
        <v>1</v>
      </c>
      <c r="AN491" s="125">
        <v>1</v>
      </c>
      <c r="AO491" s="95"/>
      <c r="AP491" s="79">
        <v>28</v>
      </c>
      <c r="AQ491" s="85">
        <f t="shared" si="21"/>
        <v>28</v>
      </c>
      <c r="AR491" s="19"/>
      <c r="AS491"/>
      <c r="AT491" s="67">
        <f t="shared" si="22"/>
        <v>0</v>
      </c>
      <c r="AU491" s="67">
        <f t="shared" si="23"/>
        <v>4</v>
      </c>
      <c r="AV491" s="66"/>
      <c r="AW491" s="12"/>
      <c r="AZ491" s="12">
        <v>1</v>
      </c>
      <c r="BA491" s="12">
        <v>1</v>
      </c>
      <c r="BC491" s="12" t="s">
        <v>326</v>
      </c>
      <c r="CK491"/>
      <c r="CX491">
        <v>468</v>
      </c>
    </row>
    <row r="492" spans="1:102">
      <c r="A492" s="8">
        <v>469</v>
      </c>
      <c r="B492" s="8" t="s">
        <v>12</v>
      </c>
      <c r="C492" s="8" t="s">
        <v>44</v>
      </c>
      <c r="D492" s="8" t="s">
        <v>349</v>
      </c>
      <c r="E492" s="8" t="s">
        <v>42</v>
      </c>
      <c r="F492" s="8">
        <v>19</v>
      </c>
      <c r="G492" s="8" t="s">
        <v>15</v>
      </c>
      <c r="H492" s="8" t="s">
        <v>15</v>
      </c>
      <c r="I492" s="124"/>
      <c r="J492" s="95">
        <v>1</v>
      </c>
      <c r="K492" s="95" t="s">
        <v>10</v>
      </c>
      <c r="L492" s="95">
        <v>1</v>
      </c>
      <c r="M492" s="95">
        <v>1</v>
      </c>
      <c r="N492" s="95">
        <v>1</v>
      </c>
      <c r="O492" s="95" t="s">
        <v>9</v>
      </c>
      <c r="P492" s="125" t="s">
        <v>9</v>
      </c>
      <c r="Q492" s="124">
        <v>1</v>
      </c>
      <c r="R492" s="95" t="s">
        <v>9</v>
      </c>
      <c r="S492" s="95">
        <v>1</v>
      </c>
      <c r="T492" s="95">
        <v>1</v>
      </c>
      <c r="U492" s="95">
        <v>1</v>
      </c>
      <c r="V492" s="95" t="s">
        <v>10</v>
      </c>
      <c r="W492" s="95">
        <v>1</v>
      </c>
      <c r="X492" s="125"/>
      <c r="Y492" s="124" t="s">
        <v>15</v>
      </c>
      <c r="Z492" s="95" t="s">
        <v>10</v>
      </c>
      <c r="AA492" s="95" t="s">
        <v>10</v>
      </c>
      <c r="AB492" s="95">
        <v>1</v>
      </c>
      <c r="AC492" s="95">
        <v>1</v>
      </c>
      <c r="AD492" s="95">
        <v>1</v>
      </c>
      <c r="AE492" s="95">
        <v>1</v>
      </c>
      <c r="AF492" s="125">
        <v>1</v>
      </c>
      <c r="AG492" s="95">
        <v>1</v>
      </c>
      <c r="AH492" s="95">
        <v>1</v>
      </c>
      <c r="AI492" s="95">
        <v>1</v>
      </c>
      <c r="AJ492" s="95">
        <v>1</v>
      </c>
      <c r="AK492" s="95">
        <v>1</v>
      </c>
      <c r="AL492" s="95" t="s">
        <v>10</v>
      </c>
      <c r="AM492" s="95" t="s">
        <v>9</v>
      </c>
      <c r="AN492" s="125" t="s">
        <v>10</v>
      </c>
      <c r="AO492" s="95"/>
      <c r="AP492" s="79">
        <v>19</v>
      </c>
      <c r="AQ492" s="85">
        <f t="shared" si="21"/>
        <v>19</v>
      </c>
      <c r="AR492" s="19"/>
      <c r="AS492"/>
      <c r="AT492" s="67">
        <f t="shared" si="22"/>
        <v>6</v>
      </c>
      <c r="AU492" s="67">
        <f t="shared" si="23"/>
        <v>4</v>
      </c>
      <c r="AV492" s="66"/>
      <c r="AW492" s="12">
        <v>1</v>
      </c>
      <c r="AX492" s="12">
        <v>1</v>
      </c>
      <c r="AY492" s="12">
        <v>1</v>
      </c>
      <c r="AZ492" s="12">
        <v>1</v>
      </c>
      <c r="BA492" s="12">
        <v>1</v>
      </c>
      <c r="BB492" s="12">
        <v>1</v>
      </c>
      <c r="BI492" s="12">
        <v>1</v>
      </c>
      <c r="BZ492" s="12">
        <v>2</v>
      </c>
      <c r="CK492"/>
      <c r="CX492">
        <v>469</v>
      </c>
    </row>
    <row r="493" spans="1:102">
      <c r="A493" s="8">
        <v>470</v>
      </c>
      <c r="B493" s="8" t="s">
        <v>13</v>
      </c>
      <c r="C493" s="54" t="s">
        <v>283</v>
      </c>
      <c r="D493" s="59" t="s">
        <v>325</v>
      </c>
      <c r="E493" s="8" t="s">
        <v>15</v>
      </c>
      <c r="F493" s="8"/>
      <c r="G493" s="8"/>
      <c r="H493" s="8"/>
      <c r="I493" s="124"/>
      <c r="J493" s="95"/>
      <c r="K493" s="95"/>
      <c r="L493" s="95"/>
      <c r="M493" s="95"/>
      <c r="N493" s="95"/>
      <c r="O493" s="95"/>
      <c r="P493" s="125"/>
      <c r="Q493" s="124"/>
      <c r="R493" s="95"/>
      <c r="S493" s="95"/>
      <c r="T493" s="95"/>
      <c r="U493" s="95"/>
      <c r="V493" s="95"/>
      <c r="W493" s="95"/>
      <c r="X493" s="125"/>
      <c r="Y493" s="124"/>
      <c r="Z493" s="95"/>
      <c r="AA493" s="95"/>
      <c r="AB493" s="95"/>
      <c r="AC493" s="95"/>
      <c r="AD493" s="95"/>
      <c r="AE493" s="95"/>
      <c r="AF493" s="125"/>
      <c r="AG493" s="95"/>
      <c r="AH493" s="95"/>
      <c r="AI493" s="95"/>
      <c r="AJ493" s="95"/>
      <c r="AK493" s="95"/>
      <c r="AL493" s="95"/>
      <c r="AM493" s="95"/>
      <c r="AN493" s="125"/>
      <c r="AO493" s="95"/>
      <c r="AP493" s="79"/>
      <c r="AQ493" s="85">
        <f t="shared" si="21"/>
        <v>0</v>
      </c>
      <c r="AR493" s="19"/>
      <c r="AS493"/>
      <c r="AT493" s="67">
        <f t="shared" si="22"/>
        <v>0</v>
      </c>
      <c r="AU493" s="67">
        <f t="shared" si="23"/>
        <v>0</v>
      </c>
      <c r="AV493" s="66"/>
      <c r="AW493" s="12"/>
      <c r="CK493"/>
      <c r="CX493">
        <v>470</v>
      </c>
    </row>
    <row r="494" spans="1:102">
      <c r="A494" s="8">
        <v>471</v>
      </c>
      <c r="B494" s="8" t="s">
        <v>12</v>
      </c>
      <c r="C494" s="8" t="s">
        <v>71</v>
      </c>
      <c r="D494" s="8" t="s">
        <v>366</v>
      </c>
      <c r="E494" s="8" t="s">
        <v>6</v>
      </c>
      <c r="F494" s="8">
        <v>32</v>
      </c>
      <c r="G494" s="8">
        <v>32</v>
      </c>
      <c r="H494" s="8">
        <v>32</v>
      </c>
      <c r="I494" s="124">
        <v>1</v>
      </c>
      <c r="J494" s="95">
        <v>1</v>
      </c>
      <c r="K494" s="95">
        <v>1</v>
      </c>
      <c r="L494" s="95">
        <v>1</v>
      </c>
      <c r="M494" s="95">
        <v>1</v>
      </c>
      <c r="N494" s="95">
        <v>1</v>
      </c>
      <c r="O494" s="95">
        <v>1</v>
      </c>
      <c r="P494" s="125">
        <v>1</v>
      </c>
      <c r="Q494" s="124">
        <v>1</v>
      </c>
      <c r="R494" s="95">
        <v>1</v>
      </c>
      <c r="S494" s="95">
        <v>1</v>
      </c>
      <c r="T494" s="95">
        <v>1</v>
      </c>
      <c r="U494" s="95">
        <v>1</v>
      </c>
      <c r="V494" s="95">
        <v>1</v>
      </c>
      <c r="W494" s="95">
        <v>1</v>
      </c>
      <c r="X494" s="125">
        <v>1</v>
      </c>
      <c r="Y494" s="124">
        <v>1</v>
      </c>
      <c r="Z494" s="95">
        <v>1</v>
      </c>
      <c r="AA494" s="95">
        <v>1</v>
      </c>
      <c r="AB494" s="95">
        <v>1</v>
      </c>
      <c r="AC494" s="95">
        <v>1</v>
      </c>
      <c r="AD494" s="95">
        <v>1</v>
      </c>
      <c r="AE494" s="95">
        <v>1</v>
      </c>
      <c r="AF494" s="125">
        <v>1</v>
      </c>
      <c r="AG494" s="95">
        <v>1</v>
      </c>
      <c r="AH494" s="95">
        <v>1</v>
      </c>
      <c r="AI494" s="95">
        <v>1</v>
      </c>
      <c r="AJ494" s="95">
        <v>1</v>
      </c>
      <c r="AK494" s="95">
        <v>1</v>
      </c>
      <c r="AL494" s="95">
        <v>1</v>
      </c>
      <c r="AM494" s="95">
        <v>1</v>
      </c>
      <c r="AN494" s="125">
        <v>1</v>
      </c>
      <c r="AO494" s="95"/>
      <c r="AP494" s="79">
        <v>32</v>
      </c>
      <c r="AQ494" s="85">
        <f t="shared" si="21"/>
        <v>32</v>
      </c>
      <c r="AR494" s="19" t="s">
        <v>284</v>
      </c>
      <c r="AS494">
        <v>1</v>
      </c>
      <c r="AT494" s="67">
        <f t="shared" si="22"/>
        <v>0</v>
      </c>
      <c r="AU494" s="67">
        <f t="shared" si="23"/>
        <v>0</v>
      </c>
      <c r="AV494" s="66">
        <v>1</v>
      </c>
      <c r="AW494" s="12"/>
      <c r="AX494" s="12">
        <v>1</v>
      </c>
      <c r="AZ494" s="12">
        <v>1</v>
      </c>
      <c r="BA494" s="12">
        <v>1</v>
      </c>
      <c r="BB494" s="12">
        <v>1</v>
      </c>
      <c r="BI494" s="12">
        <v>1</v>
      </c>
      <c r="BK494" s="12">
        <v>1</v>
      </c>
      <c r="BO494" s="12">
        <v>3</v>
      </c>
      <c r="BS494" s="12">
        <v>1</v>
      </c>
      <c r="BY494" s="12">
        <v>1</v>
      </c>
      <c r="BZ494" s="12" t="s">
        <v>326</v>
      </c>
      <c r="CI494" s="12">
        <v>2</v>
      </c>
      <c r="CK494"/>
      <c r="CM494" t="s">
        <v>326</v>
      </c>
      <c r="CX494">
        <v>471</v>
      </c>
    </row>
    <row r="495" spans="1:102">
      <c r="A495" s="8">
        <v>472</v>
      </c>
      <c r="B495" s="8" t="s">
        <v>13</v>
      </c>
      <c r="C495" s="8" t="s">
        <v>145</v>
      </c>
      <c r="D495" s="8" t="s">
        <v>357</v>
      </c>
      <c r="E495" s="8" t="s">
        <v>15</v>
      </c>
      <c r="F495" s="8"/>
      <c r="G495" s="8"/>
      <c r="H495" s="8"/>
      <c r="I495" s="124"/>
      <c r="J495" s="95"/>
      <c r="K495" s="95"/>
      <c r="L495" s="95"/>
      <c r="M495" s="95"/>
      <c r="N495" s="95"/>
      <c r="O495" s="95"/>
      <c r="P495" s="125"/>
      <c r="Q495" s="124"/>
      <c r="R495" s="95"/>
      <c r="S495" s="95"/>
      <c r="T495" s="95"/>
      <c r="U495" s="95"/>
      <c r="V495" s="95"/>
      <c r="W495" s="95"/>
      <c r="X495" s="125"/>
      <c r="Y495" s="124"/>
      <c r="Z495" s="95"/>
      <c r="AA495" s="95"/>
      <c r="AB495" s="95"/>
      <c r="AC495" s="95"/>
      <c r="AD495" s="95"/>
      <c r="AE495" s="95"/>
      <c r="AF495" s="125"/>
      <c r="AG495" s="95"/>
      <c r="AH495" s="95"/>
      <c r="AI495" s="95"/>
      <c r="AJ495" s="95"/>
      <c r="AK495" s="95"/>
      <c r="AL495" s="95"/>
      <c r="AM495" s="95"/>
      <c r="AN495" s="125"/>
      <c r="AO495" s="95"/>
      <c r="AP495" s="79"/>
      <c r="AQ495" s="85">
        <f t="shared" si="21"/>
        <v>0</v>
      </c>
      <c r="AR495" s="19"/>
      <c r="AS495"/>
      <c r="AT495" s="67">
        <f t="shared" si="22"/>
        <v>0</v>
      </c>
      <c r="AU495" s="67">
        <f t="shared" si="23"/>
        <v>0</v>
      </c>
      <c r="AV495" s="66"/>
      <c r="AW495" s="12"/>
      <c r="CK495"/>
      <c r="CX495">
        <v>472</v>
      </c>
    </row>
    <row r="496" spans="1:102">
      <c r="A496" s="8">
        <v>473</v>
      </c>
      <c r="B496" s="8" t="s">
        <v>13</v>
      </c>
      <c r="C496" s="8" t="s">
        <v>130</v>
      </c>
      <c r="D496" s="8" t="s">
        <v>357</v>
      </c>
      <c r="E496" s="8" t="s">
        <v>15</v>
      </c>
      <c r="F496" s="8"/>
      <c r="G496" s="8"/>
      <c r="H496" s="8"/>
      <c r="I496" s="124"/>
      <c r="J496" s="95"/>
      <c r="K496" s="95"/>
      <c r="L496" s="95"/>
      <c r="M496" s="95"/>
      <c r="N496" s="95"/>
      <c r="O496" s="95"/>
      <c r="P496" s="125"/>
      <c r="Q496" s="124"/>
      <c r="R496" s="95"/>
      <c r="S496" s="95"/>
      <c r="T496" s="95"/>
      <c r="U496" s="95"/>
      <c r="V496" s="95"/>
      <c r="W496" s="95"/>
      <c r="X496" s="125"/>
      <c r="Y496" s="124"/>
      <c r="Z496" s="95"/>
      <c r="AA496" s="95"/>
      <c r="AB496" s="95"/>
      <c r="AC496" s="95"/>
      <c r="AD496" s="95"/>
      <c r="AE496" s="95"/>
      <c r="AF496" s="125"/>
      <c r="AG496" s="95"/>
      <c r="AH496" s="95"/>
      <c r="AI496" s="95"/>
      <c r="AJ496" s="95"/>
      <c r="AK496" s="95"/>
      <c r="AL496" s="95"/>
      <c r="AM496" s="95"/>
      <c r="AN496" s="125"/>
      <c r="AO496" s="95"/>
      <c r="AP496" s="79"/>
      <c r="AQ496" s="85">
        <f t="shared" si="21"/>
        <v>0</v>
      </c>
      <c r="AR496" s="19"/>
      <c r="AS496"/>
      <c r="AT496" s="67">
        <f t="shared" si="22"/>
        <v>0</v>
      </c>
      <c r="AU496" s="67">
        <f t="shared" si="23"/>
        <v>0</v>
      </c>
      <c r="AV496" s="66"/>
      <c r="AW496" s="12"/>
      <c r="CK496"/>
      <c r="CX496">
        <v>473</v>
      </c>
    </row>
    <row r="497" spans="1:102">
      <c r="A497" s="8">
        <v>474</v>
      </c>
      <c r="B497" s="8" t="s">
        <v>12</v>
      </c>
      <c r="C497" s="8" t="s">
        <v>106</v>
      </c>
      <c r="D497" s="8" t="s">
        <v>349</v>
      </c>
      <c r="E497" s="8" t="s">
        <v>6</v>
      </c>
      <c r="F497" s="8">
        <v>7</v>
      </c>
      <c r="G497" s="8" t="s">
        <v>15</v>
      </c>
      <c r="H497" s="8" t="s">
        <v>15</v>
      </c>
      <c r="I497" s="124"/>
      <c r="J497" s="95"/>
      <c r="K497" s="95"/>
      <c r="L497" s="95"/>
      <c r="M497" s="95"/>
      <c r="N497" s="95"/>
      <c r="O497" s="95"/>
      <c r="P497" s="125"/>
      <c r="Q497" s="124"/>
      <c r="R497" s="95"/>
      <c r="S497" s="95"/>
      <c r="T497" s="95"/>
      <c r="U497" s="95"/>
      <c r="V497" s="95"/>
      <c r="W497" s="95"/>
      <c r="X497" s="125"/>
      <c r="Y497" s="124" t="s">
        <v>10</v>
      </c>
      <c r="Z497" s="95" t="s">
        <v>10</v>
      </c>
      <c r="AA497" s="95">
        <v>1</v>
      </c>
      <c r="AB497" s="95">
        <v>1</v>
      </c>
      <c r="AC497" s="95">
        <v>1</v>
      </c>
      <c r="AD497" s="95">
        <v>1</v>
      </c>
      <c r="AE497" s="95">
        <v>1</v>
      </c>
      <c r="AF497" s="125" t="s">
        <v>10</v>
      </c>
      <c r="AG497" s="95" t="s">
        <v>10</v>
      </c>
      <c r="AH497" s="95" t="s">
        <v>9</v>
      </c>
      <c r="AI497" s="95">
        <v>1</v>
      </c>
      <c r="AJ497" s="95">
        <v>1</v>
      </c>
      <c r="AK497" s="95" t="s">
        <v>10</v>
      </c>
      <c r="AL497" s="95" t="s">
        <v>10</v>
      </c>
      <c r="AM497" s="95" t="s">
        <v>10</v>
      </c>
      <c r="AN497" s="125" t="s">
        <v>15</v>
      </c>
      <c r="AO497" s="95"/>
      <c r="AP497" s="79">
        <v>7</v>
      </c>
      <c r="AQ497" s="85">
        <f t="shared" si="21"/>
        <v>7</v>
      </c>
      <c r="AR497" s="19"/>
      <c r="AS497"/>
      <c r="AT497" s="67">
        <f t="shared" si="22"/>
        <v>7</v>
      </c>
      <c r="AU497" s="67">
        <f t="shared" si="23"/>
        <v>1</v>
      </c>
      <c r="AV497" s="66"/>
      <c r="AW497" s="12"/>
      <c r="AX497" s="12">
        <v>1</v>
      </c>
      <c r="AY497" s="12">
        <v>1</v>
      </c>
      <c r="BA497" s="12">
        <v>1</v>
      </c>
      <c r="BB497" s="12">
        <v>1</v>
      </c>
      <c r="BD497" s="12">
        <v>1</v>
      </c>
      <c r="BG497" s="12">
        <v>1</v>
      </c>
      <c r="BK497" s="12">
        <v>1</v>
      </c>
      <c r="BS497" s="12">
        <v>1</v>
      </c>
      <c r="BY497" s="12">
        <v>1</v>
      </c>
      <c r="CK497"/>
      <c r="CX497">
        <v>474</v>
      </c>
    </row>
    <row r="498" spans="1:102">
      <c r="A498" s="8">
        <v>475</v>
      </c>
      <c r="B498" s="8" t="s">
        <v>12</v>
      </c>
      <c r="C498" s="8" t="s">
        <v>91</v>
      </c>
      <c r="D498" s="8" t="s">
        <v>366</v>
      </c>
      <c r="E498" s="8" t="s">
        <v>42</v>
      </c>
      <c r="F498" s="8"/>
      <c r="G498" s="8"/>
      <c r="H498" s="8"/>
      <c r="I498" s="124"/>
      <c r="J498" s="95"/>
      <c r="K498" s="95"/>
      <c r="L498" s="95"/>
      <c r="M498" s="95"/>
      <c r="N498" s="95"/>
      <c r="O498" s="95"/>
      <c r="P498" s="125"/>
      <c r="Q498" s="124"/>
      <c r="R498" s="95"/>
      <c r="S498" s="95"/>
      <c r="T498" s="95"/>
      <c r="U498" s="95"/>
      <c r="V498" s="95"/>
      <c r="W498" s="95"/>
      <c r="X498" s="125"/>
      <c r="Y498" s="124"/>
      <c r="Z498" s="95"/>
      <c r="AA498" s="95"/>
      <c r="AB498" s="95"/>
      <c r="AC498" s="95"/>
      <c r="AD498" s="95"/>
      <c r="AE498" s="95"/>
      <c r="AF498" s="125"/>
      <c r="AG498" s="95"/>
      <c r="AH498" s="95"/>
      <c r="AI498" s="95"/>
      <c r="AJ498" s="95"/>
      <c r="AK498" s="95"/>
      <c r="AL498" s="95"/>
      <c r="AM498" s="95"/>
      <c r="AN498" s="125"/>
      <c r="AO498" s="95"/>
      <c r="AP498" s="79"/>
      <c r="AQ498" s="85">
        <f t="shared" si="21"/>
        <v>0</v>
      </c>
      <c r="AR498" s="19"/>
      <c r="AS498"/>
      <c r="AT498" s="67">
        <f t="shared" si="22"/>
        <v>0</v>
      </c>
      <c r="AU498" s="67">
        <f t="shared" si="23"/>
        <v>0</v>
      </c>
      <c r="AV498" s="66"/>
      <c r="AW498" s="12"/>
      <c r="BS498" s="12">
        <v>1</v>
      </c>
      <c r="BZ498" s="12">
        <v>2</v>
      </c>
      <c r="CK498">
        <v>1</v>
      </c>
      <c r="CX498">
        <v>475</v>
      </c>
    </row>
    <row r="499" spans="1:102">
      <c r="A499" s="8">
        <v>476</v>
      </c>
      <c r="B499" s="8" t="s">
        <v>12</v>
      </c>
      <c r="C499" s="8" t="s">
        <v>44</v>
      </c>
      <c r="D499" s="8" t="s">
        <v>349</v>
      </c>
      <c r="E499" s="8" t="s">
        <v>42</v>
      </c>
      <c r="F499" s="8">
        <v>23</v>
      </c>
      <c r="G499" s="8">
        <v>25</v>
      </c>
      <c r="H499" s="8">
        <v>32</v>
      </c>
      <c r="I499" s="124">
        <v>1</v>
      </c>
      <c r="J499" s="95">
        <v>1</v>
      </c>
      <c r="K499" s="95">
        <v>1</v>
      </c>
      <c r="L499" s="95">
        <v>1</v>
      </c>
      <c r="M499" s="95">
        <v>1</v>
      </c>
      <c r="N499" s="95">
        <v>1</v>
      </c>
      <c r="O499" s="95">
        <v>1</v>
      </c>
      <c r="P499" s="125">
        <v>1</v>
      </c>
      <c r="Q499" s="124">
        <v>1</v>
      </c>
      <c r="R499" s="95">
        <v>1</v>
      </c>
      <c r="S499" s="95">
        <v>1</v>
      </c>
      <c r="T499" s="95" t="s">
        <v>9</v>
      </c>
      <c r="U499" s="95" t="s">
        <v>10</v>
      </c>
      <c r="V499" s="95" t="s">
        <v>10</v>
      </c>
      <c r="W499" s="95" t="s">
        <v>10</v>
      </c>
      <c r="X499" s="125" t="s">
        <v>10</v>
      </c>
      <c r="Y499" s="124">
        <v>1</v>
      </c>
      <c r="Z499" s="95">
        <v>1</v>
      </c>
      <c r="AA499" s="95">
        <v>1</v>
      </c>
      <c r="AB499" s="95">
        <v>1</v>
      </c>
      <c r="AC499" s="95">
        <v>1</v>
      </c>
      <c r="AD499" s="95">
        <v>1</v>
      </c>
      <c r="AE499" s="95">
        <v>1</v>
      </c>
      <c r="AF499" s="125">
        <v>1</v>
      </c>
      <c r="AG499" s="95" t="s">
        <v>9</v>
      </c>
      <c r="AH499" s="95">
        <v>1</v>
      </c>
      <c r="AI499" s="95">
        <v>1</v>
      </c>
      <c r="AJ499" s="95">
        <v>1</v>
      </c>
      <c r="AK499" s="95">
        <v>1</v>
      </c>
      <c r="AL499" s="95" t="s">
        <v>10</v>
      </c>
      <c r="AM499" s="95" t="s">
        <v>10</v>
      </c>
      <c r="AN499" s="125" t="s">
        <v>10</v>
      </c>
      <c r="AO499" s="95"/>
      <c r="AP499" s="79">
        <v>23</v>
      </c>
      <c r="AQ499" s="85">
        <f t="shared" si="21"/>
        <v>23</v>
      </c>
      <c r="AR499" s="19"/>
      <c r="AS499"/>
      <c r="AT499" s="67">
        <f t="shared" si="22"/>
        <v>7</v>
      </c>
      <c r="AU499" s="67">
        <f t="shared" si="23"/>
        <v>2</v>
      </c>
      <c r="AV499" s="66"/>
      <c r="AW499" s="12">
        <v>1</v>
      </c>
      <c r="AX499" s="12">
        <v>1</v>
      </c>
      <c r="AY499" s="12">
        <v>1</v>
      </c>
      <c r="BA499" s="12">
        <v>1</v>
      </c>
      <c r="BD499" s="12">
        <v>1</v>
      </c>
      <c r="BG499" s="12">
        <v>2</v>
      </c>
      <c r="BK499" s="12">
        <v>1</v>
      </c>
      <c r="BO499" s="12">
        <v>3</v>
      </c>
      <c r="BQ499" s="12">
        <v>8</v>
      </c>
      <c r="BS499" s="12">
        <v>1</v>
      </c>
      <c r="BV499" s="12">
        <v>1</v>
      </c>
      <c r="BW499" s="12">
        <v>1</v>
      </c>
      <c r="BY499" s="12">
        <v>1</v>
      </c>
      <c r="BZ499" s="12">
        <v>3</v>
      </c>
      <c r="CK499"/>
      <c r="CX499">
        <v>476</v>
      </c>
    </row>
    <row r="500" spans="1:102">
      <c r="A500" s="8">
        <v>477</v>
      </c>
      <c r="B500" s="8" t="s">
        <v>13</v>
      </c>
      <c r="C500" s="8" t="s">
        <v>99</v>
      </c>
      <c r="D500" s="8" t="s">
        <v>346</v>
      </c>
      <c r="E500" s="8" t="s">
        <v>15</v>
      </c>
      <c r="F500" s="8"/>
      <c r="G500" s="8"/>
      <c r="H500" s="8"/>
      <c r="I500" s="124"/>
      <c r="J500" s="95"/>
      <c r="K500" s="95"/>
      <c r="L500" s="95"/>
      <c r="M500" s="95"/>
      <c r="N500" s="95"/>
      <c r="O500" s="95"/>
      <c r="P500" s="125"/>
      <c r="Q500" s="124"/>
      <c r="R500" s="95"/>
      <c r="S500" s="95"/>
      <c r="T500" s="95"/>
      <c r="U500" s="95"/>
      <c r="V500" s="95"/>
      <c r="W500" s="95"/>
      <c r="X500" s="125"/>
      <c r="Y500" s="124"/>
      <c r="Z500" s="95"/>
      <c r="AA500" s="95"/>
      <c r="AB500" s="95"/>
      <c r="AC500" s="95"/>
      <c r="AD500" s="95"/>
      <c r="AE500" s="95"/>
      <c r="AF500" s="125"/>
      <c r="AG500" s="95"/>
      <c r="AH500" s="95"/>
      <c r="AI500" s="95"/>
      <c r="AJ500" s="95"/>
      <c r="AK500" s="95"/>
      <c r="AL500" s="95"/>
      <c r="AM500" s="95"/>
      <c r="AN500" s="125"/>
      <c r="AO500" s="95"/>
      <c r="AP500" s="79"/>
      <c r="AQ500" s="85">
        <f t="shared" si="21"/>
        <v>0</v>
      </c>
      <c r="AR500" s="19"/>
      <c r="AS500"/>
      <c r="AT500" s="67">
        <f t="shared" si="22"/>
        <v>0</v>
      </c>
      <c r="AU500" s="67">
        <f t="shared" si="23"/>
        <v>0</v>
      </c>
      <c r="AV500" s="66"/>
      <c r="AW500" s="12"/>
      <c r="CK500"/>
      <c r="CX500">
        <v>477</v>
      </c>
    </row>
    <row r="501" spans="1:102">
      <c r="A501" s="8">
        <v>478</v>
      </c>
      <c r="B501" s="8" t="s">
        <v>12</v>
      </c>
      <c r="C501" s="8" t="s">
        <v>62</v>
      </c>
      <c r="D501" s="8" t="s">
        <v>42</v>
      </c>
      <c r="E501" s="8" t="s">
        <v>42</v>
      </c>
      <c r="F501" s="8">
        <v>26</v>
      </c>
      <c r="G501" s="8" t="s">
        <v>15</v>
      </c>
      <c r="H501" s="8" t="s">
        <v>15</v>
      </c>
      <c r="I501" s="124" t="s">
        <v>15</v>
      </c>
      <c r="J501" s="95" t="s">
        <v>10</v>
      </c>
      <c r="K501" s="95">
        <v>1</v>
      </c>
      <c r="L501" s="95">
        <v>1</v>
      </c>
      <c r="M501" s="95" t="s">
        <v>10</v>
      </c>
      <c r="N501" s="95">
        <v>1</v>
      </c>
      <c r="O501" s="95">
        <v>1</v>
      </c>
      <c r="P501" s="125">
        <v>1</v>
      </c>
      <c r="Q501" s="124">
        <v>1</v>
      </c>
      <c r="R501" s="95">
        <v>1</v>
      </c>
      <c r="S501" s="95">
        <v>1</v>
      </c>
      <c r="T501" s="95">
        <v>1</v>
      </c>
      <c r="U501" s="95">
        <v>1</v>
      </c>
      <c r="V501" s="95" t="s">
        <v>10</v>
      </c>
      <c r="W501" s="95">
        <v>1</v>
      </c>
      <c r="X501" s="125">
        <v>1</v>
      </c>
      <c r="Y501" s="124">
        <v>1</v>
      </c>
      <c r="Z501" s="95" t="s">
        <v>10</v>
      </c>
      <c r="AA501" s="95">
        <v>1</v>
      </c>
      <c r="AB501" s="95">
        <v>1</v>
      </c>
      <c r="AC501" s="95">
        <v>1</v>
      </c>
      <c r="AD501" s="95">
        <v>1</v>
      </c>
      <c r="AE501" s="95">
        <v>1</v>
      </c>
      <c r="AF501" s="125">
        <v>1</v>
      </c>
      <c r="AG501" s="95" t="s">
        <v>10</v>
      </c>
      <c r="AH501" s="95">
        <v>1</v>
      </c>
      <c r="AI501" s="95">
        <v>1</v>
      </c>
      <c r="AJ501" s="95">
        <v>1</v>
      </c>
      <c r="AK501" s="95">
        <v>1</v>
      </c>
      <c r="AL501" s="95">
        <v>1</v>
      </c>
      <c r="AM501" s="95">
        <v>1</v>
      </c>
      <c r="AN501" s="125">
        <v>1</v>
      </c>
      <c r="AO501" s="95"/>
      <c r="AP501" s="79">
        <v>26</v>
      </c>
      <c r="AQ501" s="85">
        <f t="shared" si="21"/>
        <v>26</v>
      </c>
      <c r="AR501" s="19" t="s">
        <v>285</v>
      </c>
      <c r="AS501"/>
      <c r="AT501" s="67">
        <f t="shared" si="22"/>
        <v>5</v>
      </c>
      <c r="AU501" s="67">
        <f t="shared" si="23"/>
        <v>0</v>
      </c>
      <c r="AV501" s="66"/>
      <c r="AW501" s="12">
        <v>1</v>
      </c>
      <c r="AX501" s="12">
        <v>1</v>
      </c>
      <c r="AY501" s="12">
        <v>1</v>
      </c>
      <c r="BA501" s="12">
        <v>1</v>
      </c>
      <c r="BB501" s="12">
        <v>1</v>
      </c>
      <c r="BE501" s="12">
        <v>1</v>
      </c>
      <c r="BK501" s="12">
        <v>1</v>
      </c>
      <c r="BQ501" s="12">
        <v>1</v>
      </c>
      <c r="BV501" s="12">
        <v>1</v>
      </c>
      <c r="BY501" s="12">
        <v>1</v>
      </c>
      <c r="BZ501" s="12">
        <v>1</v>
      </c>
      <c r="CK501"/>
      <c r="CO501">
        <v>1</v>
      </c>
      <c r="CX501">
        <v>478</v>
      </c>
    </row>
    <row r="502" spans="1:102">
      <c r="A502" s="8">
        <v>479</v>
      </c>
      <c r="B502" s="8" t="s">
        <v>12</v>
      </c>
      <c r="C502" s="8" t="s">
        <v>40</v>
      </c>
      <c r="D502" s="8" t="s">
        <v>40</v>
      </c>
      <c r="E502" s="8" t="s">
        <v>15</v>
      </c>
      <c r="F502" s="8"/>
      <c r="G502" s="8"/>
      <c r="H502" s="8"/>
      <c r="I502" s="124"/>
      <c r="J502" s="95"/>
      <c r="K502" s="95"/>
      <c r="L502" s="95"/>
      <c r="M502" s="95"/>
      <c r="N502" s="95"/>
      <c r="O502" s="95"/>
      <c r="P502" s="125"/>
      <c r="Q502" s="124"/>
      <c r="R502" s="95"/>
      <c r="S502" s="95"/>
      <c r="T502" s="95"/>
      <c r="U502" s="95"/>
      <c r="V502" s="95"/>
      <c r="W502" s="95"/>
      <c r="X502" s="125"/>
      <c r="Y502" s="124"/>
      <c r="Z502" s="95"/>
      <c r="AA502" s="95"/>
      <c r="AB502" s="95"/>
      <c r="AC502" s="95"/>
      <c r="AD502" s="95"/>
      <c r="AE502" s="95"/>
      <c r="AF502" s="125"/>
      <c r="AG502" s="95"/>
      <c r="AH502" s="95"/>
      <c r="AI502" s="95"/>
      <c r="AJ502" s="95"/>
      <c r="AK502" s="95"/>
      <c r="AL502" s="95"/>
      <c r="AM502" s="95"/>
      <c r="AN502" s="125"/>
      <c r="AO502" s="95"/>
      <c r="AP502" s="79"/>
      <c r="AQ502" s="85">
        <f t="shared" si="21"/>
        <v>0</v>
      </c>
      <c r="AR502" s="19"/>
      <c r="AS502"/>
      <c r="AT502" s="67">
        <f t="shared" si="22"/>
        <v>0</v>
      </c>
      <c r="AU502" s="67">
        <f t="shared" si="23"/>
        <v>0</v>
      </c>
      <c r="AV502" s="66"/>
      <c r="AW502" s="12"/>
      <c r="CK502"/>
      <c r="CX502">
        <v>479</v>
      </c>
    </row>
    <row r="503" spans="1:102">
      <c r="A503" s="8">
        <v>480</v>
      </c>
      <c r="B503" s="8" t="s">
        <v>13</v>
      </c>
      <c r="C503" s="8" t="s">
        <v>55</v>
      </c>
      <c r="D503" s="8" t="s">
        <v>346</v>
      </c>
      <c r="E503" s="8" t="s">
        <v>15</v>
      </c>
      <c r="F503" s="8">
        <v>19</v>
      </c>
      <c r="G503" s="8">
        <v>20</v>
      </c>
      <c r="H503" s="8">
        <v>20</v>
      </c>
      <c r="I503" s="124"/>
      <c r="J503" s="95"/>
      <c r="K503" s="95" t="s">
        <v>49</v>
      </c>
      <c r="L503" s="95">
        <v>1</v>
      </c>
      <c r="M503" s="95">
        <v>1</v>
      </c>
      <c r="N503" s="95">
        <v>1</v>
      </c>
      <c r="O503" s="95">
        <v>1</v>
      </c>
      <c r="P503" s="125">
        <v>1</v>
      </c>
      <c r="Q503" s="124">
        <v>1</v>
      </c>
      <c r="R503" s="95">
        <v>1</v>
      </c>
      <c r="S503" s="95">
        <v>1</v>
      </c>
      <c r="T503" s="95">
        <v>1</v>
      </c>
      <c r="U503" s="95">
        <v>1</v>
      </c>
      <c r="V503" s="95" t="s">
        <v>49</v>
      </c>
      <c r="W503" s="95"/>
      <c r="X503" s="125"/>
      <c r="Y503" s="124"/>
      <c r="Z503" s="95"/>
      <c r="AA503" s="95" t="s">
        <v>49</v>
      </c>
      <c r="AB503" s="95">
        <v>1</v>
      </c>
      <c r="AC503" s="95">
        <v>1</v>
      </c>
      <c r="AD503" s="95">
        <v>1</v>
      </c>
      <c r="AE503" s="95">
        <v>1</v>
      </c>
      <c r="AF503" s="125">
        <v>1</v>
      </c>
      <c r="AG503" s="95" t="s">
        <v>9</v>
      </c>
      <c r="AH503" s="95">
        <v>1</v>
      </c>
      <c r="AI503" s="95">
        <v>1</v>
      </c>
      <c r="AJ503" s="95">
        <v>1</v>
      </c>
      <c r="AK503" s="95">
        <v>1</v>
      </c>
      <c r="AL503" s="95" t="s">
        <v>49</v>
      </c>
      <c r="AM503" s="95"/>
      <c r="AN503" s="125"/>
      <c r="AO503" s="95">
        <v>19</v>
      </c>
      <c r="AP503" s="79"/>
      <c r="AQ503" s="85">
        <f t="shared" si="21"/>
        <v>19</v>
      </c>
      <c r="AR503" s="19" t="s">
        <v>286</v>
      </c>
      <c r="AS503"/>
      <c r="AT503" s="67">
        <f t="shared" si="22"/>
        <v>0</v>
      </c>
      <c r="AU503" s="67">
        <f t="shared" si="23"/>
        <v>1</v>
      </c>
      <c r="AV503" s="66"/>
      <c r="AW503" s="12"/>
      <c r="CK503"/>
      <c r="CX503">
        <v>480</v>
      </c>
    </row>
    <row r="504" spans="1:102">
      <c r="A504" s="8">
        <v>481</v>
      </c>
      <c r="B504" s="8" t="s">
        <v>12</v>
      </c>
      <c r="C504" s="8" t="s">
        <v>40</v>
      </c>
      <c r="D504" s="8" t="s">
        <v>40</v>
      </c>
      <c r="E504" s="8" t="s">
        <v>77</v>
      </c>
      <c r="F504" s="8"/>
      <c r="G504" s="8"/>
      <c r="H504" s="8"/>
      <c r="I504" s="124"/>
      <c r="J504" s="95"/>
      <c r="K504" s="95"/>
      <c r="L504" s="95"/>
      <c r="M504" s="95"/>
      <c r="N504" s="95"/>
      <c r="O504" s="95"/>
      <c r="P504" s="125"/>
      <c r="Q504" s="124"/>
      <c r="R504" s="95"/>
      <c r="S504" s="95"/>
      <c r="T504" s="95"/>
      <c r="U504" s="95"/>
      <c r="V504" s="95"/>
      <c r="W504" s="95"/>
      <c r="X504" s="125"/>
      <c r="Y504" s="124"/>
      <c r="Z504" s="95"/>
      <c r="AA504" s="95"/>
      <c r="AB504" s="95"/>
      <c r="AC504" s="95"/>
      <c r="AD504" s="95"/>
      <c r="AE504" s="95"/>
      <c r="AF504" s="125"/>
      <c r="AG504" s="95"/>
      <c r="AH504" s="95"/>
      <c r="AI504" s="95"/>
      <c r="AJ504" s="95"/>
      <c r="AK504" s="95"/>
      <c r="AL504" s="95"/>
      <c r="AM504" s="95"/>
      <c r="AN504" s="125"/>
      <c r="AO504" s="95"/>
      <c r="AP504" s="79"/>
      <c r="AQ504" s="85">
        <f t="shared" si="21"/>
        <v>0</v>
      </c>
      <c r="AR504" s="19"/>
      <c r="AS504"/>
      <c r="AT504" s="67">
        <f t="shared" si="22"/>
        <v>0</v>
      </c>
      <c r="AU504" s="67">
        <f t="shared" si="23"/>
        <v>0</v>
      </c>
      <c r="AV504" s="66"/>
      <c r="AW504" s="12"/>
      <c r="CK504"/>
      <c r="CX504">
        <v>481</v>
      </c>
    </row>
    <row r="505" spans="1:102">
      <c r="A505" s="8">
        <v>482</v>
      </c>
      <c r="B505" s="8" t="s">
        <v>13</v>
      </c>
      <c r="C505" s="8" t="s">
        <v>48</v>
      </c>
      <c r="D505" s="8" t="s">
        <v>357</v>
      </c>
      <c r="E505" s="8" t="s">
        <v>15</v>
      </c>
      <c r="F505" s="8"/>
      <c r="G505" s="8"/>
      <c r="H505" s="8"/>
      <c r="I505" s="124"/>
      <c r="J505" s="95"/>
      <c r="K505" s="95"/>
      <c r="L505" s="95"/>
      <c r="M505" s="95"/>
      <c r="N505" s="95"/>
      <c r="O505" s="95"/>
      <c r="P505" s="125"/>
      <c r="Q505" s="124"/>
      <c r="R505" s="95"/>
      <c r="S505" s="95"/>
      <c r="T505" s="95"/>
      <c r="U505" s="95"/>
      <c r="V505" s="95"/>
      <c r="W505" s="95"/>
      <c r="X505" s="125"/>
      <c r="Y505" s="124"/>
      <c r="Z505" s="95"/>
      <c r="AA505" s="95"/>
      <c r="AB505" s="95"/>
      <c r="AC505" s="95"/>
      <c r="AD505" s="95"/>
      <c r="AE505" s="95"/>
      <c r="AF505" s="125"/>
      <c r="AG505" s="95"/>
      <c r="AH505" s="95"/>
      <c r="AI505" s="95"/>
      <c r="AJ505" s="95"/>
      <c r="AK505" s="95"/>
      <c r="AL505" s="95"/>
      <c r="AM505" s="95"/>
      <c r="AN505" s="125"/>
      <c r="AO505" s="95"/>
      <c r="AP505" s="79"/>
      <c r="AQ505" s="85">
        <f t="shared" si="21"/>
        <v>0</v>
      </c>
      <c r="AR505" s="19"/>
      <c r="AS505"/>
      <c r="AT505" s="67">
        <f t="shared" si="22"/>
        <v>0</v>
      </c>
      <c r="AU505" s="67">
        <f t="shared" si="23"/>
        <v>0</v>
      </c>
      <c r="AV505" s="66"/>
      <c r="AW505" s="12"/>
      <c r="CK505"/>
      <c r="CX505">
        <v>482</v>
      </c>
    </row>
    <row r="506" spans="1:102">
      <c r="A506" s="8">
        <v>483</v>
      </c>
      <c r="B506" s="8" t="s">
        <v>12</v>
      </c>
      <c r="C506" s="8" t="s">
        <v>62</v>
      </c>
      <c r="D506" s="8" t="s">
        <v>42</v>
      </c>
      <c r="E506" s="8" t="s">
        <v>42</v>
      </c>
      <c r="F506" s="8"/>
      <c r="G506" s="8"/>
      <c r="H506" s="8"/>
      <c r="I506" s="124"/>
      <c r="J506" s="95"/>
      <c r="K506" s="95"/>
      <c r="L506" s="95"/>
      <c r="M506" s="95"/>
      <c r="N506" s="95"/>
      <c r="O506" s="95"/>
      <c r="P506" s="125"/>
      <c r="Q506" s="124"/>
      <c r="R506" s="95"/>
      <c r="S506" s="95"/>
      <c r="T506" s="95"/>
      <c r="U506" s="95"/>
      <c r="V506" s="95"/>
      <c r="W506" s="95"/>
      <c r="X506" s="125"/>
      <c r="Y506" s="124"/>
      <c r="Z506" s="95"/>
      <c r="AA506" s="95"/>
      <c r="AB506" s="95"/>
      <c r="AC506" s="95"/>
      <c r="AD506" s="95"/>
      <c r="AE506" s="95"/>
      <c r="AF506" s="125"/>
      <c r="AG506" s="95"/>
      <c r="AH506" s="95"/>
      <c r="AI506" s="95"/>
      <c r="AJ506" s="95"/>
      <c r="AK506" s="95"/>
      <c r="AL506" s="95"/>
      <c r="AM506" s="95"/>
      <c r="AN506" s="125"/>
      <c r="AO506" s="95"/>
      <c r="AP506" s="79"/>
      <c r="AQ506" s="85">
        <f t="shared" si="21"/>
        <v>0</v>
      </c>
      <c r="AR506" s="19"/>
      <c r="AS506"/>
      <c r="AT506" s="67">
        <f t="shared" si="22"/>
        <v>0</v>
      </c>
      <c r="AU506" s="67">
        <f t="shared" si="23"/>
        <v>0</v>
      </c>
      <c r="AV506" s="66"/>
      <c r="AW506" s="12"/>
      <c r="BK506" s="12">
        <v>1</v>
      </c>
      <c r="BV506" s="12">
        <v>1</v>
      </c>
      <c r="BY506" s="12">
        <v>1</v>
      </c>
      <c r="CK506"/>
      <c r="CX506">
        <v>483</v>
      </c>
    </row>
    <row r="507" spans="1:102">
      <c r="A507" s="8" t="s">
        <v>287</v>
      </c>
      <c r="B507" s="8" t="s">
        <v>12</v>
      </c>
      <c r="C507" s="8" t="s">
        <v>41</v>
      </c>
      <c r="D507" s="8" t="s">
        <v>42</v>
      </c>
      <c r="E507" s="8" t="s">
        <v>6</v>
      </c>
      <c r="F507" s="8">
        <v>30</v>
      </c>
      <c r="G507" s="8">
        <v>30</v>
      </c>
      <c r="H507" s="8">
        <v>32</v>
      </c>
      <c r="I507" s="124">
        <v>1</v>
      </c>
      <c r="J507" s="95">
        <v>1</v>
      </c>
      <c r="K507" s="95">
        <v>1</v>
      </c>
      <c r="L507" s="95">
        <v>1</v>
      </c>
      <c r="M507" s="95">
        <v>1</v>
      </c>
      <c r="N507" s="95">
        <v>1</v>
      </c>
      <c r="O507" s="95">
        <v>1</v>
      </c>
      <c r="P507" s="125">
        <v>1</v>
      </c>
      <c r="Q507" s="124">
        <v>1</v>
      </c>
      <c r="R507" s="95">
        <v>1</v>
      </c>
      <c r="S507" s="95">
        <v>1</v>
      </c>
      <c r="T507" s="95">
        <v>1</v>
      </c>
      <c r="U507" s="95">
        <v>1</v>
      </c>
      <c r="V507" s="95">
        <v>1</v>
      </c>
      <c r="W507" s="95">
        <v>1</v>
      </c>
      <c r="X507" s="125">
        <v>1</v>
      </c>
      <c r="Y507" s="124" t="s">
        <v>10</v>
      </c>
      <c r="Z507" s="95">
        <v>1</v>
      </c>
      <c r="AA507" s="95">
        <v>1</v>
      </c>
      <c r="AB507" s="95">
        <v>1</v>
      </c>
      <c r="AC507" s="95">
        <v>1</v>
      </c>
      <c r="AD507" s="95">
        <v>1</v>
      </c>
      <c r="AE507" s="95">
        <v>1</v>
      </c>
      <c r="AF507" s="125">
        <v>1</v>
      </c>
      <c r="AG507" s="95">
        <v>1</v>
      </c>
      <c r="AH507" s="95">
        <v>1</v>
      </c>
      <c r="AI507" s="95">
        <v>1</v>
      </c>
      <c r="AJ507" s="95">
        <v>1</v>
      </c>
      <c r="AK507" s="95">
        <v>1</v>
      </c>
      <c r="AL507" s="95">
        <v>1</v>
      </c>
      <c r="AM507" s="95" t="s">
        <v>10</v>
      </c>
      <c r="AN507" s="125">
        <v>1</v>
      </c>
      <c r="AO507" s="95"/>
      <c r="AP507" s="79">
        <v>30</v>
      </c>
      <c r="AQ507" s="85">
        <f t="shared" si="21"/>
        <v>30</v>
      </c>
      <c r="AR507" s="19" t="s">
        <v>289</v>
      </c>
      <c r="AS507"/>
      <c r="AT507" s="67">
        <f t="shared" si="22"/>
        <v>2</v>
      </c>
      <c r="AU507" s="67">
        <f t="shared" si="23"/>
        <v>0</v>
      </c>
      <c r="AV507" s="66"/>
      <c r="AW507" s="12"/>
      <c r="AY507" s="12">
        <v>1</v>
      </c>
      <c r="AZ507" s="12">
        <v>1</v>
      </c>
      <c r="BA507" s="12">
        <v>1</v>
      </c>
      <c r="BB507" s="12">
        <v>1</v>
      </c>
      <c r="BV507" s="12">
        <v>1</v>
      </c>
      <c r="BY507" s="12">
        <v>1</v>
      </c>
      <c r="CI507" s="12">
        <v>1</v>
      </c>
      <c r="CK507"/>
      <c r="CX507" t="s">
        <v>287</v>
      </c>
    </row>
    <row r="508" spans="1:102">
      <c r="A508" s="8" t="s">
        <v>288</v>
      </c>
      <c r="B508" s="8" t="s">
        <v>13</v>
      </c>
      <c r="C508" s="16" t="s">
        <v>324</v>
      </c>
      <c r="D508" s="8" t="s">
        <v>365</v>
      </c>
      <c r="E508" s="8" t="s">
        <v>15</v>
      </c>
      <c r="F508" s="8"/>
      <c r="G508" s="8"/>
      <c r="H508" s="8"/>
      <c r="I508" s="124"/>
      <c r="J508" s="95"/>
      <c r="K508" s="95"/>
      <c r="L508" s="95"/>
      <c r="M508" s="95"/>
      <c r="N508" s="95"/>
      <c r="O508" s="95"/>
      <c r="P508" s="125"/>
      <c r="Q508" s="124"/>
      <c r="R508" s="95"/>
      <c r="S508" s="95"/>
      <c r="T508" s="95"/>
      <c r="U508" s="95"/>
      <c r="V508" s="95"/>
      <c r="W508" s="95"/>
      <c r="X508" s="125"/>
      <c r="Y508" s="124"/>
      <c r="Z508" s="95"/>
      <c r="AA508" s="95"/>
      <c r="AB508" s="95"/>
      <c r="AC508" s="95"/>
      <c r="AD508" s="95"/>
      <c r="AE508" s="95"/>
      <c r="AF508" s="125"/>
      <c r="AG508" s="95"/>
      <c r="AH508" s="95"/>
      <c r="AI508" s="95"/>
      <c r="AJ508" s="95"/>
      <c r="AK508" s="95"/>
      <c r="AL508" s="95"/>
      <c r="AM508" s="95"/>
      <c r="AN508" s="125"/>
      <c r="AO508" s="95"/>
      <c r="AP508" s="79"/>
      <c r="AQ508" s="85">
        <f t="shared" si="21"/>
        <v>0</v>
      </c>
      <c r="AR508" s="19"/>
      <c r="AS508"/>
      <c r="AT508" s="67">
        <f t="shared" si="22"/>
        <v>0</v>
      </c>
      <c r="AU508" s="67">
        <f t="shared" si="23"/>
        <v>0</v>
      </c>
      <c r="AV508" s="66"/>
      <c r="AW508" s="12"/>
      <c r="CK508"/>
      <c r="CX508" t="s">
        <v>288</v>
      </c>
    </row>
    <row r="509" spans="1:102">
      <c r="A509" s="8">
        <v>485</v>
      </c>
      <c r="B509" s="8" t="s">
        <v>12</v>
      </c>
      <c r="C509" s="8" t="s">
        <v>62</v>
      </c>
      <c r="D509" s="8" t="s">
        <v>42</v>
      </c>
      <c r="E509" s="8" t="s">
        <v>42</v>
      </c>
      <c r="F509" s="8"/>
      <c r="G509" s="8"/>
      <c r="H509" s="8"/>
      <c r="I509" s="124"/>
      <c r="J509" s="95"/>
      <c r="K509" s="95"/>
      <c r="L509" s="95"/>
      <c r="M509" s="95"/>
      <c r="N509" s="95"/>
      <c r="O509" s="95"/>
      <c r="P509" s="125"/>
      <c r="Q509" s="124"/>
      <c r="R509" s="95"/>
      <c r="S509" s="95"/>
      <c r="T509" s="95"/>
      <c r="U509" s="95"/>
      <c r="V509" s="95"/>
      <c r="W509" s="95"/>
      <c r="X509" s="125"/>
      <c r="Y509" s="124"/>
      <c r="Z509" s="95"/>
      <c r="AA509" s="95"/>
      <c r="AB509" s="95"/>
      <c r="AC509" s="95"/>
      <c r="AD509" s="95"/>
      <c r="AE509" s="95"/>
      <c r="AF509" s="125"/>
      <c r="AG509" s="95"/>
      <c r="AH509" s="95"/>
      <c r="AI509" s="95"/>
      <c r="AJ509" s="95"/>
      <c r="AK509" s="95"/>
      <c r="AL509" s="95"/>
      <c r="AM509" s="95"/>
      <c r="AN509" s="125"/>
      <c r="AO509" s="95"/>
      <c r="AP509" s="79"/>
      <c r="AQ509" s="85">
        <f t="shared" si="21"/>
        <v>0</v>
      </c>
      <c r="AR509" s="19"/>
      <c r="AS509"/>
      <c r="AT509" s="67">
        <f t="shared" si="22"/>
        <v>0</v>
      </c>
      <c r="AU509" s="67">
        <f t="shared" si="23"/>
        <v>0</v>
      </c>
      <c r="AV509" s="66"/>
      <c r="AW509" s="12"/>
      <c r="BV509" s="12">
        <v>1</v>
      </c>
      <c r="BY509" s="12">
        <v>1</v>
      </c>
      <c r="CK509"/>
      <c r="CX509">
        <v>485</v>
      </c>
    </row>
    <row r="510" spans="1:102">
      <c r="A510" s="8" t="s">
        <v>290</v>
      </c>
      <c r="B510" s="8" t="s">
        <v>12</v>
      </c>
      <c r="C510" s="8" t="s">
        <v>5</v>
      </c>
      <c r="D510" s="8" t="s">
        <v>42</v>
      </c>
      <c r="E510" s="8" t="s">
        <v>42</v>
      </c>
      <c r="F510" s="8">
        <v>29</v>
      </c>
      <c r="G510" s="8">
        <v>30</v>
      </c>
      <c r="H510" s="8">
        <v>30</v>
      </c>
      <c r="I510" s="124">
        <v>1</v>
      </c>
      <c r="J510" s="95">
        <v>1</v>
      </c>
      <c r="K510" s="95">
        <v>1</v>
      </c>
      <c r="L510" s="95">
        <v>1</v>
      </c>
      <c r="M510" s="95">
        <v>1</v>
      </c>
      <c r="N510" s="95">
        <v>1</v>
      </c>
      <c r="O510" s="95" t="s">
        <v>9</v>
      </c>
      <c r="P510" s="125">
        <v>1</v>
      </c>
      <c r="Q510" s="124">
        <v>1</v>
      </c>
      <c r="R510" s="95">
        <v>1</v>
      </c>
      <c r="S510" s="95">
        <v>1</v>
      </c>
      <c r="T510" s="95">
        <v>1</v>
      </c>
      <c r="U510" s="95">
        <v>1</v>
      </c>
      <c r="V510" s="95">
        <v>1</v>
      </c>
      <c r="W510" s="95">
        <v>1</v>
      </c>
      <c r="X510" s="125">
        <v>1</v>
      </c>
      <c r="Y510" s="124"/>
      <c r="Z510" s="95">
        <v>1</v>
      </c>
      <c r="AA510" s="95">
        <v>1</v>
      </c>
      <c r="AB510" s="95">
        <v>1</v>
      </c>
      <c r="AC510" s="95">
        <v>1</v>
      </c>
      <c r="AD510" s="95">
        <v>1</v>
      </c>
      <c r="AE510" s="95">
        <v>1</v>
      </c>
      <c r="AF510" s="125">
        <v>1</v>
      </c>
      <c r="AG510" s="95">
        <v>1</v>
      </c>
      <c r="AH510" s="95">
        <v>1</v>
      </c>
      <c r="AI510" s="95">
        <v>1</v>
      </c>
      <c r="AJ510" s="95">
        <v>1</v>
      </c>
      <c r="AK510" s="95">
        <v>1</v>
      </c>
      <c r="AL510" s="95">
        <v>1</v>
      </c>
      <c r="AM510" s="95">
        <v>1</v>
      </c>
      <c r="AN510" s="125"/>
      <c r="AO510" s="95"/>
      <c r="AP510" s="79">
        <v>29</v>
      </c>
      <c r="AQ510" s="85">
        <f t="shared" si="21"/>
        <v>29</v>
      </c>
      <c r="AR510" s="19" t="s">
        <v>291</v>
      </c>
      <c r="AS510"/>
      <c r="AT510" s="67">
        <f t="shared" si="22"/>
        <v>0</v>
      </c>
      <c r="AU510" s="67">
        <f t="shared" si="23"/>
        <v>1</v>
      </c>
      <c r="AV510" s="66"/>
      <c r="AW510" s="12"/>
      <c r="AX510" s="12">
        <v>1</v>
      </c>
      <c r="BA510" s="12">
        <v>1</v>
      </c>
      <c r="BB510" s="12">
        <v>1</v>
      </c>
      <c r="BD510" s="12">
        <v>1</v>
      </c>
      <c r="BV510" s="12">
        <v>1</v>
      </c>
      <c r="BW510" s="12">
        <v>1</v>
      </c>
      <c r="BX510" s="12">
        <v>1</v>
      </c>
      <c r="BY510" s="12">
        <v>1</v>
      </c>
      <c r="CK510"/>
      <c r="CX510" t="s">
        <v>290</v>
      </c>
    </row>
    <row r="511" spans="1:102">
      <c r="A511" s="8" t="s">
        <v>292</v>
      </c>
      <c r="B511" s="8" t="s">
        <v>12</v>
      </c>
      <c r="C511" s="8" t="s">
        <v>92</v>
      </c>
      <c r="D511" s="8" t="s">
        <v>165</v>
      </c>
      <c r="E511" s="8" t="s">
        <v>15</v>
      </c>
      <c r="F511" s="8"/>
      <c r="G511" s="8"/>
      <c r="H511" s="8"/>
      <c r="I511" s="124"/>
      <c r="J511" s="95"/>
      <c r="K511" s="95"/>
      <c r="L511" s="95"/>
      <c r="M511" s="95"/>
      <c r="N511" s="95"/>
      <c r="O511" s="95"/>
      <c r="P511" s="125"/>
      <c r="Q511" s="124"/>
      <c r="R511" s="95"/>
      <c r="S511" s="95"/>
      <c r="T511" s="95"/>
      <c r="U511" s="95"/>
      <c r="V511" s="95"/>
      <c r="W511" s="95"/>
      <c r="X511" s="125"/>
      <c r="Y511" s="124"/>
      <c r="Z511" s="95"/>
      <c r="AA511" s="95"/>
      <c r="AB511" s="95"/>
      <c r="AC511" s="95"/>
      <c r="AD511" s="95"/>
      <c r="AE511" s="95"/>
      <c r="AF511" s="125"/>
      <c r="AG511" s="95"/>
      <c r="AH511" s="95"/>
      <c r="AI511" s="95"/>
      <c r="AJ511" s="95"/>
      <c r="AK511" s="95"/>
      <c r="AL511" s="95"/>
      <c r="AM511" s="95"/>
      <c r="AN511" s="125"/>
      <c r="AO511" s="95"/>
      <c r="AP511" s="79"/>
      <c r="AQ511" s="85">
        <f t="shared" si="21"/>
        <v>0</v>
      </c>
      <c r="AR511" s="19"/>
      <c r="AS511"/>
      <c r="AT511" s="67">
        <f t="shared" si="22"/>
        <v>0</v>
      </c>
      <c r="AU511" s="67">
        <f t="shared" si="23"/>
        <v>0</v>
      </c>
      <c r="AV511" s="66"/>
      <c r="AW511" s="12"/>
      <c r="BY511" s="12">
        <v>1</v>
      </c>
      <c r="CK511"/>
      <c r="CX511" t="s">
        <v>292</v>
      </c>
    </row>
    <row r="512" spans="1:102">
      <c r="A512" s="8">
        <v>487</v>
      </c>
      <c r="B512" s="8" t="s">
        <v>13</v>
      </c>
      <c r="C512" s="8" t="s">
        <v>293</v>
      </c>
      <c r="D512" s="8" t="s">
        <v>325</v>
      </c>
      <c r="E512" s="8" t="s">
        <v>15</v>
      </c>
      <c r="F512" s="8"/>
      <c r="G512" s="8"/>
      <c r="H512" s="8"/>
      <c r="I512" s="124"/>
      <c r="J512" s="95"/>
      <c r="K512" s="95"/>
      <c r="L512" s="95"/>
      <c r="M512" s="95"/>
      <c r="N512" s="95"/>
      <c r="O512" s="95"/>
      <c r="P512" s="125"/>
      <c r="Q512" s="124"/>
      <c r="R512" s="95"/>
      <c r="S512" s="95"/>
      <c r="T512" s="95"/>
      <c r="U512" s="95"/>
      <c r="V512" s="95"/>
      <c r="W512" s="95"/>
      <c r="X512" s="125"/>
      <c r="Y512" s="124"/>
      <c r="Z512" s="95"/>
      <c r="AA512" s="95"/>
      <c r="AB512" s="95"/>
      <c r="AC512" s="95"/>
      <c r="AD512" s="95"/>
      <c r="AE512" s="95"/>
      <c r="AF512" s="125"/>
      <c r="AG512" s="95"/>
      <c r="AH512" s="95"/>
      <c r="AI512" s="95"/>
      <c r="AJ512" s="95"/>
      <c r="AK512" s="95"/>
      <c r="AL512" s="95"/>
      <c r="AM512" s="95"/>
      <c r="AN512" s="125"/>
      <c r="AO512" s="95"/>
      <c r="AP512" s="79"/>
      <c r="AQ512" s="85">
        <f t="shared" si="21"/>
        <v>0</v>
      </c>
      <c r="AR512" s="19"/>
      <c r="AS512"/>
      <c r="AT512" s="67">
        <f t="shared" si="22"/>
        <v>0</v>
      </c>
      <c r="AU512" s="67">
        <f t="shared" si="23"/>
        <v>0</v>
      </c>
      <c r="AV512" s="66"/>
      <c r="AW512" s="12"/>
      <c r="CK512"/>
      <c r="CX512">
        <v>487</v>
      </c>
    </row>
    <row r="513" spans="1:102">
      <c r="A513" s="8">
        <v>488</v>
      </c>
      <c r="B513" s="8" t="s">
        <v>12</v>
      </c>
      <c r="C513" s="8" t="s">
        <v>40</v>
      </c>
      <c r="D513" s="8" t="s">
        <v>40</v>
      </c>
      <c r="E513" s="8" t="s">
        <v>6</v>
      </c>
      <c r="F513" s="8"/>
      <c r="G513" s="8"/>
      <c r="H513" s="8"/>
      <c r="I513" s="124"/>
      <c r="J513" s="95"/>
      <c r="K513" s="95"/>
      <c r="L513" s="95"/>
      <c r="M513" s="95"/>
      <c r="N513" s="95"/>
      <c r="O513" s="95"/>
      <c r="P513" s="125"/>
      <c r="Q513" s="124"/>
      <c r="R513" s="95"/>
      <c r="S513" s="95"/>
      <c r="T513" s="95"/>
      <c r="U513" s="95"/>
      <c r="V513" s="95"/>
      <c r="W513" s="95"/>
      <c r="X513" s="125"/>
      <c r="Y513" s="124"/>
      <c r="Z513" s="95"/>
      <c r="AA513" s="95"/>
      <c r="AB513" s="95"/>
      <c r="AC513" s="95"/>
      <c r="AD513" s="95"/>
      <c r="AE513" s="95"/>
      <c r="AF513" s="125"/>
      <c r="AG513" s="95"/>
      <c r="AH513" s="95"/>
      <c r="AI513" s="95"/>
      <c r="AJ513" s="95"/>
      <c r="AK513" s="95"/>
      <c r="AL513" s="95"/>
      <c r="AM513" s="95"/>
      <c r="AN513" s="125"/>
      <c r="AO513" s="95"/>
      <c r="AP513" s="79"/>
      <c r="AQ513" s="85">
        <f t="shared" si="21"/>
        <v>0</v>
      </c>
      <c r="AR513" s="19"/>
      <c r="AS513"/>
      <c r="AT513" s="67">
        <f t="shared" si="22"/>
        <v>0</v>
      </c>
      <c r="AU513" s="67">
        <f t="shared" si="23"/>
        <v>0</v>
      </c>
      <c r="AV513" s="66"/>
      <c r="AW513" s="12"/>
      <c r="CK513"/>
      <c r="CX513">
        <v>488</v>
      </c>
    </row>
    <row r="514" spans="1:102" s="8" customFormat="1">
      <c r="A514" s="8">
        <v>489</v>
      </c>
      <c r="B514" s="8" t="s">
        <v>13</v>
      </c>
      <c r="C514" s="8" t="s">
        <v>99</v>
      </c>
      <c r="D514" s="8" t="s">
        <v>346</v>
      </c>
      <c r="E514" s="8" t="s">
        <v>15</v>
      </c>
      <c r="F514" s="8">
        <v>24</v>
      </c>
      <c r="G514" s="8">
        <v>24</v>
      </c>
      <c r="H514" s="8">
        <v>24</v>
      </c>
      <c r="I514" s="124"/>
      <c r="J514" s="95" t="s">
        <v>49</v>
      </c>
      <c r="K514" s="95">
        <v>1</v>
      </c>
      <c r="L514" s="95">
        <v>1</v>
      </c>
      <c r="M514" s="95">
        <v>1</v>
      </c>
      <c r="N514" s="95">
        <v>1</v>
      </c>
      <c r="O514" s="95">
        <v>1</v>
      </c>
      <c r="P514" s="125">
        <v>1</v>
      </c>
      <c r="Q514" s="124">
        <v>1</v>
      </c>
      <c r="R514" s="95">
        <v>1</v>
      </c>
      <c r="S514" s="95">
        <v>1</v>
      </c>
      <c r="T514" s="95">
        <v>1</v>
      </c>
      <c r="U514" s="95">
        <v>1</v>
      </c>
      <c r="V514" s="95">
        <v>1</v>
      </c>
      <c r="W514" s="95" t="s">
        <v>49</v>
      </c>
      <c r="X514" s="125"/>
      <c r="Y514" s="124"/>
      <c r="Z514" s="95" t="s">
        <v>49</v>
      </c>
      <c r="AA514" s="95">
        <v>1</v>
      </c>
      <c r="AB514" s="95">
        <v>1</v>
      </c>
      <c r="AC514" s="95">
        <v>1</v>
      </c>
      <c r="AD514" s="95">
        <v>1</v>
      </c>
      <c r="AE514" s="95">
        <v>1</v>
      </c>
      <c r="AF514" s="125">
        <v>1</v>
      </c>
      <c r="AG514" s="95">
        <v>1</v>
      </c>
      <c r="AH514" s="95">
        <v>1</v>
      </c>
      <c r="AI514" s="95">
        <v>1</v>
      </c>
      <c r="AJ514" s="95">
        <v>1</v>
      </c>
      <c r="AK514" s="95">
        <v>1</v>
      </c>
      <c r="AL514" s="95">
        <v>1</v>
      </c>
      <c r="AM514" s="95" t="s">
        <v>49</v>
      </c>
      <c r="AN514" s="125"/>
      <c r="AO514" s="95">
        <v>20</v>
      </c>
      <c r="AP514" s="79">
        <v>4</v>
      </c>
      <c r="AQ514" s="85">
        <f t="shared" si="21"/>
        <v>24</v>
      </c>
      <c r="AR514" s="102" t="s">
        <v>294</v>
      </c>
      <c r="AS514" s="8">
        <v>1</v>
      </c>
      <c r="AT514" s="67">
        <f t="shared" si="22"/>
        <v>0</v>
      </c>
      <c r="AU514" s="67">
        <f t="shared" si="23"/>
        <v>0</v>
      </c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  <c r="CC514" s="13"/>
      <c r="CD514" s="13"/>
      <c r="CE514" s="13"/>
      <c r="CF514" s="13"/>
      <c r="CG514" s="13"/>
      <c r="CH514" s="13"/>
      <c r="CI514" s="13"/>
      <c r="CJ514" s="13"/>
      <c r="CX514" s="8">
        <v>489</v>
      </c>
    </row>
    <row r="515" spans="1:102">
      <c r="A515" s="8">
        <v>490</v>
      </c>
      <c r="B515" s="8" t="s">
        <v>13</v>
      </c>
      <c r="C515" s="8" t="s">
        <v>74</v>
      </c>
      <c r="D515" s="8" t="s">
        <v>346</v>
      </c>
      <c r="E515" s="8" t="s">
        <v>15</v>
      </c>
      <c r="F515" s="8">
        <v>16</v>
      </c>
      <c r="G515" s="8">
        <v>16</v>
      </c>
      <c r="H515" s="8">
        <v>16</v>
      </c>
      <c r="I515" s="124"/>
      <c r="J515" s="95"/>
      <c r="K515" s="95" t="s">
        <v>49</v>
      </c>
      <c r="L515" s="95" t="s">
        <v>49</v>
      </c>
      <c r="M515" s="95">
        <v>1</v>
      </c>
      <c r="N515" s="95">
        <v>1</v>
      </c>
      <c r="O515" s="95">
        <v>1</v>
      </c>
      <c r="P515" s="125">
        <v>1</v>
      </c>
      <c r="Q515" s="124">
        <v>1</v>
      </c>
      <c r="R515" s="95">
        <v>1</v>
      </c>
      <c r="S515" s="95">
        <v>1</v>
      </c>
      <c r="T515" s="95">
        <v>1</v>
      </c>
      <c r="U515" s="95" t="s">
        <v>49</v>
      </c>
      <c r="V515" s="95" t="s">
        <v>49</v>
      </c>
      <c r="W515" s="95"/>
      <c r="X515" s="125"/>
      <c r="Y515" s="124"/>
      <c r="Z515" s="95"/>
      <c r="AA515" s="95" t="s">
        <v>49</v>
      </c>
      <c r="AB515" s="95" t="s">
        <v>49</v>
      </c>
      <c r="AC515" s="95">
        <v>1</v>
      </c>
      <c r="AD515" s="95">
        <v>1</v>
      </c>
      <c r="AE515" s="95">
        <v>1</v>
      </c>
      <c r="AF515" s="125">
        <v>1</v>
      </c>
      <c r="AG515" s="95">
        <v>1</v>
      </c>
      <c r="AH515" s="95">
        <v>1</v>
      </c>
      <c r="AI515" s="95">
        <v>1</v>
      </c>
      <c r="AJ515" s="95">
        <v>1</v>
      </c>
      <c r="AK515" s="95" t="s">
        <v>49</v>
      </c>
      <c r="AL515" s="95" t="s">
        <v>49</v>
      </c>
      <c r="AM515" s="95"/>
      <c r="AN515" s="125"/>
      <c r="AO515" s="95">
        <v>16</v>
      </c>
      <c r="AP515" s="79"/>
      <c r="AQ515" s="85">
        <f t="shared" si="21"/>
        <v>16</v>
      </c>
      <c r="AR515" s="19"/>
      <c r="AS515">
        <v>1</v>
      </c>
      <c r="AT515" s="67">
        <f t="shared" si="22"/>
        <v>0</v>
      </c>
      <c r="AU515" s="67">
        <f t="shared" si="23"/>
        <v>0</v>
      </c>
      <c r="AV515" s="66"/>
      <c r="AW515" s="12"/>
      <c r="CK515"/>
      <c r="CX515">
        <v>490</v>
      </c>
    </row>
    <row r="516" spans="1:102">
      <c r="A516" s="8">
        <v>491</v>
      </c>
      <c r="B516" s="8" t="s">
        <v>13</v>
      </c>
      <c r="C516" s="8" t="s">
        <v>118</v>
      </c>
      <c r="D516" s="8" t="s">
        <v>345</v>
      </c>
      <c r="E516" s="8" t="s">
        <v>15</v>
      </c>
      <c r="F516" s="8"/>
      <c r="G516" s="8"/>
      <c r="H516" s="8"/>
      <c r="I516" s="124"/>
      <c r="J516" s="95"/>
      <c r="K516" s="95"/>
      <c r="L516" s="95"/>
      <c r="M516" s="95"/>
      <c r="N516" s="95"/>
      <c r="O516" s="95"/>
      <c r="P516" s="125"/>
      <c r="Q516" s="124"/>
      <c r="R516" s="95"/>
      <c r="S516" s="95"/>
      <c r="T516" s="95"/>
      <c r="U516" s="95"/>
      <c r="V516" s="95"/>
      <c r="W516" s="95"/>
      <c r="X516" s="125"/>
      <c r="Y516" s="124"/>
      <c r="Z516" s="95"/>
      <c r="AA516" s="95"/>
      <c r="AB516" s="95"/>
      <c r="AC516" s="95"/>
      <c r="AD516" s="95"/>
      <c r="AE516" s="95"/>
      <c r="AF516" s="125"/>
      <c r="AG516" s="95"/>
      <c r="AH516" s="95"/>
      <c r="AI516" s="95"/>
      <c r="AJ516" s="95"/>
      <c r="AK516" s="95"/>
      <c r="AL516" s="95"/>
      <c r="AM516" s="95"/>
      <c r="AN516" s="125"/>
      <c r="AO516" s="95"/>
      <c r="AP516" s="79"/>
      <c r="AQ516" s="85">
        <f t="shared" si="21"/>
        <v>0</v>
      </c>
      <c r="AR516" s="19"/>
      <c r="AS516"/>
      <c r="AT516" s="67">
        <f t="shared" si="22"/>
        <v>0</v>
      </c>
      <c r="AU516" s="67">
        <f t="shared" si="23"/>
        <v>0</v>
      </c>
      <c r="AV516" s="66"/>
      <c r="AW516" s="12"/>
      <c r="CE516" s="12">
        <v>1</v>
      </c>
      <c r="CK516"/>
      <c r="CX516">
        <v>491</v>
      </c>
    </row>
    <row r="517" spans="1:102">
      <c r="A517" s="8">
        <v>492</v>
      </c>
      <c r="B517" s="8" t="s">
        <v>13</v>
      </c>
      <c r="C517" s="8" t="s">
        <v>63</v>
      </c>
      <c r="D517" s="8" t="s">
        <v>346</v>
      </c>
      <c r="E517" s="8" t="s">
        <v>15</v>
      </c>
      <c r="F517" s="8">
        <v>12</v>
      </c>
      <c r="G517" s="8">
        <v>12</v>
      </c>
      <c r="H517" s="8">
        <v>12</v>
      </c>
      <c r="I517" s="124"/>
      <c r="J517" s="95"/>
      <c r="K517" s="95" t="s">
        <v>49</v>
      </c>
      <c r="L517" s="95" t="s">
        <v>49</v>
      </c>
      <c r="M517" s="95">
        <v>1</v>
      </c>
      <c r="N517" s="95" t="s">
        <v>49</v>
      </c>
      <c r="O517" s="95">
        <v>1</v>
      </c>
      <c r="P517" s="125">
        <v>1</v>
      </c>
      <c r="Q517" s="124">
        <v>1</v>
      </c>
      <c r="R517" s="95">
        <v>1</v>
      </c>
      <c r="S517" s="95" t="s">
        <v>49</v>
      </c>
      <c r="T517" s="95">
        <v>1</v>
      </c>
      <c r="U517" s="95" t="s">
        <v>49</v>
      </c>
      <c r="V517" s="95" t="s">
        <v>49</v>
      </c>
      <c r="W517" s="95"/>
      <c r="X517" s="125"/>
      <c r="Y517" s="124"/>
      <c r="Z517" s="95"/>
      <c r="AA517" s="95" t="s">
        <v>49</v>
      </c>
      <c r="AB517" s="95" t="s">
        <v>49</v>
      </c>
      <c r="AC517" s="95">
        <v>1</v>
      </c>
      <c r="AD517" s="95" t="s">
        <v>49</v>
      </c>
      <c r="AE517" s="95">
        <v>1</v>
      </c>
      <c r="AF517" s="125">
        <v>1</v>
      </c>
      <c r="AG517" s="95">
        <v>1</v>
      </c>
      <c r="AH517" s="95">
        <v>1</v>
      </c>
      <c r="AI517" s="95" t="s">
        <v>49</v>
      </c>
      <c r="AJ517" s="95">
        <v>1</v>
      </c>
      <c r="AK517" s="95" t="s">
        <v>49</v>
      </c>
      <c r="AL517" s="95" t="s">
        <v>49</v>
      </c>
      <c r="AM517" s="95"/>
      <c r="AN517" s="125"/>
      <c r="AO517" s="95">
        <v>12</v>
      </c>
      <c r="AP517" s="79"/>
      <c r="AQ517" s="85">
        <f t="shared" si="21"/>
        <v>12</v>
      </c>
      <c r="AR517" s="19"/>
      <c r="AS517">
        <v>1</v>
      </c>
      <c r="AT517" s="67">
        <f t="shared" si="22"/>
        <v>0</v>
      </c>
      <c r="AU517" s="67">
        <f t="shared" si="23"/>
        <v>0</v>
      </c>
      <c r="AV517" s="66"/>
      <c r="AW517" s="12"/>
      <c r="CK517"/>
      <c r="CX517">
        <v>492</v>
      </c>
    </row>
    <row r="518" spans="1:102">
      <c r="A518" s="8">
        <v>493</v>
      </c>
      <c r="B518" s="8" t="s">
        <v>12</v>
      </c>
      <c r="C518" s="8" t="s">
        <v>75</v>
      </c>
      <c r="D518" s="8" t="s">
        <v>12</v>
      </c>
      <c r="E518" s="8" t="s">
        <v>6</v>
      </c>
      <c r="F518" s="8"/>
      <c r="G518" s="8"/>
      <c r="H518" s="8"/>
      <c r="I518" s="124"/>
      <c r="J518" s="95"/>
      <c r="K518" s="95"/>
      <c r="L518" s="95"/>
      <c r="M518" s="95"/>
      <c r="N518" s="95"/>
      <c r="O518" s="95"/>
      <c r="P518" s="125"/>
      <c r="Q518" s="124"/>
      <c r="R518" s="95"/>
      <c r="S518" s="95"/>
      <c r="T518" s="95"/>
      <c r="U518" s="95"/>
      <c r="V518" s="95"/>
      <c r="W518" s="95"/>
      <c r="X518" s="125"/>
      <c r="Y518" s="124"/>
      <c r="Z518" s="95"/>
      <c r="AA518" s="95"/>
      <c r="AB518" s="95"/>
      <c r="AC518" s="95"/>
      <c r="AD518" s="95"/>
      <c r="AE518" s="95"/>
      <c r="AF518" s="125"/>
      <c r="AG518" s="95"/>
      <c r="AH518" s="95"/>
      <c r="AI518" s="95"/>
      <c r="AJ518" s="95"/>
      <c r="AK518" s="95"/>
      <c r="AL518" s="95"/>
      <c r="AM518" s="95"/>
      <c r="AN518" s="125"/>
      <c r="AO518" s="95"/>
      <c r="AP518" s="79"/>
      <c r="AQ518" s="85">
        <f t="shared" ref="AQ518:AQ581" si="24">SUM(I518:AN518)</f>
        <v>0</v>
      </c>
      <c r="AR518" s="19"/>
      <c r="AS518"/>
      <c r="AT518" s="67">
        <f t="shared" ref="AT518:AT581" si="25">COUNTIF(I518:AN518,"*am*")</f>
        <v>0</v>
      </c>
      <c r="AU518" s="67">
        <f t="shared" ref="AU518:AU581" si="26">COUNTIF(I518:AN518,"pm")</f>
        <v>0</v>
      </c>
      <c r="AV518" s="66"/>
      <c r="AW518" s="12"/>
      <c r="CK518"/>
      <c r="CX518">
        <v>493</v>
      </c>
    </row>
    <row r="519" spans="1:102">
      <c r="A519" s="8">
        <v>494</v>
      </c>
      <c r="B519" s="8" t="s">
        <v>12</v>
      </c>
      <c r="C519" s="8" t="s">
        <v>62</v>
      </c>
      <c r="D519" s="8" t="s">
        <v>42</v>
      </c>
      <c r="E519" s="8" t="s">
        <v>6</v>
      </c>
      <c r="F519" s="8"/>
      <c r="G519" s="8"/>
      <c r="H519" s="8"/>
      <c r="I519" s="124"/>
      <c r="J519" s="95"/>
      <c r="K519" s="95"/>
      <c r="L519" s="95"/>
      <c r="M519" s="95"/>
      <c r="N519" s="95"/>
      <c r="O519" s="95"/>
      <c r="P519" s="125"/>
      <c r="Q519" s="124"/>
      <c r="R519" s="95"/>
      <c r="S519" s="95"/>
      <c r="T519" s="95"/>
      <c r="U519" s="95"/>
      <c r="V519" s="95"/>
      <c r="W519" s="95"/>
      <c r="X519" s="125"/>
      <c r="Y519" s="124"/>
      <c r="Z519" s="95"/>
      <c r="AA519" s="95"/>
      <c r="AB519" s="95"/>
      <c r="AC519" s="95"/>
      <c r="AD519" s="95"/>
      <c r="AE519" s="95"/>
      <c r="AF519" s="125"/>
      <c r="AG519" s="95"/>
      <c r="AH519" s="95"/>
      <c r="AI519" s="95"/>
      <c r="AJ519" s="95"/>
      <c r="AK519" s="95"/>
      <c r="AL519" s="95"/>
      <c r="AM519" s="95"/>
      <c r="AN519" s="125"/>
      <c r="AO519" s="95"/>
      <c r="AP519" s="79"/>
      <c r="AQ519" s="85">
        <f t="shared" si="24"/>
        <v>0</v>
      </c>
      <c r="AR519" s="19"/>
      <c r="AS519"/>
      <c r="AT519" s="67">
        <f t="shared" si="25"/>
        <v>0</v>
      </c>
      <c r="AU519" s="67">
        <f t="shared" si="26"/>
        <v>0</v>
      </c>
      <c r="AV519" s="66"/>
      <c r="AW519" s="12"/>
      <c r="BK519" s="12">
        <v>1</v>
      </c>
      <c r="BS519" s="12">
        <v>1</v>
      </c>
      <c r="BY519" s="12">
        <v>1</v>
      </c>
      <c r="CK519"/>
      <c r="CX519">
        <v>494</v>
      </c>
    </row>
    <row r="520" spans="1:102">
      <c r="A520" s="8">
        <v>495</v>
      </c>
      <c r="B520" s="8" t="s">
        <v>13</v>
      </c>
      <c r="C520" s="8" t="s">
        <v>63</v>
      </c>
      <c r="D520" s="8" t="s">
        <v>346</v>
      </c>
      <c r="E520" s="8" t="s">
        <v>15</v>
      </c>
      <c r="F520" s="8">
        <v>9</v>
      </c>
      <c r="G520" s="8">
        <v>10</v>
      </c>
      <c r="H520" s="8">
        <v>10</v>
      </c>
      <c r="I520" s="124"/>
      <c r="J520" s="95"/>
      <c r="K520" s="95" t="s">
        <v>49</v>
      </c>
      <c r="L520" s="95" t="s">
        <v>49</v>
      </c>
      <c r="M520" s="95">
        <v>1</v>
      </c>
      <c r="N520" s="95" t="s">
        <v>49</v>
      </c>
      <c r="O520" s="95">
        <v>1</v>
      </c>
      <c r="P520" s="125">
        <v>1</v>
      </c>
      <c r="Q520" s="124">
        <v>1</v>
      </c>
      <c r="R520" s="95">
        <v>1</v>
      </c>
      <c r="S520" s="95" t="s">
        <v>49</v>
      </c>
      <c r="T520" s="95">
        <v>1</v>
      </c>
      <c r="U520" s="95" t="s">
        <v>49</v>
      </c>
      <c r="V520" s="95" t="s">
        <v>49</v>
      </c>
      <c r="W520" s="95"/>
      <c r="X520" s="125"/>
      <c r="Y520" s="124"/>
      <c r="Z520" s="95"/>
      <c r="AA520" s="95" t="s">
        <v>49</v>
      </c>
      <c r="AB520" s="95" t="s">
        <v>49</v>
      </c>
      <c r="AC520" s="95" t="s">
        <v>49</v>
      </c>
      <c r="AD520" s="95" t="s">
        <v>49</v>
      </c>
      <c r="AE520" s="95">
        <v>1</v>
      </c>
      <c r="AF520" s="125">
        <v>1</v>
      </c>
      <c r="AG520" s="95" t="s">
        <v>9</v>
      </c>
      <c r="AH520" s="95">
        <v>1</v>
      </c>
      <c r="AI520" s="95" t="s">
        <v>49</v>
      </c>
      <c r="AJ520" s="95" t="s">
        <v>49</v>
      </c>
      <c r="AK520" s="95" t="s">
        <v>49</v>
      </c>
      <c r="AL520" s="95" t="s">
        <v>49</v>
      </c>
      <c r="AM520" s="95"/>
      <c r="AN520" s="125"/>
      <c r="AO520" s="95">
        <v>9</v>
      </c>
      <c r="AP520" s="79"/>
      <c r="AQ520" s="85">
        <f t="shared" si="24"/>
        <v>9</v>
      </c>
      <c r="AR520" s="19"/>
      <c r="AS520"/>
      <c r="AT520" s="67">
        <f t="shared" si="25"/>
        <v>0</v>
      </c>
      <c r="AU520" s="67">
        <f t="shared" si="26"/>
        <v>1</v>
      </c>
      <c r="AV520" s="66"/>
      <c r="AW520" s="12"/>
      <c r="CF520" s="12" t="s">
        <v>326</v>
      </c>
      <c r="CK520"/>
      <c r="CX520">
        <v>495</v>
      </c>
    </row>
    <row r="521" spans="1:102">
      <c r="A521" s="8">
        <v>496</v>
      </c>
      <c r="B521" s="8" t="s">
        <v>13</v>
      </c>
      <c r="C521" s="8" t="s">
        <v>56</v>
      </c>
      <c r="D521" s="8" t="s">
        <v>360</v>
      </c>
      <c r="E521" s="8" t="s">
        <v>15</v>
      </c>
      <c r="F521" s="8"/>
      <c r="G521" s="8"/>
      <c r="H521" s="8"/>
      <c r="I521" s="124"/>
      <c r="J521" s="95"/>
      <c r="K521" s="95"/>
      <c r="L521" s="95"/>
      <c r="M521" s="95"/>
      <c r="N521" s="95"/>
      <c r="O521" s="95"/>
      <c r="P521" s="125"/>
      <c r="Q521" s="124"/>
      <c r="R521" s="95"/>
      <c r="S521" s="95"/>
      <c r="T521" s="95"/>
      <c r="U521" s="95"/>
      <c r="V521" s="95"/>
      <c r="W521" s="95"/>
      <c r="X521" s="125"/>
      <c r="Y521" s="124"/>
      <c r="Z521" s="95"/>
      <c r="AA521" s="95"/>
      <c r="AB521" s="95"/>
      <c r="AC521" s="95"/>
      <c r="AD521" s="95"/>
      <c r="AE521" s="95"/>
      <c r="AF521" s="125"/>
      <c r="AG521" s="95"/>
      <c r="AH521" s="95"/>
      <c r="AI521" s="95"/>
      <c r="AJ521" s="95"/>
      <c r="AK521" s="95"/>
      <c r="AL521" s="95"/>
      <c r="AM521" s="95"/>
      <c r="AN521" s="125"/>
      <c r="AO521" s="95"/>
      <c r="AP521" s="79"/>
      <c r="AQ521" s="85">
        <f t="shared" si="24"/>
        <v>0</v>
      </c>
      <c r="AR521" s="19"/>
      <c r="AS521"/>
      <c r="AT521" s="67">
        <f t="shared" si="25"/>
        <v>0</v>
      </c>
      <c r="AU521" s="67">
        <f t="shared" si="26"/>
        <v>0</v>
      </c>
      <c r="AV521" s="66"/>
      <c r="AW521" s="12"/>
      <c r="CK521"/>
      <c r="CX521">
        <v>496</v>
      </c>
    </row>
    <row r="522" spans="1:102">
      <c r="A522" s="8">
        <v>497</v>
      </c>
      <c r="B522" s="8" t="s">
        <v>13</v>
      </c>
      <c r="C522" s="8" t="s">
        <v>14</v>
      </c>
      <c r="D522" s="8" t="s">
        <v>345</v>
      </c>
      <c r="E522" s="8" t="s">
        <v>15</v>
      </c>
      <c r="F522" s="8"/>
      <c r="G522" s="8"/>
      <c r="H522" s="8"/>
      <c r="I522" s="124"/>
      <c r="J522" s="95"/>
      <c r="K522" s="95"/>
      <c r="L522" s="95"/>
      <c r="M522" s="95"/>
      <c r="N522" s="95"/>
      <c r="O522" s="95"/>
      <c r="P522" s="125"/>
      <c r="Q522" s="124"/>
      <c r="R522" s="95"/>
      <c r="S522" s="95"/>
      <c r="T522" s="95"/>
      <c r="U522" s="95"/>
      <c r="V522" s="95"/>
      <c r="W522" s="95"/>
      <c r="X522" s="125"/>
      <c r="Y522" s="124"/>
      <c r="Z522" s="95"/>
      <c r="AA522" s="95"/>
      <c r="AB522" s="95"/>
      <c r="AC522" s="95"/>
      <c r="AD522" s="95"/>
      <c r="AE522" s="95"/>
      <c r="AF522" s="125"/>
      <c r="AG522" s="95"/>
      <c r="AH522" s="95"/>
      <c r="AI522" s="95"/>
      <c r="AJ522" s="95"/>
      <c r="AK522" s="95"/>
      <c r="AL522" s="95"/>
      <c r="AM522" s="95"/>
      <c r="AN522" s="125"/>
      <c r="AO522" s="95"/>
      <c r="AP522" s="79"/>
      <c r="AQ522" s="85">
        <f t="shared" si="24"/>
        <v>0</v>
      </c>
      <c r="AR522" s="19"/>
      <c r="AS522"/>
      <c r="AT522" s="67">
        <f t="shared" si="25"/>
        <v>0</v>
      </c>
      <c r="AU522" s="67">
        <f t="shared" si="26"/>
        <v>0</v>
      </c>
      <c r="AV522" s="66"/>
      <c r="AW522" s="12"/>
      <c r="CK522"/>
      <c r="CX522">
        <v>497</v>
      </c>
    </row>
    <row r="523" spans="1:102">
      <c r="A523" s="8">
        <v>498</v>
      </c>
      <c r="B523" s="8" t="s">
        <v>12</v>
      </c>
      <c r="C523" s="8" t="s">
        <v>62</v>
      </c>
      <c r="D523" s="8" t="s">
        <v>42</v>
      </c>
      <c r="E523" s="8" t="s">
        <v>42</v>
      </c>
      <c r="F523" s="8">
        <v>24</v>
      </c>
      <c r="G523" s="8" t="s">
        <v>15</v>
      </c>
      <c r="H523" s="8" t="s">
        <v>15</v>
      </c>
      <c r="I523" s="124" t="s">
        <v>10</v>
      </c>
      <c r="J523" s="95">
        <v>1</v>
      </c>
      <c r="K523" s="95">
        <v>1</v>
      </c>
      <c r="L523" s="95">
        <v>1</v>
      </c>
      <c r="M523" s="95">
        <v>1</v>
      </c>
      <c r="N523" s="95">
        <v>1</v>
      </c>
      <c r="O523" s="95">
        <v>1</v>
      </c>
      <c r="P523" s="125">
        <v>1</v>
      </c>
      <c r="Q523" s="124"/>
      <c r="R523" s="95"/>
      <c r="S523" s="95">
        <v>1</v>
      </c>
      <c r="T523" s="95"/>
      <c r="U523" s="95"/>
      <c r="V523" s="95"/>
      <c r="W523" s="95"/>
      <c r="X523" s="125"/>
      <c r="Y523" s="124">
        <v>1</v>
      </c>
      <c r="Z523" s="95">
        <v>1</v>
      </c>
      <c r="AA523" s="95">
        <v>1</v>
      </c>
      <c r="AB523" s="95">
        <v>1</v>
      </c>
      <c r="AC523" s="95">
        <v>1</v>
      </c>
      <c r="AD523" s="95">
        <v>1</v>
      </c>
      <c r="AE523" s="95">
        <v>1</v>
      </c>
      <c r="AF523" s="125">
        <v>1</v>
      </c>
      <c r="AG523" s="95">
        <v>1</v>
      </c>
      <c r="AH523" s="95">
        <v>1</v>
      </c>
      <c r="AI523" s="95">
        <v>1</v>
      </c>
      <c r="AJ523" s="95">
        <v>1</v>
      </c>
      <c r="AK523" s="95">
        <v>1</v>
      </c>
      <c r="AL523" s="95">
        <v>1</v>
      </c>
      <c r="AM523" s="95">
        <v>1</v>
      </c>
      <c r="AN523" s="125">
        <v>1</v>
      </c>
      <c r="AO523" s="95"/>
      <c r="AP523" s="79">
        <v>24</v>
      </c>
      <c r="AQ523" s="85">
        <f t="shared" si="24"/>
        <v>24</v>
      </c>
      <c r="AR523" s="19" t="s">
        <v>295</v>
      </c>
      <c r="AS523"/>
      <c r="AT523" s="67">
        <f t="shared" si="25"/>
        <v>1</v>
      </c>
      <c r="AU523" s="67">
        <f t="shared" si="26"/>
        <v>0</v>
      </c>
      <c r="AV523" s="66"/>
      <c r="AW523" s="12">
        <v>1</v>
      </c>
      <c r="AX523" s="12">
        <v>1</v>
      </c>
      <c r="AY523" s="12">
        <v>1</v>
      </c>
      <c r="AZ523" s="12">
        <v>1</v>
      </c>
      <c r="BA523" s="12">
        <v>1</v>
      </c>
      <c r="BB523" s="12">
        <v>1</v>
      </c>
      <c r="BG523" s="12">
        <v>1</v>
      </c>
      <c r="BK523" s="12">
        <v>1</v>
      </c>
      <c r="BQ523" s="12">
        <v>1</v>
      </c>
      <c r="BY523" s="12">
        <v>1</v>
      </c>
      <c r="BZ523" s="12">
        <v>1</v>
      </c>
      <c r="CK523"/>
      <c r="CX523">
        <v>498</v>
      </c>
    </row>
    <row r="524" spans="1:102">
      <c r="A524" s="8">
        <v>499</v>
      </c>
      <c r="B524" s="8" t="s">
        <v>12</v>
      </c>
      <c r="C524" s="8" t="s">
        <v>123</v>
      </c>
      <c r="D524" s="8" t="s">
        <v>366</v>
      </c>
      <c r="E524" s="8" t="s">
        <v>6</v>
      </c>
      <c r="F524" s="8">
        <v>21</v>
      </c>
      <c r="G524" s="8" t="s">
        <v>15</v>
      </c>
      <c r="H524" s="8" t="s">
        <v>15</v>
      </c>
      <c r="I524" s="124" t="s">
        <v>15</v>
      </c>
      <c r="J524" s="95" t="s">
        <v>10</v>
      </c>
      <c r="K524" s="95" t="s">
        <v>10</v>
      </c>
      <c r="L524" s="95" t="s">
        <v>10</v>
      </c>
      <c r="M524" s="95">
        <v>1</v>
      </c>
      <c r="N524" s="95">
        <v>1</v>
      </c>
      <c r="O524" s="95">
        <v>1</v>
      </c>
      <c r="P524" s="125">
        <v>1</v>
      </c>
      <c r="Q524" s="124">
        <v>1</v>
      </c>
      <c r="R524" s="95">
        <v>1</v>
      </c>
      <c r="S524" s="95">
        <v>1</v>
      </c>
      <c r="T524" s="95">
        <v>1</v>
      </c>
      <c r="U524" s="95">
        <v>1</v>
      </c>
      <c r="V524" s="95" t="s">
        <v>10</v>
      </c>
      <c r="W524" s="95" t="s">
        <v>10</v>
      </c>
      <c r="X524" s="125" t="s">
        <v>15</v>
      </c>
      <c r="Y524" s="124">
        <v>1</v>
      </c>
      <c r="Z524" s="95">
        <v>1</v>
      </c>
      <c r="AA524" s="95" t="s">
        <v>10</v>
      </c>
      <c r="AB524" s="95" t="s">
        <v>10</v>
      </c>
      <c r="AC524" s="95">
        <v>1</v>
      </c>
      <c r="AD524" s="95">
        <v>1</v>
      </c>
      <c r="AE524" s="95">
        <v>1</v>
      </c>
      <c r="AF524" s="125">
        <v>1</v>
      </c>
      <c r="AG524" s="95">
        <v>1</v>
      </c>
      <c r="AH524" s="95">
        <v>1</v>
      </c>
      <c r="AI524" s="95">
        <v>1</v>
      </c>
      <c r="AJ524" s="95">
        <v>1</v>
      </c>
      <c r="AK524" s="95">
        <v>1</v>
      </c>
      <c r="AL524" s="95" t="s">
        <v>10</v>
      </c>
      <c r="AM524" s="95" t="s">
        <v>10</v>
      </c>
      <c r="AN524" s="125">
        <v>1</v>
      </c>
      <c r="AO524" s="95"/>
      <c r="AP524" s="79">
        <v>21</v>
      </c>
      <c r="AQ524" s="85">
        <f t="shared" si="24"/>
        <v>21</v>
      </c>
      <c r="AR524" s="19"/>
      <c r="AS524"/>
      <c r="AT524" s="67">
        <f t="shared" si="25"/>
        <v>9</v>
      </c>
      <c r="AU524" s="67">
        <f t="shared" si="26"/>
        <v>0</v>
      </c>
      <c r="AV524" s="66"/>
      <c r="AW524" s="12">
        <v>1</v>
      </c>
      <c r="AX524" s="12">
        <v>1</v>
      </c>
      <c r="AY524" s="12">
        <v>1</v>
      </c>
      <c r="AZ524" s="12">
        <v>1</v>
      </c>
      <c r="BA524" s="12">
        <v>1</v>
      </c>
      <c r="BB524" s="12">
        <v>1</v>
      </c>
      <c r="BD524" s="12">
        <v>1</v>
      </c>
      <c r="BN524" s="12">
        <v>1</v>
      </c>
      <c r="BO524" s="12">
        <v>2</v>
      </c>
      <c r="BQ524" s="12">
        <v>2</v>
      </c>
      <c r="BS524" s="12">
        <v>1</v>
      </c>
      <c r="BW524" s="12">
        <v>1</v>
      </c>
      <c r="BY524" s="12">
        <v>1</v>
      </c>
      <c r="BZ524" s="12">
        <v>1</v>
      </c>
      <c r="CK524"/>
      <c r="CX524">
        <v>499</v>
      </c>
    </row>
    <row r="525" spans="1:102">
      <c r="A525" s="8">
        <v>500</v>
      </c>
      <c r="B525" s="8" t="s">
        <v>13</v>
      </c>
      <c r="C525" s="8" t="s">
        <v>15</v>
      </c>
      <c r="D525" s="8" t="s">
        <v>325</v>
      </c>
      <c r="E525" s="8" t="s">
        <v>15</v>
      </c>
      <c r="F525" s="8"/>
      <c r="G525" s="8"/>
      <c r="H525" s="8"/>
      <c r="I525" s="124"/>
      <c r="J525" s="95"/>
      <c r="K525" s="95"/>
      <c r="L525" s="95"/>
      <c r="M525" s="95"/>
      <c r="N525" s="95"/>
      <c r="O525" s="95"/>
      <c r="P525" s="125"/>
      <c r="Q525" s="124"/>
      <c r="R525" s="95"/>
      <c r="S525" s="95"/>
      <c r="T525" s="95"/>
      <c r="U525" s="95"/>
      <c r="V525" s="95"/>
      <c r="W525" s="95"/>
      <c r="X525" s="125"/>
      <c r="Y525" s="124"/>
      <c r="Z525" s="95"/>
      <c r="AA525" s="95"/>
      <c r="AB525" s="95"/>
      <c r="AC525" s="95"/>
      <c r="AD525" s="95"/>
      <c r="AE525" s="95"/>
      <c r="AF525" s="125"/>
      <c r="AG525" s="95"/>
      <c r="AH525" s="95"/>
      <c r="AI525" s="95"/>
      <c r="AJ525" s="95"/>
      <c r="AK525" s="95"/>
      <c r="AL525" s="95"/>
      <c r="AM525" s="95"/>
      <c r="AN525" s="125"/>
      <c r="AO525" s="95"/>
      <c r="AP525" s="79"/>
      <c r="AQ525" s="85">
        <f t="shared" si="24"/>
        <v>0</v>
      </c>
      <c r="AR525" s="19"/>
      <c r="AS525"/>
      <c r="AT525" s="67">
        <f t="shared" si="25"/>
        <v>0</v>
      </c>
      <c r="AU525" s="67">
        <f t="shared" si="26"/>
        <v>0</v>
      </c>
      <c r="AV525" s="66"/>
      <c r="AW525" s="12"/>
      <c r="CK525"/>
      <c r="CX525">
        <v>500</v>
      </c>
    </row>
    <row r="526" spans="1:102">
      <c r="A526" s="8">
        <v>501</v>
      </c>
      <c r="B526" s="8" t="s">
        <v>13</v>
      </c>
      <c r="C526" s="8" t="s">
        <v>80</v>
      </c>
      <c r="D526" s="8" t="s">
        <v>346</v>
      </c>
      <c r="E526" s="8" t="s">
        <v>15</v>
      </c>
      <c r="F526" s="8"/>
      <c r="G526" s="8"/>
      <c r="H526" s="8"/>
      <c r="I526" s="124"/>
      <c r="J526" s="95"/>
      <c r="K526" s="95"/>
      <c r="L526" s="95"/>
      <c r="M526" s="95"/>
      <c r="N526" s="95"/>
      <c r="O526" s="95"/>
      <c r="P526" s="125"/>
      <c r="Q526" s="124"/>
      <c r="R526" s="95"/>
      <c r="S526" s="95"/>
      <c r="T526" s="95"/>
      <c r="U526" s="95"/>
      <c r="V526" s="95"/>
      <c r="W526" s="95"/>
      <c r="X526" s="125"/>
      <c r="Y526" s="124"/>
      <c r="Z526" s="95"/>
      <c r="AA526" s="95"/>
      <c r="AB526" s="95"/>
      <c r="AC526" s="95"/>
      <c r="AD526" s="95"/>
      <c r="AE526" s="95"/>
      <c r="AF526" s="125"/>
      <c r="AG526" s="95"/>
      <c r="AH526" s="95"/>
      <c r="AI526" s="95"/>
      <c r="AJ526" s="95"/>
      <c r="AK526" s="95"/>
      <c r="AL526" s="95"/>
      <c r="AM526" s="95"/>
      <c r="AN526" s="125"/>
      <c r="AO526" s="95"/>
      <c r="AP526" s="79"/>
      <c r="AQ526" s="85">
        <f t="shared" si="24"/>
        <v>0</v>
      </c>
      <c r="AR526" s="19"/>
      <c r="AS526"/>
      <c r="AT526" s="67">
        <f t="shared" si="25"/>
        <v>0</v>
      </c>
      <c r="AU526" s="67">
        <f t="shared" si="26"/>
        <v>0</v>
      </c>
      <c r="AV526" s="66"/>
      <c r="AW526" s="12"/>
      <c r="CK526"/>
      <c r="CX526">
        <v>501</v>
      </c>
    </row>
    <row r="527" spans="1:102">
      <c r="A527" s="8">
        <v>502</v>
      </c>
      <c r="B527" s="8" t="s">
        <v>12</v>
      </c>
      <c r="C527" s="8" t="s">
        <v>91</v>
      </c>
      <c r="D527" s="8" t="s">
        <v>366</v>
      </c>
      <c r="E527" s="8" t="s">
        <v>6</v>
      </c>
      <c r="F527" s="8"/>
      <c r="G527" s="8"/>
      <c r="H527" s="8"/>
      <c r="I527" s="124"/>
      <c r="J527" s="95"/>
      <c r="K527" s="95"/>
      <c r="L527" s="95"/>
      <c r="M527" s="95"/>
      <c r="N527" s="95"/>
      <c r="O527" s="95"/>
      <c r="P527" s="125"/>
      <c r="Q527" s="124"/>
      <c r="R527" s="95"/>
      <c r="S527" s="95"/>
      <c r="T527" s="95"/>
      <c r="U527" s="95"/>
      <c r="V527" s="95"/>
      <c r="W527" s="95"/>
      <c r="X527" s="125"/>
      <c r="Y527" s="124"/>
      <c r="Z527" s="95"/>
      <c r="AA527" s="95"/>
      <c r="AB527" s="95"/>
      <c r="AC527" s="95"/>
      <c r="AD527" s="95"/>
      <c r="AE527" s="95"/>
      <c r="AF527" s="125"/>
      <c r="AG527" s="95"/>
      <c r="AH527" s="95"/>
      <c r="AI527" s="95"/>
      <c r="AJ527" s="95"/>
      <c r="AK527" s="95"/>
      <c r="AL527" s="95"/>
      <c r="AM527" s="95"/>
      <c r="AN527" s="125"/>
      <c r="AO527" s="95"/>
      <c r="AP527" s="79"/>
      <c r="AQ527" s="85">
        <f t="shared" si="24"/>
        <v>0</v>
      </c>
      <c r="AR527" s="19"/>
      <c r="AS527"/>
      <c r="AT527" s="67">
        <f t="shared" si="25"/>
        <v>0</v>
      </c>
      <c r="AU527" s="67">
        <f t="shared" si="26"/>
        <v>0</v>
      </c>
      <c r="AV527" s="66"/>
      <c r="AW527" s="12"/>
      <c r="BK527" s="12">
        <v>1</v>
      </c>
      <c r="BY527" s="12">
        <v>1</v>
      </c>
      <c r="CK527"/>
      <c r="CX527">
        <v>502</v>
      </c>
    </row>
    <row r="528" spans="1:102">
      <c r="A528" s="8">
        <v>503</v>
      </c>
      <c r="B528" s="8" t="s">
        <v>13</v>
      </c>
      <c r="C528" s="8" t="s">
        <v>80</v>
      </c>
      <c r="D528" s="8" t="s">
        <v>346</v>
      </c>
      <c r="E528" s="8" t="s">
        <v>15</v>
      </c>
      <c r="F528" s="8">
        <v>19</v>
      </c>
      <c r="G528" s="8">
        <v>20</v>
      </c>
      <c r="H528" s="8">
        <v>20</v>
      </c>
      <c r="I528" s="124"/>
      <c r="J528" s="95" t="s">
        <v>49</v>
      </c>
      <c r="K528" s="95" t="s">
        <v>49</v>
      </c>
      <c r="L528" s="95">
        <v>1</v>
      </c>
      <c r="M528" s="95">
        <v>1</v>
      </c>
      <c r="N528" s="95">
        <v>1</v>
      </c>
      <c r="O528" s="95">
        <v>1</v>
      </c>
      <c r="P528" s="125">
        <v>1</v>
      </c>
      <c r="Q528" s="124">
        <v>1</v>
      </c>
      <c r="R528" s="95">
        <v>1</v>
      </c>
      <c r="S528" s="95">
        <v>1</v>
      </c>
      <c r="T528" s="95">
        <v>1</v>
      </c>
      <c r="U528" s="95">
        <v>1</v>
      </c>
      <c r="V528" s="95" t="s">
        <v>49</v>
      </c>
      <c r="W528" s="95" t="s">
        <v>49</v>
      </c>
      <c r="X528" s="125"/>
      <c r="Y528" s="124"/>
      <c r="Z528" s="95" t="s">
        <v>49</v>
      </c>
      <c r="AA528" s="95" t="s">
        <v>49</v>
      </c>
      <c r="AB528" s="95">
        <v>1</v>
      </c>
      <c r="AC528" s="95">
        <v>1</v>
      </c>
      <c r="AD528" s="95">
        <v>1</v>
      </c>
      <c r="AE528" s="95">
        <v>1</v>
      </c>
      <c r="AF528" s="125">
        <v>1</v>
      </c>
      <c r="AG528" s="95">
        <v>1</v>
      </c>
      <c r="AH528" s="95" t="s">
        <v>9</v>
      </c>
      <c r="AI528" s="95">
        <v>1</v>
      </c>
      <c r="AJ528" s="95">
        <v>1</v>
      </c>
      <c r="AK528" s="95">
        <v>1</v>
      </c>
      <c r="AL528" s="95" t="s">
        <v>49</v>
      </c>
      <c r="AM528" s="95" t="s">
        <v>49</v>
      </c>
      <c r="AN528" s="125"/>
      <c r="AO528" s="95">
        <v>19</v>
      </c>
      <c r="AP528" s="79"/>
      <c r="AQ528" s="85">
        <f t="shared" si="24"/>
        <v>19</v>
      </c>
      <c r="AR528" s="19" t="s">
        <v>294</v>
      </c>
      <c r="AS528"/>
      <c r="AT528" s="67">
        <f t="shared" si="25"/>
        <v>0</v>
      </c>
      <c r="AU528" s="67">
        <f t="shared" si="26"/>
        <v>1</v>
      </c>
      <c r="AV528" s="66"/>
      <c r="AW528" s="12"/>
      <c r="BA528" s="12">
        <v>1</v>
      </c>
      <c r="CK528"/>
      <c r="CX528">
        <v>503</v>
      </c>
    </row>
    <row r="529" spans="1:102">
      <c r="A529" s="8">
        <v>504</v>
      </c>
      <c r="B529" s="8" t="s">
        <v>13</v>
      </c>
      <c r="C529" s="8" t="s">
        <v>78</v>
      </c>
      <c r="D529" s="8" t="s">
        <v>359</v>
      </c>
      <c r="E529" s="8" t="s">
        <v>15</v>
      </c>
      <c r="F529" s="8"/>
      <c r="G529" s="8"/>
      <c r="H529" s="8"/>
      <c r="I529" s="124"/>
      <c r="J529" s="95"/>
      <c r="K529" s="95"/>
      <c r="L529" s="95"/>
      <c r="M529" s="95"/>
      <c r="N529" s="95"/>
      <c r="O529" s="95"/>
      <c r="P529" s="125"/>
      <c r="Q529" s="124"/>
      <c r="R529" s="95"/>
      <c r="S529" s="95"/>
      <c r="T529" s="95"/>
      <c r="U529" s="95"/>
      <c r="V529" s="95"/>
      <c r="W529" s="95"/>
      <c r="X529" s="125"/>
      <c r="Y529" s="124"/>
      <c r="Z529" s="95"/>
      <c r="AA529" s="95"/>
      <c r="AB529" s="95"/>
      <c r="AC529" s="95"/>
      <c r="AD529" s="95"/>
      <c r="AE529" s="95"/>
      <c r="AF529" s="125"/>
      <c r="AG529" s="95"/>
      <c r="AH529" s="95"/>
      <c r="AI529" s="95"/>
      <c r="AJ529" s="95"/>
      <c r="AK529" s="95"/>
      <c r="AL529" s="95"/>
      <c r="AM529" s="95"/>
      <c r="AN529" s="125"/>
      <c r="AO529" s="95"/>
      <c r="AP529" s="79"/>
      <c r="AQ529" s="85">
        <f t="shared" si="24"/>
        <v>0</v>
      </c>
      <c r="AR529" s="19"/>
      <c r="AS529"/>
      <c r="AT529" s="67">
        <f t="shared" si="25"/>
        <v>0</v>
      </c>
      <c r="AU529" s="67">
        <f t="shared" si="26"/>
        <v>0</v>
      </c>
      <c r="AV529" s="66"/>
      <c r="AW529" s="12"/>
      <c r="CK529"/>
      <c r="CX529">
        <v>504</v>
      </c>
    </row>
    <row r="530" spans="1:102">
      <c r="A530" s="8">
        <v>505</v>
      </c>
      <c r="B530" s="8" t="s">
        <v>12</v>
      </c>
      <c r="C530" s="8" t="s">
        <v>73</v>
      </c>
      <c r="D530" s="8" t="s">
        <v>165</v>
      </c>
      <c r="E530" s="8" t="s">
        <v>42</v>
      </c>
      <c r="F530" s="8">
        <v>31</v>
      </c>
      <c r="G530" s="8">
        <v>32</v>
      </c>
      <c r="H530" s="8">
        <v>32</v>
      </c>
      <c r="I530" s="124">
        <v>1</v>
      </c>
      <c r="J530" s="95">
        <v>1</v>
      </c>
      <c r="K530" s="95">
        <v>1</v>
      </c>
      <c r="L530" s="95">
        <v>1</v>
      </c>
      <c r="M530" s="95">
        <v>1</v>
      </c>
      <c r="N530" s="95">
        <v>1</v>
      </c>
      <c r="O530" s="95">
        <v>1</v>
      </c>
      <c r="P530" s="125">
        <v>1</v>
      </c>
      <c r="Q530" s="124" t="s">
        <v>9</v>
      </c>
      <c r="R530" s="95">
        <v>1</v>
      </c>
      <c r="S530" s="95">
        <v>1</v>
      </c>
      <c r="T530" s="95">
        <v>1</v>
      </c>
      <c r="U530" s="95">
        <v>1</v>
      </c>
      <c r="V530" s="95">
        <v>1</v>
      </c>
      <c r="W530" s="95">
        <v>1</v>
      </c>
      <c r="X530" s="125">
        <v>1</v>
      </c>
      <c r="Y530" s="124">
        <v>1</v>
      </c>
      <c r="Z530" s="95">
        <v>1</v>
      </c>
      <c r="AA530" s="95">
        <v>1</v>
      </c>
      <c r="AB530" s="95">
        <v>1</v>
      </c>
      <c r="AC530" s="95">
        <v>1</v>
      </c>
      <c r="AD530" s="95">
        <v>1</v>
      </c>
      <c r="AE530" s="95">
        <v>1</v>
      </c>
      <c r="AF530" s="125">
        <v>1</v>
      </c>
      <c r="AG530" s="95">
        <v>1</v>
      </c>
      <c r="AH530" s="95">
        <v>1</v>
      </c>
      <c r="AI530" s="95">
        <v>1</v>
      </c>
      <c r="AJ530" s="95">
        <v>1</v>
      </c>
      <c r="AK530" s="95">
        <v>1</v>
      </c>
      <c r="AL530" s="95">
        <v>1</v>
      </c>
      <c r="AM530" s="95">
        <v>1</v>
      </c>
      <c r="AN530" s="125">
        <v>1</v>
      </c>
      <c r="AO530" s="95"/>
      <c r="AP530" s="79">
        <v>31</v>
      </c>
      <c r="AQ530" s="85">
        <f t="shared" si="24"/>
        <v>31</v>
      </c>
      <c r="AR530" s="19" t="s">
        <v>296</v>
      </c>
      <c r="AS530"/>
      <c r="AT530" s="67">
        <f t="shared" si="25"/>
        <v>0</v>
      </c>
      <c r="AU530" s="67">
        <f t="shared" si="26"/>
        <v>1</v>
      </c>
      <c r="AV530" s="66"/>
      <c r="AW530" s="12">
        <v>1</v>
      </c>
      <c r="AX530" s="12">
        <v>1</v>
      </c>
      <c r="AZ530" s="12">
        <v>1</v>
      </c>
      <c r="BA530" s="12">
        <v>1</v>
      </c>
      <c r="BB530" s="12">
        <v>1</v>
      </c>
      <c r="BE530" s="12">
        <v>1</v>
      </c>
      <c r="BY530" s="12">
        <v>1</v>
      </c>
      <c r="CK530"/>
      <c r="CX530">
        <v>505</v>
      </c>
    </row>
    <row r="531" spans="1:102">
      <c r="A531" s="8">
        <v>506</v>
      </c>
      <c r="B531" s="8" t="s">
        <v>12</v>
      </c>
      <c r="C531" s="8" t="s">
        <v>240</v>
      </c>
      <c r="D531" s="8" t="s">
        <v>42</v>
      </c>
      <c r="E531" s="8" t="s">
        <v>6</v>
      </c>
      <c r="F531" s="8">
        <v>26</v>
      </c>
      <c r="G531" s="8" t="s">
        <v>15</v>
      </c>
      <c r="H531" s="8" t="s">
        <v>15</v>
      </c>
      <c r="I531" s="124" t="s">
        <v>10</v>
      </c>
      <c r="J531" s="95" t="s">
        <v>10</v>
      </c>
      <c r="K531" s="95">
        <v>1</v>
      </c>
      <c r="L531" s="95">
        <v>1</v>
      </c>
      <c r="M531" s="95">
        <v>1</v>
      </c>
      <c r="N531" s="95">
        <v>1</v>
      </c>
      <c r="O531" s="95">
        <v>1</v>
      </c>
      <c r="P531" s="125">
        <v>1</v>
      </c>
      <c r="Q531" s="124">
        <v>1</v>
      </c>
      <c r="R531" s="95">
        <v>1</v>
      </c>
      <c r="S531" s="95">
        <v>1</v>
      </c>
      <c r="T531" s="95">
        <v>1</v>
      </c>
      <c r="U531" s="95">
        <v>1</v>
      </c>
      <c r="V531" s="95">
        <v>1</v>
      </c>
      <c r="W531" s="95">
        <v>1</v>
      </c>
      <c r="X531" s="125">
        <v>1</v>
      </c>
      <c r="Y531" s="124" t="s">
        <v>15</v>
      </c>
      <c r="Z531" s="95">
        <v>1</v>
      </c>
      <c r="AA531" s="95" t="s">
        <v>15</v>
      </c>
      <c r="AB531" s="95">
        <v>1</v>
      </c>
      <c r="AC531" s="95">
        <v>1</v>
      </c>
      <c r="AD531" s="95">
        <v>1</v>
      </c>
      <c r="AE531" s="95">
        <v>1</v>
      </c>
      <c r="AF531" s="125">
        <v>1</v>
      </c>
      <c r="AG531" s="95">
        <v>1</v>
      </c>
      <c r="AH531" s="95">
        <v>1</v>
      </c>
      <c r="AI531" s="95">
        <v>1</v>
      </c>
      <c r="AJ531" s="95">
        <v>1</v>
      </c>
      <c r="AK531" s="95">
        <v>1</v>
      </c>
      <c r="AL531" s="95" t="s">
        <v>10</v>
      </c>
      <c r="AM531" s="95" t="s">
        <v>9</v>
      </c>
      <c r="AN531" s="125">
        <v>1</v>
      </c>
      <c r="AO531" s="95"/>
      <c r="AP531" s="79">
        <v>26</v>
      </c>
      <c r="AQ531" s="85">
        <f t="shared" si="24"/>
        <v>26</v>
      </c>
      <c r="AR531" s="19" t="s">
        <v>297</v>
      </c>
      <c r="AS531"/>
      <c r="AT531" s="67">
        <f t="shared" si="25"/>
        <v>3</v>
      </c>
      <c r="AU531" s="67">
        <f t="shared" si="26"/>
        <v>1</v>
      </c>
      <c r="AV531" s="66"/>
      <c r="AW531" s="12">
        <v>1</v>
      </c>
      <c r="AX531" s="12">
        <v>1</v>
      </c>
      <c r="AY531" s="12">
        <v>1</v>
      </c>
      <c r="BA531" s="12">
        <v>1</v>
      </c>
      <c r="BB531" s="12">
        <v>1</v>
      </c>
      <c r="BL531" s="12" t="s">
        <v>326</v>
      </c>
      <c r="BY531" s="12">
        <v>1</v>
      </c>
      <c r="CK531"/>
      <c r="CM531">
        <v>1</v>
      </c>
      <c r="CO531">
        <v>1</v>
      </c>
      <c r="CX531">
        <v>506</v>
      </c>
    </row>
    <row r="532" spans="1:102">
      <c r="A532" s="8">
        <v>507</v>
      </c>
      <c r="B532" s="8" t="s">
        <v>13</v>
      </c>
      <c r="C532" s="8" t="s">
        <v>63</v>
      </c>
      <c r="D532" s="8" t="s">
        <v>346</v>
      </c>
      <c r="E532" s="8" t="s">
        <v>15</v>
      </c>
      <c r="F532" s="8">
        <v>8</v>
      </c>
      <c r="G532" s="8">
        <v>10</v>
      </c>
      <c r="H532" s="8">
        <v>10</v>
      </c>
      <c r="I532" s="124"/>
      <c r="J532" s="95"/>
      <c r="K532" s="95" t="s">
        <v>49</v>
      </c>
      <c r="L532" s="95" t="s">
        <v>49</v>
      </c>
      <c r="M532" s="95">
        <v>1</v>
      </c>
      <c r="N532" s="95" t="s">
        <v>49</v>
      </c>
      <c r="O532" s="95">
        <v>1</v>
      </c>
      <c r="P532" s="125">
        <v>1</v>
      </c>
      <c r="Q532" s="124" t="s">
        <v>9</v>
      </c>
      <c r="R532" s="95" t="s">
        <v>9</v>
      </c>
      <c r="S532" s="95" t="s">
        <v>49</v>
      </c>
      <c r="T532" s="95">
        <v>1</v>
      </c>
      <c r="U532" s="95" t="s">
        <v>49</v>
      </c>
      <c r="V532" s="95" t="s">
        <v>49</v>
      </c>
      <c r="W532" s="95"/>
      <c r="X532" s="125"/>
      <c r="Y532" s="124"/>
      <c r="Z532" s="95"/>
      <c r="AA532" s="95" t="s">
        <v>49</v>
      </c>
      <c r="AB532" s="95" t="s">
        <v>49</v>
      </c>
      <c r="AC532" s="95">
        <v>1</v>
      </c>
      <c r="AD532" s="95" t="s">
        <v>49</v>
      </c>
      <c r="AE532" s="95" t="s">
        <v>49</v>
      </c>
      <c r="AF532" s="125">
        <v>1</v>
      </c>
      <c r="AG532" s="95">
        <v>1</v>
      </c>
      <c r="AH532" s="95" t="s">
        <v>49</v>
      </c>
      <c r="AI532" s="95" t="s">
        <v>49</v>
      </c>
      <c r="AJ532" s="95">
        <v>1</v>
      </c>
      <c r="AK532" s="95" t="s">
        <v>49</v>
      </c>
      <c r="AL532" s="95" t="s">
        <v>49</v>
      </c>
      <c r="AM532" s="95"/>
      <c r="AN532" s="125"/>
      <c r="AO532" s="95">
        <v>8</v>
      </c>
      <c r="AP532" s="79"/>
      <c r="AQ532" s="85">
        <f t="shared" si="24"/>
        <v>8</v>
      </c>
      <c r="AR532" s="19"/>
      <c r="AS532"/>
      <c r="AT532" s="67">
        <f t="shared" si="25"/>
        <v>0</v>
      </c>
      <c r="AU532" s="67">
        <f t="shared" si="26"/>
        <v>2</v>
      </c>
      <c r="AV532" s="66"/>
      <c r="AW532" s="12"/>
      <c r="CK532"/>
      <c r="CX532">
        <v>507</v>
      </c>
    </row>
    <row r="533" spans="1:102">
      <c r="A533" s="8">
        <v>508</v>
      </c>
      <c r="B533" s="8" t="s">
        <v>12</v>
      </c>
      <c r="C533" s="8" t="s">
        <v>88</v>
      </c>
      <c r="D533" s="8" t="s">
        <v>12</v>
      </c>
      <c r="E533" s="8" t="s">
        <v>77</v>
      </c>
      <c r="F533" s="8">
        <v>32</v>
      </c>
      <c r="G533" s="8">
        <v>32</v>
      </c>
      <c r="H533" s="8">
        <v>32</v>
      </c>
      <c r="I533" s="124">
        <v>1</v>
      </c>
      <c r="J533" s="95">
        <v>1</v>
      </c>
      <c r="K533" s="95">
        <v>1</v>
      </c>
      <c r="L533" s="95">
        <v>1</v>
      </c>
      <c r="M533" s="95">
        <v>1</v>
      </c>
      <c r="N533" s="95">
        <v>1</v>
      </c>
      <c r="O533" s="95">
        <v>1</v>
      </c>
      <c r="P533" s="125">
        <v>1</v>
      </c>
      <c r="Q533" s="124">
        <v>1</v>
      </c>
      <c r="R533" s="95">
        <v>1</v>
      </c>
      <c r="S533" s="95">
        <v>1</v>
      </c>
      <c r="T533" s="95">
        <v>1</v>
      </c>
      <c r="U533" s="95">
        <v>1</v>
      </c>
      <c r="V533" s="95">
        <v>1</v>
      </c>
      <c r="W533" s="95">
        <v>1</v>
      </c>
      <c r="X533" s="125">
        <v>1</v>
      </c>
      <c r="Y533" s="124">
        <v>1</v>
      </c>
      <c r="Z533" s="95">
        <v>1</v>
      </c>
      <c r="AA533" s="95">
        <v>1</v>
      </c>
      <c r="AB533" s="95">
        <v>1</v>
      </c>
      <c r="AC533" s="95">
        <v>1</v>
      </c>
      <c r="AD533" s="95">
        <v>1</v>
      </c>
      <c r="AE533" s="95">
        <v>1</v>
      </c>
      <c r="AF533" s="125">
        <v>1</v>
      </c>
      <c r="AG533" s="95">
        <v>1</v>
      </c>
      <c r="AH533" s="95">
        <v>1</v>
      </c>
      <c r="AI533" s="95">
        <v>1</v>
      </c>
      <c r="AJ533" s="95">
        <v>1</v>
      </c>
      <c r="AK533" s="95">
        <v>1</v>
      </c>
      <c r="AL533" s="95">
        <v>1</v>
      </c>
      <c r="AM533" s="95">
        <v>1</v>
      </c>
      <c r="AN533" s="125">
        <v>1</v>
      </c>
      <c r="AO533" s="95"/>
      <c r="AP533" s="79">
        <v>32</v>
      </c>
      <c r="AQ533" s="85">
        <f t="shared" si="24"/>
        <v>32</v>
      </c>
      <c r="AR533" s="19" t="s">
        <v>298</v>
      </c>
      <c r="AS533">
        <v>1</v>
      </c>
      <c r="AT533" s="67">
        <f t="shared" si="25"/>
        <v>0</v>
      </c>
      <c r="AU533" s="67">
        <f t="shared" si="26"/>
        <v>0</v>
      </c>
      <c r="AV533" s="66">
        <v>1</v>
      </c>
      <c r="AW533" s="12"/>
      <c r="BA533" s="12">
        <v>1</v>
      </c>
      <c r="BO533" s="12">
        <v>3</v>
      </c>
      <c r="CK533"/>
      <c r="CX533">
        <v>508</v>
      </c>
    </row>
    <row r="534" spans="1:102">
      <c r="A534" s="8">
        <v>509</v>
      </c>
      <c r="B534" s="8" t="s">
        <v>13</v>
      </c>
      <c r="C534" s="54" t="s">
        <v>299</v>
      </c>
      <c r="D534" s="59" t="s">
        <v>325</v>
      </c>
      <c r="E534" s="8" t="s">
        <v>15</v>
      </c>
      <c r="F534" s="8"/>
      <c r="G534" s="8"/>
      <c r="H534" s="8"/>
      <c r="I534" s="124"/>
      <c r="J534" s="95"/>
      <c r="K534" s="95"/>
      <c r="L534" s="95"/>
      <c r="M534" s="95"/>
      <c r="N534" s="95"/>
      <c r="O534" s="95"/>
      <c r="P534" s="125"/>
      <c r="Q534" s="124"/>
      <c r="R534" s="95"/>
      <c r="S534" s="95"/>
      <c r="T534" s="95"/>
      <c r="U534" s="95"/>
      <c r="V534" s="95"/>
      <c r="W534" s="95"/>
      <c r="X534" s="125"/>
      <c r="Y534" s="124"/>
      <c r="Z534" s="95"/>
      <c r="AA534" s="95"/>
      <c r="AB534" s="95"/>
      <c r="AC534" s="95"/>
      <c r="AD534" s="95"/>
      <c r="AE534" s="95"/>
      <c r="AF534" s="125"/>
      <c r="AG534" s="95"/>
      <c r="AH534" s="95"/>
      <c r="AI534" s="95"/>
      <c r="AJ534" s="95"/>
      <c r="AK534" s="95"/>
      <c r="AL534" s="95"/>
      <c r="AM534" s="95"/>
      <c r="AN534" s="125"/>
      <c r="AO534" s="95"/>
      <c r="AP534" s="79"/>
      <c r="AQ534" s="85">
        <f t="shared" si="24"/>
        <v>0</v>
      </c>
      <c r="AR534" s="19"/>
      <c r="AS534"/>
      <c r="AT534" s="67">
        <f t="shared" si="25"/>
        <v>0</v>
      </c>
      <c r="AU534" s="67">
        <f t="shared" si="26"/>
        <v>0</v>
      </c>
      <c r="AV534" s="66"/>
      <c r="AW534" s="12"/>
      <c r="CK534"/>
      <c r="CX534">
        <v>509</v>
      </c>
    </row>
    <row r="535" spans="1:102">
      <c r="A535" s="8">
        <v>510</v>
      </c>
      <c r="B535" s="8" t="s">
        <v>13</v>
      </c>
      <c r="C535" s="8" t="s">
        <v>14</v>
      </c>
      <c r="D535" s="8" t="s">
        <v>345</v>
      </c>
      <c r="E535" s="8" t="s">
        <v>15</v>
      </c>
      <c r="F535" s="8"/>
      <c r="G535" s="8"/>
      <c r="H535" s="8"/>
      <c r="I535" s="124"/>
      <c r="J535" s="95"/>
      <c r="K535" s="95"/>
      <c r="L535" s="95"/>
      <c r="M535" s="95"/>
      <c r="N535" s="95"/>
      <c r="O535" s="95"/>
      <c r="P535" s="125"/>
      <c r="Q535" s="124"/>
      <c r="R535" s="95"/>
      <c r="S535" s="95"/>
      <c r="T535" s="95"/>
      <c r="U535" s="95"/>
      <c r="V535" s="95"/>
      <c r="W535" s="95"/>
      <c r="X535" s="125"/>
      <c r="Y535" s="124"/>
      <c r="Z535" s="95"/>
      <c r="AA535" s="95"/>
      <c r="AB535" s="95"/>
      <c r="AC535" s="95"/>
      <c r="AD535" s="95"/>
      <c r="AE535" s="95"/>
      <c r="AF535" s="125"/>
      <c r="AG535" s="95"/>
      <c r="AH535" s="95"/>
      <c r="AI535" s="95"/>
      <c r="AJ535" s="95"/>
      <c r="AK535" s="95"/>
      <c r="AL535" s="95"/>
      <c r="AM535" s="95"/>
      <c r="AN535" s="125"/>
      <c r="AO535" s="95"/>
      <c r="AP535" s="79"/>
      <c r="AQ535" s="85">
        <f t="shared" si="24"/>
        <v>0</v>
      </c>
      <c r="AR535" s="19"/>
      <c r="AS535"/>
      <c r="AT535" s="67">
        <f t="shared" si="25"/>
        <v>0</v>
      </c>
      <c r="AU535" s="67">
        <f t="shared" si="26"/>
        <v>0</v>
      </c>
      <c r="AV535" s="66"/>
      <c r="AW535" s="12"/>
      <c r="CK535"/>
      <c r="CX535">
        <v>510</v>
      </c>
    </row>
    <row r="536" spans="1:102">
      <c r="A536" s="8">
        <v>511</v>
      </c>
      <c r="B536" s="8" t="s">
        <v>13</v>
      </c>
      <c r="C536" s="8" t="s">
        <v>145</v>
      </c>
      <c r="D536" s="8" t="s">
        <v>357</v>
      </c>
      <c r="E536" s="8" t="s">
        <v>15</v>
      </c>
      <c r="F536" s="8"/>
      <c r="G536" s="8"/>
      <c r="H536" s="8"/>
      <c r="I536" s="124"/>
      <c r="J536" s="95"/>
      <c r="K536" s="95"/>
      <c r="L536" s="95"/>
      <c r="M536" s="95"/>
      <c r="N536" s="95"/>
      <c r="O536" s="95"/>
      <c r="P536" s="125"/>
      <c r="Q536" s="124"/>
      <c r="R536" s="95"/>
      <c r="S536" s="95"/>
      <c r="T536" s="95"/>
      <c r="U536" s="95"/>
      <c r="V536" s="95"/>
      <c r="W536" s="95"/>
      <c r="X536" s="125"/>
      <c r="Y536" s="124"/>
      <c r="Z536" s="95"/>
      <c r="AA536" s="95"/>
      <c r="AB536" s="95"/>
      <c r="AC536" s="95"/>
      <c r="AD536" s="95"/>
      <c r="AE536" s="95"/>
      <c r="AF536" s="125"/>
      <c r="AG536" s="95"/>
      <c r="AH536" s="95"/>
      <c r="AI536" s="95"/>
      <c r="AJ536" s="95"/>
      <c r="AK536" s="95"/>
      <c r="AL536" s="95"/>
      <c r="AM536" s="95"/>
      <c r="AN536" s="125"/>
      <c r="AO536" s="95"/>
      <c r="AP536" s="79"/>
      <c r="AQ536" s="85">
        <f t="shared" si="24"/>
        <v>0</v>
      </c>
      <c r="AR536" s="19"/>
      <c r="AS536"/>
      <c r="AT536" s="67">
        <f t="shared" si="25"/>
        <v>0</v>
      </c>
      <c r="AU536" s="67">
        <f t="shared" si="26"/>
        <v>0</v>
      </c>
      <c r="AV536" s="66"/>
      <c r="AW536" s="12"/>
      <c r="CK536"/>
      <c r="CX536">
        <v>511</v>
      </c>
    </row>
    <row r="537" spans="1:102">
      <c r="A537" s="8">
        <v>512</v>
      </c>
      <c r="B537" s="8" t="s">
        <v>12</v>
      </c>
      <c r="C537" s="8" t="s">
        <v>40</v>
      </c>
      <c r="D537" s="8" t="s">
        <v>40</v>
      </c>
      <c r="E537" s="8" t="s">
        <v>6</v>
      </c>
      <c r="F537" s="8"/>
      <c r="G537" s="8"/>
      <c r="H537" s="8"/>
      <c r="I537" s="124"/>
      <c r="J537" s="95"/>
      <c r="K537" s="95"/>
      <c r="L537" s="95"/>
      <c r="M537" s="95"/>
      <c r="N537" s="95"/>
      <c r="O537" s="95"/>
      <c r="P537" s="125"/>
      <c r="Q537" s="124"/>
      <c r="R537" s="95"/>
      <c r="S537" s="95"/>
      <c r="T537" s="95"/>
      <c r="U537" s="95"/>
      <c r="V537" s="95"/>
      <c r="W537" s="95"/>
      <c r="X537" s="125"/>
      <c r="Y537" s="124"/>
      <c r="Z537" s="95"/>
      <c r="AA537" s="95"/>
      <c r="AB537" s="95"/>
      <c r="AC537" s="95"/>
      <c r="AD537" s="95"/>
      <c r="AE537" s="95"/>
      <c r="AF537" s="125"/>
      <c r="AG537" s="95"/>
      <c r="AH537" s="95"/>
      <c r="AI537" s="95"/>
      <c r="AJ537" s="95"/>
      <c r="AK537" s="95"/>
      <c r="AL537" s="95"/>
      <c r="AM537" s="95"/>
      <c r="AN537" s="125"/>
      <c r="AO537" s="95"/>
      <c r="AP537" s="79"/>
      <c r="AQ537" s="85">
        <f t="shared" si="24"/>
        <v>0</v>
      </c>
      <c r="AR537" s="19"/>
      <c r="AS537"/>
      <c r="AT537" s="67">
        <f t="shared" si="25"/>
        <v>0</v>
      </c>
      <c r="AU537" s="67">
        <f t="shared" si="26"/>
        <v>0</v>
      </c>
      <c r="AV537" s="66"/>
      <c r="AW537" s="12"/>
      <c r="BZ537" s="12">
        <v>1</v>
      </c>
      <c r="CK537"/>
      <c r="CX537">
        <v>512</v>
      </c>
    </row>
    <row r="538" spans="1:102">
      <c r="A538" s="8">
        <v>513</v>
      </c>
      <c r="B538" s="8" t="s">
        <v>12</v>
      </c>
      <c r="C538" s="8" t="s">
        <v>73</v>
      </c>
      <c r="D538" s="8" t="s">
        <v>165</v>
      </c>
      <c r="E538" s="8" t="s">
        <v>6</v>
      </c>
      <c r="F538" s="8">
        <v>28</v>
      </c>
      <c r="G538" s="8">
        <v>28</v>
      </c>
      <c r="H538" s="8">
        <v>29</v>
      </c>
      <c r="I538" s="124"/>
      <c r="J538" s="95">
        <v>1</v>
      </c>
      <c r="K538" s="95">
        <v>1</v>
      </c>
      <c r="L538" s="95">
        <v>1</v>
      </c>
      <c r="M538" s="95">
        <v>1</v>
      </c>
      <c r="N538" s="95">
        <v>1</v>
      </c>
      <c r="O538" s="95">
        <v>1</v>
      </c>
      <c r="P538" s="125">
        <v>1</v>
      </c>
      <c r="Q538" s="124">
        <v>1</v>
      </c>
      <c r="R538" s="95">
        <v>1</v>
      </c>
      <c r="S538" s="95">
        <v>1</v>
      </c>
      <c r="T538" s="95">
        <v>1</v>
      </c>
      <c r="U538" s="95">
        <v>1</v>
      </c>
      <c r="V538" s="95">
        <v>1</v>
      </c>
      <c r="W538" s="95">
        <v>1</v>
      </c>
      <c r="X538" s="125">
        <v>1</v>
      </c>
      <c r="Y538" s="124"/>
      <c r="Z538" s="95" t="s">
        <v>10</v>
      </c>
      <c r="AA538" s="95">
        <v>1</v>
      </c>
      <c r="AB538" s="95">
        <v>1</v>
      </c>
      <c r="AC538" s="95">
        <v>1</v>
      </c>
      <c r="AD538" s="95">
        <v>1</v>
      </c>
      <c r="AE538" s="95">
        <v>1</v>
      </c>
      <c r="AF538" s="125">
        <v>1</v>
      </c>
      <c r="AG538" s="95">
        <v>1</v>
      </c>
      <c r="AH538" s="95">
        <v>1</v>
      </c>
      <c r="AI538" s="95">
        <v>1</v>
      </c>
      <c r="AJ538" s="95">
        <v>1</v>
      </c>
      <c r="AK538" s="95">
        <v>1</v>
      </c>
      <c r="AL538" s="95">
        <v>1</v>
      </c>
      <c r="AM538" s="95">
        <v>1</v>
      </c>
      <c r="AN538" s="125"/>
      <c r="AO538" s="95"/>
      <c r="AP538" s="79">
        <v>28</v>
      </c>
      <c r="AQ538" s="85">
        <f t="shared" si="24"/>
        <v>28</v>
      </c>
      <c r="AR538" s="19"/>
      <c r="AS538"/>
      <c r="AT538" s="67">
        <f t="shared" si="25"/>
        <v>1</v>
      </c>
      <c r="AU538" s="67">
        <f t="shared" si="26"/>
        <v>0</v>
      </c>
      <c r="AV538" s="66"/>
      <c r="AW538" s="12">
        <v>1</v>
      </c>
      <c r="AY538" s="12">
        <v>1</v>
      </c>
      <c r="AZ538" s="12">
        <v>1</v>
      </c>
      <c r="BA538" s="12">
        <v>1</v>
      </c>
      <c r="BB538" s="12">
        <v>1</v>
      </c>
      <c r="BQ538" s="12">
        <v>2</v>
      </c>
      <c r="BV538" s="12">
        <v>1</v>
      </c>
      <c r="CK538"/>
      <c r="CX538">
        <v>513</v>
      </c>
    </row>
    <row r="539" spans="1:102">
      <c r="A539" s="8">
        <v>514</v>
      </c>
      <c r="B539" s="8" t="s">
        <v>13</v>
      </c>
      <c r="C539" s="8" t="s">
        <v>99</v>
      </c>
      <c r="D539" s="8" t="s">
        <v>346</v>
      </c>
      <c r="E539" s="8" t="s">
        <v>15</v>
      </c>
      <c r="F539" s="8">
        <v>16</v>
      </c>
      <c r="G539" s="8">
        <v>20</v>
      </c>
      <c r="H539" s="8">
        <v>20</v>
      </c>
      <c r="I539" s="124"/>
      <c r="J539" s="95" t="s">
        <v>49</v>
      </c>
      <c r="K539" s="95" t="s">
        <v>49</v>
      </c>
      <c r="L539" s="95">
        <v>1</v>
      </c>
      <c r="M539" s="95">
        <v>1</v>
      </c>
      <c r="N539" s="95">
        <v>1</v>
      </c>
      <c r="O539" s="95" t="s">
        <v>9</v>
      </c>
      <c r="P539" s="125" t="s">
        <v>9</v>
      </c>
      <c r="Q539" s="124" t="s">
        <v>9</v>
      </c>
      <c r="R539" s="95" t="s">
        <v>9</v>
      </c>
      <c r="S539" s="95">
        <v>1</v>
      </c>
      <c r="T539" s="95">
        <v>1</v>
      </c>
      <c r="U539" s="95">
        <v>1</v>
      </c>
      <c r="V539" s="95" t="s">
        <v>49</v>
      </c>
      <c r="W539" s="95" t="s">
        <v>49</v>
      </c>
      <c r="X539" s="125"/>
      <c r="Y539" s="124"/>
      <c r="Z539" s="95" t="s">
        <v>49</v>
      </c>
      <c r="AA539" s="95" t="s">
        <v>49</v>
      </c>
      <c r="AB539" s="95">
        <v>1</v>
      </c>
      <c r="AC539" s="95">
        <v>1</v>
      </c>
      <c r="AD539" s="95">
        <v>1</v>
      </c>
      <c r="AE539" s="95">
        <v>1</v>
      </c>
      <c r="AF539" s="125">
        <v>1</v>
      </c>
      <c r="AG539" s="95">
        <v>1</v>
      </c>
      <c r="AH539" s="95">
        <v>1</v>
      </c>
      <c r="AI539" s="95">
        <v>1</v>
      </c>
      <c r="AJ539" s="95">
        <v>1</v>
      </c>
      <c r="AK539" s="95">
        <v>1</v>
      </c>
      <c r="AL539" s="95" t="s">
        <v>49</v>
      </c>
      <c r="AM539" s="95" t="s">
        <v>49</v>
      </c>
      <c r="AN539" s="125"/>
      <c r="AO539" s="95">
        <v>16</v>
      </c>
      <c r="AP539" s="79"/>
      <c r="AQ539" s="85">
        <f t="shared" si="24"/>
        <v>16</v>
      </c>
      <c r="AR539" s="19" t="s">
        <v>300</v>
      </c>
      <c r="AS539"/>
      <c r="AT539" s="67">
        <f t="shared" si="25"/>
        <v>0</v>
      </c>
      <c r="AU539" s="67">
        <f t="shared" si="26"/>
        <v>4</v>
      </c>
      <c r="AV539" s="66"/>
      <c r="AW539" s="12"/>
      <c r="BA539" s="12">
        <v>1</v>
      </c>
      <c r="BI539" s="12">
        <v>1</v>
      </c>
      <c r="CK539"/>
      <c r="CX539">
        <v>514</v>
      </c>
    </row>
    <row r="540" spans="1:102">
      <c r="A540" s="8">
        <v>515</v>
      </c>
      <c r="B540" s="8" t="s">
        <v>12</v>
      </c>
      <c r="C540" s="8" t="s">
        <v>40</v>
      </c>
      <c r="D540" s="8" t="s">
        <v>40</v>
      </c>
      <c r="E540" s="8" t="s">
        <v>6</v>
      </c>
      <c r="F540" s="8"/>
      <c r="G540" s="8"/>
      <c r="H540" s="8"/>
      <c r="I540" s="124"/>
      <c r="J540" s="95"/>
      <c r="K540" s="95"/>
      <c r="L540" s="95"/>
      <c r="M540" s="95"/>
      <c r="N540" s="95"/>
      <c r="O540" s="95"/>
      <c r="P540" s="125"/>
      <c r="Q540" s="124"/>
      <c r="R540" s="95"/>
      <c r="S540" s="95"/>
      <c r="T540" s="95"/>
      <c r="U540" s="95"/>
      <c r="V540" s="95"/>
      <c r="W540" s="95"/>
      <c r="X540" s="125"/>
      <c r="Y540" s="124"/>
      <c r="Z540" s="95"/>
      <c r="AA540" s="95"/>
      <c r="AB540" s="95"/>
      <c r="AC540" s="95"/>
      <c r="AD540" s="95"/>
      <c r="AE540" s="95"/>
      <c r="AF540" s="125"/>
      <c r="AG540" s="95"/>
      <c r="AH540" s="95"/>
      <c r="AI540" s="95"/>
      <c r="AJ540" s="95"/>
      <c r="AK540" s="95"/>
      <c r="AL540" s="95"/>
      <c r="AM540" s="95"/>
      <c r="AN540" s="125"/>
      <c r="AO540" s="95"/>
      <c r="AP540" s="79"/>
      <c r="AQ540" s="85">
        <f t="shared" si="24"/>
        <v>0</v>
      </c>
      <c r="AR540" s="19"/>
      <c r="AS540"/>
      <c r="AT540" s="67">
        <f t="shared" si="25"/>
        <v>0</v>
      </c>
      <c r="AU540" s="67">
        <f t="shared" si="26"/>
        <v>0</v>
      </c>
      <c r="AV540" s="66"/>
      <c r="AW540" s="12"/>
      <c r="CK540"/>
      <c r="CX540">
        <v>515</v>
      </c>
    </row>
    <row r="541" spans="1:102">
      <c r="A541" s="8">
        <v>516</v>
      </c>
      <c r="B541" s="8" t="s">
        <v>13</v>
      </c>
      <c r="C541" s="8" t="s">
        <v>99</v>
      </c>
      <c r="D541" s="8" t="s">
        <v>346</v>
      </c>
      <c r="E541" s="8" t="s">
        <v>15</v>
      </c>
      <c r="F541" s="8">
        <v>24</v>
      </c>
      <c r="G541" s="8">
        <v>24</v>
      </c>
      <c r="H541" s="8">
        <v>24</v>
      </c>
      <c r="I541" s="124"/>
      <c r="J541" s="95" t="s">
        <v>49</v>
      </c>
      <c r="K541" s="95">
        <v>1</v>
      </c>
      <c r="L541" s="95">
        <v>1</v>
      </c>
      <c r="M541" s="95">
        <v>1</v>
      </c>
      <c r="N541" s="95">
        <v>1</v>
      </c>
      <c r="O541" s="95">
        <v>1</v>
      </c>
      <c r="P541" s="125">
        <v>1</v>
      </c>
      <c r="Q541" s="124">
        <v>1</v>
      </c>
      <c r="R541" s="95">
        <v>1</v>
      </c>
      <c r="S541" s="95">
        <v>1</v>
      </c>
      <c r="T541" s="95">
        <v>1</v>
      </c>
      <c r="U541" s="95">
        <v>1</v>
      </c>
      <c r="V541" s="95">
        <v>1</v>
      </c>
      <c r="W541" s="95" t="s">
        <v>49</v>
      </c>
      <c r="X541" s="125"/>
      <c r="Y541" s="124"/>
      <c r="Z541" s="95" t="s">
        <v>49</v>
      </c>
      <c r="AA541" s="95">
        <v>1</v>
      </c>
      <c r="AB541" s="95">
        <v>1</v>
      </c>
      <c r="AC541" s="95">
        <v>1</v>
      </c>
      <c r="AD541" s="95">
        <v>1</v>
      </c>
      <c r="AE541" s="95">
        <v>1</v>
      </c>
      <c r="AF541" s="125">
        <v>1</v>
      </c>
      <c r="AG541" s="95">
        <v>1</v>
      </c>
      <c r="AH541" s="95">
        <v>1</v>
      </c>
      <c r="AI541" s="95">
        <v>1</v>
      </c>
      <c r="AJ541" s="95">
        <v>1</v>
      </c>
      <c r="AK541" s="95">
        <v>1</v>
      </c>
      <c r="AL541" s="95">
        <v>1</v>
      </c>
      <c r="AM541" s="95" t="s">
        <v>49</v>
      </c>
      <c r="AN541" s="125"/>
      <c r="AO541" s="95">
        <v>20</v>
      </c>
      <c r="AP541" s="79">
        <v>4</v>
      </c>
      <c r="AQ541" s="85">
        <f t="shared" si="24"/>
        <v>24</v>
      </c>
      <c r="AR541" s="19" t="s">
        <v>301</v>
      </c>
      <c r="AS541">
        <v>1</v>
      </c>
      <c r="AT541" s="67">
        <f t="shared" si="25"/>
        <v>0</v>
      </c>
      <c r="AU541" s="67">
        <f t="shared" si="26"/>
        <v>0</v>
      </c>
      <c r="AV541" s="66"/>
      <c r="AW541" s="12"/>
      <c r="BA541" s="12">
        <v>1</v>
      </c>
      <c r="CK541"/>
      <c r="CX541">
        <v>516</v>
      </c>
    </row>
    <row r="542" spans="1:102">
      <c r="A542" s="8">
        <v>517</v>
      </c>
      <c r="B542" s="8" t="s">
        <v>13</v>
      </c>
      <c r="C542" s="8" t="s">
        <v>145</v>
      </c>
      <c r="D542" s="8" t="s">
        <v>357</v>
      </c>
      <c r="E542" s="8" t="s">
        <v>15</v>
      </c>
      <c r="F542" s="8"/>
      <c r="G542" s="8"/>
      <c r="H542" s="8"/>
      <c r="I542" s="124"/>
      <c r="J542" s="95"/>
      <c r="K542" s="95"/>
      <c r="L542" s="95"/>
      <c r="M542" s="95"/>
      <c r="N542" s="95"/>
      <c r="O542" s="95"/>
      <c r="P542" s="125"/>
      <c r="Q542" s="124"/>
      <c r="R542" s="95"/>
      <c r="S542" s="95"/>
      <c r="T542" s="95"/>
      <c r="U542" s="95"/>
      <c r="V542" s="95"/>
      <c r="W542" s="95"/>
      <c r="X542" s="125"/>
      <c r="Y542" s="124"/>
      <c r="Z542" s="95"/>
      <c r="AA542" s="95"/>
      <c r="AB542" s="95"/>
      <c r="AC542" s="95"/>
      <c r="AD542" s="95"/>
      <c r="AE542" s="95"/>
      <c r="AF542" s="125"/>
      <c r="AG542" s="95"/>
      <c r="AH542" s="95"/>
      <c r="AI542" s="95"/>
      <c r="AJ542" s="95"/>
      <c r="AK542" s="95"/>
      <c r="AL542" s="95"/>
      <c r="AM542" s="95"/>
      <c r="AN542" s="125"/>
      <c r="AO542" s="95"/>
      <c r="AP542" s="79"/>
      <c r="AQ542" s="85">
        <f t="shared" si="24"/>
        <v>0</v>
      </c>
      <c r="AR542" s="19"/>
      <c r="AS542"/>
      <c r="AT542" s="67">
        <f t="shared" si="25"/>
        <v>0</v>
      </c>
      <c r="AU542" s="67">
        <f t="shared" si="26"/>
        <v>0</v>
      </c>
      <c r="AV542" s="66"/>
      <c r="AW542" s="12"/>
      <c r="CK542"/>
      <c r="CX542">
        <v>517</v>
      </c>
    </row>
    <row r="543" spans="1:102">
      <c r="A543" s="8">
        <v>518</v>
      </c>
      <c r="B543" s="8" t="s">
        <v>13</v>
      </c>
      <c r="C543" s="8" t="s">
        <v>99</v>
      </c>
      <c r="D543" s="8" t="s">
        <v>346</v>
      </c>
      <c r="E543" s="8" t="s">
        <v>15</v>
      </c>
      <c r="F543" s="8">
        <v>19</v>
      </c>
      <c r="G543" s="8">
        <v>22</v>
      </c>
      <c r="H543" s="8">
        <v>22</v>
      </c>
      <c r="I543" s="124"/>
      <c r="J543" s="95" t="s">
        <v>49</v>
      </c>
      <c r="K543" s="95" t="s">
        <v>9</v>
      </c>
      <c r="L543" s="95" t="s">
        <v>9</v>
      </c>
      <c r="M543" s="95" t="s">
        <v>9</v>
      </c>
      <c r="N543" s="95">
        <v>1</v>
      </c>
      <c r="O543" s="95">
        <v>1</v>
      </c>
      <c r="P543" s="125">
        <v>1</v>
      </c>
      <c r="Q543" s="124">
        <v>1</v>
      </c>
      <c r="R543" s="95">
        <v>1</v>
      </c>
      <c r="S543" s="95">
        <v>1</v>
      </c>
      <c r="T543" s="95">
        <v>1</v>
      </c>
      <c r="U543" s="95">
        <v>1</v>
      </c>
      <c r="V543" s="95">
        <v>1</v>
      </c>
      <c r="W543" s="95" t="s">
        <v>49</v>
      </c>
      <c r="X543" s="125"/>
      <c r="Y543" s="124"/>
      <c r="Z543" s="95" t="s">
        <v>49</v>
      </c>
      <c r="AA543" s="95">
        <v>1</v>
      </c>
      <c r="AB543" s="95">
        <v>1</v>
      </c>
      <c r="AC543" s="95">
        <v>1</v>
      </c>
      <c r="AD543" s="95">
        <v>1</v>
      </c>
      <c r="AE543" s="95">
        <v>1</v>
      </c>
      <c r="AF543" s="125" t="s">
        <v>49</v>
      </c>
      <c r="AG543" s="95" t="s">
        <v>49</v>
      </c>
      <c r="AH543" s="95">
        <v>1</v>
      </c>
      <c r="AI543" s="95">
        <v>1</v>
      </c>
      <c r="AJ543" s="95">
        <v>1</v>
      </c>
      <c r="AK543" s="95">
        <v>1</v>
      </c>
      <c r="AL543" s="95">
        <v>1</v>
      </c>
      <c r="AM543" s="95" t="s">
        <v>49</v>
      </c>
      <c r="AN543" s="125"/>
      <c r="AO543" s="95">
        <v>16</v>
      </c>
      <c r="AP543" s="79">
        <v>3</v>
      </c>
      <c r="AQ543" s="85">
        <f t="shared" si="24"/>
        <v>19</v>
      </c>
      <c r="AR543" s="19"/>
      <c r="AS543"/>
      <c r="AT543" s="67">
        <f t="shared" si="25"/>
        <v>0</v>
      </c>
      <c r="AU543" s="67">
        <f t="shared" si="26"/>
        <v>3</v>
      </c>
      <c r="AV543" s="66"/>
      <c r="AW543" s="12"/>
      <c r="BA543" s="12">
        <v>1</v>
      </c>
      <c r="CK543"/>
      <c r="CX543">
        <v>518</v>
      </c>
    </row>
    <row r="544" spans="1:102">
      <c r="A544" s="8">
        <v>519</v>
      </c>
      <c r="B544" s="8" t="s">
        <v>12</v>
      </c>
      <c r="C544" s="8" t="s">
        <v>62</v>
      </c>
      <c r="D544" s="8" t="s">
        <v>42</v>
      </c>
      <c r="E544" s="8" t="s">
        <v>42</v>
      </c>
      <c r="F544" s="8">
        <v>31</v>
      </c>
      <c r="G544" s="8">
        <v>31</v>
      </c>
      <c r="H544" s="8">
        <v>32</v>
      </c>
      <c r="I544" s="124">
        <v>1</v>
      </c>
      <c r="J544" s="95">
        <v>1</v>
      </c>
      <c r="K544" s="95">
        <v>1</v>
      </c>
      <c r="L544" s="95">
        <v>1</v>
      </c>
      <c r="M544" s="95">
        <v>1</v>
      </c>
      <c r="N544" s="95">
        <v>1</v>
      </c>
      <c r="O544" s="95">
        <v>1</v>
      </c>
      <c r="P544" s="125">
        <v>1</v>
      </c>
      <c r="Q544" s="124">
        <v>1</v>
      </c>
      <c r="R544" s="95">
        <v>1</v>
      </c>
      <c r="S544" s="95">
        <v>1</v>
      </c>
      <c r="T544" s="95">
        <v>1</v>
      </c>
      <c r="U544" s="95">
        <v>1</v>
      </c>
      <c r="V544" s="95" t="s">
        <v>10</v>
      </c>
      <c r="W544" s="95">
        <v>1</v>
      </c>
      <c r="X544" s="125">
        <v>1</v>
      </c>
      <c r="Y544" s="124">
        <v>1</v>
      </c>
      <c r="Z544" s="95">
        <v>1</v>
      </c>
      <c r="AA544" s="95">
        <v>1</v>
      </c>
      <c r="AB544" s="95">
        <v>1</v>
      </c>
      <c r="AC544" s="95">
        <v>1</v>
      </c>
      <c r="AD544" s="95">
        <v>1</v>
      </c>
      <c r="AE544" s="95">
        <v>1</v>
      </c>
      <c r="AF544" s="125">
        <v>1</v>
      </c>
      <c r="AG544" s="95">
        <v>1</v>
      </c>
      <c r="AH544" s="95">
        <v>1</v>
      </c>
      <c r="AI544" s="95">
        <v>1</v>
      </c>
      <c r="AJ544" s="95">
        <v>1</v>
      </c>
      <c r="AK544" s="95">
        <v>1</v>
      </c>
      <c r="AL544" s="95">
        <v>1</v>
      </c>
      <c r="AM544" s="95">
        <v>1</v>
      </c>
      <c r="AN544" s="125">
        <v>1</v>
      </c>
      <c r="AO544" s="95"/>
      <c r="AP544" s="79">
        <v>31</v>
      </c>
      <c r="AQ544" s="85">
        <f t="shared" si="24"/>
        <v>31</v>
      </c>
      <c r="AR544" s="19"/>
      <c r="AS544"/>
      <c r="AT544" s="67">
        <f t="shared" si="25"/>
        <v>1</v>
      </c>
      <c r="AU544" s="67">
        <f t="shared" si="26"/>
        <v>0</v>
      </c>
      <c r="AV544" s="66"/>
      <c r="AW544" s="12">
        <v>1</v>
      </c>
      <c r="AX544" s="12">
        <v>1</v>
      </c>
      <c r="AY544" s="12">
        <v>1</v>
      </c>
      <c r="BA544" s="12">
        <v>1</v>
      </c>
      <c r="BB544" s="12">
        <v>1</v>
      </c>
      <c r="BI544" s="12">
        <v>1</v>
      </c>
      <c r="BS544" s="12">
        <v>1</v>
      </c>
      <c r="BV544" s="12">
        <v>1</v>
      </c>
      <c r="BW544" s="12">
        <v>1</v>
      </c>
      <c r="BY544" s="12">
        <v>1</v>
      </c>
      <c r="CI544" s="12">
        <v>1</v>
      </c>
      <c r="CK544"/>
      <c r="CX544">
        <v>519</v>
      </c>
    </row>
    <row r="545" spans="1:103">
      <c r="A545" s="8">
        <v>520</v>
      </c>
      <c r="B545" s="8" t="s">
        <v>12</v>
      </c>
      <c r="C545" s="8" t="s">
        <v>40</v>
      </c>
      <c r="D545" s="8" t="s">
        <v>40</v>
      </c>
      <c r="E545" s="8" t="s">
        <v>77</v>
      </c>
      <c r="F545" s="8"/>
      <c r="G545" s="8"/>
      <c r="H545" s="8"/>
      <c r="I545" s="124"/>
      <c r="J545" s="95"/>
      <c r="K545" s="95"/>
      <c r="L545" s="95"/>
      <c r="M545" s="95"/>
      <c r="N545" s="95"/>
      <c r="O545" s="95"/>
      <c r="P545" s="125"/>
      <c r="Q545" s="124"/>
      <c r="R545" s="95"/>
      <c r="S545" s="95"/>
      <c r="T545" s="95"/>
      <c r="U545" s="95"/>
      <c r="V545" s="95"/>
      <c r="W545" s="95"/>
      <c r="X545" s="125"/>
      <c r="Y545" s="124"/>
      <c r="Z545" s="95"/>
      <c r="AA545" s="95"/>
      <c r="AB545" s="95"/>
      <c r="AC545" s="95"/>
      <c r="AD545" s="95"/>
      <c r="AE545" s="95"/>
      <c r="AF545" s="125"/>
      <c r="AG545" s="95"/>
      <c r="AH545" s="95"/>
      <c r="AI545" s="95"/>
      <c r="AJ545" s="95"/>
      <c r="AK545" s="95"/>
      <c r="AL545" s="95"/>
      <c r="AM545" s="95"/>
      <c r="AN545" s="125"/>
      <c r="AO545" s="95"/>
      <c r="AP545" s="79"/>
      <c r="AQ545" s="85">
        <f t="shared" si="24"/>
        <v>0</v>
      </c>
      <c r="AR545" s="19"/>
      <c r="AS545"/>
      <c r="AT545" s="67">
        <f t="shared" si="25"/>
        <v>0</v>
      </c>
      <c r="AU545" s="67">
        <f t="shared" si="26"/>
        <v>0</v>
      </c>
      <c r="AV545" s="66"/>
      <c r="AW545" s="12"/>
      <c r="CK545"/>
      <c r="CX545">
        <v>520</v>
      </c>
    </row>
    <row r="546" spans="1:103">
      <c r="A546" s="8">
        <v>521</v>
      </c>
      <c r="B546" s="8" t="s">
        <v>12</v>
      </c>
      <c r="C546" s="8" t="s">
        <v>41</v>
      </c>
      <c r="D546" s="8" t="s">
        <v>42</v>
      </c>
      <c r="E546" s="8" t="s">
        <v>42</v>
      </c>
      <c r="F546" s="8">
        <v>29</v>
      </c>
      <c r="G546" s="8" t="s">
        <v>15</v>
      </c>
      <c r="H546" s="8" t="s">
        <v>15</v>
      </c>
      <c r="I546" s="124" t="s">
        <v>15</v>
      </c>
      <c r="J546" s="95" t="s">
        <v>10</v>
      </c>
      <c r="K546" s="95">
        <v>1</v>
      </c>
      <c r="L546" s="95">
        <v>1</v>
      </c>
      <c r="M546" s="95">
        <v>1</v>
      </c>
      <c r="N546" s="95">
        <v>1</v>
      </c>
      <c r="O546" s="95">
        <v>1</v>
      </c>
      <c r="P546" s="125">
        <v>1</v>
      </c>
      <c r="Q546" s="124">
        <v>1</v>
      </c>
      <c r="R546" s="95">
        <v>1</v>
      </c>
      <c r="S546" s="95">
        <v>1</v>
      </c>
      <c r="T546" s="95">
        <v>1</v>
      </c>
      <c r="U546" s="95">
        <v>1</v>
      </c>
      <c r="V546" s="95">
        <v>1</v>
      </c>
      <c r="W546" s="95">
        <v>1</v>
      </c>
      <c r="X546" s="125">
        <v>1</v>
      </c>
      <c r="Y546" s="124">
        <v>1</v>
      </c>
      <c r="Z546" s="95">
        <v>1</v>
      </c>
      <c r="AA546" s="95">
        <v>1</v>
      </c>
      <c r="AB546" s="95">
        <v>1</v>
      </c>
      <c r="AC546" s="95">
        <v>1</v>
      </c>
      <c r="AD546" s="95">
        <v>1</v>
      </c>
      <c r="AE546" s="95">
        <v>1</v>
      </c>
      <c r="AF546" s="125">
        <v>1</v>
      </c>
      <c r="AG546" s="95">
        <v>1</v>
      </c>
      <c r="AH546" s="95">
        <v>1</v>
      </c>
      <c r="AI546" s="95">
        <v>1</v>
      </c>
      <c r="AJ546" s="95">
        <v>1</v>
      </c>
      <c r="AK546" s="95">
        <v>1</v>
      </c>
      <c r="AL546" s="95" t="s">
        <v>9</v>
      </c>
      <c r="AM546" s="95">
        <v>1</v>
      </c>
      <c r="AN546" s="125">
        <v>1</v>
      </c>
      <c r="AO546" s="95"/>
      <c r="AP546" s="79">
        <v>29</v>
      </c>
      <c r="AQ546" s="85">
        <f t="shared" si="24"/>
        <v>29</v>
      </c>
      <c r="AR546" s="19" t="s">
        <v>302</v>
      </c>
      <c r="AS546"/>
      <c r="AT546" s="67">
        <f t="shared" si="25"/>
        <v>1</v>
      </c>
      <c r="AU546" s="67">
        <f t="shared" si="26"/>
        <v>1</v>
      </c>
      <c r="AV546" s="66"/>
      <c r="AW546" s="12">
        <v>1</v>
      </c>
      <c r="AY546" s="12">
        <v>1</v>
      </c>
      <c r="AZ546" s="12">
        <v>1</v>
      </c>
      <c r="BA546" s="12">
        <v>1</v>
      </c>
      <c r="BB546" s="12">
        <v>1</v>
      </c>
      <c r="BV546" s="12">
        <v>1</v>
      </c>
      <c r="BW546" s="12">
        <v>1</v>
      </c>
      <c r="BY546" s="12">
        <v>1</v>
      </c>
      <c r="CI546" s="21" t="s">
        <v>333</v>
      </c>
      <c r="CK546"/>
      <c r="CX546">
        <v>521</v>
      </c>
    </row>
    <row r="547" spans="1:103">
      <c r="A547" s="8">
        <v>522</v>
      </c>
      <c r="B547" s="8" t="s">
        <v>13</v>
      </c>
      <c r="C547" s="8" t="s">
        <v>55</v>
      </c>
      <c r="D547" s="8" t="s">
        <v>346</v>
      </c>
      <c r="E547" s="8" t="s">
        <v>15</v>
      </c>
      <c r="F547" s="8">
        <v>13</v>
      </c>
      <c r="G547" s="8" t="s">
        <v>15</v>
      </c>
      <c r="H547" s="8" t="s">
        <v>15</v>
      </c>
      <c r="I547" s="124"/>
      <c r="J547" s="95"/>
      <c r="K547" s="95"/>
      <c r="L547" s="95"/>
      <c r="M547" s="95"/>
      <c r="N547" s="95"/>
      <c r="O547" s="95"/>
      <c r="P547" s="125"/>
      <c r="Q547" s="124">
        <v>1</v>
      </c>
      <c r="R547" s="95">
        <v>1</v>
      </c>
      <c r="S547" s="95" t="s">
        <v>9</v>
      </c>
      <c r="T547" s="95">
        <v>1</v>
      </c>
      <c r="U547" s="95">
        <v>1</v>
      </c>
      <c r="V547" s="95" t="s">
        <v>49</v>
      </c>
      <c r="W547" s="95"/>
      <c r="X547" s="125"/>
      <c r="Y547" s="124"/>
      <c r="Z547" s="95"/>
      <c r="AA547" s="95" t="s">
        <v>49</v>
      </c>
      <c r="AB547" s="95">
        <v>1</v>
      </c>
      <c r="AC547" s="95">
        <v>1</v>
      </c>
      <c r="AD547" s="95">
        <v>1</v>
      </c>
      <c r="AE547" s="95">
        <v>1</v>
      </c>
      <c r="AF547" s="125" t="s">
        <v>9</v>
      </c>
      <c r="AG547" s="95">
        <v>1</v>
      </c>
      <c r="AH547" s="95">
        <v>1</v>
      </c>
      <c r="AI547" s="95">
        <v>1</v>
      </c>
      <c r="AJ547" s="95">
        <v>1</v>
      </c>
      <c r="AK547" s="95">
        <v>1</v>
      </c>
      <c r="AL547" s="95" t="s">
        <v>49</v>
      </c>
      <c r="AM547" s="95"/>
      <c r="AN547" s="125"/>
      <c r="AO547" s="95">
        <v>13</v>
      </c>
      <c r="AP547" s="79"/>
      <c r="AQ547" s="85">
        <f t="shared" si="24"/>
        <v>13</v>
      </c>
      <c r="AR547" s="19"/>
      <c r="AS547"/>
      <c r="AT547" s="67">
        <f t="shared" si="25"/>
        <v>0</v>
      </c>
      <c r="AU547" s="67">
        <f t="shared" si="26"/>
        <v>2</v>
      </c>
      <c r="AV547" s="66"/>
      <c r="AW547" s="12"/>
      <c r="BA547" s="12">
        <v>1</v>
      </c>
      <c r="CK547"/>
      <c r="CX547">
        <v>522</v>
      </c>
    </row>
    <row r="548" spans="1:103">
      <c r="A548" s="8">
        <v>523</v>
      </c>
      <c r="B548" s="8" t="s">
        <v>13</v>
      </c>
      <c r="C548" s="8" t="s">
        <v>55</v>
      </c>
      <c r="D548" s="8" t="s">
        <v>346</v>
      </c>
      <c r="E548" s="8" t="s">
        <v>15</v>
      </c>
      <c r="F548" s="8">
        <v>9</v>
      </c>
      <c r="G548" s="8" t="s">
        <v>15</v>
      </c>
      <c r="H548" s="8">
        <v>20</v>
      </c>
      <c r="I548" s="124"/>
      <c r="J548" s="95"/>
      <c r="K548" s="95"/>
      <c r="L548" s="95"/>
      <c r="M548" s="95"/>
      <c r="N548" s="95"/>
      <c r="O548" s="95"/>
      <c r="P548" s="125"/>
      <c r="Q548" s="124" t="s">
        <v>9</v>
      </c>
      <c r="R548" s="95" t="s">
        <v>9</v>
      </c>
      <c r="S548" s="95"/>
      <c r="T548" s="95">
        <v>1</v>
      </c>
      <c r="U548" s="95">
        <v>1</v>
      </c>
      <c r="V548" s="95" t="s">
        <v>49</v>
      </c>
      <c r="W548" s="95"/>
      <c r="X548" s="125"/>
      <c r="Y548" s="124"/>
      <c r="Z548" s="95" t="s">
        <v>49</v>
      </c>
      <c r="AA548" s="95" t="s">
        <v>49</v>
      </c>
      <c r="AB548" s="95">
        <v>1</v>
      </c>
      <c r="AC548" s="95">
        <v>1</v>
      </c>
      <c r="AD548" s="95">
        <v>1</v>
      </c>
      <c r="AE548" s="95" t="s">
        <v>9</v>
      </c>
      <c r="AF548" s="125" t="s">
        <v>9</v>
      </c>
      <c r="AG548" s="95" t="s">
        <v>9</v>
      </c>
      <c r="AH548" s="95">
        <v>1</v>
      </c>
      <c r="AI548" s="95">
        <v>1</v>
      </c>
      <c r="AJ548" s="95">
        <v>1</v>
      </c>
      <c r="AK548" s="95">
        <v>1</v>
      </c>
      <c r="AL548" s="95" t="s">
        <v>49</v>
      </c>
      <c r="AM548" s="95" t="s">
        <v>49</v>
      </c>
      <c r="AN548" s="125"/>
      <c r="AO548" s="95">
        <v>9</v>
      </c>
      <c r="AP548" s="79"/>
      <c r="AQ548" s="85">
        <f t="shared" si="24"/>
        <v>9</v>
      </c>
      <c r="AR548" s="19"/>
      <c r="AS548"/>
      <c r="AT548" s="67">
        <f t="shared" si="25"/>
        <v>0</v>
      </c>
      <c r="AU548" s="67">
        <f t="shared" si="26"/>
        <v>5</v>
      </c>
      <c r="AV548" s="66"/>
      <c r="AW548" s="12"/>
      <c r="CK548"/>
      <c r="CX548">
        <v>523</v>
      </c>
    </row>
    <row r="549" spans="1:103">
      <c r="A549" s="8">
        <v>524</v>
      </c>
      <c r="B549" s="8" t="s">
        <v>12</v>
      </c>
      <c r="C549" s="8" t="s">
        <v>41</v>
      </c>
      <c r="D549" s="8" t="s">
        <v>42</v>
      </c>
      <c r="E549" s="8" t="s">
        <v>6</v>
      </c>
      <c r="F549" s="8">
        <v>29</v>
      </c>
      <c r="G549" s="8">
        <v>31</v>
      </c>
      <c r="H549" s="8">
        <v>32</v>
      </c>
      <c r="I549" s="124">
        <v>1</v>
      </c>
      <c r="J549" s="95">
        <v>1</v>
      </c>
      <c r="K549" s="95">
        <v>1</v>
      </c>
      <c r="L549" s="95">
        <v>1</v>
      </c>
      <c r="M549" s="95">
        <v>1</v>
      </c>
      <c r="N549" s="95">
        <v>1</v>
      </c>
      <c r="O549" s="95">
        <v>1</v>
      </c>
      <c r="P549" s="125">
        <v>1</v>
      </c>
      <c r="Q549" s="124">
        <v>1</v>
      </c>
      <c r="R549" s="95">
        <v>1</v>
      </c>
      <c r="S549" s="95">
        <v>1</v>
      </c>
      <c r="T549" s="95">
        <v>1</v>
      </c>
      <c r="U549" s="95">
        <v>1</v>
      </c>
      <c r="V549" s="95">
        <v>1</v>
      </c>
      <c r="W549" s="95" t="s">
        <v>9</v>
      </c>
      <c r="X549" s="125">
        <v>1</v>
      </c>
      <c r="Y549" s="124">
        <v>1</v>
      </c>
      <c r="Z549" s="95">
        <v>1</v>
      </c>
      <c r="AA549" s="95">
        <v>1</v>
      </c>
      <c r="AB549" s="95">
        <v>1</v>
      </c>
      <c r="AC549" s="95">
        <v>1</v>
      </c>
      <c r="AD549" s="95">
        <v>1</v>
      </c>
      <c r="AE549" s="95">
        <v>1</v>
      </c>
      <c r="AF549" s="125">
        <v>1</v>
      </c>
      <c r="AG549" s="95">
        <v>1</v>
      </c>
      <c r="AH549" s="95">
        <v>1</v>
      </c>
      <c r="AI549" s="95">
        <v>1</v>
      </c>
      <c r="AJ549" s="95">
        <v>1</v>
      </c>
      <c r="AK549" s="95">
        <v>1</v>
      </c>
      <c r="AL549" s="95">
        <v>1</v>
      </c>
      <c r="AM549" s="95" t="s">
        <v>10</v>
      </c>
      <c r="AN549" s="125" t="s">
        <v>9</v>
      </c>
      <c r="AO549" s="95"/>
      <c r="AP549" s="79">
        <v>29</v>
      </c>
      <c r="AQ549" s="85">
        <f t="shared" si="24"/>
        <v>29</v>
      </c>
      <c r="AR549" s="19"/>
      <c r="AS549"/>
      <c r="AT549" s="67">
        <f t="shared" si="25"/>
        <v>1</v>
      </c>
      <c r="AU549" s="67">
        <f t="shared" si="26"/>
        <v>2</v>
      </c>
      <c r="AV549" s="66"/>
      <c r="AW549" s="12">
        <v>1</v>
      </c>
      <c r="AX549" s="12">
        <v>1</v>
      </c>
      <c r="AY549" s="12">
        <v>1</v>
      </c>
      <c r="BA549" s="12">
        <v>1</v>
      </c>
      <c r="BB549" s="12">
        <v>1</v>
      </c>
      <c r="BQ549" s="12">
        <v>1</v>
      </c>
      <c r="BV549" s="12">
        <v>1</v>
      </c>
      <c r="BX549" s="12">
        <v>1</v>
      </c>
      <c r="BY549" s="12">
        <v>1</v>
      </c>
      <c r="BZ549" s="12">
        <v>1</v>
      </c>
      <c r="CK549"/>
      <c r="CO549">
        <v>1</v>
      </c>
      <c r="CX549">
        <v>524</v>
      </c>
    </row>
    <row r="550" spans="1:103">
      <c r="A550" s="8">
        <v>525</v>
      </c>
      <c r="B550" s="8" t="s">
        <v>12</v>
      </c>
      <c r="C550" s="8" t="s">
        <v>93</v>
      </c>
      <c r="D550" s="8" t="s">
        <v>12</v>
      </c>
      <c r="E550" s="8" t="s">
        <v>6</v>
      </c>
      <c r="F550" s="8">
        <v>28</v>
      </c>
      <c r="G550" s="8">
        <v>28</v>
      </c>
      <c r="H550" s="8">
        <v>28</v>
      </c>
      <c r="I550" s="124" t="s">
        <v>49</v>
      </c>
      <c r="J550" s="95">
        <v>1</v>
      </c>
      <c r="K550" s="95">
        <v>1</v>
      </c>
      <c r="L550" s="95">
        <v>1</v>
      </c>
      <c r="M550" s="95">
        <v>1</v>
      </c>
      <c r="N550" s="95">
        <v>1</v>
      </c>
      <c r="O550" s="95">
        <v>1</v>
      </c>
      <c r="P550" s="125">
        <v>1</v>
      </c>
      <c r="Q550" s="124">
        <v>1</v>
      </c>
      <c r="R550" s="95">
        <v>1</v>
      </c>
      <c r="S550" s="95">
        <v>1</v>
      </c>
      <c r="T550" s="95">
        <v>1</v>
      </c>
      <c r="U550" s="95">
        <v>1</v>
      </c>
      <c r="V550" s="95">
        <v>1</v>
      </c>
      <c r="W550" s="95">
        <v>1</v>
      </c>
      <c r="X550" s="125" t="s">
        <v>49</v>
      </c>
      <c r="Y550" s="124" t="s">
        <v>49</v>
      </c>
      <c r="Z550" s="95">
        <v>1</v>
      </c>
      <c r="AA550" s="95">
        <v>1</v>
      </c>
      <c r="AB550" s="95">
        <v>1</v>
      </c>
      <c r="AC550" s="95">
        <v>1</v>
      </c>
      <c r="AD550" s="95">
        <v>1</v>
      </c>
      <c r="AE550" s="95">
        <v>1</v>
      </c>
      <c r="AF550" s="125">
        <v>1</v>
      </c>
      <c r="AG550" s="95">
        <v>1</v>
      </c>
      <c r="AH550" s="95">
        <v>1</v>
      </c>
      <c r="AI550" s="95">
        <v>1</v>
      </c>
      <c r="AJ550" s="95">
        <v>1</v>
      </c>
      <c r="AK550" s="95">
        <v>1</v>
      </c>
      <c r="AL550" s="95">
        <v>1</v>
      </c>
      <c r="AM550" s="95">
        <v>1</v>
      </c>
      <c r="AN550" s="125"/>
      <c r="AO550" s="95"/>
      <c r="AP550" s="79">
        <v>28</v>
      </c>
      <c r="AQ550" s="85">
        <f t="shared" si="24"/>
        <v>28</v>
      </c>
      <c r="AR550" s="19"/>
      <c r="AS550">
        <v>1</v>
      </c>
      <c r="AT550" s="67">
        <f t="shared" si="25"/>
        <v>0</v>
      </c>
      <c r="AU550" s="67">
        <f t="shared" si="26"/>
        <v>0</v>
      </c>
      <c r="AV550" s="66"/>
      <c r="AW550" s="12"/>
      <c r="AZ550" s="12">
        <v>1</v>
      </c>
      <c r="BA550" s="12">
        <v>1</v>
      </c>
      <c r="BB550" s="12">
        <v>1</v>
      </c>
      <c r="BI550" s="12">
        <v>1</v>
      </c>
      <c r="CK550"/>
      <c r="CX550">
        <v>525</v>
      </c>
    </row>
    <row r="551" spans="1:103">
      <c r="A551" s="8">
        <v>526</v>
      </c>
      <c r="B551" s="8" t="s">
        <v>12</v>
      </c>
      <c r="C551" s="8" t="s">
        <v>240</v>
      </c>
      <c r="D551" s="8" t="s">
        <v>42</v>
      </c>
      <c r="E551" s="8" t="s">
        <v>42</v>
      </c>
      <c r="F551" s="8">
        <v>28</v>
      </c>
      <c r="G551" s="8">
        <v>28</v>
      </c>
      <c r="H551" s="8">
        <v>28</v>
      </c>
      <c r="I551" s="124"/>
      <c r="J551" s="95">
        <v>1</v>
      </c>
      <c r="K551" s="95">
        <v>1</v>
      </c>
      <c r="L551" s="95">
        <v>1</v>
      </c>
      <c r="M551" s="95">
        <v>1</v>
      </c>
      <c r="N551" s="95">
        <v>1</v>
      </c>
      <c r="O551" s="95">
        <v>1</v>
      </c>
      <c r="P551" s="125">
        <v>1</v>
      </c>
      <c r="Q551" s="124">
        <v>1</v>
      </c>
      <c r="R551" s="95">
        <v>1</v>
      </c>
      <c r="S551" s="95">
        <v>1</v>
      </c>
      <c r="T551" s="95">
        <v>1</v>
      </c>
      <c r="U551" s="95">
        <v>1</v>
      </c>
      <c r="V551" s="95">
        <v>1</v>
      </c>
      <c r="W551" s="95">
        <v>1</v>
      </c>
      <c r="X551" s="125"/>
      <c r="Y551" s="124"/>
      <c r="Z551" s="95">
        <v>1</v>
      </c>
      <c r="AA551" s="95">
        <v>1</v>
      </c>
      <c r="AB551" s="95">
        <v>1</v>
      </c>
      <c r="AC551" s="95">
        <v>1</v>
      </c>
      <c r="AD551" s="95">
        <v>1</v>
      </c>
      <c r="AE551" s="95">
        <v>1</v>
      </c>
      <c r="AF551" s="125">
        <v>1</v>
      </c>
      <c r="AG551" s="95">
        <v>1</v>
      </c>
      <c r="AH551" s="95">
        <v>1</v>
      </c>
      <c r="AI551" s="95">
        <v>1</v>
      </c>
      <c r="AJ551" s="95">
        <v>1</v>
      </c>
      <c r="AK551" s="95">
        <v>1</v>
      </c>
      <c r="AL551" s="95">
        <v>1</v>
      </c>
      <c r="AM551" s="95">
        <v>1</v>
      </c>
      <c r="AN551" s="125"/>
      <c r="AO551" s="95"/>
      <c r="AP551" s="79">
        <v>28</v>
      </c>
      <c r="AQ551" s="85">
        <f t="shared" si="24"/>
        <v>28</v>
      </c>
      <c r="AR551" s="19"/>
      <c r="AS551">
        <v>1</v>
      </c>
      <c r="AT551" s="67">
        <f t="shared" si="25"/>
        <v>0</v>
      </c>
      <c r="AU551" s="67">
        <f t="shared" si="26"/>
        <v>0</v>
      </c>
      <c r="AV551" s="66"/>
      <c r="AW551" s="12"/>
      <c r="BA551" s="12">
        <v>1</v>
      </c>
      <c r="BB551" s="12">
        <v>1</v>
      </c>
      <c r="BE551" s="12">
        <v>1</v>
      </c>
      <c r="BI551" s="12">
        <v>1</v>
      </c>
      <c r="BK551" s="12">
        <v>1</v>
      </c>
      <c r="BQ551" s="12">
        <v>1</v>
      </c>
      <c r="BV551" s="12">
        <v>1</v>
      </c>
      <c r="BY551" s="12">
        <v>1</v>
      </c>
      <c r="CD551" s="12" t="s">
        <v>326</v>
      </c>
      <c r="CK551"/>
      <c r="CX551">
        <v>526</v>
      </c>
    </row>
    <row r="552" spans="1:103">
      <c r="A552" s="8">
        <v>527</v>
      </c>
      <c r="B552" s="8" t="s">
        <v>12</v>
      </c>
      <c r="C552" s="8" t="s">
        <v>65</v>
      </c>
      <c r="D552" s="8" t="s">
        <v>12</v>
      </c>
      <c r="E552" s="8" t="s">
        <v>6</v>
      </c>
      <c r="F552" s="8">
        <v>23</v>
      </c>
      <c r="G552" s="8">
        <v>26</v>
      </c>
      <c r="H552" s="8">
        <v>26</v>
      </c>
      <c r="I552" s="124"/>
      <c r="J552" s="95">
        <v>1</v>
      </c>
      <c r="K552" s="95">
        <v>1</v>
      </c>
      <c r="L552" s="95">
        <v>1</v>
      </c>
      <c r="M552" s="95">
        <v>1</v>
      </c>
      <c r="N552" s="95"/>
      <c r="O552" s="95">
        <v>1</v>
      </c>
      <c r="P552" s="125">
        <v>1</v>
      </c>
      <c r="Q552" s="124">
        <v>1</v>
      </c>
      <c r="R552" s="95">
        <v>1</v>
      </c>
      <c r="S552" s="95"/>
      <c r="T552" s="95">
        <v>1</v>
      </c>
      <c r="U552" s="95">
        <v>1</v>
      </c>
      <c r="V552" s="95">
        <v>1</v>
      </c>
      <c r="W552" s="95">
        <v>1</v>
      </c>
      <c r="X552" s="125"/>
      <c r="Y552" s="124"/>
      <c r="Z552" s="95">
        <v>1</v>
      </c>
      <c r="AA552" s="95">
        <v>1</v>
      </c>
      <c r="AB552" s="95">
        <v>1</v>
      </c>
      <c r="AC552" s="95">
        <v>1</v>
      </c>
      <c r="AD552" s="95" t="s">
        <v>9</v>
      </c>
      <c r="AE552" s="95" t="s">
        <v>9</v>
      </c>
      <c r="AF552" s="125">
        <v>1</v>
      </c>
      <c r="AG552" s="95">
        <v>1</v>
      </c>
      <c r="AH552" s="95">
        <v>1</v>
      </c>
      <c r="AI552" s="95">
        <v>1</v>
      </c>
      <c r="AJ552" s="95">
        <v>1</v>
      </c>
      <c r="AK552" s="95">
        <v>1</v>
      </c>
      <c r="AL552" s="95">
        <v>1</v>
      </c>
      <c r="AM552" s="95" t="s">
        <v>9</v>
      </c>
      <c r="AN552" s="125"/>
      <c r="AO552" s="95"/>
      <c r="AP552" s="79">
        <v>23</v>
      </c>
      <c r="AQ552" s="85">
        <f t="shared" si="24"/>
        <v>23</v>
      </c>
      <c r="AR552" s="19" t="s">
        <v>303</v>
      </c>
      <c r="AS552"/>
      <c r="AT552" s="67">
        <f t="shared" si="25"/>
        <v>0</v>
      </c>
      <c r="AU552" s="67">
        <f t="shared" si="26"/>
        <v>3</v>
      </c>
      <c r="AV552" s="66"/>
      <c r="AW552" s="12"/>
      <c r="AZ552" s="12">
        <v>1</v>
      </c>
      <c r="BA552" s="12">
        <v>1</v>
      </c>
      <c r="BB552" s="12">
        <v>1</v>
      </c>
      <c r="BV552" s="12">
        <v>1</v>
      </c>
      <c r="BY552" s="12">
        <v>1</v>
      </c>
      <c r="CK552"/>
      <c r="CX552">
        <v>527</v>
      </c>
    </row>
    <row r="553" spans="1:103">
      <c r="A553" s="8">
        <v>528</v>
      </c>
      <c r="B553" s="8" t="s">
        <v>12</v>
      </c>
      <c r="C553" s="8" t="s">
        <v>75</v>
      </c>
      <c r="D553" s="8" t="s">
        <v>12</v>
      </c>
      <c r="E553" s="8" t="s">
        <v>6</v>
      </c>
      <c r="F553" s="8">
        <v>29</v>
      </c>
      <c r="G553" s="8">
        <v>31</v>
      </c>
      <c r="H553" s="8">
        <v>32</v>
      </c>
      <c r="I553" s="124">
        <v>1</v>
      </c>
      <c r="J553" s="95">
        <v>1</v>
      </c>
      <c r="K553" s="95">
        <v>1</v>
      </c>
      <c r="L553" s="95" t="s">
        <v>9</v>
      </c>
      <c r="M553" s="95">
        <v>1</v>
      </c>
      <c r="N553" s="95">
        <v>1</v>
      </c>
      <c r="O553" s="95">
        <v>1</v>
      </c>
      <c r="P553" s="125">
        <v>1</v>
      </c>
      <c r="Q553" s="124">
        <v>1</v>
      </c>
      <c r="R553" s="95" t="s">
        <v>9</v>
      </c>
      <c r="S553" s="95">
        <v>1</v>
      </c>
      <c r="T553" s="95">
        <v>1</v>
      </c>
      <c r="U553" s="95">
        <v>1</v>
      </c>
      <c r="V553" s="95">
        <v>1</v>
      </c>
      <c r="W553" s="95">
        <v>1</v>
      </c>
      <c r="X553" s="125">
        <v>1</v>
      </c>
      <c r="Y553" s="124">
        <v>1</v>
      </c>
      <c r="Z553" s="95">
        <v>1</v>
      </c>
      <c r="AA553" s="95" t="s">
        <v>10</v>
      </c>
      <c r="AB553" s="95">
        <v>1</v>
      </c>
      <c r="AC553" s="95">
        <v>1</v>
      </c>
      <c r="AD553" s="95">
        <v>1</v>
      </c>
      <c r="AE553" s="95">
        <v>1</v>
      </c>
      <c r="AF553" s="125">
        <v>1</v>
      </c>
      <c r="AG553" s="95">
        <v>1</v>
      </c>
      <c r="AH553" s="95">
        <v>1</v>
      </c>
      <c r="AI553" s="95">
        <v>1</v>
      </c>
      <c r="AJ553" s="95">
        <v>1</v>
      </c>
      <c r="AK553" s="95">
        <v>1</v>
      </c>
      <c r="AL553" s="95">
        <v>1</v>
      </c>
      <c r="AM553" s="95">
        <v>1</v>
      </c>
      <c r="AN553" s="125">
        <v>1</v>
      </c>
      <c r="AO553" s="95"/>
      <c r="AP553" s="79">
        <v>29</v>
      </c>
      <c r="AQ553" s="85">
        <f t="shared" si="24"/>
        <v>29</v>
      </c>
      <c r="AR553" s="19"/>
      <c r="AS553"/>
      <c r="AT553" s="67">
        <f t="shared" si="25"/>
        <v>1</v>
      </c>
      <c r="AU553" s="67">
        <f t="shared" si="26"/>
        <v>2</v>
      </c>
      <c r="AV553" s="66"/>
      <c r="AW553" s="12"/>
      <c r="AY553" s="12">
        <v>1</v>
      </c>
      <c r="BA553" s="12">
        <v>1</v>
      </c>
      <c r="BB553" s="12">
        <v>1</v>
      </c>
      <c r="BL553" s="12">
        <v>1</v>
      </c>
      <c r="BM553" s="12">
        <v>1</v>
      </c>
      <c r="BZ553" s="12">
        <v>1</v>
      </c>
      <c r="CK553"/>
      <c r="CX553">
        <v>528</v>
      </c>
    </row>
    <row r="554" spans="1:103">
      <c r="A554" s="8">
        <v>529</v>
      </c>
      <c r="B554" s="8" t="s">
        <v>12</v>
      </c>
      <c r="C554" s="8" t="s">
        <v>62</v>
      </c>
      <c r="D554" s="8" t="s">
        <v>42</v>
      </c>
      <c r="E554" s="8" t="s">
        <v>77</v>
      </c>
      <c r="F554" s="8">
        <v>25</v>
      </c>
      <c r="G554" s="8">
        <v>27</v>
      </c>
      <c r="H554" s="8">
        <v>28</v>
      </c>
      <c r="I554" s="124"/>
      <c r="J554" s="95">
        <v>1</v>
      </c>
      <c r="K554" s="95">
        <v>1</v>
      </c>
      <c r="L554" s="95">
        <v>1</v>
      </c>
      <c r="M554" s="95">
        <v>1</v>
      </c>
      <c r="N554" s="95">
        <v>1</v>
      </c>
      <c r="O554" s="95">
        <v>1</v>
      </c>
      <c r="P554" s="125">
        <v>1</v>
      </c>
      <c r="Q554" s="124">
        <v>1</v>
      </c>
      <c r="R554" s="95" t="s">
        <v>9</v>
      </c>
      <c r="S554" s="95" t="s">
        <v>9</v>
      </c>
      <c r="T554" s="95">
        <v>1</v>
      </c>
      <c r="U554" s="95">
        <v>1</v>
      </c>
      <c r="V554" s="95">
        <v>1</v>
      </c>
      <c r="W554" s="95">
        <v>1</v>
      </c>
      <c r="X554" s="125"/>
      <c r="Y554" s="124"/>
      <c r="Z554" s="95">
        <v>1</v>
      </c>
      <c r="AA554" s="95" t="s">
        <v>10</v>
      </c>
      <c r="AB554" s="95">
        <v>1</v>
      </c>
      <c r="AC554" s="95">
        <v>1</v>
      </c>
      <c r="AD554" s="95">
        <v>1</v>
      </c>
      <c r="AE554" s="95">
        <v>1</v>
      </c>
      <c r="AF554" s="125">
        <v>1</v>
      </c>
      <c r="AG554" s="95">
        <v>1</v>
      </c>
      <c r="AH554" s="95">
        <v>1</v>
      </c>
      <c r="AI554" s="95">
        <v>1</v>
      </c>
      <c r="AJ554" s="95">
        <v>1</v>
      </c>
      <c r="AK554" s="95">
        <v>1</v>
      </c>
      <c r="AL554" s="95">
        <v>1</v>
      </c>
      <c r="AM554" s="95">
        <v>1</v>
      </c>
      <c r="AN554" s="125"/>
      <c r="AO554" s="95"/>
      <c r="AP554" s="79">
        <v>25</v>
      </c>
      <c r="AQ554" s="85">
        <f t="shared" si="24"/>
        <v>25</v>
      </c>
      <c r="AR554" s="19"/>
      <c r="AS554"/>
      <c r="AT554" s="67">
        <f t="shared" si="25"/>
        <v>1</v>
      </c>
      <c r="AU554" s="67">
        <f t="shared" si="26"/>
        <v>2</v>
      </c>
      <c r="AV554" s="66"/>
      <c r="AW554" s="12">
        <v>1</v>
      </c>
      <c r="AX554" s="12">
        <v>1</v>
      </c>
      <c r="AY554" s="12">
        <v>1</v>
      </c>
      <c r="AZ554" s="12">
        <v>1</v>
      </c>
      <c r="BA554" s="12">
        <v>1</v>
      </c>
      <c r="BD554" s="12">
        <v>1</v>
      </c>
      <c r="BK554" s="12">
        <v>1</v>
      </c>
      <c r="BQ554" s="12">
        <v>4</v>
      </c>
      <c r="BR554" s="12">
        <v>1</v>
      </c>
      <c r="BV554" s="12">
        <v>1</v>
      </c>
      <c r="BW554" s="12">
        <v>1</v>
      </c>
      <c r="BX554" s="12">
        <v>1</v>
      </c>
      <c r="BY554" s="12">
        <v>1</v>
      </c>
      <c r="BZ554" s="12">
        <v>1</v>
      </c>
      <c r="CK554"/>
      <c r="CX554">
        <v>529</v>
      </c>
      <c r="CY554" t="s">
        <v>304</v>
      </c>
    </row>
    <row r="555" spans="1:103">
      <c r="A555" s="8">
        <v>530</v>
      </c>
      <c r="B555" s="8" t="s">
        <v>13</v>
      </c>
      <c r="C555" s="8" t="s">
        <v>63</v>
      </c>
      <c r="D555" s="8" t="s">
        <v>346</v>
      </c>
      <c r="E555" s="8" t="s">
        <v>15</v>
      </c>
      <c r="F555" s="8">
        <v>3</v>
      </c>
      <c r="G555" s="8">
        <v>12</v>
      </c>
      <c r="H555" s="8">
        <v>12</v>
      </c>
      <c r="I555" s="124"/>
      <c r="J555" s="95"/>
      <c r="K555" s="95" t="s">
        <v>49</v>
      </c>
      <c r="L555" s="95" t="s">
        <v>49</v>
      </c>
      <c r="M555" s="95">
        <v>1</v>
      </c>
      <c r="N555" s="95" t="s">
        <v>49</v>
      </c>
      <c r="O555" s="95" t="s">
        <v>9</v>
      </c>
      <c r="P555" s="125" t="s">
        <v>9</v>
      </c>
      <c r="Q555" s="124" t="s">
        <v>9</v>
      </c>
      <c r="R555" s="95" t="s">
        <v>9</v>
      </c>
      <c r="S555" s="95" t="s">
        <v>49</v>
      </c>
      <c r="T555" s="95">
        <v>1</v>
      </c>
      <c r="U555" s="95" t="s">
        <v>49</v>
      </c>
      <c r="V555" s="95" t="s">
        <v>49</v>
      </c>
      <c r="W555" s="95"/>
      <c r="X555" s="125"/>
      <c r="Y555" s="124"/>
      <c r="Z555" s="95"/>
      <c r="AA555" s="95" t="s">
        <v>49</v>
      </c>
      <c r="AB555" s="95" t="s">
        <v>49</v>
      </c>
      <c r="AC555" s="95">
        <v>1</v>
      </c>
      <c r="AD555" s="95" t="s">
        <v>49</v>
      </c>
      <c r="AE555" s="95" t="s">
        <v>9</v>
      </c>
      <c r="AF555" s="125" t="s">
        <v>9</v>
      </c>
      <c r="AG555" s="95" t="s">
        <v>9</v>
      </c>
      <c r="AH555" s="95" t="s">
        <v>9</v>
      </c>
      <c r="AI555" s="95" t="s">
        <v>49</v>
      </c>
      <c r="AJ555" s="95" t="s">
        <v>9</v>
      </c>
      <c r="AK555" s="95" t="s">
        <v>49</v>
      </c>
      <c r="AL555" s="95" t="s">
        <v>49</v>
      </c>
      <c r="AM555" s="95"/>
      <c r="AN555" s="125"/>
      <c r="AO555" s="95">
        <v>3</v>
      </c>
      <c r="AP555" s="79"/>
      <c r="AQ555" s="85">
        <f t="shared" si="24"/>
        <v>3</v>
      </c>
      <c r="AR555" s="19"/>
      <c r="AS555"/>
      <c r="AT555" s="67">
        <f t="shared" si="25"/>
        <v>0</v>
      </c>
      <c r="AU555" s="67">
        <f t="shared" si="26"/>
        <v>9</v>
      </c>
      <c r="AV555" s="66"/>
      <c r="AW555" s="12"/>
      <c r="CK555"/>
      <c r="CX555">
        <v>530</v>
      </c>
    </row>
    <row r="556" spans="1:103">
      <c r="A556" s="8">
        <v>531</v>
      </c>
      <c r="B556" s="8" t="s">
        <v>13</v>
      </c>
      <c r="C556" s="8" t="s">
        <v>54</v>
      </c>
      <c r="D556" s="8" t="s">
        <v>345</v>
      </c>
      <c r="E556" s="8" t="s">
        <v>15</v>
      </c>
      <c r="F556" s="8">
        <v>8</v>
      </c>
      <c r="G556" s="8">
        <v>8</v>
      </c>
      <c r="H556" s="8">
        <v>8</v>
      </c>
      <c r="I556" s="124"/>
      <c r="J556" s="95"/>
      <c r="K556" s="95" t="s">
        <v>49</v>
      </c>
      <c r="L556" s="95" t="s">
        <v>49</v>
      </c>
      <c r="M556" s="95" t="s">
        <v>49</v>
      </c>
      <c r="N556" s="95" t="s">
        <v>49</v>
      </c>
      <c r="O556" s="95">
        <v>1</v>
      </c>
      <c r="P556" s="125">
        <v>1</v>
      </c>
      <c r="Q556" s="124">
        <v>1</v>
      </c>
      <c r="R556" s="95">
        <v>1</v>
      </c>
      <c r="S556" s="95" t="s">
        <v>49</v>
      </c>
      <c r="T556" s="95" t="s">
        <v>49</v>
      </c>
      <c r="U556" s="95" t="s">
        <v>49</v>
      </c>
      <c r="V556" s="95" t="s">
        <v>49</v>
      </c>
      <c r="W556" s="95"/>
      <c r="X556" s="125"/>
      <c r="Y556" s="124"/>
      <c r="Z556" s="95"/>
      <c r="AA556" s="95" t="s">
        <v>49</v>
      </c>
      <c r="AB556" s="95" t="s">
        <v>49</v>
      </c>
      <c r="AC556" s="95" t="s">
        <v>49</v>
      </c>
      <c r="AD556" s="95" t="s">
        <v>49</v>
      </c>
      <c r="AE556" s="95">
        <v>1</v>
      </c>
      <c r="AF556" s="125">
        <v>1</v>
      </c>
      <c r="AG556" s="95">
        <v>1</v>
      </c>
      <c r="AH556" s="95">
        <v>1</v>
      </c>
      <c r="AI556" s="95" t="s">
        <v>49</v>
      </c>
      <c r="AJ556" s="95" t="s">
        <v>49</v>
      </c>
      <c r="AK556" s="95" t="s">
        <v>49</v>
      </c>
      <c r="AL556" s="95" t="s">
        <v>49</v>
      </c>
      <c r="AM556" s="95"/>
      <c r="AN556" s="125"/>
      <c r="AO556" s="95">
        <v>8</v>
      </c>
      <c r="AP556" s="79"/>
      <c r="AQ556" s="85">
        <f t="shared" si="24"/>
        <v>8</v>
      </c>
      <c r="AR556" s="19"/>
      <c r="AS556">
        <v>1</v>
      </c>
      <c r="AT556" s="67">
        <f t="shared" si="25"/>
        <v>0</v>
      </c>
      <c r="AU556" s="67">
        <f t="shared" si="26"/>
        <v>0</v>
      </c>
      <c r="AV556" s="66"/>
      <c r="AW556" s="12"/>
      <c r="CK556"/>
      <c r="CX556">
        <v>531</v>
      </c>
    </row>
    <row r="557" spans="1:103">
      <c r="A557" s="8">
        <v>532</v>
      </c>
      <c r="B557" s="8" t="s">
        <v>13</v>
      </c>
      <c r="C557" s="8" t="s">
        <v>80</v>
      </c>
      <c r="D557" s="8" t="s">
        <v>346</v>
      </c>
      <c r="E557" s="8" t="s">
        <v>15</v>
      </c>
      <c r="F557" s="8"/>
      <c r="G557" s="8"/>
      <c r="H557" s="8"/>
      <c r="I557" s="124"/>
      <c r="J557" s="95"/>
      <c r="K557" s="95"/>
      <c r="L557" s="95"/>
      <c r="M557" s="95"/>
      <c r="N557" s="95"/>
      <c r="O557" s="95"/>
      <c r="P557" s="125"/>
      <c r="Q557" s="124"/>
      <c r="R557" s="95"/>
      <c r="S557" s="95"/>
      <c r="T557" s="95"/>
      <c r="U557" s="95"/>
      <c r="V557" s="95"/>
      <c r="W557" s="95"/>
      <c r="X557" s="125"/>
      <c r="Y557" s="124"/>
      <c r="Z557" s="95"/>
      <c r="AA557" s="95"/>
      <c r="AB557" s="95"/>
      <c r="AC557" s="95"/>
      <c r="AD557" s="95"/>
      <c r="AE557" s="95"/>
      <c r="AF557" s="125"/>
      <c r="AG557" s="95"/>
      <c r="AH557" s="95"/>
      <c r="AI557" s="95"/>
      <c r="AJ557" s="95"/>
      <c r="AK557" s="95"/>
      <c r="AL557" s="95"/>
      <c r="AM557" s="95"/>
      <c r="AN557" s="125"/>
      <c r="AO557" s="95"/>
      <c r="AP557" s="79"/>
      <c r="AQ557" s="85">
        <f t="shared" si="24"/>
        <v>0</v>
      </c>
      <c r="AR557" s="19"/>
      <c r="AS557"/>
      <c r="AT557" s="67">
        <f t="shared" si="25"/>
        <v>0</v>
      </c>
      <c r="AU557" s="67">
        <f t="shared" si="26"/>
        <v>0</v>
      </c>
      <c r="AV557" s="66"/>
      <c r="AW557" s="12"/>
      <c r="CK557"/>
      <c r="CX557">
        <v>532</v>
      </c>
    </row>
    <row r="558" spans="1:103">
      <c r="A558" s="8">
        <v>534</v>
      </c>
      <c r="B558" s="8" t="s">
        <v>12</v>
      </c>
      <c r="C558" s="8" t="s">
        <v>40</v>
      </c>
      <c r="D558" s="8" t="s">
        <v>40</v>
      </c>
      <c r="E558" s="8" t="s">
        <v>77</v>
      </c>
      <c r="F558" s="8"/>
      <c r="G558" s="8"/>
      <c r="H558" s="8"/>
      <c r="I558" s="124"/>
      <c r="J558" s="95"/>
      <c r="K558" s="95"/>
      <c r="L558" s="95"/>
      <c r="M558" s="95"/>
      <c r="N558" s="95"/>
      <c r="O558" s="95"/>
      <c r="P558" s="125"/>
      <c r="Q558" s="124"/>
      <c r="R558" s="95"/>
      <c r="S558" s="95"/>
      <c r="T558" s="95"/>
      <c r="U558" s="95"/>
      <c r="V558" s="95"/>
      <c r="W558" s="95"/>
      <c r="X558" s="125"/>
      <c r="Y558" s="124"/>
      <c r="Z558" s="95"/>
      <c r="AA558" s="95"/>
      <c r="AB558" s="95"/>
      <c r="AC558" s="95"/>
      <c r="AD558" s="95"/>
      <c r="AE558" s="95"/>
      <c r="AF558" s="125"/>
      <c r="AG558" s="95"/>
      <c r="AH558" s="95"/>
      <c r="AI558" s="95"/>
      <c r="AJ558" s="95"/>
      <c r="AK558" s="95"/>
      <c r="AL558" s="95"/>
      <c r="AM558" s="95"/>
      <c r="AN558" s="125"/>
      <c r="AO558" s="95"/>
      <c r="AP558" s="79"/>
      <c r="AQ558" s="85">
        <f t="shared" si="24"/>
        <v>0</v>
      </c>
      <c r="AR558" s="19"/>
      <c r="AS558"/>
      <c r="AT558" s="67">
        <f t="shared" si="25"/>
        <v>0</v>
      </c>
      <c r="AU558" s="67">
        <f t="shared" si="26"/>
        <v>0</v>
      </c>
      <c r="AV558" s="66"/>
      <c r="AW558" s="12"/>
      <c r="BS558" s="12">
        <v>1</v>
      </c>
      <c r="CK558"/>
      <c r="CX558">
        <v>534</v>
      </c>
    </row>
    <row r="559" spans="1:103">
      <c r="A559" s="8">
        <v>535</v>
      </c>
      <c r="B559" s="8" t="s">
        <v>12</v>
      </c>
      <c r="C559" s="8" t="s">
        <v>91</v>
      </c>
      <c r="D559" s="8" t="s">
        <v>366</v>
      </c>
      <c r="E559" s="8" t="s">
        <v>42</v>
      </c>
      <c r="F559" s="8"/>
      <c r="G559" s="8"/>
      <c r="H559" s="8"/>
      <c r="I559" s="124"/>
      <c r="J559" s="95"/>
      <c r="K559" s="95"/>
      <c r="L559" s="95"/>
      <c r="M559" s="95"/>
      <c r="N559" s="95"/>
      <c r="O559" s="95"/>
      <c r="P559" s="125"/>
      <c r="Q559" s="124"/>
      <c r="R559" s="95"/>
      <c r="S559" s="95"/>
      <c r="T559" s="95"/>
      <c r="U559" s="95"/>
      <c r="V559" s="95"/>
      <c r="W559" s="95"/>
      <c r="X559" s="125"/>
      <c r="Y559" s="124"/>
      <c r="Z559" s="95"/>
      <c r="AA559" s="95"/>
      <c r="AB559" s="95"/>
      <c r="AC559" s="95"/>
      <c r="AD559" s="95"/>
      <c r="AE559" s="95"/>
      <c r="AF559" s="125"/>
      <c r="AG559" s="95"/>
      <c r="AH559" s="95"/>
      <c r="AI559" s="95"/>
      <c r="AJ559" s="95"/>
      <c r="AK559" s="95"/>
      <c r="AL559" s="95"/>
      <c r="AM559" s="95"/>
      <c r="AN559" s="125"/>
      <c r="AO559" s="95"/>
      <c r="AP559" s="79"/>
      <c r="AQ559" s="85">
        <f t="shared" si="24"/>
        <v>0</v>
      </c>
      <c r="AR559" s="19"/>
      <c r="AS559"/>
      <c r="AT559" s="67">
        <f t="shared" si="25"/>
        <v>0</v>
      </c>
      <c r="AU559" s="67">
        <f t="shared" si="26"/>
        <v>0</v>
      </c>
      <c r="AV559" s="66"/>
      <c r="AW559" s="12"/>
      <c r="BK559" s="12">
        <v>1</v>
      </c>
      <c r="CK559"/>
      <c r="CX559">
        <v>535</v>
      </c>
    </row>
    <row r="560" spans="1:103">
      <c r="A560" s="8">
        <v>536</v>
      </c>
      <c r="B560" s="8" t="s">
        <v>12</v>
      </c>
      <c r="C560" s="8" t="s">
        <v>40</v>
      </c>
      <c r="D560" s="8" t="s">
        <v>40</v>
      </c>
      <c r="E560" s="8" t="s">
        <v>15</v>
      </c>
      <c r="F560" s="8"/>
      <c r="G560" s="8"/>
      <c r="H560" s="8"/>
      <c r="I560" s="124"/>
      <c r="J560" s="95"/>
      <c r="K560" s="95"/>
      <c r="L560" s="95"/>
      <c r="M560" s="95"/>
      <c r="N560" s="95"/>
      <c r="O560" s="95"/>
      <c r="P560" s="125"/>
      <c r="Q560" s="124"/>
      <c r="R560" s="95"/>
      <c r="S560" s="95"/>
      <c r="T560" s="95"/>
      <c r="U560" s="95"/>
      <c r="V560" s="95"/>
      <c r="W560" s="95"/>
      <c r="X560" s="125"/>
      <c r="Y560" s="124"/>
      <c r="Z560" s="95"/>
      <c r="AA560" s="95"/>
      <c r="AB560" s="95"/>
      <c r="AC560" s="95"/>
      <c r="AD560" s="95"/>
      <c r="AE560" s="95"/>
      <c r="AF560" s="125"/>
      <c r="AG560" s="95"/>
      <c r="AH560" s="95"/>
      <c r="AI560" s="95"/>
      <c r="AJ560" s="95"/>
      <c r="AK560" s="95"/>
      <c r="AL560" s="95"/>
      <c r="AM560" s="95"/>
      <c r="AN560" s="125"/>
      <c r="AO560" s="95"/>
      <c r="AP560" s="79"/>
      <c r="AQ560" s="85">
        <f t="shared" si="24"/>
        <v>0</v>
      </c>
      <c r="AR560" s="19"/>
      <c r="AS560"/>
      <c r="AT560" s="67">
        <f t="shared" si="25"/>
        <v>0</v>
      </c>
      <c r="AU560" s="67">
        <f t="shared" si="26"/>
        <v>0</v>
      </c>
      <c r="AV560" s="66"/>
      <c r="AW560" s="12"/>
      <c r="CK560"/>
      <c r="CX560">
        <v>536</v>
      </c>
    </row>
    <row r="561" spans="1:102">
      <c r="A561" s="8">
        <v>537</v>
      </c>
      <c r="B561" s="8" t="s">
        <v>12</v>
      </c>
      <c r="C561" s="8" t="s">
        <v>40</v>
      </c>
      <c r="D561" s="8" t="s">
        <v>40</v>
      </c>
      <c r="E561" s="8" t="s">
        <v>15</v>
      </c>
      <c r="F561" s="8"/>
      <c r="G561" s="8"/>
      <c r="H561" s="8"/>
      <c r="I561" s="124"/>
      <c r="J561" s="95"/>
      <c r="K561" s="95"/>
      <c r="L561" s="95"/>
      <c r="M561" s="95"/>
      <c r="N561" s="95"/>
      <c r="O561" s="95"/>
      <c r="P561" s="125"/>
      <c r="Q561" s="124"/>
      <c r="R561" s="95"/>
      <c r="S561" s="95"/>
      <c r="T561" s="95"/>
      <c r="U561" s="95"/>
      <c r="V561" s="95"/>
      <c r="W561" s="95"/>
      <c r="X561" s="125"/>
      <c r="Y561" s="124"/>
      <c r="Z561" s="95"/>
      <c r="AA561" s="95"/>
      <c r="AB561" s="95"/>
      <c r="AC561" s="95"/>
      <c r="AD561" s="95"/>
      <c r="AE561" s="95"/>
      <c r="AF561" s="125"/>
      <c r="AG561" s="95"/>
      <c r="AH561" s="95"/>
      <c r="AI561" s="95"/>
      <c r="AJ561" s="95"/>
      <c r="AK561" s="95"/>
      <c r="AL561" s="95"/>
      <c r="AM561" s="95"/>
      <c r="AN561" s="125"/>
      <c r="AO561" s="95"/>
      <c r="AP561" s="79"/>
      <c r="AQ561" s="85">
        <f t="shared" si="24"/>
        <v>0</v>
      </c>
      <c r="AR561" s="19"/>
      <c r="AS561"/>
      <c r="AT561" s="67">
        <f t="shared" si="25"/>
        <v>0</v>
      </c>
      <c r="AU561" s="67">
        <f t="shared" si="26"/>
        <v>0</v>
      </c>
      <c r="AV561" s="66"/>
      <c r="AW561" s="12"/>
      <c r="CK561"/>
      <c r="CX561">
        <v>537</v>
      </c>
    </row>
    <row r="562" spans="1:102">
      <c r="A562" s="8">
        <v>539</v>
      </c>
      <c r="B562" s="8" t="s">
        <v>12</v>
      </c>
      <c r="C562" s="8" t="s">
        <v>240</v>
      </c>
      <c r="D562" s="8" t="s">
        <v>42</v>
      </c>
      <c r="E562" s="8" t="s">
        <v>42</v>
      </c>
      <c r="F562" s="8">
        <v>30</v>
      </c>
      <c r="G562" s="8">
        <v>31</v>
      </c>
      <c r="H562" s="8">
        <v>32</v>
      </c>
      <c r="I562" s="124">
        <v>1</v>
      </c>
      <c r="J562" s="95">
        <v>1</v>
      </c>
      <c r="K562" s="95">
        <v>1</v>
      </c>
      <c r="L562" s="95">
        <v>1</v>
      </c>
      <c r="M562" s="95">
        <v>1</v>
      </c>
      <c r="N562" s="95">
        <v>1</v>
      </c>
      <c r="O562" s="95">
        <v>1</v>
      </c>
      <c r="P562" s="125" t="s">
        <v>9</v>
      </c>
      <c r="Q562" s="124">
        <v>1</v>
      </c>
      <c r="R562" s="95">
        <v>1</v>
      </c>
      <c r="S562" s="95">
        <v>1</v>
      </c>
      <c r="T562" s="95">
        <v>1</v>
      </c>
      <c r="U562" s="95">
        <v>1</v>
      </c>
      <c r="V562" s="95">
        <v>1</v>
      </c>
      <c r="W562" s="95">
        <v>1</v>
      </c>
      <c r="X562" s="125">
        <v>1</v>
      </c>
      <c r="Y562" s="124">
        <v>1</v>
      </c>
      <c r="Z562" s="95">
        <v>1</v>
      </c>
      <c r="AA562" s="95">
        <v>1</v>
      </c>
      <c r="AB562" s="95">
        <v>1</v>
      </c>
      <c r="AC562" s="95">
        <v>1</v>
      </c>
      <c r="AD562" s="95">
        <v>1</v>
      </c>
      <c r="AE562" s="95">
        <v>1</v>
      </c>
      <c r="AF562" s="125">
        <v>1</v>
      </c>
      <c r="AG562" s="95">
        <v>1</v>
      </c>
      <c r="AH562" s="95">
        <v>1</v>
      </c>
      <c r="AI562" s="95">
        <v>1</v>
      </c>
      <c r="AJ562" s="95">
        <v>1</v>
      </c>
      <c r="AK562" s="95" t="s">
        <v>10</v>
      </c>
      <c r="AL562" s="95">
        <v>1</v>
      </c>
      <c r="AM562" s="95">
        <v>1</v>
      </c>
      <c r="AN562" s="125">
        <v>1</v>
      </c>
      <c r="AO562" s="95"/>
      <c r="AP562" s="79">
        <v>30</v>
      </c>
      <c r="AQ562" s="85">
        <f t="shared" si="24"/>
        <v>30</v>
      </c>
      <c r="AR562" s="19" t="s">
        <v>305</v>
      </c>
      <c r="AS562"/>
      <c r="AT562" s="67">
        <f t="shared" si="25"/>
        <v>1</v>
      </c>
      <c r="AU562" s="67">
        <f t="shared" si="26"/>
        <v>1</v>
      </c>
      <c r="AV562" s="66"/>
      <c r="AW562" s="12">
        <v>1</v>
      </c>
      <c r="AX562" s="12">
        <v>1</v>
      </c>
      <c r="AY562" s="12">
        <v>1</v>
      </c>
      <c r="BA562" s="12">
        <v>1</v>
      </c>
      <c r="BB562" s="12">
        <v>1</v>
      </c>
      <c r="BG562" s="12">
        <v>2</v>
      </c>
      <c r="BO562" s="12">
        <v>5</v>
      </c>
      <c r="BQ562" s="12">
        <v>1</v>
      </c>
      <c r="BW562" s="12">
        <v>1</v>
      </c>
      <c r="BY562" s="12">
        <v>1</v>
      </c>
      <c r="CK562"/>
      <c r="CX562">
        <v>539</v>
      </c>
    </row>
    <row r="563" spans="1:102">
      <c r="A563" s="8">
        <v>540</v>
      </c>
      <c r="B563" s="8" t="s">
        <v>12</v>
      </c>
      <c r="C563" s="8" t="s">
        <v>240</v>
      </c>
      <c r="D563" s="8" t="s">
        <v>42</v>
      </c>
      <c r="E563" s="8" t="s">
        <v>42</v>
      </c>
      <c r="F563" s="8">
        <v>31</v>
      </c>
      <c r="G563" s="8">
        <v>31</v>
      </c>
      <c r="H563" s="8">
        <v>31</v>
      </c>
      <c r="I563" s="124">
        <v>1</v>
      </c>
      <c r="J563" s="95">
        <v>1</v>
      </c>
      <c r="K563" s="95">
        <v>1</v>
      </c>
      <c r="L563" s="95">
        <v>1</v>
      </c>
      <c r="M563" s="95">
        <v>1</v>
      </c>
      <c r="N563" s="95">
        <v>1</v>
      </c>
      <c r="O563" s="95">
        <v>1</v>
      </c>
      <c r="P563" s="125">
        <v>1</v>
      </c>
      <c r="Q563" s="124">
        <v>1</v>
      </c>
      <c r="R563" s="95">
        <v>1</v>
      </c>
      <c r="S563" s="95">
        <v>1</v>
      </c>
      <c r="T563" s="95">
        <v>1</v>
      </c>
      <c r="U563" s="95">
        <v>1</v>
      </c>
      <c r="V563" s="95">
        <v>1</v>
      </c>
      <c r="W563" s="95">
        <v>1</v>
      </c>
      <c r="X563" s="125">
        <v>1</v>
      </c>
      <c r="Y563" s="124"/>
      <c r="Z563" s="95">
        <v>1</v>
      </c>
      <c r="AA563" s="95">
        <v>1</v>
      </c>
      <c r="AB563" s="95">
        <v>1</v>
      </c>
      <c r="AC563" s="95">
        <v>1</v>
      </c>
      <c r="AD563" s="95">
        <v>1</v>
      </c>
      <c r="AE563" s="95">
        <v>1</v>
      </c>
      <c r="AF563" s="125">
        <v>1</v>
      </c>
      <c r="AG563" s="95">
        <v>1</v>
      </c>
      <c r="AH563" s="95">
        <v>1</v>
      </c>
      <c r="AI563" s="95">
        <v>1</v>
      </c>
      <c r="AJ563" s="95">
        <v>1</v>
      </c>
      <c r="AK563" s="95">
        <v>1</v>
      </c>
      <c r="AL563" s="95">
        <v>1</v>
      </c>
      <c r="AM563" s="95">
        <v>1</v>
      </c>
      <c r="AN563" s="125">
        <v>1</v>
      </c>
      <c r="AO563" s="95"/>
      <c r="AP563" s="79">
        <v>31</v>
      </c>
      <c r="AQ563" s="85">
        <f t="shared" si="24"/>
        <v>31</v>
      </c>
      <c r="AR563" s="19" t="s">
        <v>306</v>
      </c>
      <c r="AS563">
        <v>1</v>
      </c>
      <c r="AT563" s="67">
        <f t="shared" si="25"/>
        <v>0</v>
      </c>
      <c r="AU563" s="67">
        <f t="shared" si="26"/>
        <v>0</v>
      </c>
      <c r="AV563" s="66"/>
      <c r="AW563" s="12">
        <v>1</v>
      </c>
      <c r="AX563" s="12">
        <v>1</v>
      </c>
      <c r="AZ563" s="12">
        <v>1</v>
      </c>
      <c r="BA563" s="12">
        <v>1</v>
      </c>
      <c r="BB563" s="12">
        <v>1</v>
      </c>
      <c r="BK563" s="12">
        <v>1</v>
      </c>
      <c r="BQ563" s="12">
        <v>4</v>
      </c>
      <c r="BV563" s="12">
        <v>1</v>
      </c>
      <c r="BW563" s="12">
        <v>1</v>
      </c>
      <c r="BY563" s="12">
        <v>1</v>
      </c>
      <c r="CK563"/>
      <c r="CX563">
        <v>540</v>
      </c>
    </row>
    <row r="564" spans="1:102">
      <c r="A564" s="8">
        <v>542</v>
      </c>
      <c r="B564" s="8" t="s">
        <v>12</v>
      </c>
      <c r="C564" s="8" t="s">
        <v>41</v>
      </c>
      <c r="D564" s="8" t="s">
        <v>42</v>
      </c>
      <c r="E564" s="8" t="s">
        <v>42</v>
      </c>
      <c r="F564" s="8"/>
      <c r="G564" s="8"/>
      <c r="H564" s="8"/>
      <c r="I564" s="124"/>
      <c r="J564" s="95"/>
      <c r="K564" s="95"/>
      <c r="L564" s="95"/>
      <c r="M564" s="95"/>
      <c r="N564" s="95"/>
      <c r="O564" s="95"/>
      <c r="P564" s="125"/>
      <c r="Q564" s="124"/>
      <c r="R564" s="95"/>
      <c r="S564" s="95"/>
      <c r="T564" s="95"/>
      <c r="U564" s="95"/>
      <c r="V564" s="95"/>
      <c r="W564" s="95"/>
      <c r="X564" s="125"/>
      <c r="Y564" s="124"/>
      <c r="Z564" s="95"/>
      <c r="AA564" s="95"/>
      <c r="AB564" s="95"/>
      <c r="AC564" s="95"/>
      <c r="AD564" s="95"/>
      <c r="AE564" s="95"/>
      <c r="AF564" s="125"/>
      <c r="AG564" s="95"/>
      <c r="AH564" s="95"/>
      <c r="AI564" s="95"/>
      <c r="AJ564" s="95"/>
      <c r="AK564" s="95"/>
      <c r="AL564" s="95"/>
      <c r="AM564" s="95"/>
      <c r="AN564" s="125"/>
      <c r="AO564" s="95"/>
      <c r="AP564" s="79"/>
      <c r="AQ564" s="85">
        <f t="shared" si="24"/>
        <v>0</v>
      </c>
      <c r="AR564" s="19"/>
      <c r="AS564"/>
      <c r="AT564" s="67">
        <f t="shared" si="25"/>
        <v>0</v>
      </c>
      <c r="AU564" s="67">
        <f t="shared" si="26"/>
        <v>0</v>
      </c>
      <c r="AV564" s="66"/>
      <c r="AW564" s="12"/>
      <c r="BS564" s="12">
        <v>1</v>
      </c>
      <c r="CK564"/>
      <c r="CX564">
        <v>542</v>
      </c>
    </row>
    <row r="565" spans="1:102">
      <c r="A565" s="8">
        <v>543</v>
      </c>
      <c r="B565" s="8" t="s">
        <v>13</v>
      </c>
      <c r="C565" s="8" t="s">
        <v>99</v>
      </c>
      <c r="D565" s="8" t="s">
        <v>346</v>
      </c>
      <c r="E565" s="8" t="s">
        <v>15</v>
      </c>
      <c r="F565" s="8"/>
      <c r="G565" s="8"/>
      <c r="H565" s="8"/>
      <c r="I565" s="124"/>
      <c r="J565" s="95"/>
      <c r="K565" s="95"/>
      <c r="L565" s="95"/>
      <c r="M565" s="95"/>
      <c r="N565" s="95"/>
      <c r="O565" s="95"/>
      <c r="P565" s="125"/>
      <c r="Q565" s="124"/>
      <c r="R565" s="95"/>
      <c r="S565" s="95"/>
      <c r="T565" s="95"/>
      <c r="U565" s="95"/>
      <c r="V565" s="95"/>
      <c r="W565" s="95"/>
      <c r="X565" s="125"/>
      <c r="Y565" s="124"/>
      <c r="Z565" s="95"/>
      <c r="AA565" s="95"/>
      <c r="AB565" s="95"/>
      <c r="AC565" s="95"/>
      <c r="AD565" s="95"/>
      <c r="AE565" s="95"/>
      <c r="AF565" s="125"/>
      <c r="AG565" s="95"/>
      <c r="AH565" s="95"/>
      <c r="AI565" s="95"/>
      <c r="AJ565" s="95"/>
      <c r="AK565" s="95"/>
      <c r="AL565" s="95"/>
      <c r="AM565" s="95"/>
      <c r="AN565" s="125"/>
      <c r="AO565" s="95"/>
      <c r="AP565" s="79"/>
      <c r="AQ565" s="85">
        <f t="shared" si="24"/>
        <v>0</v>
      </c>
      <c r="AR565" s="19"/>
      <c r="AS565"/>
      <c r="AT565" s="67">
        <f t="shared" si="25"/>
        <v>0</v>
      </c>
      <c r="AU565" s="67">
        <f t="shared" si="26"/>
        <v>0</v>
      </c>
      <c r="AV565" s="66"/>
      <c r="AW565" s="12"/>
      <c r="CK565"/>
      <c r="CX565">
        <v>543</v>
      </c>
    </row>
    <row r="566" spans="1:102">
      <c r="A566" s="8">
        <v>544</v>
      </c>
      <c r="B566" s="8" t="s">
        <v>13</v>
      </c>
      <c r="C566" s="8" t="s">
        <v>54</v>
      </c>
      <c r="D566" s="8" t="s">
        <v>345</v>
      </c>
      <c r="E566" s="8" t="s">
        <v>15</v>
      </c>
      <c r="F566" s="8">
        <v>1</v>
      </c>
      <c r="G566" s="8" t="s">
        <v>15</v>
      </c>
      <c r="H566" s="8">
        <v>4</v>
      </c>
      <c r="I566" s="124"/>
      <c r="J566" s="95"/>
      <c r="K566" s="95"/>
      <c r="L566" s="95"/>
      <c r="M566" s="95"/>
      <c r="N566" s="95"/>
      <c r="O566" s="95"/>
      <c r="P566" s="125"/>
      <c r="Q566" s="124"/>
      <c r="R566" s="95"/>
      <c r="S566" s="95"/>
      <c r="T566" s="95"/>
      <c r="U566" s="95"/>
      <c r="V566" s="95"/>
      <c r="W566" s="95"/>
      <c r="X566" s="125"/>
      <c r="Y566" s="124"/>
      <c r="Z566" s="95"/>
      <c r="AA566" s="95" t="s">
        <v>49</v>
      </c>
      <c r="AB566" s="95" t="s">
        <v>49</v>
      </c>
      <c r="AC566" s="95" t="s">
        <v>49</v>
      </c>
      <c r="AD566" s="95" t="s">
        <v>49</v>
      </c>
      <c r="AE566" s="95" t="s">
        <v>9</v>
      </c>
      <c r="AF566" s="125">
        <v>1</v>
      </c>
      <c r="AG566" s="95"/>
      <c r="AH566" s="95"/>
      <c r="AI566" s="95"/>
      <c r="AJ566" s="95"/>
      <c r="AK566" s="95"/>
      <c r="AL566" s="95"/>
      <c r="AM566" s="95"/>
      <c r="AN566" s="125"/>
      <c r="AO566" s="95">
        <v>1</v>
      </c>
      <c r="AP566" s="79"/>
      <c r="AQ566" s="85">
        <f t="shared" si="24"/>
        <v>1</v>
      </c>
      <c r="AR566" s="19"/>
      <c r="AS566"/>
      <c r="AT566" s="67">
        <f t="shared" si="25"/>
        <v>0</v>
      </c>
      <c r="AU566" s="67">
        <f t="shared" si="26"/>
        <v>1</v>
      </c>
      <c r="AV566" s="66"/>
      <c r="AW566" s="12"/>
      <c r="CK566"/>
      <c r="CX566">
        <v>544</v>
      </c>
    </row>
    <row r="567" spans="1:102">
      <c r="A567" s="8">
        <v>545</v>
      </c>
      <c r="B567" s="8" t="s">
        <v>12</v>
      </c>
      <c r="C567" s="8" t="s">
        <v>40</v>
      </c>
      <c r="D567" s="8" t="s">
        <v>40</v>
      </c>
      <c r="E567" s="8" t="s">
        <v>42</v>
      </c>
      <c r="F567" s="8"/>
      <c r="G567" s="8"/>
      <c r="H567" s="8"/>
      <c r="I567" s="124"/>
      <c r="J567" s="95"/>
      <c r="K567" s="95"/>
      <c r="L567" s="95"/>
      <c r="M567" s="95"/>
      <c r="N567" s="95"/>
      <c r="O567" s="95"/>
      <c r="P567" s="125"/>
      <c r="Q567" s="124"/>
      <c r="R567" s="95"/>
      <c r="S567" s="95"/>
      <c r="T567" s="95"/>
      <c r="U567" s="95"/>
      <c r="V567" s="95"/>
      <c r="W567" s="95"/>
      <c r="X567" s="125"/>
      <c r="Y567" s="124"/>
      <c r="Z567" s="95"/>
      <c r="AA567" s="95"/>
      <c r="AB567" s="95"/>
      <c r="AC567" s="95"/>
      <c r="AD567" s="95"/>
      <c r="AE567" s="95"/>
      <c r="AF567" s="125"/>
      <c r="AG567" s="95"/>
      <c r="AH567" s="95"/>
      <c r="AI567" s="95"/>
      <c r="AJ567" s="95"/>
      <c r="AK567" s="95"/>
      <c r="AL567" s="95"/>
      <c r="AM567" s="95"/>
      <c r="AN567" s="125"/>
      <c r="AO567" s="95"/>
      <c r="AP567" s="79"/>
      <c r="AQ567" s="85">
        <f t="shared" si="24"/>
        <v>0</v>
      </c>
      <c r="AR567" s="19"/>
      <c r="AS567"/>
      <c r="AT567" s="67">
        <f t="shared" si="25"/>
        <v>0</v>
      </c>
      <c r="AU567" s="67">
        <f t="shared" si="26"/>
        <v>0</v>
      </c>
      <c r="AV567" s="66"/>
      <c r="AW567" s="12"/>
      <c r="BP567" s="12">
        <v>1</v>
      </c>
      <c r="BV567" s="12">
        <v>1</v>
      </c>
      <c r="BY567" s="12">
        <v>1</v>
      </c>
      <c r="CK567"/>
      <c r="CX567">
        <v>545</v>
      </c>
    </row>
    <row r="568" spans="1:102">
      <c r="A568" s="8">
        <v>546</v>
      </c>
      <c r="B568" s="8" t="s">
        <v>13</v>
      </c>
      <c r="C568" s="54" t="s">
        <v>307</v>
      </c>
      <c r="D568" s="8" t="s">
        <v>345</v>
      </c>
      <c r="E568" s="8" t="s">
        <v>15</v>
      </c>
      <c r="F568" s="8"/>
      <c r="G568" s="8"/>
      <c r="H568" s="8"/>
      <c r="I568" s="124"/>
      <c r="J568" s="95"/>
      <c r="K568" s="95"/>
      <c r="L568" s="95"/>
      <c r="M568" s="95"/>
      <c r="N568" s="95"/>
      <c r="O568" s="95"/>
      <c r="P568" s="125"/>
      <c r="Q568" s="124"/>
      <c r="R568" s="95"/>
      <c r="S568" s="95"/>
      <c r="T568" s="95"/>
      <c r="U568" s="95"/>
      <c r="V568" s="95"/>
      <c r="W568" s="95"/>
      <c r="X568" s="125"/>
      <c r="Y568" s="124"/>
      <c r="Z568" s="95"/>
      <c r="AA568" s="95"/>
      <c r="AB568" s="95"/>
      <c r="AC568" s="95"/>
      <c r="AD568" s="95"/>
      <c r="AE568" s="95"/>
      <c r="AF568" s="125"/>
      <c r="AG568" s="95"/>
      <c r="AH568" s="95"/>
      <c r="AI568" s="95"/>
      <c r="AJ568" s="95"/>
      <c r="AK568" s="95"/>
      <c r="AL568" s="95"/>
      <c r="AM568" s="95"/>
      <c r="AN568" s="125"/>
      <c r="AO568" s="95"/>
      <c r="AP568" s="79"/>
      <c r="AQ568" s="85">
        <f t="shared" si="24"/>
        <v>0</v>
      </c>
      <c r="AR568" s="19"/>
      <c r="AS568"/>
      <c r="AT568" s="67">
        <f t="shared" si="25"/>
        <v>0</v>
      </c>
      <c r="AU568" s="67">
        <f t="shared" si="26"/>
        <v>0</v>
      </c>
      <c r="AV568" s="66"/>
      <c r="AW568" s="12"/>
      <c r="CK568"/>
      <c r="CX568">
        <v>546</v>
      </c>
    </row>
    <row r="569" spans="1:102">
      <c r="A569" s="8">
        <v>547</v>
      </c>
      <c r="B569" s="8" t="s">
        <v>13</v>
      </c>
      <c r="C569" s="8" t="s">
        <v>201</v>
      </c>
      <c r="D569" s="8" t="s">
        <v>357</v>
      </c>
      <c r="E569" s="8" t="s">
        <v>15</v>
      </c>
      <c r="F569" s="8">
        <v>28</v>
      </c>
      <c r="G569" s="8">
        <v>28</v>
      </c>
      <c r="H569" s="8">
        <v>28</v>
      </c>
      <c r="I569" s="124"/>
      <c r="J569" s="95">
        <v>1</v>
      </c>
      <c r="K569" s="95">
        <v>1</v>
      </c>
      <c r="L569" s="95">
        <v>1</v>
      </c>
      <c r="M569" s="95">
        <v>1</v>
      </c>
      <c r="N569" s="95">
        <v>1</v>
      </c>
      <c r="O569" s="95">
        <v>1</v>
      </c>
      <c r="P569" s="125">
        <v>1</v>
      </c>
      <c r="Q569" s="124">
        <v>1</v>
      </c>
      <c r="R569" s="95">
        <v>1</v>
      </c>
      <c r="S569" s="95">
        <v>1</v>
      </c>
      <c r="T569" s="95">
        <v>1</v>
      </c>
      <c r="U569" s="95">
        <v>1</v>
      </c>
      <c r="V569" s="95">
        <v>1</v>
      </c>
      <c r="W569" s="95">
        <v>1</v>
      </c>
      <c r="X569" s="125"/>
      <c r="Y569" s="124"/>
      <c r="Z569" s="95">
        <v>1</v>
      </c>
      <c r="AA569" s="95">
        <v>1</v>
      </c>
      <c r="AB569" s="95">
        <v>1</v>
      </c>
      <c r="AC569" s="95">
        <v>1</v>
      </c>
      <c r="AD569" s="95">
        <v>1</v>
      </c>
      <c r="AE569" s="95">
        <v>1</v>
      </c>
      <c r="AF569" s="125">
        <v>1</v>
      </c>
      <c r="AG569" s="95">
        <v>1</v>
      </c>
      <c r="AH569" s="95">
        <v>1</v>
      </c>
      <c r="AI569" s="95">
        <v>1</v>
      </c>
      <c r="AJ569" s="95">
        <v>1</v>
      </c>
      <c r="AK569" s="95">
        <v>1</v>
      </c>
      <c r="AL569" s="95">
        <v>1</v>
      </c>
      <c r="AM569" s="95">
        <v>1</v>
      </c>
      <c r="AN569" s="125"/>
      <c r="AO569" s="95"/>
      <c r="AP569" s="79">
        <v>28</v>
      </c>
      <c r="AQ569" s="85">
        <f t="shared" si="24"/>
        <v>28</v>
      </c>
      <c r="AR569" s="19" t="s">
        <v>308</v>
      </c>
      <c r="AS569">
        <v>1</v>
      </c>
      <c r="AT569" s="67">
        <f t="shared" si="25"/>
        <v>0</v>
      </c>
      <c r="AU569" s="67">
        <f t="shared" si="26"/>
        <v>0</v>
      </c>
      <c r="AV569" s="66"/>
      <c r="AW569" s="12"/>
      <c r="BA569" s="12">
        <v>1</v>
      </c>
      <c r="BV569" s="12">
        <v>1</v>
      </c>
      <c r="CK569"/>
      <c r="CX569">
        <v>547</v>
      </c>
    </row>
    <row r="570" spans="1:102">
      <c r="A570" s="8">
        <v>548</v>
      </c>
      <c r="B570" s="8" t="s">
        <v>13</v>
      </c>
      <c r="C570" s="8" t="s">
        <v>56</v>
      </c>
      <c r="D570" s="8" t="s">
        <v>360</v>
      </c>
      <c r="E570" s="8" t="s">
        <v>15</v>
      </c>
      <c r="F570" s="8">
        <v>3</v>
      </c>
      <c r="G570" s="8" t="s">
        <v>15</v>
      </c>
      <c r="H570" s="8">
        <v>6</v>
      </c>
      <c r="I570" s="124"/>
      <c r="J570" s="95"/>
      <c r="K570" s="95" t="s">
        <v>49</v>
      </c>
      <c r="L570" s="95" t="s">
        <v>49</v>
      </c>
      <c r="M570" s="95">
        <v>1</v>
      </c>
      <c r="N570" s="95" t="s">
        <v>49</v>
      </c>
      <c r="O570" s="95" t="s">
        <v>9</v>
      </c>
      <c r="P570" s="125" t="s">
        <v>9</v>
      </c>
      <c r="Q570" s="124"/>
      <c r="R570" s="95"/>
      <c r="S570" s="95"/>
      <c r="T570" s="95"/>
      <c r="U570" s="95"/>
      <c r="V570" s="95"/>
      <c r="W570" s="95"/>
      <c r="X570" s="125"/>
      <c r="Y570" s="124"/>
      <c r="Z570" s="95"/>
      <c r="AA570" s="95" t="s">
        <v>49</v>
      </c>
      <c r="AB570" s="95" t="s">
        <v>49</v>
      </c>
      <c r="AC570" s="95" t="s">
        <v>49</v>
      </c>
      <c r="AD570" s="95" t="s">
        <v>49</v>
      </c>
      <c r="AE570" s="95" t="s">
        <v>49</v>
      </c>
      <c r="AF570" s="125">
        <v>1</v>
      </c>
      <c r="AG570" s="95">
        <v>1</v>
      </c>
      <c r="AH570" s="95" t="s">
        <v>49</v>
      </c>
      <c r="AI570" s="95" t="s">
        <v>49</v>
      </c>
      <c r="AJ570" s="95" t="s">
        <v>49</v>
      </c>
      <c r="AK570" s="95" t="s">
        <v>49</v>
      </c>
      <c r="AL570" s="95" t="s">
        <v>49</v>
      </c>
      <c r="AM570" s="95"/>
      <c r="AN570" s="125"/>
      <c r="AO570" s="95">
        <v>3</v>
      </c>
      <c r="AP570" s="79"/>
      <c r="AQ570" s="85">
        <f t="shared" si="24"/>
        <v>3</v>
      </c>
      <c r="AR570" s="19"/>
      <c r="AS570"/>
      <c r="AT570" s="67">
        <f t="shared" si="25"/>
        <v>0</v>
      </c>
      <c r="AU570" s="67">
        <f t="shared" si="26"/>
        <v>2</v>
      </c>
      <c r="AV570" s="66"/>
      <c r="AW570" s="12"/>
      <c r="CK570"/>
      <c r="CX570">
        <v>548</v>
      </c>
    </row>
    <row r="571" spans="1:102">
      <c r="A571" s="8">
        <v>549</v>
      </c>
      <c r="B571" s="8" t="s">
        <v>12</v>
      </c>
      <c r="C571" s="8" t="s">
        <v>40</v>
      </c>
      <c r="D571" s="8" t="s">
        <v>40</v>
      </c>
      <c r="E571" s="8" t="s">
        <v>15</v>
      </c>
      <c r="F571" s="8"/>
      <c r="G571" s="8"/>
      <c r="H571" s="8"/>
      <c r="I571" s="124"/>
      <c r="J571" s="95"/>
      <c r="K571" s="95"/>
      <c r="L571" s="95"/>
      <c r="M571" s="95"/>
      <c r="N571" s="95"/>
      <c r="O571" s="95"/>
      <c r="P571" s="125"/>
      <c r="Q571" s="124"/>
      <c r="R571" s="95"/>
      <c r="S571" s="95"/>
      <c r="T571" s="95"/>
      <c r="U571" s="95"/>
      <c r="V571" s="95"/>
      <c r="W571" s="95"/>
      <c r="X571" s="125"/>
      <c r="Y571" s="124"/>
      <c r="Z571" s="95"/>
      <c r="AA571" s="95"/>
      <c r="AB571" s="95"/>
      <c r="AC571" s="95"/>
      <c r="AD571" s="95"/>
      <c r="AE571" s="95"/>
      <c r="AF571" s="125"/>
      <c r="AG571" s="95"/>
      <c r="AH571" s="95"/>
      <c r="AI571" s="95"/>
      <c r="AJ571" s="95"/>
      <c r="AK571" s="95"/>
      <c r="AL571" s="95"/>
      <c r="AM571" s="95"/>
      <c r="AN571" s="125"/>
      <c r="AO571" s="95"/>
      <c r="AP571" s="79"/>
      <c r="AQ571" s="85">
        <f t="shared" si="24"/>
        <v>0</v>
      </c>
      <c r="AR571" s="19"/>
      <c r="AS571"/>
      <c r="AT571" s="67">
        <f t="shared" si="25"/>
        <v>0</v>
      </c>
      <c r="AU571" s="67">
        <f t="shared" si="26"/>
        <v>0</v>
      </c>
      <c r="AV571" s="66"/>
      <c r="AW571" s="12"/>
      <c r="CK571"/>
      <c r="CX571">
        <v>549</v>
      </c>
    </row>
    <row r="572" spans="1:102">
      <c r="A572" s="8">
        <v>550</v>
      </c>
      <c r="B572" s="8" t="s">
        <v>13</v>
      </c>
      <c r="C572" s="8" t="s">
        <v>80</v>
      </c>
      <c r="D572" s="8" t="s">
        <v>346</v>
      </c>
      <c r="E572" s="8" t="s">
        <v>15</v>
      </c>
      <c r="F572" s="8"/>
      <c r="G572" s="8"/>
      <c r="H572" s="8"/>
      <c r="I572" s="124"/>
      <c r="J572" s="95"/>
      <c r="K572" s="95"/>
      <c r="L572" s="95"/>
      <c r="M572" s="95"/>
      <c r="N572" s="95"/>
      <c r="O572" s="95"/>
      <c r="P572" s="125"/>
      <c r="Q572" s="124"/>
      <c r="R572" s="95"/>
      <c r="S572" s="95"/>
      <c r="T572" s="95"/>
      <c r="U572" s="95"/>
      <c r="V572" s="95"/>
      <c r="W572" s="95"/>
      <c r="X572" s="125"/>
      <c r="Y572" s="124"/>
      <c r="Z572" s="95"/>
      <c r="AA572" s="95"/>
      <c r="AB572" s="95"/>
      <c r="AC572" s="95"/>
      <c r="AD572" s="95"/>
      <c r="AE572" s="95"/>
      <c r="AF572" s="125"/>
      <c r="AG572" s="95"/>
      <c r="AH572" s="95"/>
      <c r="AI572" s="95"/>
      <c r="AJ572" s="95"/>
      <c r="AK572" s="95"/>
      <c r="AL572" s="95"/>
      <c r="AM572" s="95"/>
      <c r="AN572" s="125"/>
      <c r="AO572" s="95"/>
      <c r="AP572" s="79"/>
      <c r="AQ572" s="85">
        <f t="shared" si="24"/>
        <v>0</v>
      </c>
      <c r="AR572" s="19"/>
      <c r="AS572"/>
      <c r="AT572" s="67">
        <f t="shared" si="25"/>
        <v>0</v>
      </c>
      <c r="AU572" s="67">
        <f t="shared" si="26"/>
        <v>0</v>
      </c>
      <c r="AV572" s="66"/>
      <c r="AW572" s="12"/>
      <c r="CK572"/>
      <c r="CX572">
        <v>550</v>
      </c>
    </row>
    <row r="573" spans="1:102">
      <c r="A573" s="8">
        <v>551</v>
      </c>
      <c r="B573" s="8" t="s">
        <v>13</v>
      </c>
      <c r="C573" s="8" t="s">
        <v>78</v>
      </c>
      <c r="D573" s="8" t="s">
        <v>359</v>
      </c>
      <c r="E573" s="8" t="s">
        <v>15</v>
      </c>
      <c r="F573" s="8">
        <v>21</v>
      </c>
      <c r="G573" s="8">
        <v>22</v>
      </c>
      <c r="H573" s="8">
        <v>22</v>
      </c>
      <c r="I573" s="124"/>
      <c r="J573" s="95" t="s">
        <v>49</v>
      </c>
      <c r="K573" s="95">
        <v>1</v>
      </c>
      <c r="L573" s="95">
        <v>1</v>
      </c>
      <c r="M573" s="95">
        <v>1</v>
      </c>
      <c r="N573" s="95">
        <v>1</v>
      </c>
      <c r="O573" s="95">
        <v>1</v>
      </c>
      <c r="P573" s="125">
        <v>1</v>
      </c>
      <c r="Q573" s="124">
        <v>1</v>
      </c>
      <c r="R573" s="95">
        <v>1</v>
      </c>
      <c r="S573" s="95">
        <v>1</v>
      </c>
      <c r="T573" s="95">
        <v>1</v>
      </c>
      <c r="U573" s="95">
        <v>1</v>
      </c>
      <c r="V573" s="95">
        <v>1</v>
      </c>
      <c r="W573" s="95" t="s">
        <v>49</v>
      </c>
      <c r="X573" s="125"/>
      <c r="Y573" s="124"/>
      <c r="Z573" s="95" t="s">
        <v>49</v>
      </c>
      <c r="AA573" s="95">
        <v>1</v>
      </c>
      <c r="AB573" s="95">
        <v>1</v>
      </c>
      <c r="AC573" s="95">
        <v>1</v>
      </c>
      <c r="AD573" s="95">
        <v>1</v>
      </c>
      <c r="AE573" s="95" t="s">
        <v>9</v>
      </c>
      <c r="AF573" s="125" t="s">
        <v>49</v>
      </c>
      <c r="AG573" s="95" t="s">
        <v>49</v>
      </c>
      <c r="AH573" s="95">
        <v>1</v>
      </c>
      <c r="AI573" s="95">
        <v>1</v>
      </c>
      <c r="AJ573" s="95">
        <v>1</v>
      </c>
      <c r="AK573" s="95">
        <v>1</v>
      </c>
      <c r="AL573" s="95">
        <v>1</v>
      </c>
      <c r="AM573" s="95" t="s">
        <v>49</v>
      </c>
      <c r="AN573" s="125"/>
      <c r="AO573" s="95">
        <v>17</v>
      </c>
      <c r="AP573" s="79">
        <v>4</v>
      </c>
      <c r="AQ573" s="85">
        <f t="shared" si="24"/>
        <v>21</v>
      </c>
      <c r="AR573" s="19" t="s">
        <v>309</v>
      </c>
      <c r="AS573"/>
      <c r="AT573" s="67">
        <f t="shared" si="25"/>
        <v>0</v>
      </c>
      <c r="AU573" s="67">
        <f t="shared" si="26"/>
        <v>1</v>
      </c>
      <c r="AV573" s="66"/>
      <c r="AW573" s="12"/>
      <c r="BA573" s="12">
        <v>1</v>
      </c>
      <c r="BB573" s="12">
        <v>1</v>
      </c>
      <c r="CK573"/>
      <c r="CX573">
        <v>551</v>
      </c>
    </row>
    <row r="574" spans="1:102">
      <c r="A574" s="8">
        <v>552</v>
      </c>
      <c r="B574" s="8" t="s">
        <v>12</v>
      </c>
      <c r="C574" s="8" t="s">
        <v>40</v>
      </c>
      <c r="D574" s="8" t="s">
        <v>40</v>
      </c>
      <c r="E574" s="8" t="s">
        <v>15</v>
      </c>
      <c r="F574" s="8"/>
      <c r="G574" s="8"/>
      <c r="H574" s="8"/>
      <c r="I574" s="124"/>
      <c r="J574" s="95"/>
      <c r="K574" s="95"/>
      <c r="L574" s="95"/>
      <c r="M574" s="95"/>
      <c r="N574" s="95"/>
      <c r="O574" s="95"/>
      <c r="P574" s="125"/>
      <c r="Q574" s="124"/>
      <c r="R574" s="95"/>
      <c r="S574" s="95"/>
      <c r="T574" s="95"/>
      <c r="U574" s="95"/>
      <c r="V574" s="95"/>
      <c r="W574" s="95"/>
      <c r="X574" s="125"/>
      <c r="Y574" s="124"/>
      <c r="Z574" s="95"/>
      <c r="AA574" s="95"/>
      <c r="AB574" s="95"/>
      <c r="AC574" s="95"/>
      <c r="AD574" s="95"/>
      <c r="AE574" s="95"/>
      <c r="AF574" s="125"/>
      <c r="AG574" s="95"/>
      <c r="AH574" s="95"/>
      <c r="AI574" s="95"/>
      <c r="AJ574" s="95"/>
      <c r="AK574" s="95"/>
      <c r="AL574" s="95"/>
      <c r="AM574" s="95"/>
      <c r="AN574" s="125"/>
      <c r="AO574" s="95"/>
      <c r="AP574" s="79"/>
      <c r="AQ574" s="85">
        <f t="shared" si="24"/>
        <v>0</v>
      </c>
      <c r="AR574" s="19"/>
      <c r="AS574"/>
      <c r="AT574" s="67">
        <f t="shared" si="25"/>
        <v>0</v>
      </c>
      <c r="AU574" s="67">
        <f t="shared" si="26"/>
        <v>0</v>
      </c>
      <c r="AV574" s="66"/>
      <c r="AW574" s="12"/>
      <c r="CK574"/>
      <c r="CX574">
        <v>552</v>
      </c>
    </row>
    <row r="575" spans="1:102">
      <c r="A575" s="8">
        <v>553</v>
      </c>
      <c r="B575" s="8" t="s">
        <v>12</v>
      </c>
      <c r="C575" s="8" t="s">
        <v>106</v>
      </c>
      <c r="D575" s="8" t="s">
        <v>349</v>
      </c>
      <c r="E575" s="8" t="s">
        <v>6</v>
      </c>
      <c r="F575" s="8">
        <v>6</v>
      </c>
      <c r="G575" s="8" t="s">
        <v>15</v>
      </c>
      <c r="H575" s="8" t="s">
        <v>15</v>
      </c>
      <c r="I575" s="124" t="s">
        <v>15</v>
      </c>
      <c r="J575" s="95" t="s">
        <v>10</v>
      </c>
      <c r="K575" s="95" t="s">
        <v>10</v>
      </c>
      <c r="L575" s="95" t="s">
        <v>10</v>
      </c>
      <c r="M575" s="95" t="s">
        <v>10</v>
      </c>
      <c r="N575" s="95" t="s">
        <v>10</v>
      </c>
      <c r="O575" s="95" t="s">
        <v>10</v>
      </c>
      <c r="P575" s="125">
        <v>1</v>
      </c>
      <c r="Q575" s="124">
        <v>1</v>
      </c>
      <c r="R575" s="95">
        <v>1</v>
      </c>
      <c r="S575" s="95">
        <v>1</v>
      </c>
      <c r="T575" s="95">
        <v>1</v>
      </c>
      <c r="U575" s="95">
        <v>1</v>
      </c>
      <c r="V575" s="95" t="s">
        <v>10</v>
      </c>
      <c r="W575" s="95" t="s">
        <v>10</v>
      </c>
      <c r="X575" s="125" t="s">
        <v>15</v>
      </c>
      <c r="Y575" s="124" t="s">
        <v>15</v>
      </c>
      <c r="Z575" s="95" t="s">
        <v>10</v>
      </c>
      <c r="AA575" s="95" t="s">
        <v>10</v>
      </c>
      <c r="AB575" s="95" t="s">
        <v>10</v>
      </c>
      <c r="AC575" s="95" t="s">
        <v>10</v>
      </c>
      <c r="AD575" s="95" t="s">
        <v>10</v>
      </c>
      <c r="AE575" s="95" t="s">
        <v>10</v>
      </c>
      <c r="AF575" s="125" t="s">
        <v>10</v>
      </c>
      <c r="AG575" s="95" t="s">
        <v>10</v>
      </c>
      <c r="AH575" s="95" t="s">
        <v>10</v>
      </c>
      <c r="AI575" s="95" t="s">
        <v>10</v>
      </c>
      <c r="AJ575" s="95" t="s">
        <v>10</v>
      </c>
      <c r="AK575" s="95" t="s">
        <v>10</v>
      </c>
      <c r="AL575" s="95" t="s">
        <v>10</v>
      </c>
      <c r="AM575" s="95" t="s">
        <v>10</v>
      </c>
      <c r="AN575" s="125" t="s">
        <v>15</v>
      </c>
      <c r="AO575" s="95"/>
      <c r="AP575" s="79">
        <v>6</v>
      </c>
      <c r="AQ575" s="85">
        <f t="shared" si="24"/>
        <v>6</v>
      </c>
      <c r="AR575" s="19" t="s">
        <v>310</v>
      </c>
      <c r="AS575"/>
      <c r="AT575" s="67">
        <f t="shared" si="25"/>
        <v>22</v>
      </c>
      <c r="AU575" s="67">
        <f t="shared" si="26"/>
        <v>0</v>
      </c>
      <c r="AV575" s="66"/>
      <c r="AW575" s="12"/>
      <c r="BA575" s="12">
        <v>1</v>
      </c>
      <c r="BD575" s="12">
        <v>1</v>
      </c>
      <c r="BG575" s="12">
        <v>2</v>
      </c>
      <c r="BK575" s="12">
        <v>1</v>
      </c>
      <c r="BP575" s="12">
        <v>1</v>
      </c>
      <c r="BQ575" s="12">
        <v>1</v>
      </c>
      <c r="BW575" s="12">
        <v>1</v>
      </c>
      <c r="BY575" s="12">
        <v>1</v>
      </c>
      <c r="CK575"/>
      <c r="CX575">
        <v>553</v>
      </c>
    </row>
    <row r="576" spans="1:102">
      <c r="A576" s="8">
        <v>554</v>
      </c>
      <c r="B576" s="8" t="s">
        <v>13</v>
      </c>
      <c r="C576" s="8" t="s">
        <v>48</v>
      </c>
      <c r="D576" s="8" t="s">
        <v>357</v>
      </c>
      <c r="E576" s="8" t="s">
        <v>15</v>
      </c>
      <c r="F576" s="8"/>
      <c r="G576" s="8"/>
      <c r="H576" s="8"/>
      <c r="I576" s="124"/>
      <c r="J576" s="95"/>
      <c r="K576" s="95"/>
      <c r="L576" s="95"/>
      <c r="M576" s="95"/>
      <c r="N576" s="95"/>
      <c r="O576" s="95"/>
      <c r="P576" s="125"/>
      <c r="Q576" s="124"/>
      <c r="R576" s="95"/>
      <c r="S576" s="95"/>
      <c r="T576" s="95"/>
      <c r="U576" s="95"/>
      <c r="V576" s="95"/>
      <c r="W576" s="95"/>
      <c r="X576" s="125"/>
      <c r="Y576" s="124"/>
      <c r="Z576" s="95"/>
      <c r="AA576" s="95"/>
      <c r="AB576" s="95"/>
      <c r="AC576" s="95"/>
      <c r="AD576" s="95"/>
      <c r="AE576" s="95"/>
      <c r="AF576" s="125"/>
      <c r="AG576" s="95"/>
      <c r="AH576" s="95"/>
      <c r="AI576" s="95"/>
      <c r="AJ576" s="95"/>
      <c r="AK576" s="95"/>
      <c r="AL576" s="95"/>
      <c r="AM576" s="95"/>
      <c r="AN576" s="125"/>
      <c r="AO576" s="95"/>
      <c r="AP576" s="79"/>
      <c r="AQ576" s="85">
        <f t="shared" si="24"/>
        <v>0</v>
      </c>
      <c r="AR576" s="19"/>
      <c r="AS576"/>
      <c r="AT576" s="67">
        <f t="shared" si="25"/>
        <v>0</v>
      </c>
      <c r="AU576" s="67">
        <f t="shared" si="26"/>
        <v>0</v>
      </c>
      <c r="AV576" s="66"/>
      <c r="AW576" s="12"/>
      <c r="CK576"/>
      <c r="CX576">
        <v>554</v>
      </c>
    </row>
    <row r="577" spans="1:102" s="8" customFormat="1">
      <c r="A577" s="8">
        <v>555</v>
      </c>
      <c r="B577" s="8" t="s">
        <v>12</v>
      </c>
      <c r="C577" s="8" t="s">
        <v>73</v>
      </c>
      <c r="D577" s="8" t="s">
        <v>165</v>
      </c>
      <c r="E577" s="8" t="s">
        <v>42</v>
      </c>
      <c r="F577" s="8">
        <v>23</v>
      </c>
      <c r="G577" s="8">
        <v>23</v>
      </c>
      <c r="H577" s="8">
        <v>27</v>
      </c>
      <c r="I577" s="124"/>
      <c r="J577" s="95">
        <v>1</v>
      </c>
      <c r="K577" s="95">
        <v>1</v>
      </c>
      <c r="L577" s="95">
        <v>1</v>
      </c>
      <c r="M577" s="95">
        <v>1</v>
      </c>
      <c r="N577" s="95" t="s">
        <v>373</v>
      </c>
      <c r="O577" s="95" t="s">
        <v>10</v>
      </c>
      <c r="P577" s="125" t="s">
        <v>9</v>
      </c>
      <c r="Q577" s="124">
        <v>1</v>
      </c>
      <c r="R577" s="95" t="s">
        <v>10</v>
      </c>
      <c r="S577" s="95" t="s">
        <v>10</v>
      </c>
      <c r="T577" s="95" t="s">
        <v>10</v>
      </c>
      <c r="U577" s="95">
        <v>1</v>
      </c>
      <c r="V577" s="95">
        <v>1</v>
      </c>
      <c r="W577" s="95">
        <v>1</v>
      </c>
      <c r="X577" s="125"/>
      <c r="Y577" s="124"/>
      <c r="Z577" s="95">
        <v>1</v>
      </c>
      <c r="AA577" s="95">
        <v>1</v>
      </c>
      <c r="AB577" s="95">
        <v>1</v>
      </c>
      <c r="AC577" s="95">
        <v>1</v>
      </c>
      <c r="AD577" s="95">
        <v>1</v>
      </c>
      <c r="AE577" s="95">
        <v>1</v>
      </c>
      <c r="AF577" s="125">
        <v>1</v>
      </c>
      <c r="AG577" s="95">
        <v>1</v>
      </c>
      <c r="AH577" s="95">
        <v>1</v>
      </c>
      <c r="AI577" s="95">
        <v>1</v>
      </c>
      <c r="AJ577" s="95">
        <v>1</v>
      </c>
      <c r="AK577" s="95">
        <v>1</v>
      </c>
      <c r="AL577" s="95">
        <v>1</v>
      </c>
      <c r="AM577" s="95">
        <v>1</v>
      </c>
      <c r="AN577" s="125"/>
      <c r="AO577" s="95">
        <v>1</v>
      </c>
      <c r="AP577" s="79">
        <v>22</v>
      </c>
      <c r="AQ577" s="85">
        <f>SUM(COUNTIF(I577:AN577,"1")+COUNTIF(I577:AN577,"*1*"))</f>
        <v>23</v>
      </c>
      <c r="AR577" s="102" t="s">
        <v>311</v>
      </c>
      <c r="AT577" s="67">
        <f t="shared" si="25"/>
        <v>4</v>
      </c>
      <c r="AU577" s="67">
        <f t="shared" si="26"/>
        <v>1</v>
      </c>
      <c r="AW577" s="13"/>
      <c r="AX577" s="13"/>
      <c r="AY577" s="13">
        <v>1</v>
      </c>
      <c r="AZ577" s="13">
        <v>1</v>
      </c>
      <c r="BA577" s="13">
        <v>1</v>
      </c>
      <c r="BB577" s="13">
        <v>1</v>
      </c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  <c r="CC577" s="13"/>
      <c r="CD577" s="13"/>
      <c r="CE577" s="13"/>
      <c r="CF577" s="13"/>
      <c r="CG577" s="13"/>
      <c r="CH577" s="13"/>
      <c r="CI577" s="13"/>
      <c r="CJ577" s="13"/>
      <c r="CX577" s="8">
        <v>555</v>
      </c>
    </row>
    <row r="578" spans="1:102">
      <c r="A578" s="8">
        <v>557</v>
      </c>
      <c r="B578" s="8" t="s">
        <v>12</v>
      </c>
      <c r="C578" s="8" t="s">
        <v>91</v>
      </c>
      <c r="D578" s="8" t="s">
        <v>366</v>
      </c>
      <c r="E578" s="8" t="s">
        <v>6</v>
      </c>
      <c r="F578" s="8"/>
      <c r="G578" s="8"/>
      <c r="H578" s="8"/>
      <c r="I578" s="124"/>
      <c r="J578" s="95"/>
      <c r="K578" s="95"/>
      <c r="L578" s="95"/>
      <c r="M578" s="95"/>
      <c r="N578" s="95"/>
      <c r="O578" s="95"/>
      <c r="P578" s="125"/>
      <c r="Q578" s="124"/>
      <c r="R578" s="95"/>
      <c r="S578" s="95"/>
      <c r="T578" s="95"/>
      <c r="U578" s="95"/>
      <c r="V578" s="95"/>
      <c r="W578" s="95"/>
      <c r="X578" s="125"/>
      <c r="Y578" s="124"/>
      <c r="Z578" s="95"/>
      <c r="AA578" s="95"/>
      <c r="AB578" s="95"/>
      <c r="AC578" s="95"/>
      <c r="AD578" s="95"/>
      <c r="AE578" s="95"/>
      <c r="AF578" s="125"/>
      <c r="AG578" s="95"/>
      <c r="AH578" s="95"/>
      <c r="AI578" s="95"/>
      <c r="AJ578" s="95"/>
      <c r="AK578" s="95"/>
      <c r="AL578" s="95"/>
      <c r="AM578" s="95"/>
      <c r="AN578" s="125"/>
      <c r="AO578" s="95"/>
      <c r="AP578" s="79"/>
      <c r="AQ578" s="85">
        <f t="shared" si="24"/>
        <v>0</v>
      </c>
      <c r="AR578" s="19"/>
      <c r="AS578"/>
      <c r="AT578" s="67">
        <f t="shared" si="25"/>
        <v>0</v>
      </c>
      <c r="AU578" s="67">
        <f t="shared" si="26"/>
        <v>0</v>
      </c>
      <c r="AV578" s="66"/>
      <c r="AW578" s="12"/>
      <c r="BQ578" s="12">
        <v>1</v>
      </c>
      <c r="BV578" s="12">
        <v>1</v>
      </c>
      <c r="BY578" s="12">
        <v>1</v>
      </c>
      <c r="CK578"/>
      <c r="CX578">
        <v>557</v>
      </c>
    </row>
    <row r="579" spans="1:102">
      <c r="A579" s="8">
        <v>558</v>
      </c>
      <c r="B579" s="8" t="s">
        <v>13</v>
      </c>
      <c r="C579" s="8" t="s">
        <v>145</v>
      </c>
      <c r="D579" s="8" t="s">
        <v>357</v>
      </c>
      <c r="E579" s="8" t="s">
        <v>15</v>
      </c>
      <c r="F579" s="8"/>
      <c r="G579" s="8"/>
      <c r="H579" s="8"/>
      <c r="I579" s="124"/>
      <c r="J579" s="95"/>
      <c r="K579" s="95"/>
      <c r="L579" s="95"/>
      <c r="M579" s="95"/>
      <c r="N579" s="95"/>
      <c r="O579" s="95"/>
      <c r="P579" s="125"/>
      <c r="Q579" s="124"/>
      <c r="R579" s="95"/>
      <c r="S579" s="95"/>
      <c r="T579" s="95"/>
      <c r="U579" s="95"/>
      <c r="V579" s="95"/>
      <c r="W579" s="95"/>
      <c r="X579" s="125"/>
      <c r="Y579" s="124"/>
      <c r="Z579" s="95"/>
      <c r="AA579" s="95"/>
      <c r="AB579" s="95"/>
      <c r="AC579" s="95"/>
      <c r="AD579" s="95"/>
      <c r="AE579" s="95"/>
      <c r="AF579" s="125"/>
      <c r="AG579" s="95"/>
      <c r="AH579" s="95"/>
      <c r="AI579" s="95"/>
      <c r="AJ579" s="95"/>
      <c r="AK579" s="95"/>
      <c r="AL579" s="95"/>
      <c r="AM579" s="95"/>
      <c r="AN579" s="125"/>
      <c r="AO579" s="95"/>
      <c r="AP579" s="79"/>
      <c r="AQ579" s="85">
        <f t="shared" si="24"/>
        <v>0</v>
      </c>
      <c r="AR579" s="19"/>
      <c r="AS579"/>
      <c r="AT579" s="67">
        <f t="shared" si="25"/>
        <v>0</v>
      </c>
      <c r="AU579" s="67">
        <f t="shared" si="26"/>
        <v>0</v>
      </c>
      <c r="AV579" s="66"/>
      <c r="AW579" s="12"/>
      <c r="BQ579" s="12">
        <v>1</v>
      </c>
      <c r="BR579" s="12">
        <v>1</v>
      </c>
      <c r="CK579"/>
      <c r="CX579">
        <v>558</v>
      </c>
    </row>
    <row r="580" spans="1:102">
      <c r="A580" s="8">
        <v>559</v>
      </c>
      <c r="B580" s="8" t="s">
        <v>13</v>
      </c>
      <c r="C580" s="8" t="s">
        <v>74</v>
      </c>
      <c r="D580" s="8" t="s">
        <v>346</v>
      </c>
      <c r="E580" s="8" t="s">
        <v>15</v>
      </c>
      <c r="F580" s="8">
        <v>14</v>
      </c>
      <c r="G580" s="8">
        <v>16</v>
      </c>
      <c r="H580" s="8">
        <v>16</v>
      </c>
      <c r="I580" s="124"/>
      <c r="J580" s="95"/>
      <c r="K580" s="95" t="s">
        <v>49</v>
      </c>
      <c r="L580" s="95" t="s">
        <v>49</v>
      </c>
      <c r="M580" s="95">
        <v>1</v>
      </c>
      <c r="N580" s="95">
        <v>1</v>
      </c>
      <c r="O580" s="95" t="s">
        <v>9</v>
      </c>
      <c r="P580" s="125">
        <v>1</v>
      </c>
      <c r="Q580" s="124">
        <v>1</v>
      </c>
      <c r="R580" s="95" t="s">
        <v>9</v>
      </c>
      <c r="S580" s="95">
        <v>1</v>
      </c>
      <c r="T580" s="95">
        <v>1</v>
      </c>
      <c r="U580" s="95" t="s">
        <v>49</v>
      </c>
      <c r="V580" s="95" t="s">
        <v>49</v>
      </c>
      <c r="W580" s="95"/>
      <c r="X580" s="125"/>
      <c r="Y580" s="124"/>
      <c r="Z580" s="95"/>
      <c r="AA580" s="95" t="s">
        <v>49</v>
      </c>
      <c r="AB580" s="95" t="s">
        <v>49</v>
      </c>
      <c r="AC580" s="95">
        <v>1</v>
      </c>
      <c r="AD580" s="95">
        <v>1</v>
      </c>
      <c r="AE580" s="95">
        <v>1</v>
      </c>
      <c r="AF580" s="125">
        <v>1</v>
      </c>
      <c r="AG580" s="95">
        <v>1</v>
      </c>
      <c r="AH580" s="95">
        <v>1</v>
      </c>
      <c r="AI580" s="95">
        <v>1</v>
      </c>
      <c r="AJ580" s="95">
        <v>1</v>
      </c>
      <c r="AK580" s="95" t="s">
        <v>49</v>
      </c>
      <c r="AL580" s="95" t="s">
        <v>49</v>
      </c>
      <c r="AM580" s="95"/>
      <c r="AN580" s="125"/>
      <c r="AO580" s="95">
        <v>14</v>
      </c>
      <c r="AP580" s="79"/>
      <c r="AQ580" s="85">
        <f t="shared" si="24"/>
        <v>14</v>
      </c>
      <c r="AR580" s="19" t="s">
        <v>312</v>
      </c>
      <c r="AS580"/>
      <c r="AT580" s="67">
        <f t="shared" si="25"/>
        <v>0</v>
      </c>
      <c r="AU580" s="67">
        <f t="shared" si="26"/>
        <v>2</v>
      </c>
      <c r="AV580" s="66"/>
      <c r="AW580" s="12"/>
      <c r="CF580" s="12" t="s">
        <v>326</v>
      </c>
      <c r="CK580"/>
      <c r="CX580">
        <v>559</v>
      </c>
    </row>
    <row r="581" spans="1:102">
      <c r="A581" s="8">
        <v>560</v>
      </c>
      <c r="B581" s="8" t="s">
        <v>12</v>
      </c>
      <c r="C581" s="8" t="s">
        <v>62</v>
      </c>
      <c r="D581" s="8" t="s">
        <v>42</v>
      </c>
      <c r="E581" s="8" t="s">
        <v>42</v>
      </c>
      <c r="F581" s="8"/>
      <c r="G581" s="8"/>
      <c r="H581" s="8"/>
      <c r="I581" s="124"/>
      <c r="J581" s="95"/>
      <c r="K581" s="95"/>
      <c r="L581" s="95"/>
      <c r="M581" s="95"/>
      <c r="N581" s="95"/>
      <c r="O581" s="95"/>
      <c r="P581" s="125"/>
      <c r="Q581" s="124"/>
      <c r="R581" s="95"/>
      <c r="S581" s="95"/>
      <c r="T581" s="95"/>
      <c r="U581" s="95"/>
      <c r="V581" s="95"/>
      <c r="W581" s="95"/>
      <c r="X581" s="125"/>
      <c r="Y581" s="124"/>
      <c r="Z581" s="95"/>
      <c r="AA581" s="95"/>
      <c r="AB581" s="95"/>
      <c r="AC581" s="95"/>
      <c r="AD581" s="95"/>
      <c r="AE581" s="95"/>
      <c r="AF581" s="125"/>
      <c r="AG581" s="95"/>
      <c r="AH581" s="95"/>
      <c r="AI581" s="95"/>
      <c r="AJ581" s="95"/>
      <c r="AK581" s="95"/>
      <c r="AL581" s="95"/>
      <c r="AM581" s="95"/>
      <c r="AN581" s="125"/>
      <c r="AO581" s="95"/>
      <c r="AP581" s="79"/>
      <c r="AQ581" s="85">
        <f t="shared" si="24"/>
        <v>0</v>
      </c>
      <c r="AR581" s="19"/>
      <c r="AS581"/>
      <c r="AT581" s="67">
        <f t="shared" si="25"/>
        <v>0</v>
      </c>
      <c r="AU581" s="67">
        <f t="shared" si="26"/>
        <v>0</v>
      </c>
      <c r="AV581" s="66"/>
      <c r="AW581" s="12"/>
      <c r="BG581" s="12">
        <v>1</v>
      </c>
      <c r="BP581" s="12">
        <v>1</v>
      </c>
      <c r="BQ581" s="12">
        <v>2</v>
      </c>
      <c r="BR581" s="12">
        <v>1</v>
      </c>
      <c r="BS581" s="12">
        <v>1</v>
      </c>
      <c r="BT581" s="12">
        <v>1</v>
      </c>
      <c r="BW581" s="12">
        <v>1</v>
      </c>
      <c r="BX581" s="12">
        <v>1</v>
      </c>
      <c r="BY581" s="12">
        <v>1</v>
      </c>
      <c r="BZ581" s="12">
        <v>1</v>
      </c>
      <c r="CK581"/>
      <c r="CX581">
        <v>560</v>
      </c>
    </row>
    <row r="582" spans="1:102">
      <c r="A582" s="8">
        <v>561</v>
      </c>
      <c r="B582" s="8" t="s">
        <v>13</v>
      </c>
      <c r="C582" s="8" t="s">
        <v>16</v>
      </c>
      <c r="D582" s="8" t="s">
        <v>345</v>
      </c>
      <c r="E582" s="8" t="s">
        <v>15</v>
      </c>
      <c r="F582" s="8"/>
      <c r="G582" s="8"/>
      <c r="H582" s="8"/>
      <c r="I582" s="124"/>
      <c r="J582" s="95"/>
      <c r="K582" s="95"/>
      <c r="L582" s="95"/>
      <c r="M582" s="95"/>
      <c r="N582" s="95"/>
      <c r="O582" s="95"/>
      <c r="P582" s="125"/>
      <c r="Q582" s="124"/>
      <c r="R582" s="95"/>
      <c r="S582" s="95"/>
      <c r="T582" s="95"/>
      <c r="U582" s="95"/>
      <c r="V582" s="95"/>
      <c r="W582" s="95"/>
      <c r="X582" s="125"/>
      <c r="Y582" s="124"/>
      <c r="Z582" s="95"/>
      <c r="AA582" s="95"/>
      <c r="AB582" s="95"/>
      <c r="AC582" s="95"/>
      <c r="AD582" s="95"/>
      <c r="AE582" s="95"/>
      <c r="AF582" s="125"/>
      <c r="AG582" s="95"/>
      <c r="AH582" s="95"/>
      <c r="AI582" s="95"/>
      <c r="AJ582" s="95"/>
      <c r="AK582" s="95"/>
      <c r="AL582" s="95"/>
      <c r="AM582" s="95"/>
      <c r="AN582" s="125"/>
      <c r="AO582" s="95"/>
      <c r="AP582" s="79"/>
      <c r="AQ582" s="85">
        <f t="shared" ref="AQ582:AQ594" si="27">SUM(I582:AN582)</f>
        <v>0</v>
      </c>
      <c r="AR582" s="19"/>
      <c r="AS582"/>
      <c r="AT582" s="67">
        <f t="shared" ref="AT582:AT594" si="28">COUNTIF(I582:AN582,"*am*")</f>
        <v>0</v>
      </c>
      <c r="AU582" s="67">
        <f t="shared" ref="AU582:AU594" si="29">COUNTIF(I582:AN582,"pm")</f>
        <v>0</v>
      </c>
      <c r="AV582" s="66"/>
      <c r="AW582" s="12"/>
      <c r="CE582" s="12">
        <v>1</v>
      </c>
      <c r="CK582"/>
      <c r="CX582">
        <v>561</v>
      </c>
    </row>
    <row r="583" spans="1:102">
      <c r="A583" s="8">
        <v>562</v>
      </c>
      <c r="B583" s="8" t="s">
        <v>12</v>
      </c>
      <c r="C583" s="8" t="s">
        <v>216</v>
      </c>
      <c r="D583" s="8" t="s">
        <v>42</v>
      </c>
      <c r="E583" s="8" t="s">
        <v>42</v>
      </c>
      <c r="F583" s="8"/>
      <c r="G583" s="8"/>
      <c r="H583" s="8"/>
      <c r="I583" s="124"/>
      <c r="J583" s="95"/>
      <c r="K583" s="95"/>
      <c r="L583" s="95"/>
      <c r="M583" s="95"/>
      <c r="N583" s="95"/>
      <c r="O583" s="95"/>
      <c r="P583" s="125"/>
      <c r="Q583" s="124"/>
      <c r="R583" s="95"/>
      <c r="S583" s="95"/>
      <c r="T583" s="95"/>
      <c r="U583" s="95"/>
      <c r="V583" s="95"/>
      <c r="W583" s="95"/>
      <c r="X583" s="125"/>
      <c r="Y583" s="124"/>
      <c r="Z583" s="95"/>
      <c r="AA583" s="95"/>
      <c r="AB583" s="95"/>
      <c r="AC583" s="95"/>
      <c r="AD583" s="95"/>
      <c r="AE583" s="95"/>
      <c r="AF583" s="125"/>
      <c r="AG583" s="95"/>
      <c r="AH583" s="95"/>
      <c r="AI583" s="95"/>
      <c r="AJ583" s="95"/>
      <c r="AK583" s="95"/>
      <c r="AL583" s="95"/>
      <c r="AM583" s="95"/>
      <c r="AN583" s="125"/>
      <c r="AO583" s="95"/>
      <c r="AP583" s="79"/>
      <c r="AQ583" s="85">
        <f t="shared" si="27"/>
        <v>0</v>
      </c>
      <c r="AR583" s="19"/>
      <c r="AS583"/>
      <c r="AT583" s="67">
        <f t="shared" si="28"/>
        <v>0</v>
      </c>
      <c r="AU583" s="67">
        <f t="shared" si="29"/>
        <v>0</v>
      </c>
      <c r="AV583" s="66"/>
      <c r="AW583" s="12"/>
      <c r="CB583" s="12" t="s">
        <v>326</v>
      </c>
      <c r="CK583"/>
      <c r="CX583">
        <v>562</v>
      </c>
    </row>
    <row r="584" spans="1:102">
      <c r="A584" s="8">
        <v>563</v>
      </c>
      <c r="B584" s="8" t="s">
        <v>13</v>
      </c>
      <c r="C584" s="8" t="s">
        <v>80</v>
      </c>
      <c r="D584" s="8" t="s">
        <v>346</v>
      </c>
      <c r="E584" s="8" t="s">
        <v>15</v>
      </c>
      <c r="F584" s="8">
        <v>17</v>
      </c>
      <c r="G584" s="8">
        <v>20</v>
      </c>
      <c r="H584" s="8">
        <v>20</v>
      </c>
      <c r="I584" s="124"/>
      <c r="J584" s="95" t="s">
        <v>49</v>
      </c>
      <c r="K584" s="95" t="s">
        <v>49</v>
      </c>
      <c r="L584" s="95">
        <v>1</v>
      </c>
      <c r="M584" s="95">
        <v>1</v>
      </c>
      <c r="N584" s="95">
        <v>1</v>
      </c>
      <c r="O584" s="95">
        <v>1</v>
      </c>
      <c r="P584" s="125">
        <v>1</v>
      </c>
      <c r="Q584" s="124">
        <v>1</v>
      </c>
      <c r="R584" s="95">
        <v>1</v>
      </c>
      <c r="S584" s="95">
        <v>1</v>
      </c>
      <c r="T584" s="95">
        <v>1</v>
      </c>
      <c r="U584" s="95">
        <v>1</v>
      </c>
      <c r="V584" s="95" t="s">
        <v>49</v>
      </c>
      <c r="W584" s="95" t="s">
        <v>49</v>
      </c>
      <c r="X584" s="125"/>
      <c r="Y584" s="124"/>
      <c r="Z584" s="95" t="s">
        <v>49</v>
      </c>
      <c r="AA584" s="95" t="s">
        <v>49</v>
      </c>
      <c r="AB584" s="95">
        <v>1</v>
      </c>
      <c r="AC584" s="95">
        <v>1</v>
      </c>
      <c r="AD584" s="95">
        <v>1</v>
      </c>
      <c r="AE584" s="95">
        <v>1</v>
      </c>
      <c r="AF584" s="125" t="s">
        <v>9</v>
      </c>
      <c r="AG584" s="95" t="s">
        <v>9</v>
      </c>
      <c r="AH584" s="95" t="s">
        <v>9</v>
      </c>
      <c r="AI584" s="95">
        <v>1</v>
      </c>
      <c r="AJ584" s="95">
        <v>1</v>
      </c>
      <c r="AK584" s="95">
        <v>1</v>
      </c>
      <c r="AL584" s="95" t="s">
        <v>49</v>
      </c>
      <c r="AM584" s="95" t="s">
        <v>49</v>
      </c>
      <c r="AN584" s="125"/>
      <c r="AO584" s="95">
        <v>17</v>
      </c>
      <c r="AP584" s="79"/>
      <c r="AQ584" s="85">
        <f t="shared" si="27"/>
        <v>17</v>
      </c>
      <c r="AR584" s="19"/>
      <c r="AS584"/>
      <c r="AT584" s="67">
        <f t="shared" si="28"/>
        <v>0</v>
      </c>
      <c r="AU584" s="67">
        <f t="shared" si="29"/>
        <v>3</v>
      </c>
      <c r="AV584" s="66"/>
      <c r="AW584" s="12"/>
      <c r="BA584" s="12">
        <v>1</v>
      </c>
      <c r="CF584" s="12" t="s">
        <v>326</v>
      </c>
      <c r="CK584"/>
      <c r="CX584">
        <v>563</v>
      </c>
    </row>
    <row r="585" spans="1:102">
      <c r="A585" s="8">
        <v>564</v>
      </c>
      <c r="B585" s="8" t="s">
        <v>12</v>
      </c>
      <c r="C585" s="8" t="s">
        <v>62</v>
      </c>
      <c r="D585" s="8" t="s">
        <v>42</v>
      </c>
      <c r="E585" s="8" t="s">
        <v>6</v>
      </c>
      <c r="F585" s="8">
        <v>29</v>
      </c>
      <c r="G585" s="8">
        <v>29</v>
      </c>
      <c r="H585" s="8">
        <v>32</v>
      </c>
      <c r="I585" s="124">
        <v>1</v>
      </c>
      <c r="J585" s="95">
        <v>1</v>
      </c>
      <c r="K585" s="95" t="s">
        <v>10</v>
      </c>
      <c r="L585" s="95" t="s">
        <v>10</v>
      </c>
      <c r="M585" s="95">
        <v>1</v>
      </c>
      <c r="N585" s="95">
        <v>1</v>
      </c>
      <c r="O585" s="95">
        <v>1</v>
      </c>
      <c r="P585" s="125">
        <v>1</v>
      </c>
      <c r="Q585" s="124">
        <v>1</v>
      </c>
      <c r="R585" s="95">
        <v>1</v>
      </c>
      <c r="S585" s="95">
        <v>1</v>
      </c>
      <c r="T585" s="95">
        <v>1</v>
      </c>
      <c r="U585" s="95">
        <v>1</v>
      </c>
      <c r="V585" s="95">
        <v>1</v>
      </c>
      <c r="W585" s="95">
        <v>1</v>
      </c>
      <c r="X585" s="125">
        <v>1</v>
      </c>
      <c r="Y585" s="124">
        <v>1</v>
      </c>
      <c r="Z585" s="95">
        <v>1</v>
      </c>
      <c r="AA585" s="95" t="s">
        <v>10</v>
      </c>
      <c r="AB585" s="95">
        <v>1</v>
      </c>
      <c r="AC585" s="95">
        <v>1</v>
      </c>
      <c r="AD585" s="95">
        <v>1</v>
      </c>
      <c r="AE585" s="95">
        <v>1</v>
      </c>
      <c r="AF585" s="125">
        <v>1</v>
      </c>
      <c r="AG585" s="95">
        <v>1</v>
      </c>
      <c r="AH585" s="95">
        <v>1</v>
      </c>
      <c r="AI585" s="95">
        <v>1</v>
      </c>
      <c r="AJ585" s="95">
        <v>1</v>
      </c>
      <c r="AK585" s="95">
        <v>1</v>
      </c>
      <c r="AL585" s="95">
        <v>1</v>
      </c>
      <c r="AM585" s="95">
        <v>1</v>
      </c>
      <c r="AN585" s="125">
        <v>1</v>
      </c>
      <c r="AO585" s="95"/>
      <c r="AP585" s="79">
        <v>29</v>
      </c>
      <c r="AQ585" s="85">
        <f t="shared" si="27"/>
        <v>29</v>
      </c>
      <c r="AR585" s="19" t="s">
        <v>313</v>
      </c>
      <c r="AS585"/>
      <c r="AT585" s="67">
        <f t="shared" si="28"/>
        <v>3</v>
      </c>
      <c r="AU585" s="67">
        <f t="shared" si="29"/>
        <v>0</v>
      </c>
      <c r="AV585" s="66"/>
      <c r="AW585" s="12">
        <v>1</v>
      </c>
      <c r="AX585" s="12">
        <v>1</v>
      </c>
      <c r="AY585" s="12">
        <v>1</v>
      </c>
      <c r="BA585" s="12">
        <v>1</v>
      </c>
      <c r="BB585" s="12">
        <v>1</v>
      </c>
      <c r="BD585" s="12">
        <v>1</v>
      </c>
      <c r="BE585" s="12">
        <v>1</v>
      </c>
      <c r="BP585" s="12">
        <v>1</v>
      </c>
      <c r="BQ585" s="12" t="s">
        <v>326</v>
      </c>
      <c r="BS585" s="12">
        <v>1</v>
      </c>
      <c r="BV585" s="12">
        <v>1</v>
      </c>
      <c r="BY585" s="12">
        <v>1</v>
      </c>
      <c r="BZ585" s="12">
        <v>2</v>
      </c>
      <c r="CK585"/>
      <c r="CX585">
        <v>564</v>
      </c>
    </row>
    <row r="586" spans="1:102">
      <c r="A586" s="8">
        <v>565</v>
      </c>
      <c r="B586" s="8" t="s">
        <v>13</v>
      </c>
      <c r="C586" s="8" t="s">
        <v>54</v>
      </c>
      <c r="D586" s="8" t="s">
        <v>345</v>
      </c>
      <c r="E586" s="8" t="s">
        <v>15</v>
      </c>
      <c r="F586" s="8"/>
      <c r="G586" s="8"/>
      <c r="H586" s="8"/>
      <c r="I586" s="124"/>
      <c r="J586" s="95"/>
      <c r="K586" s="95"/>
      <c r="L586" s="95"/>
      <c r="M586" s="95"/>
      <c r="N586" s="95"/>
      <c r="O586" s="95"/>
      <c r="P586" s="125"/>
      <c r="Q586" s="124"/>
      <c r="R586" s="95"/>
      <c r="S586" s="95"/>
      <c r="T586" s="95"/>
      <c r="U586" s="95"/>
      <c r="V586" s="95"/>
      <c r="W586" s="95"/>
      <c r="X586" s="125"/>
      <c r="Y586" s="124"/>
      <c r="Z586" s="95"/>
      <c r="AA586" s="95"/>
      <c r="AB586" s="95"/>
      <c r="AC586" s="95"/>
      <c r="AD586" s="95"/>
      <c r="AE586" s="95"/>
      <c r="AF586" s="125"/>
      <c r="AG586" s="95"/>
      <c r="AH586" s="95"/>
      <c r="AI586" s="95"/>
      <c r="AJ586" s="95"/>
      <c r="AK586" s="95"/>
      <c r="AL586" s="95"/>
      <c r="AM586" s="95"/>
      <c r="AN586" s="125"/>
      <c r="AO586" s="95"/>
      <c r="AP586" s="79"/>
      <c r="AQ586" s="85">
        <f t="shared" si="27"/>
        <v>0</v>
      </c>
      <c r="AR586" s="19"/>
      <c r="AS586"/>
      <c r="AT586" s="67">
        <f t="shared" si="28"/>
        <v>0</v>
      </c>
      <c r="AU586" s="67">
        <f t="shared" si="29"/>
        <v>0</v>
      </c>
      <c r="AV586" s="66"/>
      <c r="AW586" s="12"/>
      <c r="CE586" s="12" t="s">
        <v>326</v>
      </c>
      <c r="CG586" s="12" t="s">
        <v>326</v>
      </c>
      <c r="CK586"/>
      <c r="CX586">
        <v>565</v>
      </c>
    </row>
    <row r="587" spans="1:102">
      <c r="A587" s="8">
        <v>566</v>
      </c>
      <c r="B587" s="8" t="s">
        <v>13</v>
      </c>
      <c r="C587" s="54" t="s">
        <v>307</v>
      </c>
      <c r="D587" s="8" t="s">
        <v>345</v>
      </c>
      <c r="E587" s="8" t="s">
        <v>15</v>
      </c>
      <c r="F587" s="8"/>
      <c r="G587" s="8"/>
      <c r="H587" s="8"/>
      <c r="I587" s="124"/>
      <c r="J587" s="95"/>
      <c r="K587" s="95"/>
      <c r="L587" s="95"/>
      <c r="M587" s="95"/>
      <c r="N587" s="95"/>
      <c r="O587" s="95"/>
      <c r="P587" s="125"/>
      <c r="Q587" s="124"/>
      <c r="R587" s="95"/>
      <c r="S587" s="95"/>
      <c r="T587" s="95"/>
      <c r="U587" s="95"/>
      <c r="V587" s="95"/>
      <c r="W587" s="95"/>
      <c r="X587" s="125"/>
      <c r="Y587" s="124"/>
      <c r="Z587" s="95"/>
      <c r="AA587" s="95"/>
      <c r="AB587" s="95"/>
      <c r="AC587" s="95"/>
      <c r="AD587" s="95"/>
      <c r="AE587" s="95"/>
      <c r="AF587" s="125"/>
      <c r="AG587" s="95"/>
      <c r="AH587" s="95"/>
      <c r="AI587" s="95"/>
      <c r="AJ587" s="95"/>
      <c r="AK587" s="95"/>
      <c r="AL587" s="95"/>
      <c r="AM587" s="95"/>
      <c r="AN587" s="125"/>
      <c r="AO587" s="95"/>
      <c r="AP587" s="79"/>
      <c r="AQ587" s="85">
        <f t="shared" si="27"/>
        <v>0</v>
      </c>
      <c r="AR587" s="19"/>
      <c r="AS587"/>
      <c r="AT587" s="67">
        <f t="shared" si="28"/>
        <v>0</v>
      </c>
      <c r="AU587" s="67">
        <f t="shared" si="29"/>
        <v>0</v>
      </c>
      <c r="AV587" s="66"/>
      <c r="AW587" s="12"/>
      <c r="CK587"/>
      <c r="CX587">
        <v>566</v>
      </c>
    </row>
    <row r="588" spans="1:102">
      <c r="A588" s="8">
        <v>567</v>
      </c>
      <c r="B588" s="8" t="s">
        <v>13</v>
      </c>
      <c r="C588" s="8" t="s">
        <v>56</v>
      </c>
      <c r="D588" s="8" t="s">
        <v>360</v>
      </c>
      <c r="E588" s="8" t="s">
        <v>15</v>
      </c>
      <c r="F588" s="8">
        <v>3</v>
      </c>
      <c r="G588" s="8" t="s">
        <v>15</v>
      </c>
      <c r="H588" s="8">
        <v>8</v>
      </c>
      <c r="I588" s="124"/>
      <c r="J588" s="95"/>
      <c r="K588" s="95"/>
      <c r="L588" s="95"/>
      <c r="M588" s="95"/>
      <c r="N588" s="95"/>
      <c r="O588" s="95">
        <v>1</v>
      </c>
      <c r="P588" s="125">
        <v>1</v>
      </c>
      <c r="Q588" s="124"/>
      <c r="R588" s="95"/>
      <c r="S588" s="95"/>
      <c r="T588" s="95"/>
      <c r="U588" s="95"/>
      <c r="V588" s="95"/>
      <c r="W588" s="95"/>
      <c r="X588" s="125"/>
      <c r="Y588" s="124"/>
      <c r="Z588" s="95"/>
      <c r="AA588" s="95"/>
      <c r="AB588" s="95" t="s">
        <v>49</v>
      </c>
      <c r="AC588" s="95"/>
      <c r="AD588" s="95"/>
      <c r="AE588" s="95"/>
      <c r="AF588" s="125"/>
      <c r="AG588" s="95">
        <v>1</v>
      </c>
      <c r="AH588" s="95"/>
      <c r="AI588" s="95"/>
      <c r="AJ588" s="95"/>
      <c r="AK588" s="95"/>
      <c r="AL588" s="95"/>
      <c r="AM588" s="95"/>
      <c r="AN588" s="125"/>
      <c r="AO588" s="95">
        <v>3</v>
      </c>
      <c r="AP588" s="79"/>
      <c r="AQ588" s="85">
        <f t="shared" si="27"/>
        <v>3</v>
      </c>
      <c r="AR588" s="19"/>
      <c r="AS588"/>
      <c r="AT588" s="67">
        <f t="shared" si="28"/>
        <v>0</v>
      </c>
      <c r="AU588" s="67">
        <f t="shared" si="29"/>
        <v>0</v>
      </c>
      <c r="AV588" s="66"/>
      <c r="AW588" s="12"/>
      <c r="CK588"/>
      <c r="CX588">
        <v>567</v>
      </c>
    </row>
    <row r="589" spans="1:102">
      <c r="A589" s="8">
        <v>568</v>
      </c>
      <c r="B589" s="8" t="s">
        <v>12</v>
      </c>
      <c r="C589" s="8" t="s">
        <v>65</v>
      </c>
      <c r="D589" s="8" t="s">
        <v>12</v>
      </c>
      <c r="E589" s="8" t="s">
        <v>42</v>
      </c>
      <c r="F589" s="8">
        <v>28</v>
      </c>
      <c r="G589" s="8">
        <v>29</v>
      </c>
      <c r="H589" s="8">
        <v>29</v>
      </c>
      <c r="I589" s="124">
        <v>1</v>
      </c>
      <c r="J589" s="95">
        <v>1</v>
      </c>
      <c r="K589" s="95">
        <v>1</v>
      </c>
      <c r="L589" s="95">
        <v>1</v>
      </c>
      <c r="M589" s="95">
        <v>1</v>
      </c>
      <c r="N589" s="95">
        <v>1</v>
      </c>
      <c r="O589" s="95">
        <v>1</v>
      </c>
      <c r="P589" s="125">
        <v>1</v>
      </c>
      <c r="Q589" s="124" t="s">
        <v>9</v>
      </c>
      <c r="R589" s="95">
        <v>1</v>
      </c>
      <c r="S589" s="95">
        <v>1</v>
      </c>
      <c r="T589" s="95">
        <v>1</v>
      </c>
      <c r="U589" s="95">
        <v>1</v>
      </c>
      <c r="V589" s="95">
        <v>1</v>
      </c>
      <c r="W589" s="95">
        <v>1</v>
      </c>
      <c r="X589" s="125"/>
      <c r="Y589" s="124"/>
      <c r="Z589" s="95">
        <v>1</v>
      </c>
      <c r="AA589" s="95">
        <v>1</v>
      </c>
      <c r="AB589" s="95">
        <v>1</v>
      </c>
      <c r="AC589" s="95">
        <v>1</v>
      </c>
      <c r="AD589" s="95">
        <v>1</v>
      </c>
      <c r="AE589" s="95">
        <v>1</v>
      </c>
      <c r="AF589" s="125">
        <v>1</v>
      </c>
      <c r="AG589" s="95">
        <v>1</v>
      </c>
      <c r="AH589" s="95">
        <v>1</v>
      </c>
      <c r="AI589" s="95">
        <v>1</v>
      </c>
      <c r="AJ589" s="95">
        <v>1</v>
      </c>
      <c r="AK589" s="95">
        <v>1</v>
      </c>
      <c r="AL589" s="95">
        <v>1</v>
      </c>
      <c r="AM589" s="95">
        <v>1</v>
      </c>
      <c r="AN589" s="125"/>
      <c r="AO589" s="95"/>
      <c r="AP589" s="79">
        <v>28</v>
      </c>
      <c r="AQ589" s="85">
        <f t="shared" si="27"/>
        <v>28</v>
      </c>
      <c r="AR589" s="19" t="s">
        <v>314</v>
      </c>
      <c r="AS589"/>
      <c r="AT589" s="67">
        <f t="shared" si="28"/>
        <v>0</v>
      </c>
      <c r="AU589" s="67">
        <f t="shared" si="29"/>
        <v>1</v>
      </c>
      <c r="AV589" s="66"/>
      <c r="AW589" s="12">
        <v>1</v>
      </c>
      <c r="AZ589" s="12">
        <v>1</v>
      </c>
      <c r="BA589" s="12">
        <v>1</v>
      </c>
      <c r="CK589"/>
      <c r="CX589">
        <v>568</v>
      </c>
    </row>
    <row r="590" spans="1:102">
      <c r="A590" s="8">
        <v>569</v>
      </c>
      <c r="B590" s="8" t="s">
        <v>13</v>
      </c>
      <c r="C590" s="8" t="s">
        <v>59</v>
      </c>
      <c r="D590" s="8" t="s">
        <v>346</v>
      </c>
      <c r="E590" s="8" t="s">
        <v>15</v>
      </c>
      <c r="F590" s="8">
        <v>18</v>
      </c>
      <c r="G590" s="8">
        <v>20</v>
      </c>
      <c r="H590" s="8">
        <v>20</v>
      </c>
      <c r="I590" s="124"/>
      <c r="J590" s="95" t="s">
        <v>49</v>
      </c>
      <c r="K590" s="95" t="s">
        <v>49</v>
      </c>
      <c r="L590" s="95">
        <v>1</v>
      </c>
      <c r="M590" s="95">
        <v>1</v>
      </c>
      <c r="N590" s="95">
        <v>1</v>
      </c>
      <c r="O590" s="95" t="s">
        <v>9</v>
      </c>
      <c r="P590" s="125" t="s">
        <v>9</v>
      </c>
      <c r="Q590" s="124">
        <v>1</v>
      </c>
      <c r="R590" s="95">
        <v>1</v>
      </c>
      <c r="S590" s="95">
        <v>1</v>
      </c>
      <c r="T590" s="95">
        <v>1</v>
      </c>
      <c r="U590" s="95">
        <v>1</v>
      </c>
      <c r="V590" s="95" t="s">
        <v>49</v>
      </c>
      <c r="W590" s="95" t="s">
        <v>49</v>
      </c>
      <c r="X590" s="125"/>
      <c r="Y590" s="124"/>
      <c r="Z590" s="95" t="s">
        <v>49</v>
      </c>
      <c r="AA590" s="95" t="s">
        <v>49</v>
      </c>
      <c r="AB590" s="95">
        <v>1</v>
      </c>
      <c r="AC590" s="95">
        <v>1</v>
      </c>
      <c r="AD590" s="95">
        <v>1</v>
      </c>
      <c r="AE590" s="95">
        <v>1</v>
      </c>
      <c r="AF590" s="125">
        <v>1</v>
      </c>
      <c r="AG590" s="95">
        <v>1</v>
      </c>
      <c r="AH590" s="95">
        <v>1</v>
      </c>
      <c r="AI590" s="95">
        <v>1</v>
      </c>
      <c r="AJ590" s="95">
        <v>1</v>
      </c>
      <c r="AK590" s="95">
        <v>1</v>
      </c>
      <c r="AL590" s="95" t="s">
        <v>49</v>
      </c>
      <c r="AM590" s="95" t="s">
        <v>49</v>
      </c>
      <c r="AN590" s="125"/>
      <c r="AO590" s="95">
        <v>18</v>
      </c>
      <c r="AP590" s="79"/>
      <c r="AQ590" s="85">
        <f t="shared" si="27"/>
        <v>18</v>
      </c>
      <c r="AR590" s="19"/>
      <c r="AS590"/>
      <c r="AT590" s="67">
        <f t="shared" si="28"/>
        <v>0</v>
      </c>
      <c r="AU590" s="67">
        <f t="shared" si="29"/>
        <v>2</v>
      </c>
      <c r="AV590" s="66"/>
      <c r="AW590" s="12"/>
      <c r="BA590" s="12">
        <v>1</v>
      </c>
      <c r="CK590"/>
      <c r="CX590">
        <v>569</v>
      </c>
    </row>
    <row r="591" spans="1:102">
      <c r="A591" s="8">
        <v>570</v>
      </c>
      <c r="B591" s="8" t="s">
        <v>12</v>
      </c>
      <c r="C591" s="8" t="s">
        <v>73</v>
      </c>
      <c r="D591" s="8" t="s">
        <v>165</v>
      </c>
      <c r="E591" s="8" t="s">
        <v>6</v>
      </c>
      <c r="F591" s="8">
        <v>27</v>
      </c>
      <c r="G591" s="8">
        <v>27</v>
      </c>
      <c r="H591" s="8">
        <v>28</v>
      </c>
      <c r="I591" s="124"/>
      <c r="J591" s="95">
        <v>1</v>
      </c>
      <c r="K591" s="95">
        <v>1</v>
      </c>
      <c r="L591" s="95">
        <v>1</v>
      </c>
      <c r="M591" s="95">
        <v>1</v>
      </c>
      <c r="N591" s="95">
        <v>1</v>
      </c>
      <c r="O591" s="95">
        <v>1</v>
      </c>
      <c r="P591" s="125">
        <v>1</v>
      </c>
      <c r="Q591" s="124">
        <v>1</v>
      </c>
      <c r="R591" s="95">
        <v>1</v>
      </c>
      <c r="S591" s="95">
        <v>1</v>
      </c>
      <c r="T591" s="95">
        <v>1</v>
      </c>
      <c r="U591" s="95">
        <v>1</v>
      </c>
      <c r="V591" s="95">
        <v>1</v>
      </c>
      <c r="W591" s="95">
        <v>1</v>
      </c>
      <c r="X591" s="125"/>
      <c r="Y591" s="124"/>
      <c r="Z591" s="95">
        <v>1</v>
      </c>
      <c r="AA591" s="95">
        <v>1</v>
      </c>
      <c r="AB591" s="95">
        <v>1</v>
      </c>
      <c r="AC591" s="95">
        <v>1</v>
      </c>
      <c r="AD591" s="95">
        <v>1</v>
      </c>
      <c r="AE591" s="95">
        <v>1</v>
      </c>
      <c r="AF591" s="125">
        <v>1</v>
      </c>
      <c r="AG591" s="95">
        <v>1</v>
      </c>
      <c r="AH591" s="95">
        <v>1</v>
      </c>
      <c r="AI591" s="95">
        <v>1</v>
      </c>
      <c r="AJ591" s="95">
        <v>1</v>
      </c>
      <c r="AK591" s="95">
        <v>1</v>
      </c>
      <c r="AL591" s="95" t="s">
        <v>10</v>
      </c>
      <c r="AM591" s="95">
        <v>1</v>
      </c>
      <c r="AN591" s="125"/>
      <c r="AO591" s="95">
        <v>27</v>
      </c>
      <c r="AP591" s="79"/>
      <c r="AQ591" s="85">
        <f t="shared" si="27"/>
        <v>27</v>
      </c>
      <c r="AR591" s="19" t="s">
        <v>315</v>
      </c>
      <c r="AS591"/>
      <c r="AT591" s="67">
        <f t="shared" si="28"/>
        <v>1</v>
      </c>
      <c r="AU591" s="67">
        <f t="shared" si="29"/>
        <v>0</v>
      </c>
      <c r="AV591" s="66"/>
      <c r="AW591" s="12">
        <v>1</v>
      </c>
      <c r="AY591" s="12">
        <v>1</v>
      </c>
      <c r="AZ591" s="12">
        <v>1</v>
      </c>
      <c r="BA591" s="12">
        <v>1</v>
      </c>
      <c r="BB591" s="12">
        <v>1</v>
      </c>
      <c r="BV591" s="12">
        <v>1</v>
      </c>
      <c r="CK591"/>
      <c r="CX591">
        <v>570</v>
      </c>
    </row>
    <row r="592" spans="1:102">
      <c r="A592" s="8">
        <v>571</v>
      </c>
      <c r="B592" s="8" t="s">
        <v>12</v>
      </c>
      <c r="C592" s="8" t="s">
        <v>62</v>
      </c>
      <c r="D592" s="8" t="s">
        <v>42</v>
      </c>
      <c r="E592" s="8" t="s">
        <v>6</v>
      </c>
      <c r="F592" s="8">
        <v>31</v>
      </c>
      <c r="G592" s="8">
        <v>31</v>
      </c>
      <c r="H592" s="8">
        <v>32</v>
      </c>
      <c r="I592" s="124">
        <v>1</v>
      </c>
      <c r="J592" s="95">
        <v>1</v>
      </c>
      <c r="K592" s="95">
        <v>1</v>
      </c>
      <c r="L592" s="95">
        <v>1</v>
      </c>
      <c r="M592" s="95">
        <v>1</v>
      </c>
      <c r="N592" s="95">
        <v>1</v>
      </c>
      <c r="O592" s="95">
        <v>1</v>
      </c>
      <c r="P592" s="125">
        <v>1</v>
      </c>
      <c r="Q592" s="124" t="s">
        <v>10</v>
      </c>
      <c r="R592" s="95">
        <v>1</v>
      </c>
      <c r="S592" s="95">
        <v>1</v>
      </c>
      <c r="T592" s="95">
        <v>1</v>
      </c>
      <c r="U592" s="95">
        <v>1</v>
      </c>
      <c r="V592" s="95">
        <v>1</v>
      </c>
      <c r="W592" s="95">
        <v>1</v>
      </c>
      <c r="X592" s="125">
        <v>1</v>
      </c>
      <c r="Y592" s="124">
        <v>1</v>
      </c>
      <c r="Z592" s="95">
        <v>1</v>
      </c>
      <c r="AA592" s="95">
        <v>1</v>
      </c>
      <c r="AB592" s="95">
        <v>1</v>
      </c>
      <c r="AC592" s="95">
        <v>1</v>
      </c>
      <c r="AD592" s="95">
        <v>1</v>
      </c>
      <c r="AE592" s="95">
        <v>1</v>
      </c>
      <c r="AF592" s="125">
        <v>1</v>
      </c>
      <c r="AG592" s="95">
        <v>1</v>
      </c>
      <c r="AH592" s="95">
        <v>1</v>
      </c>
      <c r="AI592" s="95">
        <v>1</v>
      </c>
      <c r="AJ592" s="95">
        <v>1</v>
      </c>
      <c r="AK592" s="95">
        <v>1</v>
      </c>
      <c r="AL592" s="95">
        <v>1</v>
      </c>
      <c r="AM592" s="95">
        <v>1</v>
      </c>
      <c r="AN592" s="125">
        <v>1</v>
      </c>
      <c r="AO592" s="95">
        <v>31</v>
      </c>
      <c r="AP592" s="79"/>
      <c r="AQ592" s="85">
        <f t="shared" si="27"/>
        <v>31</v>
      </c>
      <c r="AR592" s="19"/>
      <c r="AS592"/>
      <c r="AT592" s="67">
        <f t="shared" si="28"/>
        <v>1</v>
      </c>
      <c r="AU592" s="67">
        <f t="shared" si="29"/>
        <v>0</v>
      </c>
      <c r="AV592" s="66"/>
      <c r="AW592" s="12">
        <v>1</v>
      </c>
      <c r="AX592" s="12">
        <v>1</v>
      </c>
      <c r="AY592" s="12">
        <v>1</v>
      </c>
      <c r="AZ592" s="12">
        <v>1</v>
      </c>
      <c r="BA592" s="12">
        <v>1</v>
      </c>
      <c r="BB592" s="12">
        <v>1</v>
      </c>
      <c r="BS592" s="12">
        <v>1</v>
      </c>
      <c r="BY592" s="12">
        <v>1</v>
      </c>
      <c r="BZ592" s="12">
        <v>1</v>
      </c>
      <c r="CK592"/>
      <c r="CW592" t="s">
        <v>326</v>
      </c>
      <c r="CX592">
        <v>571</v>
      </c>
    </row>
    <row r="593" spans="1:102">
      <c r="A593" s="8">
        <v>572</v>
      </c>
      <c r="B593" s="8" t="s">
        <v>13</v>
      </c>
      <c r="C593" s="8" t="s">
        <v>74</v>
      </c>
      <c r="D593" s="8" t="s">
        <v>346</v>
      </c>
      <c r="E593" s="8" t="s">
        <v>15</v>
      </c>
      <c r="F593" s="8">
        <v>17</v>
      </c>
      <c r="G593" s="8">
        <v>20</v>
      </c>
      <c r="H593" s="8">
        <v>20</v>
      </c>
      <c r="I593" s="124"/>
      <c r="J593" s="95"/>
      <c r="K593" s="95" t="s">
        <v>49</v>
      </c>
      <c r="L593" s="95">
        <v>1</v>
      </c>
      <c r="M593" s="95">
        <v>1</v>
      </c>
      <c r="N593" s="95">
        <v>1</v>
      </c>
      <c r="O593" s="95" t="s">
        <v>9</v>
      </c>
      <c r="P593" s="125" t="s">
        <v>9</v>
      </c>
      <c r="Q593" s="124" t="s">
        <v>9</v>
      </c>
      <c r="R593" s="95">
        <v>1</v>
      </c>
      <c r="S593" s="95">
        <v>1</v>
      </c>
      <c r="T593" s="95">
        <v>1</v>
      </c>
      <c r="U593" s="95">
        <v>1</v>
      </c>
      <c r="V593" s="95">
        <v>1</v>
      </c>
      <c r="W593" s="95"/>
      <c r="X593" s="125"/>
      <c r="Y593" s="124"/>
      <c r="Z593" s="95"/>
      <c r="AA593" s="95" t="s">
        <v>49</v>
      </c>
      <c r="AB593" s="95">
        <v>1</v>
      </c>
      <c r="AC593" s="95">
        <v>1</v>
      </c>
      <c r="AD593" s="95">
        <v>1</v>
      </c>
      <c r="AE593" s="95">
        <v>1</v>
      </c>
      <c r="AF593" s="125">
        <v>1</v>
      </c>
      <c r="AG593" s="95">
        <v>1</v>
      </c>
      <c r="AH593" s="95">
        <v>1</v>
      </c>
      <c r="AI593" s="95">
        <v>1</v>
      </c>
      <c r="AJ593" s="95">
        <v>1</v>
      </c>
      <c r="AK593" s="95">
        <v>1</v>
      </c>
      <c r="AL593" s="95" t="s">
        <v>49</v>
      </c>
      <c r="AM593" s="95"/>
      <c r="AN593" s="125"/>
      <c r="AO593" s="95">
        <v>18</v>
      </c>
      <c r="AP593" s="79"/>
      <c r="AQ593" s="85">
        <f t="shared" si="27"/>
        <v>18</v>
      </c>
      <c r="AR593" s="19"/>
      <c r="AS593"/>
      <c r="AT593" s="67">
        <f t="shared" si="28"/>
        <v>0</v>
      </c>
      <c r="AU593" s="67">
        <f t="shared" si="29"/>
        <v>3</v>
      </c>
      <c r="AV593" s="66"/>
      <c r="AW593" s="12"/>
      <c r="BA593" s="12">
        <v>1</v>
      </c>
      <c r="CK593"/>
      <c r="CX593">
        <v>572</v>
      </c>
    </row>
    <row r="594" spans="1:102" ht="15.75" thickBot="1">
      <c r="A594" s="8">
        <v>573</v>
      </c>
      <c r="B594" s="8" t="s">
        <v>12</v>
      </c>
      <c r="C594" s="8" t="s">
        <v>91</v>
      </c>
      <c r="D594" s="8" t="s">
        <v>366</v>
      </c>
      <c r="E594" s="8" t="s">
        <v>6</v>
      </c>
      <c r="F594" s="8"/>
      <c r="G594" s="8"/>
      <c r="H594" s="8"/>
      <c r="I594" s="126"/>
      <c r="J594" s="127"/>
      <c r="K594" s="127"/>
      <c r="L594" s="127"/>
      <c r="M594" s="127"/>
      <c r="N594" s="127"/>
      <c r="O594" s="127"/>
      <c r="P594" s="128"/>
      <c r="Q594" s="126"/>
      <c r="R594" s="127"/>
      <c r="S594" s="127"/>
      <c r="T594" s="127"/>
      <c r="U594" s="127"/>
      <c r="V594" s="127"/>
      <c r="W594" s="127"/>
      <c r="X594" s="128"/>
      <c r="Y594" s="126"/>
      <c r="Z594" s="127"/>
      <c r="AA594" s="127"/>
      <c r="AB594" s="127"/>
      <c r="AC594" s="127"/>
      <c r="AD594" s="127"/>
      <c r="AE594" s="127"/>
      <c r="AF594" s="128"/>
      <c r="AG594" s="127"/>
      <c r="AH594" s="127"/>
      <c r="AI594" s="127"/>
      <c r="AJ594" s="127"/>
      <c r="AK594" s="127"/>
      <c r="AL594" s="127"/>
      <c r="AM594" s="127"/>
      <c r="AN594" s="128"/>
      <c r="AO594" s="95"/>
      <c r="AP594" s="79"/>
      <c r="AQ594" s="85">
        <f t="shared" si="27"/>
        <v>0</v>
      </c>
      <c r="AR594" s="19"/>
      <c r="AS594"/>
      <c r="AT594" s="67">
        <f t="shared" si="28"/>
        <v>0</v>
      </c>
      <c r="AU594" s="67">
        <f t="shared" si="29"/>
        <v>0</v>
      </c>
      <c r="AV594" s="66"/>
      <c r="AW594" s="12"/>
      <c r="BK594" s="12">
        <v>1</v>
      </c>
      <c r="CI594" s="12">
        <v>1</v>
      </c>
      <c r="CK594"/>
      <c r="CX594">
        <v>573</v>
      </c>
    </row>
    <row r="595" spans="1:102" ht="15.75" thickBot="1">
      <c r="A595" s="411" t="s">
        <v>354</v>
      </c>
      <c r="B595" s="411"/>
      <c r="C595" s="411"/>
      <c r="D595" s="411"/>
      <c r="E595" s="411"/>
      <c r="F595" s="411"/>
      <c r="G595" s="411"/>
      <c r="H595" s="411"/>
      <c r="I595" s="411"/>
      <c r="J595" s="411"/>
      <c r="K595" s="411"/>
      <c r="L595" s="411"/>
      <c r="M595" s="411"/>
      <c r="N595" s="411"/>
      <c r="O595" s="411"/>
      <c r="P595" s="411"/>
      <c r="Q595" s="411"/>
      <c r="R595" s="411"/>
      <c r="S595" s="411"/>
      <c r="T595" s="411"/>
      <c r="U595" s="411"/>
      <c r="V595" s="411"/>
      <c r="W595" s="411"/>
      <c r="X595" s="411"/>
      <c r="Y595" s="411"/>
      <c r="Z595" s="411"/>
      <c r="AA595" s="411"/>
      <c r="AB595" s="411"/>
      <c r="AC595" s="411"/>
      <c r="AD595" s="411"/>
      <c r="AE595" s="411"/>
      <c r="AF595" s="411"/>
      <c r="AG595" s="411"/>
      <c r="AH595" s="411"/>
      <c r="AI595" s="411"/>
      <c r="AJ595" s="411"/>
      <c r="AK595" s="411"/>
      <c r="AL595" s="411"/>
      <c r="AM595" s="411"/>
      <c r="AN595" s="411"/>
      <c r="AO595" s="411"/>
      <c r="AP595" s="411"/>
      <c r="AQ595" s="411"/>
      <c r="AR595" s="411"/>
      <c r="AS595" s="411"/>
      <c r="AT595" s="411"/>
      <c r="AU595" s="411"/>
      <c r="AV595" s="411"/>
      <c r="AW595" s="411"/>
      <c r="AX595" s="411"/>
      <c r="AY595" s="411"/>
      <c r="AZ595" s="411"/>
      <c r="BA595" s="411"/>
      <c r="BB595" s="411"/>
      <c r="BC595" s="411"/>
      <c r="BD595" s="411"/>
      <c r="BE595" s="411"/>
      <c r="BF595" s="411"/>
      <c r="BG595" s="411"/>
      <c r="BH595" s="411"/>
      <c r="BI595" s="411"/>
      <c r="BJ595" s="411"/>
      <c r="BK595" s="411"/>
      <c r="BL595" s="411"/>
      <c r="BM595" s="411"/>
      <c r="BN595" s="411"/>
      <c r="BO595" s="411"/>
      <c r="BP595" s="411"/>
      <c r="BQ595" s="411"/>
      <c r="BR595" s="411"/>
      <c r="BS595" s="411"/>
      <c r="BT595" s="411"/>
      <c r="BU595" s="411"/>
      <c r="BV595" s="411"/>
      <c r="BW595" s="411"/>
      <c r="BX595" s="411"/>
      <c r="BY595" s="411"/>
      <c r="BZ595" s="411"/>
      <c r="CA595" s="411"/>
      <c r="CB595" s="411"/>
      <c r="CC595" s="411"/>
      <c r="CD595" s="411"/>
      <c r="CE595" s="411"/>
      <c r="CF595" s="411"/>
      <c r="CG595" s="411"/>
      <c r="CH595" s="411"/>
      <c r="CI595" s="411"/>
      <c r="CJ595" s="411"/>
      <c r="CK595" s="411"/>
      <c r="CL595" s="411"/>
      <c r="CM595" s="411"/>
      <c r="CN595" s="411"/>
      <c r="CO595" s="411"/>
      <c r="CP595" s="411"/>
      <c r="CQ595" s="411"/>
      <c r="CR595" s="411"/>
      <c r="CS595" s="411"/>
      <c r="CT595" s="411"/>
      <c r="CU595" s="411"/>
      <c r="CV595" s="411"/>
      <c r="CW595" s="411"/>
      <c r="CX595" s="411"/>
    </row>
    <row r="596" spans="1:102">
      <c r="A596" s="8">
        <v>1</v>
      </c>
      <c r="B596" s="8" t="s">
        <v>12</v>
      </c>
      <c r="C596" s="8" t="s">
        <v>40</v>
      </c>
      <c r="D596" s="8" t="s">
        <v>40</v>
      </c>
      <c r="E596" s="8" t="s">
        <v>42</v>
      </c>
      <c r="F596" s="8"/>
      <c r="G596" s="8"/>
      <c r="H596" s="8"/>
      <c r="I596" s="121"/>
      <c r="J596" s="122"/>
      <c r="K596" s="122"/>
      <c r="L596" s="122"/>
      <c r="M596" s="122"/>
      <c r="N596" s="122"/>
      <c r="O596" s="122"/>
      <c r="P596" s="123"/>
      <c r="Q596" s="121"/>
      <c r="R596" s="122"/>
      <c r="S596" s="122"/>
      <c r="T596" s="122"/>
      <c r="U596" s="122"/>
      <c r="V596" s="122"/>
      <c r="W596" s="122"/>
      <c r="X596" s="123"/>
      <c r="Y596" s="121"/>
      <c r="Z596" s="122"/>
      <c r="AA596" s="122"/>
      <c r="AB596" s="122"/>
      <c r="AC596" s="122"/>
      <c r="AD596" s="122"/>
      <c r="AE596" s="122"/>
      <c r="AF596" s="123"/>
      <c r="AG596" s="121"/>
      <c r="AH596" s="122"/>
      <c r="AI596" s="122"/>
      <c r="AJ596" s="122"/>
      <c r="AK596" s="122"/>
      <c r="AL596" s="122"/>
      <c r="AM596" s="122"/>
      <c r="AN596" s="123"/>
      <c r="AO596" s="95"/>
      <c r="AP596" s="79"/>
      <c r="AQ596" s="85">
        <f t="shared" ref="AQ596:AQ615" si="30">SUM(I596:AN596)</f>
        <v>0</v>
      </c>
      <c r="AR596"/>
      <c r="AS596"/>
      <c r="AT596" s="67">
        <f t="shared" ref="AT596:AT615" si="31">COUNTIF(I596:AN596,"*am*")</f>
        <v>0</v>
      </c>
      <c r="AU596" s="67">
        <f t="shared" ref="AU596:AU615" si="32">COUNTIF(I596:AN596,"pm")</f>
        <v>0</v>
      </c>
      <c r="AV596" s="66"/>
      <c r="AW596" s="12"/>
      <c r="CK596"/>
      <c r="CX596">
        <v>1</v>
      </c>
    </row>
    <row r="597" spans="1:102">
      <c r="A597" s="8">
        <v>2</v>
      </c>
      <c r="B597" s="8" t="s">
        <v>13</v>
      </c>
      <c r="C597" s="8" t="s">
        <v>48</v>
      </c>
      <c r="D597" s="8" t="s">
        <v>357</v>
      </c>
      <c r="E597" s="8" t="s">
        <v>15</v>
      </c>
      <c r="F597" s="8"/>
      <c r="G597" s="8"/>
      <c r="H597" s="8"/>
      <c r="I597" s="124"/>
      <c r="J597" s="95"/>
      <c r="K597" s="95"/>
      <c r="L597" s="95"/>
      <c r="M597" s="95"/>
      <c r="N597" s="95"/>
      <c r="O597" s="95"/>
      <c r="P597" s="125"/>
      <c r="Q597" s="124"/>
      <c r="R597" s="95"/>
      <c r="S597" s="95"/>
      <c r="T597" s="95"/>
      <c r="U597" s="95"/>
      <c r="V597" s="95"/>
      <c r="W597" s="95"/>
      <c r="X597" s="125"/>
      <c r="Y597" s="124"/>
      <c r="Z597" s="95"/>
      <c r="AA597" s="95"/>
      <c r="AB597" s="95"/>
      <c r="AC597" s="95"/>
      <c r="AD597" s="95"/>
      <c r="AE597" s="95"/>
      <c r="AF597" s="125"/>
      <c r="AG597" s="124"/>
      <c r="AH597" s="95"/>
      <c r="AI597" s="95"/>
      <c r="AJ597" s="95"/>
      <c r="AK597" s="95"/>
      <c r="AL597" s="95"/>
      <c r="AM597" s="95"/>
      <c r="AN597" s="125"/>
      <c r="AO597" s="95"/>
      <c r="AP597" s="79"/>
      <c r="AQ597" s="85">
        <f t="shared" si="30"/>
        <v>0</v>
      </c>
      <c r="AR597"/>
      <c r="AS597"/>
      <c r="AT597" s="67">
        <f t="shared" si="31"/>
        <v>0</v>
      </c>
      <c r="AU597" s="67">
        <f t="shared" si="32"/>
        <v>0</v>
      </c>
      <c r="AV597" s="66"/>
      <c r="AW597" s="12"/>
      <c r="CK597"/>
      <c r="CX597">
        <v>2</v>
      </c>
    </row>
    <row r="598" spans="1:102" s="8" customFormat="1">
      <c r="A598" s="8">
        <v>3</v>
      </c>
      <c r="B598" s="8" t="s">
        <v>12</v>
      </c>
      <c r="C598" s="8" t="s">
        <v>91</v>
      </c>
      <c r="D598" s="8" t="s">
        <v>366</v>
      </c>
      <c r="E598" s="8" t="s">
        <v>42</v>
      </c>
      <c r="I598" s="124"/>
      <c r="J598" s="95"/>
      <c r="K598" s="95"/>
      <c r="L598" s="95"/>
      <c r="M598" s="95"/>
      <c r="N598" s="95"/>
      <c r="O598" s="95"/>
      <c r="P598" s="125"/>
      <c r="Q598" s="124"/>
      <c r="R598" s="95"/>
      <c r="S598" s="95"/>
      <c r="T598" s="95"/>
      <c r="U598" s="95"/>
      <c r="V598" s="95"/>
      <c r="W598" s="95"/>
      <c r="X598" s="125"/>
      <c r="Y598" s="124"/>
      <c r="Z598" s="95"/>
      <c r="AA598" s="95"/>
      <c r="AB598" s="95"/>
      <c r="AC598" s="95"/>
      <c r="AD598" s="95"/>
      <c r="AE598" s="95"/>
      <c r="AF598" s="125"/>
      <c r="AG598" s="124"/>
      <c r="AH598" s="95"/>
      <c r="AI598" s="95"/>
      <c r="AJ598" s="95"/>
      <c r="AK598" s="95"/>
      <c r="AL598" s="95"/>
      <c r="AM598" s="95"/>
      <c r="AN598" s="125"/>
      <c r="AO598" s="95"/>
      <c r="AP598" s="79"/>
      <c r="AQ598" s="85">
        <f t="shared" si="30"/>
        <v>0</v>
      </c>
      <c r="AT598" s="67">
        <f t="shared" si="31"/>
        <v>0</v>
      </c>
      <c r="AU598" s="67">
        <f t="shared" si="32"/>
        <v>0</v>
      </c>
      <c r="AW598" s="13"/>
      <c r="AX598" s="13"/>
      <c r="AY598" s="13"/>
      <c r="AZ598" s="13"/>
      <c r="BA598" s="13"/>
      <c r="BB598" s="13"/>
      <c r="BC598" s="13"/>
      <c r="BD598" s="13"/>
      <c r="BE598" s="13">
        <v>1</v>
      </c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>
        <v>1</v>
      </c>
      <c r="BR598" s="13"/>
      <c r="BS598" s="13"/>
      <c r="BT598" s="13"/>
      <c r="BU598" s="13"/>
      <c r="BV598" s="13"/>
      <c r="BW598" s="13"/>
      <c r="BX598" s="13"/>
      <c r="BY598" s="13">
        <v>1</v>
      </c>
      <c r="BZ598" s="1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X598" s="67">
        <v>3</v>
      </c>
    </row>
    <row r="599" spans="1:102" s="8" customFormat="1">
      <c r="A599" s="8">
        <v>4</v>
      </c>
      <c r="B599" s="8" t="s">
        <v>12</v>
      </c>
      <c r="C599" s="8" t="s">
        <v>93</v>
      </c>
      <c r="D599" s="8" t="s">
        <v>12</v>
      </c>
      <c r="E599" s="8" t="s">
        <v>42</v>
      </c>
      <c r="I599" s="124"/>
      <c r="J599" s="95"/>
      <c r="K599" s="95"/>
      <c r="L599" s="95"/>
      <c r="M599" s="95"/>
      <c r="N599" s="95"/>
      <c r="O599" s="95"/>
      <c r="P599" s="125"/>
      <c r="Q599" s="124"/>
      <c r="R599" s="95"/>
      <c r="S599" s="95"/>
      <c r="T599" s="95"/>
      <c r="U599" s="95"/>
      <c r="V599" s="95"/>
      <c r="W599" s="95"/>
      <c r="X599" s="125"/>
      <c r="Y599" s="124"/>
      <c r="Z599" s="95"/>
      <c r="AA599" s="95"/>
      <c r="AB599" s="95"/>
      <c r="AC599" s="95"/>
      <c r="AD599" s="95"/>
      <c r="AE599" s="95"/>
      <c r="AF599" s="125"/>
      <c r="AG599" s="124"/>
      <c r="AH599" s="95"/>
      <c r="AI599" s="95"/>
      <c r="AJ599" s="95"/>
      <c r="AK599" s="95"/>
      <c r="AL599" s="95"/>
      <c r="AM599" s="95"/>
      <c r="AN599" s="125"/>
      <c r="AO599" s="95"/>
      <c r="AP599" s="79"/>
      <c r="AQ599" s="85">
        <f t="shared" si="30"/>
        <v>0</v>
      </c>
      <c r="AT599" s="67">
        <f t="shared" si="31"/>
        <v>0</v>
      </c>
      <c r="AU599" s="67">
        <f t="shared" si="32"/>
        <v>0</v>
      </c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  <c r="CC599" s="13"/>
      <c r="CD599" s="13"/>
      <c r="CE599" s="13"/>
      <c r="CF599" s="13"/>
      <c r="CG599" s="13"/>
      <c r="CH599" s="13"/>
      <c r="CI599" s="13"/>
      <c r="CJ599" s="13"/>
      <c r="CX599" s="67">
        <v>4</v>
      </c>
    </row>
    <row r="600" spans="1:102" s="8" customFormat="1">
      <c r="A600" s="8">
        <v>5</v>
      </c>
      <c r="B600" s="8" t="s">
        <v>13</v>
      </c>
      <c r="C600" s="8" t="s">
        <v>55</v>
      </c>
      <c r="D600" s="8" t="s">
        <v>346</v>
      </c>
      <c r="E600" s="8" t="s">
        <v>15</v>
      </c>
      <c r="I600" s="124"/>
      <c r="J600" s="95"/>
      <c r="K600" s="95"/>
      <c r="L600" s="95"/>
      <c r="M600" s="95"/>
      <c r="N600" s="95"/>
      <c r="O600" s="95"/>
      <c r="P600" s="125"/>
      <c r="Q600" s="124"/>
      <c r="R600" s="95"/>
      <c r="S600" s="95"/>
      <c r="T600" s="95"/>
      <c r="U600" s="95"/>
      <c r="V600" s="95"/>
      <c r="W600" s="95"/>
      <c r="X600" s="125"/>
      <c r="Y600" s="124"/>
      <c r="Z600" s="95"/>
      <c r="AA600" s="95"/>
      <c r="AB600" s="95"/>
      <c r="AC600" s="95"/>
      <c r="AD600" s="95"/>
      <c r="AE600" s="95"/>
      <c r="AF600" s="125"/>
      <c r="AG600" s="124"/>
      <c r="AH600" s="95"/>
      <c r="AI600" s="95"/>
      <c r="AJ600" s="95"/>
      <c r="AK600" s="95"/>
      <c r="AL600" s="95"/>
      <c r="AM600" s="95"/>
      <c r="AN600" s="125"/>
      <c r="AO600" s="95"/>
      <c r="AP600" s="79"/>
      <c r="AQ600" s="85">
        <f t="shared" si="30"/>
        <v>0</v>
      </c>
      <c r="AT600" s="67">
        <f t="shared" si="31"/>
        <v>0</v>
      </c>
      <c r="AU600" s="67">
        <f t="shared" si="32"/>
        <v>0</v>
      </c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  <c r="CC600" s="13"/>
      <c r="CD600" s="13"/>
      <c r="CE600" s="13"/>
      <c r="CF600" s="13" t="s">
        <v>209</v>
      </c>
      <c r="CG600" s="13"/>
      <c r="CH600" s="13"/>
      <c r="CI600" s="13"/>
      <c r="CJ600" s="13"/>
      <c r="CX600" s="67">
        <v>5</v>
      </c>
    </row>
    <row r="601" spans="1:102" s="8" customFormat="1">
      <c r="A601" s="8">
        <v>6</v>
      </c>
      <c r="B601" s="8" t="s">
        <v>12</v>
      </c>
      <c r="C601" s="8" t="s">
        <v>91</v>
      </c>
      <c r="D601" s="8" t="s">
        <v>366</v>
      </c>
      <c r="E601" s="8" t="s">
        <v>15</v>
      </c>
      <c r="I601" s="124"/>
      <c r="J601" s="95"/>
      <c r="K601" s="95"/>
      <c r="L601" s="95"/>
      <c r="M601" s="95"/>
      <c r="N601" s="95"/>
      <c r="O601" s="95"/>
      <c r="P601" s="125"/>
      <c r="Q601" s="124"/>
      <c r="R601" s="95"/>
      <c r="S601" s="95"/>
      <c r="T601" s="95"/>
      <c r="U601" s="95"/>
      <c r="V601" s="95"/>
      <c r="W601" s="95"/>
      <c r="X601" s="125"/>
      <c r="Y601" s="124"/>
      <c r="Z601" s="95"/>
      <c r="AA601" s="95"/>
      <c r="AB601" s="95"/>
      <c r="AC601" s="95"/>
      <c r="AD601" s="95"/>
      <c r="AE601" s="95"/>
      <c r="AF601" s="125"/>
      <c r="AG601" s="124"/>
      <c r="AH601" s="95"/>
      <c r="AI601" s="95"/>
      <c r="AJ601" s="95"/>
      <c r="AK601" s="95"/>
      <c r="AL601" s="95"/>
      <c r="AM601" s="95"/>
      <c r="AN601" s="125"/>
      <c r="AO601" s="95"/>
      <c r="AP601" s="79"/>
      <c r="AQ601" s="85">
        <f t="shared" si="30"/>
        <v>0</v>
      </c>
      <c r="AT601" s="67">
        <f t="shared" si="31"/>
        <v>0</v>
      </c>
      <c r="AU601" s="67">
        <f t="shared" si="32"/>
        <v>0</v>
      </c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  <c r="CC601" s="13"/>
      <c r="CD601" s="13"/>
      <c r="CE601" s="13"/>
      <c r="CF601" s="13"/>
      <c r="CG601" s="13"/>
      <c r="CH601" s="13"/>
      <c r="CI601" s="13"/>
      <c r="CJ601" s="13"/>
      <c r="CX601" s="67">
        <v>6</v>
      </c>
    </row>
    <row r="602" spans="1:102" s="8" customFormat="1">
      <c r="A602" s="8">
        <v>7</v>
      </c>
      <c r="B602" s="8" t="s">
        <v>13</v>
      </c>
      <c r="C602" s="8" t="s">
        <v>274</v>
      </c>
      <c r="D602" s="8" t="s">
        <v>325</v>
      </c>
      <c r="E602" s="8" t="s">
        <v>15</v>
      </c>
      <c r="I602" s="124"/>
      <c r="J602" s="95"/>
      <c r="K602" s="95"/>
      <c r="L602" s="95"/>
      <c r="M602" s="95"/>
      <c r="N602" s="95"/>
      <c r="O602" s="95"/>
      <c r="P602" s="125"/>
      <c r="Q602" s="124"/>
      <c r="R602" s="95"/>
      <c r="S602" s="95"/>
      <c r="T602" s="95"/>
      <c r="U602" s="95"/>
      <c r="V602" s="95"/>
      <c r="W602" s="95"/>
      <c r="X602" s="125"/>
      <c r="Y602" s="124"/>
      <c r="Z602" s="95"/>
      <c r="AA602" s="95"/>
      <c r="AB602" s="95"/>
      <c r="AC602" s="95"/>
      <c r="AD602" s="95"/>
      <c r="AE602" s="95"/>
      <c r="AF602" s="125"/>
      <c r="AG602" s="124"/>
      <c r="AH602" s="95"/>
      <c r="AI602" s="95"/>
      <c r="AJ602" s="95"/>
      <c r="AK602" s="95"/>
      <c r="AL602" s="95"/>
      <c r="AM602" s="95"/>
      <c r="AN602" s="125"/>
      <c r="AO602" s="95"/>
      <c r="AP602" s="79"/>
      <c r="AQ602" s="85">
        <f t="shared" si="30"/>
        <v>0</v>
      </c>
      <c r="AT602" s="67">
        <f t="shared" si="31"/>
        <v>0</v>
      </c>
      <c r="AU602" s="67">
        <f t="shared" si="32"/>
        <v>0</v>
      </c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  <c r="CC602" s="13"/>
      <c r="CD602" s="13"/>
      <c r="CE602" s="13"/>
      <c r="CF602" s="13"/>
      <c r="CG602" s="13"/>
      <c r="CH602" s="13"/>
      <c r="CI602" s="13"/>
      <c r="CJ602" s="13"/>
      <c r="CX602" s="67">
        <v>7</v>
      </c>
    </row>
    <row r="603" spans="1:102" s="8" customFormat="1">
      <c r="A603" s="8">
        <v>8</v>
      </c>
      <c r="B603" s="8" t="s">
        <v>13</v>
      </c>
      <c r="C603" s="8" t="s">
        <v>55</v>
      </c>
      <c r="D603" s="8" t="s">
        <v>346</v>
      </c>
      <c r="E603" s="8" t="s">
        <v>15</v>
      </c>
      <c r="I603" s="124"/>
      <c r="J603" s="95"/>
      <c r="K603" s="95"/>
      <c r="L603" s="95"/>
      <c r="M603" s="95"/>
      <c r="N603" s="95"/>
      <c r="O603" s="95"/>
      <c r="P603" s="125"/>
      <c r="Q603" s="124"/>
      <c r="R603" s="95"/>
      <c r="S603" s="95"/>
      <c r="T603" s="95"/>
      <c r="U603" s="95"/>
      <c r="V603" s="95"/>
      <c r="W603" s="95"/>
      <c r="X603" s="125"/>
      <c r="Y603" s="124"/>
      <c r="Z603" s="95"/>
      <c r="AA603" s="95"/>
      <c r="AB603" s="95"/>
      <c r="AC603" s="95"/>
      <c r="AD603" s="95"/>
      <c r="AE603" s="95"/>
      <c r="AF603" s="125"/>
      <c r="AG603" s="124"/>
      <c r="AH603" s="95"/>
      <c r="AI603" s="95"/>
      <c r="AJ603" s="95"/>
      <c r="AK603" s="95"/>
      <c r="AL603" s="95"/>
      <c r="AM603" s="95"/>
      <c r="AN603" s="125"/>
      <c r="AO603" s="95"/>
      <c r="AP603" s="79"/>
      <c r="AQ603" s="85">
        <f t="shared" si="30"/>
        <v>0</v>
      </c>
      <c r="AT603" s="67">
        <f t="shared" si="31"/>
        <v>0</v>
      </c>
      <c r="AU603" s="67">
        <f t="shared" si="32"/>
        <v>0</v>
      </c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  <c r="CC603" s="13"/>
      <c r="CD603" s="13"/>
      <c r="CE603" s="13"/>
      <c r="CF603" s="13"/>
      <c r="CG603" s="13">
        <v>1</v>
      </c>
      <c r="CH603" s="13"/>
      <c r="CI603" s="13"/>
      <c r="CJ603" s="13"/>
      <c r="CX603" s="67">
        <v>8</v>
      </c>
    </row>
    <row r="604" spans="1:102" s="8" customFormat="1">
      <c r="A604" s="8">
        <v>9</v>
      </c>
      <c r="B604" s="8" t="s">
        <v>12</v>
      </c>
      <c r="C604" s="8" t="s">
        <v>62</v>
      </c>
      <c r="D604" s="8" t="s">
        <v>42</v>
      </c>
      <c r="E604" s="8" t="s">
        <v>42</v>
      </c>
      <c r="I604" s="124"/>
      <c r="J604" s="95"/>
      <c r="K604" s="95"/>
      <c r="L604" s="95"/>
      <c r="M604" s="95"/>
      <c r="N604" s="95"/>
      <c r="O604" s="95"/>
      <c r="P604" s="125"/>
      <c r="Q604" s="124"/>
      <c r="R604" s="95"/>
      <c r="S604" s="95"/>
      <c r="T604" s="95"/>
      <c r="U604" s="95"/>
      <c r="V604" s="95"/>
      <c r="W604" s="95"/>
      <c r="X604" s="125"/>
      <c r="Y604" s="124"/>
      <c r="Z604" s="95"/>
      <c r="AA604" s="95"/>
      <c r="AB604" s="95"/>
      <c r="AC604" s="95"/>
      <c r="AD604" s="95"/>
      <c r="AE604" s="95"/>
      <c r="AF604" s="125"/>
      <c r="AG604" s="124"/>
      <c r="AH604" s="95"/>
      <c r="AI604" s="95"/>
      <c r="AJ604" s="95"/>
      <c r="AK604" s="95"/>
      <c r="AL604" s="95"/>
      <c r="AM604" s="95"/>
      <c r="AN604" s="125"/>
      <c r="AO604" s="95"/>
      <c r="AP604" s="79"/>
      <c r="AQ604" s="85">
        <f t="shared" si="30"/>
        <v>0</v>
      </c>
      <c r="AT604" s="67">
        <f t="shared" si="31"/>
        <v>0</v>
      </c>
      <c r="AU604" s="67">
        <f t="shared" si="32"/>
        <v>0</v>
      </c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>
        <v>1</v>
      </c>
      <c r="BT604" s="13"/>
      <c r="BU604" s="13"/>
      <c r="BV604" s="13"/>
      <c r="BW604" s="13"/>
      <c r="BX604" s="13"/>
      <c r="BY604" s="13"/>
      <c r="BZ604" s="13"/>
      <c r="CA604" s="13"/>
      <c r="CB604" s="13"/>
      <c r="CC604" s="13"/>
      <c r="CD604" s="13"/>
      <c r="CE604" s="13"/>
      <c r="CF604" s="13"/>
      <c r="CG604" s="13"/>
      <c r="CH604" s="13"/>
      <c r="CI604" s="13"/>
      <c r="CJ604" s="13"/>
      <c r="CX604" s="67">
        <v>9</v>
      </c>
    </row>
    <row r="605" spans="1:102" s="8" customFormat="1">
      <c r="A605" s="8">
        <v>10</v>
      </c>
      <c r="B605" s="8" t="s">
        <v>12</v>
      </c>
      <c r="C605" s="8" t="s">
        <v>88</v>
      </c>
      <c r="D605" s="8" t="s">
        <v>12</v>
      </c>
      <c r="E605" s="8" t="s">
        <v>6</v>
      </c>
      <c r="I605" s="124"/>
      <c r="J605" s="95"/>
      <c r="K605" s="95"/>
      <c r="L605" s="95"/>
      <c r="M605" s="95"/>
      <c r="N605" s="95"/>
      <c r="O605" s="95"/>
      <c r="P605" s="125"/>
      <c r="Q605" s="124"/>
      <c r="R605" s="95"/>
      <c r="S605" s="95"/>
      <c r="T605" s="95"/>
      <c r="U605" s="95"/>
      <c r="V605" s="95"/>
      <c r="W605" s="95"/>
      <c r="X605" s="125"/>
      <c r="Y605" s="124"/>
      <c r="Z605" s="95"/>
      <c r="AA605" s="95"/>
      <c r="AB605" s="95"/>
      <c r="AC605" s="95"/>
      <c r="AD605" s="95"/>
      <c r="AE605" s="95"/>
      <c r="AF605" s="125"/>
      <c r="AG605" s="124"/>
      <c r="AH605" s="95"/>
      <c r="AI605" s="95"/>
      <c r="AJ605" s="95"/>
      <c r="AK605" s="95"/>
      <c r="AL605" s="95"/>
      <c r="AM605" s="95"/>
      <c r="AN605" s="125"/>
      <c r="AO605" s="95"/>
      <c r="AP605" s="79"/>
      <c r="AQ605" s="85">
        <f t="shared" si="30"/>
        <v>0</v>
      </c>
      <c r="AT605" s="67">
        <f t="shared" si="31"/>
        <v>0</v>
      </c>
      <c r="AU605" s="67">
        <f t="shared" si="32"/>
        <v>0</v>
      </c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  <c r="CC605" s="13"/>
      <c r="CD605" s="13"/>
      <c r="CE605" s="13"/>
      <c r="CF605" s="13"/>
      <c r="CG605" s="13"/>
      <c r="CH605" s="13"/>
      <c r="CI605" s="13"/>
      <c r="CJ605" s="13"/>
      <c r="CX605" s="67">
        <v>10</v>
      </c>
    </row>
    <row r="606" spans="1:102" s="8" customFormat="1">
      <c r="A606" s="8">
        <v>11</v>
      </c>
      <c r="B606" s="8" t="s">
        <v>13</v>
      </c>
      <c r="C606" s="8" t="s">
        <v>99</v>
      </c>
      <c r="D606" s="8" t="s">
        <v>346</v>
      </c>
      <c r="E606" s="8" t="s">
        <v>15</v>
      </c>
      <c r="I606" s="124"/>
      <c r="J606" s="95"/>
      <c r="K606" s="95"/>
      <c r="L606" s="95"/>
      <c r="M606" s="95"/>
      <c r="N606" s="95"/>
      <c r="O606" s="95"/>
      <c r="P606" s="125"/>
      <c r="Q606" s="124"/>
      <c r="R606" s="95"/>
      <c r="S606" s="95"/>
      <c r="T606" s="95"/>
      <c r="U606" s="95"/>
      <c r="V606" s="95"/>
      <c r="W606" s="95"/>
      <c r="X606" s="125"/>
      <c r="Y606" s="124"/>
      <c r="Z606" s="95"/>
      <c r="AA606" s="95"/>
      <c r="AB606" s="95"/>
      <c r="AC606" s="95"/>
      <c r="AD606" s="95"/>
      <c r="AE606" s="95"/>
      <c r="AF606" s="125"/>
      <c r="AG606" s="124"/>
      <c r="AH606" s="95"/>
      <c r="AI606" s="95"/>
      <c r="AJ606" s="95"/>
      <c r="AK606" s="95"/>
      <c r="AL606" s="95"/>
      <c r="AM606" s="95"/>
      <c r="AN606" s="125"/>
      <c r="AO606" s="95"/>
      <c r="AP606" s="79"/>
      <c r="AQ606" s="85">
        <f t="shared" si="30"/>
        <v>0</v>
      </c>
      <c r="AT606" s="67">
        <f t="shared" si="31"/>
        <v>0</v>
      </c>
      <c r="AU606" s="67">
        <f t="shared" si="32"/>
        <v>0</v>
      </c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  <c r="CC606" s="13"/>
      <c r="CD606" s="13"/>
      <c r="CE606" s="13"/>
      <c r="CF606" s="13"/>
      <c r="CG606" s="13"/>
      <c r="CH606" s="13"/>
      <c r="CI606" s="13"/>
      <c r="CJ606" s="13"/>
      <c r="CX606" s="67">
        <v>11</v>
      </c>
    </row>
    <row r="607" spans="1:102" s="8" customFormat="1">
      <c r="A607" s="8">
        <v>12</v>
      </c>
      <c r="B607" s="8" t="s">
        <v>12</v>
      </c>
      <c r="C607" s="8" t="s">
        <v>91</v>
      </c>
      <c r="D607" s="8" t="s">
        <v>366</v>
      </c>
      <c r="E607" s="8" t="s">
        <v>6</v>
      </c>
      <c r="I607" s="124"/>
      <c r="J607" s="95"/>
      <c r="K607" s="95"/>
      <c r="L607" s="95"/>
      <c r="M607" s="95"/>
      <c r="N607" s="95"/>
      <c r="O607" s="95"/>
      <c r="P607" s="125"/>
      <c r="Q607" s="124"/>
      <c r="R607" s="95"/>
      <c r="S607" s="95"/>
      <c r="T607" s="95"/>
      <c r="U607" s="95"/>
      <c r="V607" s="95"/>
      <c r="W607" s="95"/>
      <c r="X607" s="125"/>
      <c r="Y607" s="124"/>
      <c r="Z607" s="95"/>
      <c r="AA607" s="95"/>
      <c r="AB607" s="95"/>
      <c r="AC607" s="95"/>
      <c r="AD607" s="95"/>
      <c r="AE607" s="95"/>
      <c r="AF607" s="125"/>
      <c r="AG607" s="124"/>
      <c r="AH607" s="95"/>
      <c r="AI607" s="95"/>
      <c r="AJ607" s="95"/>
      <c r="AK607" s="95"/>
      <c r="AL607" s="95"/>
      <c r="AM607" s="95"/>
      <c r="AN607" s="125"/>
      <c r="AO607" s="95"/>
      <c r="AP607" s="79"/>
      <c r="AQ607" s="85">
        <f t="shared" si="30"/>
        <v>0</v>
      </c>
      <c r="AT607" s="67">
        <f t="shared" si="31"/>
        <v>0</v>
      </c>
      <c r="AU607" s="67">
        <f t="shared" si="32"/>
        <v>0</v>
      </c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>
        <v>1</v>
      </c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  <c r="CC607" s="13"/>
      <c r="CD607" s="13"/>
      <c r="CE607" s="13"/>
      <c r="CF607" s="13"/>
      <c r="CG607" s="13"/>
      <c r="CH607" s="13"/>
      <c r="CI607" s="13"/>
      <c r="CJ607" s="13"/>
      <c r="CX607" s="67">
        <v>12</v>
      </c>
    </row>
    <row r="608" spans="1:102" s="8" customFormat="1">
      <c r="A608" s="8">
        <v>13</v>
      </c>
      <c r="B608" s="8" t="s">
        <v>12</v>
      </c>
      <c r="C608" s="8" t="s">
        <v>91</v>
      </c>
      <c r="D608" s="8" t="s">
        <v>366</v>
      </c>
      <c r="E608" s="8" t="s">
        <v>42</v>
      </c>
      <c r="I608" s="124"/>
      <c r="J608" s="95"/>
      <c r="K608" s="95"/>
      <c r="L608" s="95"/>
      <c r="M608" s="95"/>
      <c r="N608" s="95"/>
      <c r="O608" s="95"/>
      <c r="P608" s="125"/>
      <c r="Q608" s="124"/>
      <c r="R608" s="95"/>
      <c r="S608" s="95"/>
      <c r="T608" s="95"/>
      <c r="U608" s="95"/>
      <c r="V608" s="95"/>
      <c r="W608" s="95"/>
      <c r="X608" s="125"/>
      <c r="Y608" s="124"/>
      <c r="Z608" s="95"/>
      <c r="AA608" s="95"/>
      <c r="AB608" s="95"/>
      <c r="AC608" s="95"/>
      <c r="AD608" s="95"/>
      <c r="AE608" s="95"/>
      <c r="AF608" s="125"/>
      <c r="AG608" s="124"/>
      <c r="AH608" s="95"/>
      <c r="AI608" s="95"/>
      <c r="AJ608" s="95"/>
      <c r="AK608" s="95"/>
      <c r="AL608" s="95"/>
      <c r="AM608" s="95"/>
      <c r="AN608" s="125"/>
      <c r="AO608" s="95"/>
      <c r="AP608" s="79"/>
      <c r="AQ608" s="85">
        <f t="shared" si="30"/>
        <v>0</v>
      </c>
      <c r="AT608" s="67">
        <f t="shared" si="31"/>
        <v>0</v>
      </c>
      <c r="AU608" s="67">
        <f t="shared" si="32"/>
        <v>0</v>
      </c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>
        <v>1</v>
      </c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  <c r="CC608" s="13"/>
      <c r="CD608" s="13"/>
      <c r="CE608" s="13"/>
      <c r="CF608" s="13"/>
      <c r="CG608" s="13"/>
      <c r="CH608" s="13"/>
      <c r="CI608" s="13"/>
      <c r="CJ608" s="13"/>
      <c r="CX608" s="67">
        <v>13</v>
      </c>
    </row>
    <row r="609" spans="1:102" s="8" customFormat="1">
      <c r="A609" s="8">
        <v>14</v>
      </c>
      <c r="B609" s="8" t="s">
        <v>12</v>
      </c>
      <c r="C609" s="8" t="s">
        <v>91</v>
      </c>
      <c r="D609" s="8" t="s">
        <v>366</v>
      </c>
      <c r="E609" s="8" t="s">
        <v>42</v>
      </c>
      <c r="I609" s="124"/>
      <c r="J609" s="95"/>
      <c r="K609" s="95"/>
      <c r="L609" s="95"/>
      <c r="M609" s="95"/>
      <c r="N609" s="95"/>
      <c r="O609" s="95"/>
      <c r="P609" s="125"/>
      <c r="Q609" s="124"/>
      <c r="R609" s="95"/>
      <c r="S609" s="95"/>
      <c r="T609" s="95"/>
      <c r="U609" s="95"/>
      <c r="V609" s="95"/>
      <c r="W609" s="95"/>
      <c r="X609" s="125"/>
      <c r="Y609" s="124"/>
      <c r="Z609" s="95"/>
      <c r="AA609" s="95"/>
      <c r="AB609" s="95"/>
      <c r="AC609" s="95"/>
      <c r="AD609" s="95"/>
      <c r="AE609" s="95"/>
      <c r="AF609" s="125"/>
      <c r="AG609" s="124"/>
      <c r="AH609" s="95"/>
      <c r="AI609" s="95"/>
      <c r="AJ609" s="95"/>
      <c r="AK609" s="95"/>
      <c r="AL609" s="95"/>
      <c r="AM609" s="95"/>
      <c r="AN609" s="125"/>
      <c r="AO609" s="95"/>
      <c r="AP609" s="79"/>
      <c r="AQ609" s="85">
        <f t="shared" si="30"/>
        <v>0</v>
      </c>
      <c r="AT609" s="67">
        <f t="shared" si="31"/>
        <v>0</v>
      </c>
      <c r="AU609" s="67">
        <f t="shared" si="32"/>
        <v>0</v>
      </c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>
        <v>1</v>
      </c>
      <c r="BL609" s="13"/>
      <c r="BM609" s="13"/>
      <c r="BN609" s="13"/>
      <c r="BO609" s="13"/>
      <c r="BP609" s="13"/>
      <c r="BQ609" s="13"/>
      <c r="BR609" s="13"/>
      <c r="BS609" s="13">
        <v>1</v>
      </c>
      <c r="BT609" s="13"/>
      <c r="BU609" s="13"/>
      <c r="BV609" s="13"/>
      <c r="BW609" s="13"/>
      <c r="BX609" s="13"/>
      <c r="BY609" s="13"/>
      <c r="BZ609" s="13"/>
      <c r="CA609" s="13"/>
      <c r="CB609" s="13"/>
      <c r="CC609" s="13"/>
      <c r="CD609" s="13"/>
      <c r="CE609" s="13"/>
      <c r="CF609" s="13"/>
      <c r="CG609" s="13"/>
      <c r="CH609" s="13"/>
      <c r="CI609" s="13"/>
      <c r="CJ609" s="13"/>
      <c r="CX609" s="67">
        <v>14</v>
      </c>
    </row>
    <row r="610" spans="1:102">
      <c r="A610" s="8">
        <v>15</v>
      </c>
      <c r="B610" s="8" t="s">
        <v>12</v>
      </c>
      <c r="C610" s="8" t="s">
        <v>91</v>
      </c>
      <c r="D610" s="8" t="s">
        <v>366</v>
      </c>
      <c r="E610" s="8" t="s">
        <v>42</v>
      </c>
      <c r="F610" s="8"/>
      <c r="G610" s="8"/>
      <c r="H610" s="8"/>
      <c r="I610" s="124"/>
      <c r="J610" s="95"/>
      <c r="K610" s="95"/>
      <c r="L610" s="95"/>
      <c r="M610" s="95"/>
      <c r="N610" s="95"/>
      <c r="O610" s="95"/>
      <c r="P610" s="125"/>
      <c r="Q610" s="124"/>
      <c r="R610" s="95"/>
      <c r="S610" s="95"/>
      <c r="T610" s="95"/>
      <c r="U610" s="95"/>
      <c r="V610" s="95"/>
      <c r="W610" s="95"/>
      <c r="X610" s="125"/>
      <c r="Y610" s="124"/>
      <c r="Z610" s="95"/>
      <c r="AA610" s="95"/>
      <c r="AB610" s="95"/>
      <c r="AC610" s="95"/>
      <c r="AD610" s="95"/>
      <c r="AE610" s="95"/>
      <c r="AF610" s="125"/>
      <c r="AG610" s="124"/>
      <c r="AH610" s="95"/>
      <c r="AI610" s="95"/>
      <c r="AJ610" s="95"/>
      <c r="AK610" s="95"/>
      <c r="AL610" s="95"/>
      <c r="AM610" s="95"/>
      <c r="AN610" s="125"/>
      <c r="AO610" s="95"/>
      <c r="AP610" s="79"/>
      <c r="AQ610" s="85">
        <f t="shared" si="30"/>
        <v>0</v>
      </c>
      <c r="AR610"/>
      <c r="AS610"/>
      <c r="AT610" s="67">
        <f t="shared" si="31"/>
        <v>0</v>
      </c>
      <c r="AU610" s="67">
        <f t="shared" si="32"/>
        <v>0</v>
      </c>
      <c r="AV610" s="66"/>
      <c r="AW610" s="12"/>
      <c r="BK610" s="12">
        <v>1</v>
      </c>
      <c r="CK610"/>
      <c r="CX610" s="67">
        <v>15</v>
      </c>
    </row>
    <row r="611" spans="1:102">
      <c r="A611" s="8">
        <v>16</v>
      </c>
      <c r="B611" s="8" t="s">
        <v>12</v>
      </c>
      <c r="C611" s="8" t="s">
        <v>91</v>
      </c>
      <c r="D611" s="8" t="s">
        <v>366</v>
      </c>
      <c r="E611" s="8" t="s">
        <v>6</v>
      </c>
      <c r="F611" s="8"/>
      <c r="G611" s="8"/>
      <c r="H611" s="8"/>
      <c r="I611" s="124"/>
      <c r="J611" s="95"/>
      <c r="K611" s="95"/>
      <c r="L611" s="95"/>
      <c r="M611" s="95"/>
      <c r="N611" s="95"/>
      <c r="O611" s="95"/>
      <c r="P611" s="125"/>
      <c r="Q611" s="124"/>
      <c r="R611" s="95"/>
      <c r="S611" s="95"/>
      <c r="T611" s="95"/>
      <c r="U611" s="95"/>
      <c r="V611" s="95"/>
      <c r="W611" s="95"/>
      <c r="X611" s="125"/>
      <c r="Y611" s="124"/>
      <c r="Z611" s="95"/>
      <c r="AA611" s="95"/>
      <c r="AB611" s="95"/>
      <c r="AC611" s="95"/>
      <c r="AD611" s="95"/>
      <c r="AE611" s="95"/>
      <c r="AF611" s="125"/>
      <c r="AG611" s="124"/>
      <c r="AH611" s="95"/>
      <c r="AI611" s="95"/>
      <c r="AJ611" s="95"/>
      <c r="AK611" s="95"/>
      <c r="AL611" s="95"/>
      <c r="AM611" s="95"/>
      <c r="AN611" s="125"/>
      <c r="AO611" s="95"/>
      <c r="AP611" s="79"/>
      <c r="AQ611" s="85">
        <f t="shared" si="30"/>
        <v>0</v>
      </c>
      <c r="AR611"/>
      <c r="AS611"/>
      <c r="AT611" s="67">
        <f t="shared" si="31"/>
        <v>0</v>
      </c>
      <c r="AU611" s="67">
        <f t="shared" si="32"/>
        <v>0</v>
      </c>
      <c r="AV611" s="66"/>
      <c r="AW611" s="12"/>
      <c r="CK611"/>
      <c r="CX611" s="67">
        <v>16</v>
      </c>
    </row>
    <row r="612" spans="1:102">
      <c r="A612" s="8">
        <v>17</v>
      </c>
      <c r="B612" s="8" t="s">
        <v>13</v>
      </c>
      <c r="C612" s="8" t="s">
        <v>355</v>
      </c>
      <c r="D612" s="8" t="s">
        <v>346</v>
      </c>
      <c r="E612" s="8" t="s">
        <v>15</v>
      </c>
      <c r="F612" s="8"/>
      <c r="G612" s="8"/>
      <c r="H612" s="8"/>
      <c r="I612" s="124"/>
      <c r="J612" s="95"/>
      <c r="K612" s="95"/>
      <c r="L612" s="95"/>
      <c r="M612" s="95"/>
      <c r="N612" s="95"/>
      <c r="O612" s="95"/>
      <c r="P612" s="125"/>
      <c r="Q612" s="124"/>
      <c r="R612" s="95"/>
      <c r="S612" s="95"/>
      <c r="T612" s="95"/>
      <c r="U612" s="95"/>
      <c r="V612" s="95"/>
      <c r="W612" s="95"/>
      <c r="X612" s="125"/>
      <c r="Y612" s="124"/>
      <c r="Z612" s="95"/>
      <c r="AA612" s="95"/>
      <c r="AB612" s="95"/>
      <c r="AC612" s="95"/>
      <c r="AD612" s="95"/>
      <c r="AE612" s="95"/>
      <c r="AF612" s="125"/>
      <c r="AG612" s="124"/>
      <c r="AH612" s="95"/>
      <c r="AI612" s="95"/>
      <c r="AJ612" s="95"/>
      <c r="AK612" s="95"/>
      <c r="AL612" s="95"/>
      <c r="AM612" s="95"/>
      <c r="AN612" s="125"/>
      <c r="AO612" s="95"/>
      <c r="AP612" s="79"/>
      <c r="AQ612" s="85">
        <f t="shared" si="30"/>
        <v>0</v>
      </c>
      <c r="AR612"/>
      <c r="AS612"/>
      <c r="AT612" s="67">
        <f t="shared" si="31"/>
        <v>0</v>
      </c>
      <c r="AU612" s="67">
        <f t="shared" si="32"/>
        <v>0</v>
      </c>
      <c r="AV612" s="66"/>
      <c r="AW612" s="12"/>
      <c r="CK612"/>
      <c r="CX612" s="67">
        <v>17</v>
      </c>
    </row>
    <row r="613" spans="1:102">
      <c r="A613" s="8">
        <v>18</v>
      </c>
      <c r="B613" s="8" t="s">
        <v>12</v>
      </c>
      <c r="C613" s="8" t="s">
        <v>91</v>
      </c>
      <c r="D613" s="8" t="s">
        <v>366</v>
      </c>
      <c r="E613" s="8" t="s">
        <v>42</v>
      </c>
      <c r="F613" s="8"/>
      <c r="G613" s="8"/>
      <c r="H613" s="8"/>
      <c r="I613" s="124"/>
      <c r="J613" s="95"/>
      <c r="K613" s="95"/>
      <c r="L613" s="95"/>
      <c r="M613" s="95"/>
      <c r="N613" s="95"/>
      <c r="O613" s="95"/>
      <c r="P613" s="125"/>
      <c r="Q613" s="124"/>
      <c r="R613" s="95"/>
      <c r="S613" s="95"/>
      <c r="T613" s="95"/>
      <c r="U613" s="95"/>
      <c r="V613" s="95"/>
      <c r="W613" s="95"/>
      <c r="X613" s="125"/>
      <c r="Y613" s="124"/>
      <c r="Z613" s="95"/>
      <c r="AA613" s="95"/>
      <c r="AB613" s="95"/>
      <c r="AC613" s="95"/>
      <c r="AD613" s="95"/>
      <c r="AE613" s="95"/>
      <c r="AF613" s="125"/>
      <c r="AG613" s="124"/>
      <c r="AH613" s="95"/>
      <c r="AI613" s="95"/>
      <c r="AJ613" s="95"/>
      <c r="AK613" s="95"/>
      <c r="AL613" s="95"/>
      <c r="AM613" s="95"/>
      <c r="AN613" s="125"/>
      <c r="AO613" s="95"/>
      <c r="AP613" s="79"/>
      <c r="AQ613" s="85">
        <f t="shared" si="30"/>
        <v>0</v>
      </c>
      <c r="AR613"/>
      <c r="AS613"/>
      <c r="AT613" s="67">
        <f t="shared" si="31"/>
        <v>0</v>
      </c>
      <c r="AU613" s="67">
        <f t="shared" si="32"/>
        <v>0</v>
      </c>
      <c r="AV613" s="66"/>
      <c r="AW613" s="12"/>
      <c r="BK613" s="12">
        <v>1</v>
      </c>
      <c r="CK613"/>
      <c r="CX613" s="67">
        <v>18</v>
      </c>
    </row>
    <row r="614" spans="1:102">
      <c r="A614" s="8">
        <v>19</v>
      </c>
      <c r="B614" s="8" t="s">
        <v>13</v>
      </c>
      <c r="C614" s="8" t="s">
        <v>356</v>
      </c>
      <c r="D614" s="8" t="s">
        <v>357</v>
      </c>
      <c r="E614" s="8" t="s">
        <v>15</v>
      </c>
      <c r="F614" s="8"/>
      <c r="G614" s="8"/>
      <c r="H614" s="8"/>
      <c r="I614" s="124"/>
      <c r="J614" s="95"/>
      <c r="K614" s="95"/>
      <c r="L614" s="95"/>
      <c r="M614" s="95"/>
      <c r="N614" s="95"/>
      <c r="O614" s="95"/>
      <c r="P614" s="125"/>
      <c r="Q614" s="124"/>
      <c r="R614" s="95"/>
      <c r="S614" s="95"/>
      <c r="T614" s="95"/>
      <c r="U614" s="95"/>
      <c r="V614" s="95"/>
      <c r="W614" s="95"/>
      <c r="X614" s="125"/>
      <c r="Y614" s="124"/>
      <c r="Z614" s="95"/>
      <c r="AA614" s="95"/>
      <c r="AB614" s="95"/>
      <c r="AC614" s="95"/>
      <c r="AD614" s="95"/>
      <c r="AE614" s="95"/>
      <c r="AF614" s="125"/>
      <c r="AG614" s="124"/>
      <c r="AH614" s="95"/>
      <c r="AI614" s="95"/>
      <c r="AJ614" s="95"/>
      <c r="AK614" s="95"/>
      <c r="AL614" s="95"/>
      <c r="AM614" s="95"/>
      <c r="AN614" s="125"/>
      <c r="AO614" s="95"/>
      <c r="AP614" s="79"/>
      <c r="AQ614" s="85">
        <f t="shared" si="30"/>
        <v>0</v>
      </c>
      <c r="AR614"/>
      <c r="AS614"/>
      <c r="AT614" s="67">
        <f t="shared" si="31"/>
        <v>0</v>
      </c>
      <c r="AU614" s="67">
        <f t="shared" si="32"/>
        <v>0</v>
      </c>
      <c r="AV614" s="66"/>
      <c r="AW614" s="12"/>
      <c r="CK614"/>
      <c r="CX614" s="67">
        <v>19</v>
      </c>
    </row>
    <row r="615" spans="1:102" ht="15.75" thickBot="1">
      <c r="A615" s="8">
        <v>20</v>
      </c>
      <c r="B615" s="8" t="s">
        <v>13</v>
      </c>
      <c r="C615" s="8" t="s">
        <v>48</v>
      </c>
      <c r="D615" s="8" t="s">
        <v>357</v>
      </c>
      <c r="E615" s="8" t="s">
        <v>15</v>
      </c>
      <c r="F615" s="8"/>
      <c r="G615" s="8"/>
      <c r="H615" s="8"/>
      <c r="I615" s="126"/>
      <c r="J615" s="127"/>
      <c r="K615" s="127"/>
      <c r="L615" s="127"/>
      <c r="M615" s="127"/>
      <c r="N615" s="127"/>
      <c r="O615" s="127"/>
      <c r="P615" s="128"/>
      <c r="Q615" s="126"/>
      <c r="R615" s="127"/>
      <c r="S615" s="127"/>
      <c r="T615" s="127"/>
      <c r="U615" s="127"/>
      <c r="V615" s="127"/>
      <c r="W615" s="127"/>
      <c r="X615" s="128"/>
      <c r="Y615" s="126"/>
      <c r="Z615" s="127"/>
      <c r="AA615" s="127"/>
      <c r="AB615" s="127"/>
      <c r="AC615" s="127"/>
      <c r="AD615" s="127"/>
      <c r="AE615" s="127"/>
      <c r="AF615" s="128"/>
      <c r="AG615" s="126"/>
      <c r="AH615" s="127"/>
      <c r="AI615" s="127"/>
      <c r="AJ615" s="127"/>
      <c r="AK615" s="127"/>
      <c r="AL615" s="127"/>
      <c r="AM615" s="127"/>
      <c r="AN615" s="128"/>
      <c r="AO615" s="95"/>
      <c r="AP615" s="79"/>
      <c r="AQ615" s="85">
        <f t="shared" si="30"/>
        <v>0</v>
      </c>
      <c r="AR615"/>
      <c r="AS615"/>
      <c r="AT615" s="67">
        <f t="shared" si="31"/>
        <v>0</v>
      </c>
      <c r="AU615" s="67">
        <f t="shared" si="32"/>
        <v>0</v>
      </c>
      <c r="AV615" s="66"/>
      <c r="AW615" s="12"/>
      <c r="CK615"/>
      <c r="CX615" s="67">
        <v>20</v>
      </c>
    </row>
    <row r="616" spans="1:102" s="8" customFormat="1" ht="15.75" customHeight="1" thickBot="1">
      <c r="A616" s="52" t="s">
        <v>379</v>
      </c>
      <c r="B616" s="52"/>
      <c r="C616" s="52"/>
      <c r="D616" s="140"/>
      <c r="E616" s="140"/>
      <c r="F616" s="95"/>
      <c r="G616" s="95"/>
      <c r="H616" s="95"/>
      <c r="I616" s="132">
        <f>SUM(COUNTIF(I5:I615,"1")+COUNTIF(I5:I615,"*1*"))</f>
        <v>71</v>
      </c>
      <c r="J616" s="133">
        <f t="shared" ref="J616:Q616" si="33">SUM(COUNTIF(J5:J615,"1")+COUNTIF(J5:J615,"*1*"))</f>
        <v>114</v>
      </c>
      <c r="K616" s="133">
        <f t="shared" si="33"/>
        <v>139</v>
      </c>
      <c r="L616" s="133">
        <f t="shared" si="33"/>
        <v>180</v>
      </c>
      <c r="M616" s="133">
        <f t="shared" si="33"/>
        <v>197</v>
      </c>
      <c r="N616" s="133">
        <f t="shared" si="33"/>
        <v>187</v>
      </c>
      <c r="O616" s="133">
        <f t="shared" si="33"/>
        <v>181</v>
      </c>
      <c r="P616" s="134">
        <f t="shared" si="33"/>
        <v>182</v>
      </c>
      <c r="Q616" s="132">
        <f t="shared" si="33"/>
        <v>182</v>
      </c>
      <c r="R616" s="133">
        <f t="shared" ref="R616:AN616" si="34">SUM(COUNTIF(R5:R615,"1")+COUNTIF(R5:R615,"*1*"))</f>
        <v>189</v>
      </c>
      <c r="S616" s="133">
        <f t="shared" si="34"/>
        <v>180</v>
      </c>
      <c r="T616" s="133">
        <f t="shared" si="34"/>
        <v>200</v>
      </c>
      <c r="U616" s="133">
        <f t="shared" si="34"/>
        <v>182</v>
      </c>
      <c r="V616" s="133">
        <f t="shared" si="34"/>
        <v>137</v>
      </c>
      <c r="W616" s="133">
        <f t="shared" si="34"/>
        <v>110</v>
      </c>
      <c r="X616" s="134">
        <f t="shared" si="34"/>
        <v>79</v>
      </c>
      <c r="Y616" s="132">
        <f t="shared" si="34"/>
        <v>76</v>
      </c>
      <c r="Z616" s="133">
        <f t="shared" si="34"/>
        <v>112</v>
      </c>
      <c r="AA616" s="133">
        <f t="shared" si="34"/>
        <v>135</v>
      </c>
      <c r="AB616" s="133">
        <f t="shared" si="34"/>
        <v>187</v>
      </c>
      <c r="AC616" s="133">
        <f t="shared" si="34"/>
        <v>215</v>
      </c>
      <c r="AD616" s="133">
        <f t="shared" si="34"/>
        <v>204</v>
      </c>
      <c r="AE616" s="133">
        <f t="shared" si="34"/>
        <v>211</v>
      </c>
      <c r="AF616" s="134">
        <f t="shared" si="34"/>
        <v>200</v>
      </c>
      <c r="AG616" s="132">
        <f t="shared" si="34"/>
        <v>202</v>
      </c>
      <c r="AH616" s="133">
        <f t="shared" si="34"/>
        <v>208</v>
      </c>
      <c r="AI616" s="133">
        <f t="shared" si="34"/>
        <v>209</v>
      </c>
      <c r="AJ616" s="133">
        <f t="shared" si="34"/>
        <v>219</v>
      </c>
      <c r="AK616" s="133">
        <f t="shared" si="34"/>
        <v>189</v>
      </c>
      <c r="AL616" s="133">
        <f t="shared" si="34"/>
        <v>130</v>
      </c>
      <c r="AM616" s="133">
        <f t="shared" si="34"/>
        <v>101</v>
      </c>
      <c r="AN616" s="134">
        <f t="shared" si="34"/>
        <v>80</v>
      </c>
      <c r="AO616" s="98">
        <f>SUM(AO5:AO593)</f>
        <v>1345</v>
      </c>
      <c r="AP616" s="98">
        <f>SUM(AP5:AP593)</f>
        <v>3843</v>
      </c>
      <c r="AQ616" s="98">
        <f>SUM(AQ5:AQ615)</f>
        <v>5188</v>
      </c>
      <c r="AR616" s="98">
        <f>SUM(I616:AN616)</f>
        <v>5188</v>
      </c>
      <c r="AS616" s="98">
        <f>SUM(AS5:AS615)</f>
        <v>67</v>
      </c>
      <c r="AT616" s="52">
        <f>SUM(AT5:AT615)</f>
        <v>399</v>
      </c>
      <c r="AU616" s="52">
        <f>SUM(AU5:AU615)</f>
        <v>405</v>
      </c>
      <c r="AV616" s="95"/>
      <c r="AX616" s="99"/>
      <c r="AY616" s="99"/>
      <c r="AZ616" s="99"/>
      <c r="BA616" s="99"/>
      <c r="BB616" s="99"/>
      <c r="BC616" s="99"/>
      <c r="BD616" s="99"/>
      <c r="BE616" s="99"/>
      <c r="BF616" s="99"/>
      <c r="BG616" s="99"/>
      <c r="BH616" s="99"/>
      <c r="BI616" s="99"/>
      <c r="BJ616" s="99"/>
      <c r="BK616" s="99"/>
      <c r="BL616" s="99"/>
      <c r="BM616" s="99"/>
      <c r="BN616" s="99"/>
      <c r="BO616" s="99"/>
      <c r="BP616" s="99"/>
      <c r="BQ616" s="99"/>
      <c r="BR616" s="99"/>
      <c r="BS616" s="99"/>
      <c r="BT616" s="99"/>
      <c r="BU616" s="99"/>
      <c r="BV616" s="99"/>
      <c r="BW616" s="99"/>
      <c r="BX616" s="99"/>
      <c r="BY616" s="99"/>
      <c r="BZ616" s="99"/>
      <c r="CA616" s="99"/>
      <c r="CB616" s="99"/>
      <c r="CC616" s="99"/>
      <c r="CD616" s="99"/>
      <c r="CE616" s="99"/>
      <c r="CF616" s="99"/>
      <c r="CG616" s="99"/>
      <c r="CH616" s="99"/>
      <c r="CI616" s="99"/>
      <c r="CJ616" s="99"/>
      <c r="CK616" s="99"/>
    </row>
    <row r="617" spans="1:102" s="67" customFormat="1" ht="15.75" thickBot="1">
      <c r="D617" s="139"/>
      <c r="E617" s="139"/>
      <c r="I617" s="412">
        <f>SUM(I616:K616)</f>
        <v>324</v>
      </c>
      <c r="J617" s="413"/>
      <c r="K617" s="413"/>
      <c r="L617" s="414">
        <f>SUM(L616:M616)</f>
        <v>377</v>
      </c>
      <c r="M617" s="414"/>
      <c r="N617" s="135">
        <f>N616</f>
        <v>187</v>
      </c>
      <c r="O617" s="415">
        <f>O616+P616</f>
        <v>363</v>
      </c>
      <c r="P617" s="415"/>
      <c r="Q617" s="416">
        <f>Q616+R616</f>
        <v>371</v>
      </c>
      <c r="R617" s="415"/>
      <c r="S617" s="135">
        <f>S616</f>
        <v>180</v>
      </c>
      <c r="T617" s="414">
        <f>SUM(T616:U616)</f>
        <v>382</v>
      </c>
      <c r="U617" s="414"/>
      <c r="V617" s="413">
        <f>SUM(V616:X616)</f>
        <v>326</v>
      </c>
      <c r="W617" s="413"/>
      <c r="X617" s="417"/>
      <c r="Y617" s="413">
        <f>SUM(Y616:AA616)</f>
        <v>323</v>
      </c>
      <c r="Z617" s="413"/>
      <c r="AA617" s="413"/>
      <c r="AB617" s="414">
        <f>SUM(AB616:AC616)</f>
        <v>402</v>
      </c>
      <c r="AC617" s="414"/>
      <c r="AD617" s="135">
        <f>AD616</f>
        <v>204</v>
      </c>
      <c r="AE617" s="415">
        <f>AE616+AF616</f>
        <v>411</v>
      </c>
      <c r="AF617" s="415"/>
      <c r="AG617" s="416">
        <f>AG616+AH616</f>
        <v>410</v>
      </c>
      <c r="AH617" s="415"/>
      <c r="AI617" s="135">
        <f>AI616</f>
        <v>209</v>
      </c>
      <c r="AJ617" s="414">
        <f>SUM(AJ616:AK616)</f>
        <v>408</v>
      </c>
      <c r="AK617" s="414"/>
      <c r="AL617" s="413">
        <f>SUM(AL616:AN616)</f>
        <v>311</v>
      </c>
      <c r="AM617" s="413"/>
      <c r="AN617" s="417"/>
      <c r="AO617" s="96"/>
      <c r="AP617" s="96"/>
      <c r="AQ617" s="96"/>
      <c r="AR617" s="96"/>
      <c r="AS617" s="96"/>
      <c r="AT617" s="96"/>
      <c r="AU617" s="96"/>
      <c r="AV617" s="96"/>
      <c r="AX617" s="97"/>
      <c r="AY617" s="97"/>
      <c r="AZ617" s="97"/>
      <c r="BA617" s="97"/>
      <c r="BB617" s="97"/>
      <c r="BC617" s="97"/>
      <c r="BD617" s="97"/>
      <c r="BE617" s="97"/>
      <c r="BF617" s="97"/>
      <c r="BG617" s="97"/>
      <c r="BH617" s="97"/>
      <c r="BI617" s="97"/>
      <c r="BJ617" s="97"/>
      <c r="BK617" s="97"/>
      <c r="BL617" s="97"/>
      <c r="BM617" s="97"/>
      <c r="BN617" s="97"/>
      <c r="BO617" s="97"/>
      <c r="BP617" s="97"/>
      <c r="BQ617" s="97"/>
      <c r="BR617" s="97"/>
      <c r="BS617" s="97"/>
      <c r="BT617" s="97"/>
      <c r="BU617" s="97"/>
      <c r="BV617" s="97"/>
      <c r="BW617" s="97"/>
      <c r="BX617" s="97"/>
      <c r="BY617" s="97"/>
      <c r="BZ617" s="97"/>
      <c r="CA617" s="97"/>
      <c r="CB617" s="97"/>
      <c r="CC617" s="97"/>
      <c r="CD617" s="97"/>
      <c r="CE617" s="97"/>
      <c r="CF617" s="97"/>
      <c r="CG617" s="97"/>
      <c r="CH617" s="97"/>
      <c r="CI617" s="97"/>
      <c r="CJ617" s="97"/>
      <c r="CK617" s="97"/>
    </row>
    <row r="618" spans="1:102" ht="15.75" thickBot="1">
      <c r="D618" s="139"/>
      <c r="E618" s="139"/>
      <c r="I618" s="389">
        <f>SUM(I616:P616)</f>
        <v>1251</v>
      </c>
      <c r="J618" s="390"/>
      <c r="K618" s="390"/>
      <c r="L618" s="390"/>
      <c r="M618" s="390"/>
      <c r="N618" s="390"/>
      <c r="O618" s="390"/>
      <c r="P618" s="391"/>
      <c r="Q618" s="408">
        <f>SUM(Q616:X616)</f>
        <v>1259</v>
      </c>
      <c r="R618" s="409"/>
      <c r="S618" s="409"/>
      <c r="T618" s="409"/>
      <c r="U618" s="409"/>
      <c r="V618" s="409"/>
      <c r="W618" s="409"/>
      <c r="X618" s="410"/>
      <c r="Y618" s="389">
        <f>SUM(Y616:AF616)</f>
        <v>1340</v>
      </c>
      <c r="Z618" s="390"/>
      <c r="AA618" s="390"/>
      <c r="AB618" s="390"/>
      <c r="AC618" s="390"/>
      <c r="AD618" s="390"/>
      <c r="AE618" s="390"/>
      <c r="AF618" s="391"/>
      <c r="AG618" s="408">
        <f>SUM(AG616:AN616)</f>
        <v>1338</v>
      </c>
      <c r="AH618" s="409"/>
      <c r="AI618" s="409"/>
      <c r="AJ618" s="409"/>
      <c r="AK618" s="409"/>
      <c r="AL618" s="409"/>
      <c r="AM618" s="409"/>
      <c r="AN618" s="410"/>
      <c r="AT618" s="67"/>
      <c r="AU618" s="67"/>
    </row>
    <row r="619" spans="1:102" ht="15.75" thickBot="1">
      <c r="D619" s="139"/>
      <c r="E619" s="139"/>
      <c r="I619" s="389">
        <f>SUM(I618:X618)</f>
        <v>2510</v>
      </c>
      <c r="J619" s="390"/>
      <c r="K619" s="390"/>
      <c r="L619" s="390"/>
      <c r="M619" s="390"/>
      <c r="N619" s="390"/>
      <c r="O619" s="390"/>
      <c r="P619" s="390"/>
      <c r="Q619" s="390"/>
      <c r="R619" s="390"/>
      <c r="S619" s="390"/>
      <c r="T619" s="390"/>
      <c r="U619" s="390"/>
      <c r="V619" s="390"/>
      <c r="W619" s="390"/>
      <c r="X619" s="391"/>
      <c r="Y619" s="389">
        <f>SUM(Y618:AN618)</f>
        <v>2678</v>
      </c>
      <c r="Z619" s="390"/>
      <c r="AA619" s="390"/>
      <c r="AB619" s="390"/>
      <c r="AC619" s="390"/>
      <c r="AD619" s="390"/>
      <c r="AE619" s="390"/>
      <c r="AF619" s="390"/>
      <c r="AG619" s="390"/>
      <c r="AH619" s="390"/>
      <c r="AI619" s="390"/>
      <c r="AJ619" s="390"/>
      <c r="AK619" s="390"/>
      <c r="AL619" s="390"/>
      <c r="AM619" s="390"/>
      <c r="AN619" s="391"/>
    </row>
    <row r="620" spans="1:102" s="67" customFormat="1">
      <c r="D620" s="8"/>
      <c r="I620" s="96"/>
      <c r="J620" s="72"/>
      <c r="K620" s="72"/>
      <c r="L620" s="72"/>
      <c r="M620" s="72"/>
      <c r="N620" s="72"/>
      <c r="O620" s="72"/>
      <c r="P620" s="96"/>
      <c r="Q620" s="72"/>
      <c r="R620" s="72"/>
      <c r="S620" s="72"/>
      <c r="T620" s="72"/>
      <c r="U620" s="72"/>
      <c r="V620" s="72"/>
      <c r="W620" s="72"/>
      <c r="X620" s="96"/>
      <c r="Y620" s="96"/>
      <c r="Z620" s="72"/>
      <c r="AA620" s="72"/>
      <c r="AB620" s="72"/>
      <c r="AC620" s="72"/>
      <c r="AD620" s="72"/>
      <c r="AE620" s="72"/>
      <c r="AF620" s="96"/>
      <c r="AG620" s="72"/>
      <c r="AH620" s="72"/>
      <c r="AI620" s="72"/>
      <c r="AJ620" s="72"/>
      <c r="AK620" s="72"/>
      <c r="AL620" s="72"/>
      <c r="AM620" s="72"/>
      <c r="AN620" s="96"/>
      <c r="AO620" s="96"/>
      <c r="AP620" s="72"/>
      <c r="AQ620" s="82"/>
      <c r="AR620" s="72"/>
      <c r="AS620" s="72"/>
      <c r="AT620" s="91"/>
      <c r="AU620" s="91"/>
      <c r="AV620" s="72"/>
      <c r="AX620" s="74"/>
      <c r="AY620" s="74"/>
      <c r="AZ620" s="74"/>
      <c r="BA620" s="74"/>
      <c r="BB620" s="74"/>
      <c r="BC620" s="74"/>
      <c r="BD620" s="74"/>
      <c r="BE620" s="74"/>
      <c r="BF620" s="74"/>
      <c r="BG620" s="74"/>
      <c r="BH620" s="74"/>
      <c r="BI620" s="74"/>
      <c r="BJ620" s="74"/>
      <c r="BK620" s="74"/>
      <c r="BL620" s="74"/>
      <c r="BM620" s="74"/>
      <c r="BN620" s="74"/>
      <c r="BO620" s="74"/>
      <c r="BP620" s="74"/>
      <c r="BQ620" s="74"/>
      <c r="BR620" s="74"/>
      <c r="BS620" s="74"/>
      <c r="BT620" s="74"/>
      <c r="BU620" s="74"/>
      <c r="BV620" s="74"/>
      <c r="BW620" s="74"/>
      <c r="BX620" s="74"/>
      <c r="BY620" s="74"/>
      <c r="BZ620" s="74"/>
      <c r="CA620" s="74"/>
      <c r="CB620" s="74"/>
      <c r="CC620" s="74"/>
      <c r="CD620" s="74"/>
      <c r="CE620" s="74"/>
      <c r="CF620" s="74"/>
      <c r="CG620" s="74"/>
      <c r="CH620" s="74"/>
      <c r="CI620" s="74"/>
      <c r="CJ620" s="74"/>
      <c r="CK620" s="74"/>
    </row>
    <row r="621" spans="1:102" s="8" customFormat="1" ht="15.75" thickBot="1">
      <c r="I621" s="95"/>
      <c r="J621" s="83"/>
      <c r="K621" s="83"/>
      <c r="L621" s="83"/>
      <c r="M621" s="83"/>
      <c r="N621" s="83"/>
      <c r="O621" s="83"/>
      <c r="P621" s="95"/>
      <c r="Q621" s="95"/>
      <c r="R621" s="83"/>
      <c r="S621" s="83"/>
      <c r="T621" s="83"/>
      <c r="U621" s="83"/>
      <c r="V621" s="83"/>
      <c r="W621" s="83"/>
      <c r="X621" s="83"/>
      <c r="Y621" s="95"/>
      <c r="Z621" s="83"/>
      <c r="AA621" s="83"/>
      <c r="AB621" s="83"/>
      <c r="AC621" s="83"/>
      <c r="AD621" s="83"/>
      <c r="AE621" s="83"/>
      <c r="AF621" s="95"/>
      <c r="AG621" s="95"/>
      <c r="AH621" s="83"/>
      <c r="AI621" s="83"/>
      <c r="AJ621" s="83"/>
      <c r="AK621" s="83"/>
      <c r="AL621" s="83"/>
      <c r="AM621" s="83"/>
      <c r="AN621" s="83"/>
      <c r="AO621" s="95"/>
      <c r="AP621" s="83"/>
      <c r="AQ621" s="83"/>
      <c r="AR621" s="83"/>
      <c r="AS621" s="83"/>
      <c r="AT621" s="92"/>
      <c r="AU621" s="92"/>
      <c r="AV621" s="83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</row>
    <row r="622" spans="1:102" s="8" customFormat="1" ht="15.75" thickBot="1">
      <c r="A622" s="52" t="s">
        <v>388</v>
      </c>
      <c r="B622" s="52"/>
      <c r="C622" s="52"/>
      <c r="D622" s="52"/>
      <c r="E622" s="52"/>
      <c r="F622" s="52"/>
      <c r="G622" s="52"/>
      <c r="H622" s="52"/>
      <c r="I622" s="129">
        <f>I616*5</f>
        <v>355</v>
      </c>
      <c r="J622" s="130">
        <f t="shared" ref="J622:AN622" si="35">J616*5</f>
        <v>570</v>
      </c>
      <c r="K622" s="130">
        <f t="shared" si="35"/>
        <v>695</v>
      </c>
      <c r="L622" s="130">
        <f t="shared" si="35"/>
        <v>900</v>
      </c>
      <c r="M622" s="130">
        <f t="shared" si="35"/>
        <v>985</v>
      </c>
      <c r="N622" s="130">
        <f t="shared" si="35"/>
        <v>935</v>
      </c>
      <c r="O622" s="130">
        <f t="shared" si="35"/>
        <v>905</v>
      </c>
      <c r="P622" s="131">
        <f t="shared" si="35"/>
        <v>910</v>
      </c>
      <c r="Q622" s="129">
        <f t="shared" si="35"/>
        <v>910</v>
      </c>
      <c r="R622" s="130">
        <f t="shared" si="35"/>
        <v>945</v>
      </c>
      <c r="S622" s="130">
        <f t="shared" si="35"/>
        <v>900</v>
      </c>
      <c r="T622" s="130">
        <f t="shared" si="35"/>
        <v>1000</v>
      </c>
      <c r="U622" s="130">
        <f t="shared" si="35"/>
        <v>910</v>
      </c>
      <c r="V622" s="130">
        <f t="shared" si="35"/>
        <v>685</v>
      </c>
      <c r="W622" s="130">
        <f t="shared" si="35"/>
        <v>550</v>
      </c>
      <c r="X622" s="131">
        <f t="shared" si="35"/>
        <v>395</v>
      </c>
      <c r="Y622" s="129">
        <f t="shared" si="35"/>
        <v>380</v>
      </c>
      <c r="Z622" s="130">
        <f t="shared" si="35"/>
        <v>560</v>
      </c>
      <c r="AA622" s="130">
        <f t="shared" si="35"/>
        <v>675</v>
      </c>
      <c r="AB622" s="130">
        <f t="shared" si="35"/>
        <v>935</v>
      </c>
      <c r="AC622" s="130">
        <f t="shared" si="35"/>
        <v>1075</v>
      </c>
      <c r="AD622" s="130">
        <f t="shared" si="35"/>
        <v>1020</v>
      </c>
      <c r="AE622" s="130">
        <f t="shared" si="35"/>
        <v>1055</v>
      </c>
      <c r="AF622" s="131">
        <f t="shared" si="35"/>
        <v>1000</v>
      </c>
      <c r="AG622" s="129">
        <f t="shared" si="35"/>
        <v>1010</v>
      </c>
      <c r="AH622" s="130">
        <f t="shared" si="35"/>
        <v>1040</v>
      </c>
      <c r="AI622" s="130">
        <f t="shared" si="35"/>
        <v>1045</v>
      </c>
      <c r="AJ622" s="130">
        <f t="shared" si="35"/>
        <v>1095</v>
      </c>
      <c r="AK622" s="130">
        <f t="shared" si="35"/>
        <v>945</v>
      </c>
      <c r="AL622" s="130">
        <f t="shared" si="35"/>
        <v>650</v>
      </c>
      <c r="AM622" s="130">
        <f t="shared" si="35"/>
        <v>505</v>
      </c>
      <c r="AN622" s="131">
        <f t="shared" si="35"/>
        <v>400</v>
      </c>
      <c r="AO622" s="98"/>
      <c r="AP622" s="98">
        <f>SUM(I622:AN622)</f>
        <v>25940</v>
      </c>
      <c r="AQ622" s="83"/>
      <c r="AR622" s="83"/>
      <c r="AS622" s="83"/>
      <c r="AT622" s="92"/>
      <c r="AU622" s="92"/>
      <c r="AV622" s="83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</row>
    <row r="623" spans="1:102" s="8" customFormat="1" ht="15.75" thickBot="1">
      <c r="I623" s="418">
        <f>I618*5</f>
        <v>6255</v>
      </c>
      <c r="J623" s="419"/>
      <c r="K623" s="419"/>
      <c r="L623" s="419"/>
      <c r="M623" s="419"/>
      <c r="N623" s="419"/>
      <c r="O623" s="419"/>
      <c r="P623" s="420"/>
      <c r="Q623" s="418">
        <f>Q618*5</f>
        <v>6295</v>
      </c>
      <c r="R623" s="419"/>
      <c r="S623" s="419"/>
      <c r="T623" s="419"/>
      <c r="U623" s="419"/>
      <c r="V623" s="419"/>
      <c r="W623" s="419"/>
      <c r="X623" s="420"/>
      <c r="Y623" s="418">
        <f>Y618*5</f>
        <v>6700</v>
      </c>
      <c r="Z623" s="419"/>
      <c r="AA623" s="419"/>
      <c r="AB623" s="419"/>
      <c r="AC623" s="419"/>
      <c r="AD623" s="419"/>
      <c r="AE623" s="419"/>
      <c r="AF623" s="420"/>
      <c r="AG623" s="418">
        <f>AG618*5</f>
        <v>6690</v>
      </c>
      <c r="AH623" s="419"/>
      <c r="AI623" s="419"/>
      <c r="AJ623" s="419"/>
      <c r="AK623" s="419"/>
      <c r="AL623" s="419"/>
      <c r="AM623" s="419"/>
      <c r="AN623" s="420"/>
      <c r="AO623" s="95"/>
      <c r="AP623" s="83"/>
      <c r="AQ623" s="83"/>
      <c r="AR623" s="83"/>
      <c r="AS623" s="83"/>
      <c r="AT623" s="92"/>
      <c r="AU623" s="92"/>
      <c r="AV623" s="83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</row>
    <row r="624" spans="1:102" s="8" customFormat="1" ht="15.75" thickBot="1">
      <c r="I624" s="418">
        <f>I619*5</f>
        <v>12550</v>
      </c>
      <c r="J624" s="419"/>
      <c r="K624" s="419"/>
      <c r="L624" s="419"/>
      <c r="M624" s="419"/>
      <c r="N624" s="419"/>
      <c r="O624" s="419"/>
      <c r="P624" s="419"/>
      <c r="Q624" s="419"/>
      <c r="R624" s="419"/>
      <c r="S624" s="419"/>
      <c r="T624" s="419"/>
      <c r="U624" s="419"/>
      <c r="V624" s="419"/>
      <c r="W624" s="419"/>
      <c r="X624" s="420"/>
      <c r="Y624" s="418">
        <f>Y619*5</f>
        <v>13390</v>
      </c>
      <c r="Z624" s="419"/>
      <c r="AA624" s="419"/>
      <c r="AB624" s="419"/>
      <c r="AC624" s="419"/>
      <c r="AD624" s="419"/>
      <c r="AE624" s="419"/>
      <c r="AF624" s="419"/>
      <c r="AG624" s="419"/>
      <c r="AH624" s="419"/>
      <c r="AI624" s="419"/>
      <c r="AJ624" s="419"/>
      <c r="AK624" s="419"/>
      <c r="AL624" s="419"/>
      <c r="AM624" s="419"/>
      <c r="AN624" s="420"/>
      <c r="AO624" s="95"/>
      <c r="AP624" s="83"/>
      <c r="AQ624" s="83"/>
      <c r="AR624" s="83"/>
      <c r="AS624" s="83"/>
      <c r="AT624" s="92"/>
      <c r="AU624" s="92"/>
      <c r="AV624" s="83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</row>
    <row r="625" spans="1:89" s="8" customFormat="1" ht="15.75" thickBot="1">
      <c r="I625" s="95"/>
      <c r="J625" s="83"/>
      <c r="K625" s="83"/>
      <c r="L625" s="83"/>
      <c r="M625" s="83"/>
      <c r="N625" s="83"/>
      <c r="O625" s="83"/>
      <c r="P625" s="95"/>
      <c r="Q625" s="83"/>
      <c r="R625" s="83"/>
      <c r="S625" s="83"/>
      <c r="T625" s="83"/>
      <c r="U625" s="83"/>
      <c r="V625" s="83"/>
      <c r="W625" s="83"/>
      <c r="X625" s="95"/>
      <c r="Y625" s="95"/>
      <c r="Z625" s="83"/>
      <c r="AA625" s="83"/>
      <c r="AB625" s="83"/>
      <c r="AC625" s="83"/>
      <c r="AD625" s="83"/>
      <c r="AE625" s="83"/>
      <c r="AF625" s="95"/>
      <c r="AG625" s="83"/>
      <c r="AH625" s="83"/>
      <c r="AI625" s="83"/>
      <c r="AJ625" s="83"/>
      <c r="AK625" s="83"/>
      <c r="AL625" s="83"/>
      <c r="AM625" s="83"/>
      <c r="AN625" s="95"/>
      <c r="AO625" s="95"/>
      <c r="AP625" s="83"/>
      <c r="AQ625" s="83"/>
      <c r="AR625" s="83"/>
      <c r="AS625" s="83"/>
      <c r="AT625" s="92"/>
      <c r="AU625" s="92"/>
      <c r="AV625" s="83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</row>
    <row r="626" spans="1:89" ht="15.75" thickBot="1">
      <c r="A626" s="52" t="s">
        <v>350</v>
      </c>
      <c r="B626" s="52"/>
      <c r="C626" s="52"/>
      <c r="D626" s="141">
        <f>COUNTIF(I5:AN615,"*am*")</f>
        <v>399</v>
      </c>
      <c r="E626" s="142"/>
      <c r="F626" s="52"/>
      <c r="G626" s="52"/>
      <c r="H626" s="52"/>
      <c r="I626" s="129">
        <f>COUNTIF(I5:I615,"am")</f>
        <v>2</v>
      </c>
      <c r="J626" s="130">
        <f>COUNTIF(J5:J615,"am")</f>
        <v>18</v>
      </c>
      <c r="K626" s="130">
        <f t="shared" ref="K626:AN626" si="36">COUNTIF(K5:K615,"am")</f>
        <v>19</v>
      </c>
      <c r="L626" s="130">
        <f t="shared" si="36"/>
        <v>13</v>
      </c>
      <c r="M626" s="130">
        <f t="shared" si="36"/>
        <v>11</v>
      </c>
      <c r="N626" s="130">
        <f t="shared" si="36"/>
        <v>6</v>
      </c>
      <c r="O626" s="130">
        <f t="shared" si="36"/>
        <v>9</v>
      </c>
      <c r="P626" s="131">
        <f t="shared" si="36"/>
        <v>9</v>
      </c>
      <c r="Q626" s="129">
        <f t="shared" si="36"/>
        <v>10</v>
      </c>
      <c r="R626" s="130">
        <f t="shared" si="36"/>
        <v>7</v>
      </c>
      <c r="S626" s="130">
        <f t="shared" si="36"/>
        <v>5</v>
      </c>
      <c r="T626" s="130">
        <f t="shared" si="36"/>
        <v>10</v>
      </c>
      <c r="U626" s="130">
        <f t="shared" si="36"/>
        <v>12</v>
      </c>
      <c r="V626" s="130">
        <f t="shared" si="36"/>
        <v>25</v>
      </c>
      <c r="W626" s="130">
        <f t="shared" si="36"/>
        <v>15</v>
      </c>
      <c r="X626" s="131">
        <f t="shared" si="36"/>
        <v>1</v>
      </c>
      <c r="Y626" s="129">
        <f t="shared" si="36"/>
        <v>6</v>
      </c>
      <c r="Z626" s="130">
        <f>COUNTIF(Z5:Z615,"*am*")</f>
        <v>30</v>
      </c>
      <c r="AA626" s="130">
        <f t="shared" si="36"/>
        <v>33</v>
      </c>
      <c r="AB626" s="130">
        <f t="shared" si="36"/>
        <v>18</v>
      </c>
      <c r="AC626" s="143">
        <f t="shared" si="36"/>
        <v>7</v>
      </c>
      <c r="AD626" s="130">
        <f t="shared" si="36"/>
        <v>4</v>
      </c>
      <c r="AE626" s="130">
        <f t="shared" si="36"/>
        <v>4</v>
      </c>
      <c r="AF626" s="144">
        <f t="shared" si="36"/>
        <v>7</v>
      </c>
      <c r="AG626" s="129">
        <f t="shared" si="36"/>
        <v>10</v>
      </c>
      <c r="AH626" s="130">
        <f t="shared" si="36"/>
        <v>5</v>
      </c>
      <c r="AI626" s="130">
        <f t="shared" si="36"/>
        <v>2</v>
      </c>
      <c r="AJ626" s="130">
        <f t="shared" si="36"/>
        <v>4</v>
      </c>
      <c r="AK626" s="130">
        <f t="shared" si="36"/>
        <v>15</v>
      </c>
      <c r="AL626" s="130">
        <f t="shared" si="36"/>
        <v>40</v>
      </c>
      <c r="AM626" s="130">
        <f t="shared" si="36"/>
        <v>36</v>
      </c>
      <c r="AN626" s="131">
        <f t="shared" si="36"/>
        <v>6</v>
      </c>
      <c r="AO626" s="98"/>
      <c r="AP626" s="98">
        <f>SUM(I626:AN626)</f>
        <v>399</v>
      </c>
    </row>
    <row r="627" spans="1:89" s="67" customFormat="1" ht="15.75" thickBot="1">
      <c r="D627" s="8"/>
      <c r="I627" s="389">
        <f>SUM(I626:P626)</f>
        <v>87</v>
      </c>
      <c r="J627" s="390"/>
      <c r="K627" s="390"/>
      <c r="L627" s="390"/>
      <c r="M627" s="390"/>
      <c r="N627" s="390"/>
      <c r="O627" s="390"/>
      <c r="P627" s="391"/>
      <c r="Q627" s="389">
        <f>SUM(Q626:X626)</f>
        <v>85</v>
      </c>
      <c r="R627" s="390"/>
      <c r="S627" s="390"/>
      <c r="T627" s="390"/>
      <c r="U627" s="390"/>
      <c r="V627" s="390"/>
      <c r="W627" s="390"/>
      <c r="X627" s="391"/>
      <c r="Y627" s="393">
        <f>SUM(Y626:AF626)</f>
        <v>109</v>
      </c>
      <c r="Z627" s="394"/>
      <c r="AA627" s="394"/>
      <c r="AB627" s="394"/>
      <c r="AC627" s="394"/>
      <c r="AD627" s="394"/>
      <c r="AE627" s="394"/>
      <c r="AF627" s="395"/>
      <c r="AG627" s="389">
        <f>SUM(AG626:AN626)</f>
        <v>118</v>
      </c>
      <c r="AH627" s="390"/>
      <c r="AI627" s="390"/>
      <c r="AJ627" s="390"/>
      <c r="AK627" s="390"/>
      <c r="AL627" s="390"/>
      <c r="AM627" s="390"/>
      <c r="AN627" s="391"/>
      <c r="AO627" s="96"/>
      <c r="AP627" s="96"/>
      <c r="AQ627" s="82"/>
      <c r="AR627" s="70"/>
      <c r="AS627" s="70"/>
      <c r="AT627" s="91"/>
      <c r="AU627" s="91"/>
      <c r="AV627" s="70"/>
      <c r="AX627" s="71"/>
      <c r="AY627" s="71"/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  <c r="BV627" s="71"/>
      <c r="BW627" s="71"/>
      <c r="BX627" s="71"/>
      <c r="BY627" s="71"/>
      <c r="BZ627" s="71"/>
      <c r="CA627" s="71"/>
      <c r="CB627" s="71"/>
      <c r="CC627" s="71"/>
      <c r="CD627" s="71"/>
      <c r="CE627" s="71"/>
      <c r="CF627" s="71"/>
      <c r="CG627" s="71"/>
      <c r="CH627" s="71"/>
      <c r="CI627" s="71"/>
      <c r="CJ627" s="71"/>
      <c r="CK627" s="71"/>
    </row>
    <row r="628" spans="1:89" s="67" customFormat="1" ht="15.75" thickBot="1">
      <c r="D628" s="8"/>
      <c r="I628" s="383">
        <f>SUM(I626:K626)</f>
        <v>39</v>
      </c>
      <c r="J628" s="384"/>
      <c r="K628" s="384"/>
      <c r="L628" s="386">
        <f>SUM(L626:M626)</f>
        <v>24</v>
      </c>
      <c r="M628" s="386"/>
      <c r="N628" s="136">
        <f>SUM(N626)</f>
        <v>6</v>
      </c>
      <c r="O628" s="388">
        <f>SUM(O626:P626)</f>
        <v>18</v>
      </c>
      <c r="P628" s="392"/>
      <c r="Q628" s="387">
        <f>SUM(Q626:R626)</f>
        <v>17</v>
      </c>
      <c r="R628" s="388"/>
      <c r="S628" s="136">
        <f>SUM(S626)</f>
        <v>5</v>
      </c>
      <c r="T628" s="386">
        <f>SUM(T626:U626)</f>
        <v>22</v>
      </c>
      <c r="U628" s="386"/>
      <c r="V628" s="384">
        <f>SUM(V626:X626)</f>
        <v>41</v>
      </c>
      <c r="W628" s="384"/>
      <c r="X628" s="385"/>
      <c r="Y628" s="383">
        <f>SUM(Y626:AA626)</f>
        <v>69</v>
      </c>
      <c r="Z628" s="384"/>
      <c r="AA628" s="384"/>
      <c r="AB628" s="386">
        <f>SUM(AB626:AC626)</f>
        <v>25</v>
      </c>
      <c r="AC628" s="386"/>
      <c r="AD628" s="136">
        <f>SUM(AD626)</f>
        <v>4</v>
      </c>
      <c r="AE628" s="388">
        <f>SUM(AE626:AF626)</f>
        <v>11</v>
      </c>
      <c r="AF628" s="392"/>
      <c r="AG628" s="387">
        <f>SUM(AG626:AH626)</f>
        <v>15</v>
      </c>
      <c r="AH628" s="388"/>
      <c r="AI628" s="136">
        <f>SUM(AI626)</f>
        <v>2</v>
      </c>
      <c r="AJ628" s="386">
        <f>SUM(AJ626:AK626)</f>
        <v>19</v>
      </c>
      <c r="AK628" s="386"/>
      <c r="AL628" s="384">
        <f>SUM(AL626:AN626)</f>
        <v>82</v>
      </c>
      <c r="AM628" s="384"/>
      <c r="AN628" s="385"/>
      <c r="AO628" s="96"/>
      <c r="AP628" s="70"/>
      <c r="AQ628" s="82"/>
      <c r="AR628" s="70"/>
      <c r="AS628" s="70"/>
      <c r="AT628" s="91"/>
      <c r="AU628" s="91"/>
      <c r="AV628" s="70"/>
      <c r="AX628" s="71"/>
      <c r="AY628" s="71"/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  <c r="BV628" s="71"/>
      <c r="BW628" s="71"/>
      <c r="BX628" s="71"/>
      <c r="BY628" s="71"/>
      <c r="BZ628" s="71"/>
      <c r="CA628" s="71"/>
      <c r="CB628" s="71"/>
      <c r="CC628" s="71"/>
      <c r="CD628" s="71"/>
      <c r="CE628" s="71"/>
      <c r="CF628" s="71"/>
      <c r="CG628" s="71"/>
      <c r="CH628" s="71"/>
      <c r="CI628" s="71"/>
      <c r="CJ628" s="71"/>
      <c r="CK628" s="71"/>
    </row>
    <row r="629" spans="1:89" s="67" customFormat="1" ht="15.75" thickBot="1">
      <c r="D629" s="8"/>
      <c r="I629" s="383">
        <f>SUM(I628,V628,Y628,AL628)</f>
        <v>231</v>
      </c>
      <c r="J629" s="384"/>
      <c r="K629" s="384"/>
      <c r="L629" s="386">
        <f>SUM(L628,T628,AB628,AJ628)</f>
        <v>90</v>
      </c>
      <c r="M629" s="386"/>
      <c r="N629" s="136">
        <f>SUM(N628,S628,AD628,AI628)</f>
        <v>17</v>
      </c>
      <c r="O629" s="388">
        <f>SUM(O628,Q628,AE628,AG628)</f>
        <v>61</v>
      </c>
      <c r="P629" s="392"/>
      <c r="Q629" s="95"/>
      <c r="R629" s="95"/>
      <c r="S629" s="95"/>
      <c r="T629" s="137"/>
      <c r="U629" s="137"/>
      <c r="V629" s="137"/>
      <c r="W629" s="137"/>
      <c r="X629" s="137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  <c r="AL629" s="95"/>
      <c r="AM629" s="95"/>
      <c r="AN629" s="95"/>
      <c r="AO629" s="96"/>
      <c r="AP629" s="70"/>
      <c r="AQ629" s="82"/>
      <c r="AR629" s="70"/>
      <c r="AS629" s="70"/>
      <c r="AT629" s="91"/>
      <c r="AU629" s="91"/>
      <c r="AV629" s="70"/>
      <c r="AX629" s="71"/>
      <c r="AY629" s="71"/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  <c r="BV629" s="71"/>
      <c r="BW629" s="71"/>
      <c r="BX629" s="71"/>
      <c r="BY629" s="71"/>
      <c r="BZ629" s="71"/>
      <c r="CA629" s="71"/>
      <c r="CB629" s="71"/>
      <c r="CC629" s="71"/>
      <c r="CD629" s="71"/>
      <c r="CE629" s="71"/>
      <c r="CF629" s="71"/>
      <c r="CG629" s="71"/>
      <c r="CH629" s="71"/>
      <c r="CI629" s="71"/>
      <c r="CJ629" s="71"/>
      <c r="CK629" s="71"/>
    </row>
    <row r="630" spans="1:89" s="67" customFormat="1" ht="15.75" thickBot="1">
      <c r="D630" s="8"/>
      <c r="I630" s="95"/>
      <c r="J630" s="73"/>
      <c r="K630" s="73"/>
      <c r="L630" s="73"/>
      <c r="M630" s="73"/>
      <c r="N630" s="73"/>
      <c r="O630" s="73"/>
      <c r="P630" s="95"/>
      <c r="Q630" s="95"/>
      <c r="R630" s="73"/>
      <c r="S630" s="73"/>
      <c r="T630" s="73"/>
      <c r="U630" s="73"/>
      <c r="V630" s="73"/>
      <c r="W630" s="73"/>
      <c r="X630" s="95"/>
      <c r="Y630" s="95"/>
      <c r="Z630" s="73"/>
      <c r="AA630" s="73"/>
      <c r="AB630" s="73"/>
      <c r="AC630" s="73"/>
      <c r="AD630" s="73"/>
      <c r="AE630" s="73"/>
      <c r="AF630" s="95"/>
      <c r="AG630" s="95"/>
      <c r="AH630" s="73"/>
      <c r="AI630" s="73"/>
      <c r="AJ630" s="73"/>
      <c r="AK630" s="73"/>
      <c r="AL630" s="73"/>
      <c r="AM630" s="73"/>
      <c r="AN630" s="95"/>
      <c r="AO630" s="96"/>
      <c r="AP630" s="72"/>
      <c r="AQ630" s="82"/>
      <c r="AR630" s="72"/>
      <c r="AS630" s="72"/>
      <c r="AT630" s="91"/>
      <c r="AU630" s="91"/>
      <c r="AV630" s="72"/>
      <c r="AX630" s="74"/>
      <c r="AY630" s="74"/>
      <c r="AZ630" s="74"/>
      <c r="BA630" s="74"/>
      <c r="BB630" s="74"/>
      <c r="BC630" s="74"/>
      <c r="BD630" s="74"/>
      <c r="BE630" s="74"/>
      <c r="BF630" s="74"/>
      <c r="BG630" s="74"/>
      <c r="BH630" s="74"/>
      <c r="BI630" s="74"/>
      <c r="BJ630" s="74"/>
      <c r="BK630" s="74"/>
      <c r="BL630" s="74"/>
      <c r="BM630" s="74"/>
      <c r="BN630" s="74"/>
      <c r="BO630" s="74"/>
      <c r="BP630" s="74"/>
      <c r="BQ630" s="74"/>
      <c r="BR630" s="74"/>
      <c r="BS630" s="74"/>
      <c r="BT630" s="74"/>
      <c r="BU630" s="74"/>
      <c r="BV630" s="74"/>
      <c r="BW630" s="74"/>
      <c r="BX630" s="74"/>
      <c r="BY630" s="74"/>
      <c r="BZ630" s="74"/>
      <c r="CA630" s="74"/>
      <c r="CB630" s="74"/>
      <c r="CC630" s="74"/>
      <c r="CD630" s="74"/>
      <c r="CE630" s="74"/>
      <c r="CF630" s="74"/>
      <c r="CG630" s="74"/>
      <c r="CH630" s="74"/>
      <c r="CI630" s="74"/>
      <c r="CJ630" s="74"/>
      <c r="CK630" s="74"/>
    </row>
    <row r="631" spans="1:89" ht="15.75" thickBot="1">
      <c r="A631" s="52" t="s">
        <v>351</v>
      </c>
      <c r="B631" s="52"/>
      <c r="C631" s="52"/>
      <c r="D631" s="52">
        <f>COUNTIF(I5:AN615,"*X*")</f>
        <v>764</v>
      </c>
      <c r="E631" s="52"/>
      <c r="F631" s="52"/>
      <c r="G631" s="52"/>
      <c r="H631" s="52"/>
      <c r="I631" s="129">
        <f t="shared" ref="I631:AN631" si="37">COUNTIF(I5:I615,"*X*")</f>
        <v>16</v>
      </c>
      <c r="J631" s="130">
        <f t="shared" si="37"/>
        <v>37</v>
      </c>
      <c r="K631" s="130">
        <f t="shared" si="37"/>
        <v>60</v>
      </c>
      <c r="L631" s="130">
        <f t="shared" si="37"/>
        <v>33</v>
      </c>
      <c r="M631" s="130">
        <f t="shared" si="37"/>
        <v>10</v>
      </c>
      <c r="N631" s="130">
        <f t="shared" si="37"/>
        <v>24</v>
      </c>
      <c r="O631" s="130">
        <f t="shared" si="37"/>
        <v>2</v>
      </c>
      <c r="P631" s="131">
        <f>COUNTIF(P5:P615,"*X*")</f>
        <v>2</v>
      </c>
      <c r="Q631" s="129">
        <f t="shared" si="37"/>
        <v>2</v>
      </c>
      <c r="R631" s="130">
        <f t="shared" si="37"/>
        <v>2</v>
      </c>
      <c r="S631" s="130">
        <f t="shared" si="37"/>
        <v>23</v>
      </c>
      <c r="T631" s="130">
        <f t="shared" si="37"/>
        <v>8</v>
      </c>
      <c r="U631" s="130">
        <f t="shared" si="37"/>
        <v>28</v>
      </c>
      <c r="V631" s="130">
        <f t="shared" si="37"/>
        <v>58</v>
      </c>
      <c r="W631" s="130">
        <f t="shared" si="37"/>
        <v>40</v>
      </c>
      <c r="X631" s="131">
        <f t="shared" si="37"/>
        <v>16</v>
      </c>
      <c r="Y631" s="129">
        <f t="shared" si="37"/>
        <v>18</v>
      </c>
      <c r="Z631" s="130">
        <f t="shared" si="37"/>
        <v>44</v>
      </c>
      <c r="AA631" s="130">
        <f t="shared" si="37"/>
        <v>64</v>
      </c>
      <c r="AB631" s="130">
        <f t="shared" si="37"/>
        <v>34</v>
      </c>
      <c r="AC631" s="130">
        <f t="shared" si="37"/>
        <v>12</v>
      </c>
      <c r="AD631" s="130">
        <f t="shared" si="37"/>
        <v>22</v>
      </c>
      <c r="AE631" s="130">
        <f t="shared" si="37"/>
        <v>6</v>
      </c>
      <c r="AF631" s="131">
        <f t="shared" si="37"/>
        <v>3</v>
      </c>
      <c r="AG631" s="129">
        <f t="shared" si="37"/>
        <v>4</v>
      </c>
      <c r="AH631" s="130">
        <f t="shared" si="37"/>
        <v>6</v>
      </c>
      <c r="AI631" s="130">
        <f t="shared" si="37"/>
        <v>23</v>
      </c>
      <c r="AJ631" s="130">
        <f t="shared" si="37"/>
        <v>13</v>
      </c>
      <c r="AK631" s="130">
        <f t="shared" si="37"/>
        <v>32</v>
      </c>
      <c r="AL631" s="130">
        <f t="shared" si="37"/>
        <v>64</v>
      </c>
      <c r="AM631" s="130">
        <f t="shared" si="37"/>
        <v>44</v>
      </c>
      <c r="AN631" s="131">
        <f t="shared" si="37"/>
        <v>14</v>
      </c>
      <c r="AO631" s="98"/>
      <c r="AP631" s="98">
        <f>SUM(I631:AN631)</f>
        <v>764</v>
      </c>
    </row>
    <row r="632" spans="1:89" s="67" customFormat="1" ht="15.75" thickBot="1">
      <c r="D632" s="8"/>
      <c r="I632" s="389">
        <f>SUM(I631:P631)</f>
        <v>184</v>
      </c>
      <c r="J632" s="390"/>
      <c r="K632" s="390"/>
      <c r="L632" s="390"/>
      <c r="M632" s="390"/>
      <c r="N632" s="390"/>
      <c r="O632" s="390"/>
      <c r="P632" s="391"/>
      <c r="Q632" s="389">
        <f t="shared" ref="Q632" si="38">SUM(Q631:X631)</f>
        <v>177</v>
      </c>
      <c r="R632" s="390"/>
      <c r="S632" s="390"/>
      <c r="T632" s="390"/>
      <c r="U632" s="390"/>
      <c r="V632" s="390"/>
      <c r="W632" s="390"/>
      <c r="X632" s="391"/>
      <c r="Y632" s="389">
        <f t="shared" ref="Y632" si="39">SUM(Y631:AF631)</f>
        <v>203</v>
      </c>
      <c r="Z632" s="390"/>
      <c r="AA632" s="390"/>
      <c r="AB632" s="390"/>
      <c r="AC632" s="390"/>
      <c r="AD632" s="390"/>
      <c r="AE632" s="390"/>
      <c r="AF632" s="391"/>
      <c r="AG632" s="389">
        <f t="shared" ref="AG632" si="40">SUM(AG631:AN631)</f>
        <v>200</v>
      </c>
      <c r="AH632" s="390"/>
      <c r="AI632" s="390"/>
      <c r="AJ632" s="390"/>
      <c r="AK632" s="390"/>
      <c r="AL632" s="390"/>
      <c r="AM632" s="390"/>
      <c r="AN632" s="391"/>
      <c r="AO632" s="96"/>
      <c r="AP632" s="96"/>
      <c r="AQ632" s="96"/>
      <c r="AR632" s="96"/>
      <c r="AS632" s="96"/>
      <c r="AT632" s="96"/>
      <c r="AU632" s="96"/>
      <c r="AV632" s="96"/>
      <c r="AX632" s="97"/>
      <c r="AY632" s="97"/>
      <c r="AZ632" s="97"/>
      <c r="BA632" s="97"/>
      <c r="BB632" s="97"/>
      <c r="BC632" s="97"/>
      <c r="BD632" s="97"/>
      <c r="BE632" s="97"/>
      <c r="BF632" s="97"/>
      <c r="BG632" s="97"/>
      <c r="BH632" s="97"/>
      <c r="BI632" s="97"/>
      <c r="BJ632" s="97"/>
      <c r="BK632" s="97"/>
      <c r="BL632" s="97"/>
      <c r="BM632" s="97"/>
      <c r="BN632" s="97"/>
      <c r="BO632" s="97"/>
      <c r="BP632" s="97"/>
      <c r="BQ632" s="97"/>
      <c r="BR632" s="97"/>
      <c r="BS632" s="97"/>
      <c r="BT632" s="97"/>
      <c r="BU632" s="97"/>
      <c r="BV632" s="97"/>
      <c r="BW632" s="97"/>
      <c r="BX632" s="97"/>
      <c r="BY632" s="97"/>
      <c r="BZ632" s="97"/>
      <c r="CA632" s="97"/>
      <c r="CB632" s="97"/>
      <c r="CC632" s="97"/>
      <c r="CD632" s="97"/>
      <c r="CE632" s="97"/>
      <c r="CF632" s="97"/>
      <c r="CG632" s="97"/>
      <c r="CH632" s="97"/>
      <c r="CI632" s="97"/>
      <c r="CJ632" s="97"/>
      <c r="CK632" s="97"/>
    </row>
    <row r="633" spans="1:89" s="67" customFormat="1" ht="15.75" thickBot="1">
      <c r="D633" s="8"/>
      <c r="I633" s="383">
        <f>I631+J631+K631</f>
        <v>113</v>
      </c>
      <c r="J633" s="384"/>
      <c r="K633" s="384"/>
      <c r="L633" s="386">
        <f>L631+M631</f>
        <v>43</v>
      </c>
      <c r="M633" s="386"/>
      <c r="N633" s="136">
        <f>N631</f>
        <v>24</v>
      </c>
      <c r="O633" s="388">
        <f>O631+P631</f>
        <v>4</v>
      </c>
      <c r="P633" s="392"/>
      <c r="Q633" s="387">
        <f>Q631+R631</f>
        <v>4</v>
      </c>
      <c r="R633" s="388"/>
      <c r="S633" s="136">
        <f>S631</f>
        <v>23</v>
      </c>
      <c r="T633" s="386">
        <f>T631+U631</f>
        <v>36</v>
      </c>
      <c r="U633" s="386"/>
      <c r="V633" s="384">
        <f>V631+W631+X631</f>
        <v>114</v>
      </c>
      <c r="W633" s="384"/>
      <c r="X633" s="385"/>
      <c r="Y633" s="383">
        <f>Y631+Z631+AA631</f>
        <v>126</v>
      </c>
      <c r="Z633" s="384"/>
      <c r="AA633" s="384"/>
      <c r="AB633" s="386">
        <f>AB631+AC631</f>
        <v>46</v>
      </c>
      <c r="AC633" s="386"/>
      <c r="AD633" s="136">
        <f>AD631</f>
        <v>22</v>
      </c>
      <c r="AE633" s="388">
        <f>AE631+AF631</f>
        <v>9</v>
      </c>
      <c r="AF633" s="392"/>
      <c r="AG633" s="387">
        <f>AG631+AH631</f>
        <v>10</v>
      </c>
      <c r="AH633" s="388"/>
      <c r="AI633" s="136">
        <f>AI631</f>
        <v>23</v>
      </c>
      <c r="AJ633" s="386">
        <f>AJ631+AK631</f>
        <v>45</v>
      </c>
      <c r="AK633" s="386"/>
      <c r="AL633" s="384">
        <f>AL631+AM631+AN631</f>
        <v>122</v>
      </c>
      <c r="AM633" s="384"/>
      <c r="AN633" s="385"/>
      <c r="AO633" s="96"/>
      <c r="AP633" s="96"/>
      <c r="AQ633" s="96"/>
      <c r="AR633" s="96"/>
      <c r="AS633" s="96"/>
      <c r="AT633" s="96"/>
      <c r="AU633" s="96"/>
      <c r="AV633" s="96"/>
      <c r="AX633" s="97"/>
      <c r="AY633" s="97"/>
      <c r="AZ633" s="97"/>
      <c r="BA633" s="97"/>
      <c r="BB633" s="97"/>
      <c r="BC633" s="97"/>
      <c r="BD633" s="97"/>
      <c r="BE633" s="97"/>
      <c r="BF633" s="97"/>
      <c r="BG633" s="97"/>
      <c r="BH633" s="97"/>
      <c r="BI633" s="97"/>
      <c r="BJ633" s="97"/>
      <c r="BK633" s="97"/>
      <c r="BL633" s="97"/>
      <c r="BM633" s="97"/>
      <c r="BN633" s="97"/>
      <c r="BO633" s="97"/>
      <c r="BP633" s="97"/>
      <c r="BQ633" s="97"/>
      <c r="BR633" s="97"/>
      <c r="BS633" s="97"/>
      <c r="BT633" s="97"/>
      <c r="BU633" s="97"/>
      <c r="BV633" s="97"/>
      <c r="BW633" s="97"/>
      <c r="BX633" s="97"/>
      <c r="BY633" s="97"/>
      <c r="BZ633" s="97"/>
      <c r="CA633" s="97"/>
      <c r="CB633" s="97"/>
      <c r="CC633" s="97"/>
      <c r="CD633" s="97"/>
      <c r="CE633" s="97"/>
      <c r="CF633" s="97"/>
      <c r="CG633" s="97"/>
      <c r="CH633" s="97"/>
      <c r="CI633" s="97"/>
      <c r="CJ633" s="97"/>
      <c r="CK633" s="97"/>
    </row>
    <row r="634" spans="1:89" s="67" customFormat="1" ht="15.75" thickBot="1">
      <c r="D634" s="8"/>
      <c r="I634" s="383">
        <f>SUM(I631:K631,V631:AA631,AL631:AN631)</f>
        <v>475</v>
      </c>
      <c r="J634" s="384"/>
      <c r="K634" s="384"/>
      <c r="L634" s="386">
        <f>SUM(L631:M631,T631:U631,AB631:AC631,AJ631:AK631)</f>
        <v>170</v>
      </c>
      <c r="M634" s="386"/>
      <c r="N634" s="136">
        <f>SUM(N631,S631,AD631,AI631)</f>
        <v>92</v>
      </c>
      <c r="O634" s="388">
        <f>SUM(O631:P631,Q631:R631,AE631:AF631,AG631:AH631)</f>
        <v>27</v>
      </c>
      <c r="P634" s="392"/>
      <c r="Q634" s="137"/>
      <c r="R634" s="137"/>
      <c r="S634" s="95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  <c r="AD634" s="95"/>
      <c r="AE634" s="137"/>
      <c r="AF634" s="137"/>
      <c r="AG634" s="137"/>
      <c r="AH634" s="137"/>
      <c r="AI634" s="95"/>
      <c r="AJ634" s="137"/>
      <c r="AK634" s="137"/>
      <c r="AL634" s="137"/>
      <c r="AM634" s="137"/>
      <c r="AN634" s="137"/>
      <c r="AO634" s="96"/>
      <c r="AP634" s="72"/>
      <c r="AQ634" s="82"/>
      <c r="AR634" s="72"/>
      <c r="AS634" s="72"/>
      <c r="AT634" s="91"/>
      <c r="AU634" s="91"/>
      <c r="AV634" s="72"/>
      <c r="AX634" s="74"/>
      <c r="AY634" s="74"/>
      <c r="AZ634" s="74"/>
      <c r="BA634" s="74"/>
      <c r="BB634" s="74"/>
      <c r="BC634" s="74"/>
      <c r="BD634" s="74"/>
      <c r="BE634" s="74"/>
      <c r="BF634" s="74"/>
      <c r="BG634" s="74"/>
      <c r="BH634" s="74"/>
      <c r="BI634" s="74"/>
      <c r="BJ634" s="74"/>
      <c r="BK634" s="74"/>
      <c r="BL634" s="74"/>
      <c r="BM634" s="74"/>
      <c r="BN634" s="74"/>
      <c r="BO634" s="74"/>
      <c r="BP634" s="74"/>
      <c r="BQ634" s="74"/>
      <c r="BR634" s="74"/>
      <c r="BS634" s="74"/>
      <c r="BT634" s="74"/>
      <c r="BU634" s="74"/>
      <c r="BV634" s="74"/>
      <c r="BW634" s="74"/>
      <c r="BX634" s="74"/>
      <c r="BY634" s="74"/>
      <c r="BZ634" s="74"/>
      <c r="CA634" s="74"/>
      <c r="CB634" s="74"/>
      <c r="CC634" s="74"/>
      <c r="CD634" s="74"/>
      <c r="CE634" s="74"/>
      <c r="CF634" s="74"/>
      <c r="CG634" s="74"/>
      <c r="CH634" s="74"/>
      <c r="CI634" s="74"/>
      <c r="CJ634" s="74"/>
      <c r="CK634" s="74"/>
    </row>
    <row r="635" spans="1:89" s="67" customFormat="1">
      <c r="D635" s="8"/>
      <c r="I635" s="138"/>
      <c r="J635" s="137"/>
      <c r="K635" s="137"/>
      <c r="L635" s="137"/>
      <c r="M635" s="137"/>
      <c r="N635" s="137"/>
      <c r="O635" s="137"/>
      <c r="P635" s="137"/>
      <c r="Q635" s="96"/>
      <c r="R635" s="96"/>
      <c r="S635" s="72"/>
      <c r="T635" s="72"/>
      <c r="U635" s="72"/>
      <c r="V635" s="72"/>
      <c r="W635" s="72"/>
      <c r="X635" s="72"/>
      <c r="Y635" s="96"/>
      <c r="Z635" s="72"/>
      <c r="AA635" s="72"/>
      <c r="AB635" s="72"/>
      <c r="AC635" s="72"/>
      <c r="AD635" s="72"/>
      <c r="AE635" s="72"/>
      <c r="AF635" s="96"/>
      <c r="AG635" s="96"/>
      <c r="AH635" s="72"/>
      <c r="AI635" s="72"/>
      <c r="AJ635" s="72"/>
      <c r="AK635" s="72"/>
      <c r="AL635" s="72"/>
      <c r="AM635" s="72"/>
      <c r="AN635" s="72"/>
      <c r="AO635" s="96"/>
      <c r="AP635" s="72"/>
      <c r="AQ635" s="82"/>
      <c r="AR635" s="72"/>
      <c r="AS635" s="72"/>
      <c r="AT635" s="91"/>
      <c r="AU635" s="91"/>
      <c r="AV635" s="72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/>
      <c r="BJ635" s="74"/>
      <c r="BK635" s="74"/>
      <c r="BL635" s="74"/>
      <c r="BM635" s="74"/>
      <c r="BN635" s="74"/>
      <c r="BO635" s="74"/>
      <c r="BP635" s="74"/>
      <c r="BQ635" s="74"/>
      <c r="BR635" s="74"/>
      <c r="BS635" s="74"/>
      <c r="BT635" s="74"/>
      <c r="BU635" s="74"/>
      <c r="BV635" s="74"/>
      <c r="BW635" s="74"/>
      <c r="BX635" s="74"/>
      <c r="BY635" s="74"/>
      <c r="BZ635" s="74"/>
      <c r="CA635" s="74"/>
      <c r="CB635" s="74"/>
      <c r="CC635" s="74"/>
      <c r="CD635" s="74"/>
      <c r="CE635" s="74"/>
      <c r="CF635" s="74"/>
      <c r="CG635" s="74"/>
      <c r="CH635" s="74"/>
      <c r="CI635" s="74"/>
      <c r="CJ635" s="74"/>
      <c r="CK635" s="74"/>
    </row>
    <row r="636" spans="1:89" s="67" customFormat="1" ht="15.75" thickBot="1">
      <c r="D636" s="8"/>
      <c r="I636" s="96"/>
      <c r="J636" s="72"/>
      <c r="K636" s="72"/>
      <c r="L636" s="72"/>
      <c r="M636" s="72"/>
      <c r="N636" s="72"/>
      <c r="O636" s="72"/>
      <c r="P636" s="96"/>
      <c r="Q636" s="96"/>
      <c r="R636" s="72"/>
      <c r="S636" s="72"/>
      <c r="T636" s="72"/>
      <c r="U636" s="72"/>
      <c r="V636" s="72"/>
      <c r="W636" s="72"/>
      <c r="X636" s="72"/>
      <c r="Y636" s="96"/>
      <c r="Z636" s="72"/>
      <c r="AA636" s="72"/>
      <c r="AB636" s="72"/>
      <c r="AC636" s="72"/>
      <c r="AD636" s="72"/>
      <c r="AE636" s="72"/>
      <c r="AF636" s="96"/>
      <c r="AG636" s="96"/>
      <c r="AH636" s="72"/>
      <c r="AI636" s="72"/>
      <c r="AJ636" s="72"/>
      <c r="AK636" s="72"/>
      <c r="AL636" s="72"/>
      <c r="AM636" s="72"/>
      <c r="AN636" s="72"/>
      <c r="AO636" s="96"/>
      <c r="AP636" s="72"/>
      <c r="AQ636" s="82"/>
      <c r="AR636" s="72"/>
      <c r="AS636" s="72"/>
      <c r="AT636" s="91"/>
      <c r="AU636" s="91"/>
      <c r="AV636" s="72"/>
      <c r="AX636" s="74"/>
      <c r="AY636" s="74"/>
      <c r="AZ636" s="74"/>
      <c r="BA636" s="74"/>
      <c r="BB636" s="74"/>
      <c r="BC636" s="74"/>
      <c r="BD636" s="74"/>
      <c r="BE636" s="74"/>
      <c r="BF636" s="74"/>
      <c r="BG636" s="74"/>
      <c r="BH636" s="74"/>
      <c r="BI636" s="74"/>
      <c r="BJ636" s="74"/>
      <c r="BK636" s="74"/>
      <c r="BL636" s="74"/>
      <c r="BM636" s="74"/>
      <c r="BN636" s="74"/>
      <c r="BO636" s="74"/>
      <c r="BP636" s="74"/>
      <c r="BQ636" s="74"/>
      <c r="BR636" s="74"/>
      <c r="BS636" s="74"/>
      <c r="BT636" s="74"/>
      <c r="BU636" s="74"/>
      <c r="BV636" s="74"/>
      <c r="BW636" s="74"/>
      <c r="BX636" s="74"/>
      <c r="BY636" s="74"/>
      <c r="BZ636" s="74"/>
      <c r="CA636" s="74"/>
      <c r="CB636" s="74"/>
      <c r="CC636" s="74"/>
      <c r="CD636" s="74"/>
      <c r="CE636" s="74"/>
      <c r="CF636" s="74"/>
      <c r="CG636" s="74"/>
      <c r="CH636" s="74"/>
      <c r="CI636" s="74"/>
      <c r="CJ636" s="74"/>
      <c r="CK636" s="74"/>
    </row>
    <row r="637" spans="1:89" ht="15.75" thickBot="1">
      <c r="A637" s="52" t="s">
        <v>352</v>
      </c>
      <c r="B637" s="52"/>
      <c r="C637" s="52"/>
      <c r="D637" s="52">
        <f>COUNTIF(I5:AN615,"pm")</f>
        <v>405</v>
      </c>
      <c r="E637" s="52"/>
      <c r="F637" s="52"/>
      <c r="G637" s="52"/>
      <c r="H637" s="52"/>
      <c r="I637" s="129">
        <f>COUNTIF(I5:I615,"pm")</f>
        <v>4</v>
      </c>
      <c r="J637" s="130">
        <f t="shared" ref="J637:AN637" si="41">COUNTIF(J5:J615,"pm")</f>
        <v>3</v>
      </c>
      <c r="K637" s="130">
        <f t="shared" si="41"/>
        <v>4</v>
      </c>
      <c r="L637" s="130">
        <f t="shared" si="41"/>
        <v>5</v>
      </c>
      <c r="M637" s="130">
        <f t="shared" si="41"/>
        <v>11</v>
      </c>
      <c r="N637" s="130">
        <f t="shared" si="41"/>
        <v>15</v>
      </c>
      <c r="O637" s="130">
        <f t="shared" si="41"/>
        <v>40</v>
      </c>
      <c r="P637" s="131">
        <f t="shared" si="41"/>
        <v>38</v>
      </c>
      <c r="Q637" s="129">
        <f t="shared" si="41"/>
        <v>35</v>
      </c>
      <c r="R637" s="130">
        <f t="shared" si="41"/>
        <v>30</v>
      </c>
      <c r="S637" s="130">
        <f t="shared" si="41"/>
        <v>20</v>
      </c>
      <c r="T637" s="130">
        <f t="shared" si="41"/>
        <v>9</v>
      </c>
      <c r="U637" s="130">
        <f t="shared" si="41"/>
        <v>6</v>
      </c>
      <c r="V637" s="130">
        <f t="shared" si="41"/>
        <v>3</v>
      </c>
      <c r="W637" s="130">
        <f t="shared" si="41"/>
        <v>3</v>
      </c>
      <c r="X637" s="131">
        <f t="shared" si="41"/>
        <v>2</v>
      </c>
      <c r="Y637" s="129">
        <f t="shared" si="41"/>
        <v>4</v>
      </c>
      <c r="Z637" s="130">
        <f t="shared" si="41"/>
        <v>2</v>
      </c>
      <c r="AA637" s="130">
        <f t="shared" si="41"/>
        <v>3</v>
      </c>
      <c r="AB637" s="130">
        <f t="shared" si="41"/>
        <v>8</v>
      </c>
      <c r="AC637" s="130">
        <f t="shared" si="41"/>
        <v>10</v>
      </c>
      <c r="AD637" s="130">
        <f t="shared" si="41"/>
        <v>15</v>
      </c>
      <c r="AE637" s="130">
        <f t="shared" si="41"/>
        <v>22</v>
      </c>
      <c r="AF637" s="131">
        <f t="shared" si="41"/>
        <v>31</v>
      </c>
      <c r="AG637" s="129">
        <f t="shared" si="41"/>
        <v>27</v>
      </c>
      <c r="AH637" s="130">
        <f t="shared" si="41"/>
        <v>23</v>
      </c>
      <c r="AI637" s="130">
        <f t="shared" si="41"/>
        <v>9</v>
      </c>
      <c r="AJ637" s="130">
        <f t="shared" si="41"/>
        <v>6</v>
      </c>
      <c r="AK637" s="130">
        <f t="shared" si="41"/>
        <v>6</v>
      </c>
      <c r="AL637" s="130">
        <f t="shared" si="41"/>
        <v>2</v>
      </c>
      <c r="AM637" s="130">
        <f t="shared" si="41"/>
        <v>6</v>
      </c>
      <c r="AN637" s="131">
        <f t="shared" si="41"/>
        <v>3</v>
      </c>
      <c r="AO637" s="98"/>
      <c r="AP637" s="98">
        <f>SUM(I637:AN637)</f>
        <v>405</v>
      </c>
    </row>
    <row r="638" spans="1:89" s="67" customFormat="1" ht="15.75" thickBot="1">
      <c r="D638" s="8"/>
      <c r="I638" s="380">
        <f>SUM(I637:P637)</f>
        <v>120</v>
      </c>
      <c r="J638" s="381"/>
      <c r="K638" s="381"/>
      <c r="L638" s="381"/>
      <c r="M638" s="381"/>
      <c r="N638" s="381"/>
      <c r="O638" s="381"/>
      <c r="P638" s="382"/>
      <c r="Q638" s="380">
        <f t="shared" ref="Q638" si="42">SUM(Q637:X637)</f>
        <v>108</v>
      </c>
      <c r="R638" s="381"/>
      <c r="S638" s="381"/>
      <c r="T638" s="381"/>
      <c r="U638" s="381"/>
      <c r="V638" s="381"/>
      <c r="W638" s="381"/>
      <c r="X638" s="382"/>
      <c r="Y638" s="380">
        <f t="shared" ref="Y638" si="43">SUM(Y637:AF637)</f>
        <v>95</v>
      </c>
      <c r="Z638" s="381"/>
      <c r="AA638" s="381"/>
      <c r="AB638" s="381"/>
      <c r="AC638" s="381"/>
      <c r="AD638" s="381"/>
      <c r="AE638" s="381"/>
      <c r="AF638" s="382"/>
      <c r="AG638" s="380">
        <f t="shared" ref="AG638" si="44">SUM(AG637:AN637)</f>
        <v>82</v>
      </c>
      <c r="AH638" s="381"/>
      <c r="AI638" s="381"/>
      <c r="AJ638" s="381"/>
      <c r="AK638" s="381"/>
      <c r="AL638" s="381"/>
      <c r="AM638" s="381"/>
      <c r="AN638" s="382"/>
      <c r="AO638" s="96"/>
      <c r="AP638" s="86"/>
      <c r="AQ638" s="86"/>
      <c r="AR638" s="86"/>
      <c r="AS638" s="86"/>
      <c r="AT638" s="91"/>
      <c r="AU638" s="91"/>
      <c r="AV638" s="86"/>
      <c r="AX638" s="87"/>
      <c r="AY638" s="87"/>
      <c r="AZ638" s="87"/>
      <c r="BA638" s="87"/>
      <c r="BB638" s="87"/>
      <c r="BC638" s="87"/>
      <c r="BD638" s="87"/>
      <c r="BE638" s="87"/>
      <c r="BF638" s="87"/>
      <c r="BG638" s="87"/>
      <c r="BH638" s="87"/>
      <c r="BI638" s="87"/>
      <c r="BJ638" s="87"/>
      <c r="BK638" s="87"/>
      <c r="BL638" s="87"/>
      <c r="BM638" s="87"/>
      <c r="BN638" s="87"/>
      <c r="BO638" s="87"/>
      <c r="BP638" s="87"/>
      <c r="BQ638" s="87"/>
      <c r="BR638" s="87"/>
      <c r="BS638" s="87"/>
      <c r="BT638" s="87"/>
      <c r="BU638" s="87"/>
      <c r="BV638" s="87"/>
      <c r="BW638" s="87"/>
      <c r="BX638" s="87"/>
      <c r="BY638" s="87"/>
      <c r="BZ638" s="87"/>
      <c r="CA638" s="87"/>
      <c r="CB638" s="87"/>
      <c r="CC638" s="87"/>
      <c r="CD638" s="87"/>
      <c r="CE638" s="87"/>
      <c r="CF638" s="87"/>
      <c r="CG638" s="87"/>
      <c r="CH638" s="87"/>
      <c r="CI638" s="87"/>
      <c r="CJ638" s="87"/>
      <c r="CK638" s="87"/>
    </row>
    <row r="639" spans="1:89" s="67" customFormat="1" ht="15.75" thickBot="1">
      <c r="D639" s="8"/>
      <c r="I639" s="383">
        <f>I637+J637+K637</f>
        <v>11</v>
      </c>
      <c r="J639" s="384"/>
      <c r="K639" s="384"/>
      <c r="L639" s="386">
        <f>L637+M637</f>
        <v>16</v>
      </c>
      <c r="M639" s="386"/>
      <c r="N639" s="136">
        <f>N637</f>
        <v>15</v>
      </c>
      <c r="O639" s="388">
        <f>O637+P637</f>
        <v>78</v>
      </c>
      <c r="P639" s="392"/>
      <c r="Q639" s="387">
        <f>Q637+R637</f>
        <v>65</v>
      </c>
      <c r="R639" s="388"/>
      <c r="S639" s="136">
        <f>S637</f>
        <v>20</v>
      </c>
      <c r="T639" s="386">
        <f>T637+U637</f>
        <v>15</v>
      </c>
      <c r="U639" s="386"/>
      <c r="V639" s="384">
        <f>V637+W637+X637</f>
        <v>8</v>
      </c>
      <c r="W639" s="384"/>
      <c r="X639" s="385"/>
      <c r="Y639" s="383">
        <f>Y637+Z637+AA637</f>
        <v>9</v>
      </c>
      <c r="Z639" s="384"/>
      <c r="AA639" s="384"/>
      <c r="AB639" s="386">
        <f>AB637+AC637</f>
        <v>18</v>
      </c>
      <c r="AC639" s="386"/>
      <c r="AD639" s="136">
        <f>AD637</f>
        <v>15</v>
      </c>
      <c r="AE639" s="388">
        <f>AE637+AF637</f>
        <v>53</v>
      </c>
      <c r="AF639" s="392"/>
      <c r="AG639" s="387">
        <f>AG637+AH637</f>
        <v>50</v>
      </c>
      <c r="AH639" s="388"/>
      <c r="AI639" s="136">
        <f>AI637</f>
        <v>9</v>
      </c>
      <c r="AJ639" s="386">
        <f>AJ637+AK637</f>
        <v>12</v>
      </c>
      <c r="AK639" s="386"/>
      <c r="AL639" s="384">
        <f>AL637+AM637+AN637</f>
        <v>11</v>
      </c>
      <c r="AM639" s="384"/>
      <c r="AN639" s="385"/>
      <c r="AO639" s="96"/>
      <c r="AP639" s="86"/>
      <c r="AQ639" s="86"/>
      <c r="AR639" s="86"/>
      <c r="AS639" s="86"/>
      <c r="AT639" s="91"/>
      <c r="AU639" s="91"/>
      <c r="AV639" s="86"/>
      <c r="AX639" s="87"/>
      <c r="AY639" s="87"/>
      <c r="AZ639" s="87"/>
      <c r="BA639" s="87"/>
      <c r="BB639" s="87"/>
      <c r="BC639" s="87"/>
      <c r="BD639" s="87"/>
      <c r="BE639" s="87"/>
      <c r="BF639" s="87"/>
      <c r="BG639" s="87"/>
      <c r="BH639" s="87"/>
      <c r="BI639" s="87"/>
      <c r="BJ639" s="87"/>
      <c r="BK639" s="87"/>
      <c r="BL639" s="87"/>
      <c r="BM639" s="87"/>
      <c r="BN639" s="87"/>
      <c r="BO639" s="87"/>
      <c r="BP639" s="87"/>
      <c r="BQ639" s="87"/>
      <c r="BR639" s="87"/>
      <c r="BS639" s="87"/>
      <c r="BT639" s="87"/>
      <c r="BU639" s="87"/>
      <c r="BV639" s="87"/>
      <c r="BW639" s="87"/>
      <c r="BX639" s="87"/>
      <c r="BY639" s="87"/>
      <c r="BZ639" s="87"/>
      <c r="CA639" s="87"/>
      <c r="CB639" s="87"/>
      <c r="CC639" s="87"/>
      <c r="CD639" s="87"/>
      <c r="CE639" s="87"/>
      <c r="CF639" s="87"/>
      <c r="CG639" s="87"/>
      <c r="CH639" s="87"/>
      <c r="CI639" s="87"/>
      <c r="CJ639" s="87"/>
      <c r="CK639" s="87"/>
    </row>
    <row r="640" spans="1:89" s="67" customFormat="1" ht="15.75" thickBot="1">
      <c r="D640" s="8"/>
      <c r="I640" s="383">
        <f>SUM(I637:K637,V637:AA637,AL637:AN637)</f>
        <v>39</v>
      </c>
      <c r="J640" s="384"/>
      <c r="K640" s="384"/>
      <c r="L640" s="386">
        <f>SUM(L637:M637,T637:U637,AB637:AC637,AJ637:AK637)</f>
        <v>61</v>
      </c>
      <c r="M640" s="386"/>
      <c r="N640" s="136">
        <f>SUM(N637,S637,AD637,AI637)</f>
        <v>59</v>
      </c>
      <c r="O640" s="388">
        <f>SUM(O637:R637,AE637:AH637)</f>
        <v>246</v>
      </c>
      <c r="P640" s="392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  <c r="AD640" s="137"/>
      <c r="AE640" s="137"/>
      <c r="AF640" s="137"/>
      <c r="AG640" s="137"/>
      <c r="AH640" s="137"/>
      <c r="AI640" s="137"/>
      <c r="AJ640" s="137"/>
      <c r="AK640" s="137"/>
      <c r="AL640" s="137"/>
      <c r="AM640" s="137"/>
      <c r="AN640" s="137"/>
      <c r="AO640" s="96"/>
      <c r="AP640" s="86"/>
      <c r="AQ640" s="86"/>
      <c r="AR640" s="86"/>
      <c r="AS640" s="86"/>
      <c r="AT640" s="91"/>
      <c r="AU640" s="91"/>
      <c r="AV640" s="86"/>
      <c r="AX640" s="87"/>
      <c r="AY640" s="87"/>
      <c r="AZ640" s="87"/>
      <c r="BA640" s="87"/>
      <c r="BB640" s="87"/>
      <c r="BC640" s="87"/>
      <c r="BD640" s="87"/>
      <c r="BE640" s="87"/>
      <c r="BF640" s="87"/>
      <c r="BG640" s="87"/>
      <c r="BH640" s="87"/>
      <c r="BI640" s="87"/>
      <c r="BJ640" s="87"/>
      <c r="BK640" s="87"/>
      <c r="BL640" s="87"/>
      <c r="BM640" s="87"/>
      <c r="BN640" s="87"/>
      <c r="BO640" s="87"/>
      <c r="BP640" s="87"/>
      <c r="BQ640" s="87"/>
      <c r="BR640" s="87"/>
      <c r="BS640" s="87"/>
      <c r="BT640" s="87"/>
      <c r="BU640" s="87"/>
      <c r="BV640" s="87"/>
      <c r="BW640" s="87"/>
      <c r="BX640" s="87"/>
      <c r="BY640" s="87"/>
      <c r="BZ640" s="87"/>
      <c r="CA640" s="87"/>
      <c r="CB640" s="87"/>
      <c r="CC640" s="87"/>
      <c r="CD640" s="87"/>
      <c r="CE640" s="87"/>
      <c r="CF640" s="87"/>
      <c r="CG640" s="87"/>
      <c r="CH640" s="87"/>
      <c r="CI640" s="87"/>
      <c r="CJ640" s="87"/>
      <c r="CK640" s="87"/>
    </row>
    <row r="641" spans="1:89" s="67" customFormat="1">
      <c r="D641" s="8"/>
      <c r="I641" s="137"/>
      <c r="J641" s="137"/>
      <c r="K641" s="137"/>
      <c r="L641" s="137"/>
      <c r="M641" s="137"/>
      <c r="N641" s="95"/>
      <c r="O641" s="137"/>
      <c r="P641" s="137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  <c r="AL641" s="95"/>
      <c r="AM641" s="95"/>
      <c r="AN641" s="95"/>
      <c r="AO641" s="96"/>
      <c r="AP641" s="72"/>
      <c r="AQ641" s="82"/>
      <c r="AR641" s="72"/>
      <c r="AS641" s="72"/>
      <c r="AT641" s="91"/>
      <c r="AU641" s="91"/>
      <c r="AV641" s="72"/>
      <c r="AX641" s="74"/>
      <c r="AY641" s="74"/>
      <c r="AZ641" s="74"/>
      <c r="BA641" s="74"/>
      <c r="BB641" s="74"/>
      <c r="BC641" s="74"/>
      <c r="BD641" s="74"/>
      <c r="BE641" s="74"/>
      <c r="BF641" s="74"/>
      <c r="BG641" s="74"/>
      <c r="BH641" s="74"/>
      <c r="BI641" s="74"/>
      <c r="BJ641" s="74"/>
      <c r="BK641" s="74"/>
      <c r="BL641" s="74"/>
      <c r="BM641" s="74"/>
      <c r="BN641" s="74"/>
      <c r="BO641" s="74"/>
      <c r="BP641" s="74"/>
      <c r="BQ641" s="74"/>
      <c r="BR641" s="74"/>
      <c r="BS641" s="74"/>
      <c r="BT641" s="74"/>
      <c r="BU641" s="74"/>
      <c r="BV641" s="74"/>
      <c r="BW641" s="74"/>
      <c r="BX641" s="74"/>
      <c r="BY641" s="74"/>
      <c r="BZ641" s="74"/>
      <c r="CA641" s="74"/>
      <c r="CB641" s="74"/>
      <c r="CC641" s="74"/>
      <c r="CD641" s="74"/>
      <c r="CE641" s="74"/>
      <c r="CF641" s="74"/>
      <c r="CG641" s="74"/>
      <c r="CH641" s="74"/>
      <c r="CI641" s="74"/>
      <c r="CJ641" s="74"/>
      <c r="CK641" s="74"/>
    </row>
    <row r="642" spans="1:89" s="67" customFormat="1">
      <c r="D642" s="8"/>
      <c r="I642" s="145"/>
      <c r="J642" s="145"/>
      <c r="K642" s="145"/>
      <c r="L642" s="145"/>
      <c r="M642" s="145"/>
      <c r="N642" s="145"/>
      <c r="O642" s="145"/>
      <c r="P642" s="145"/>
      <c r="Q642" s="96"/>
      <c r="R642" s="72"/>
      <c r="S642" s="72"/>
      <c r="T642" s="72"/>
      <c r="U642" s="72"/>
      <c r="V642" s="72"/>
      <c r="W642" s="72"/>
      <c r="X642" s="72"/>
      <c r="Y642" s="96"/>
      <c r="Z642" s="72"/>
      <c r="AA642" s="72"/>
      <c r="AB642" s="72"/>
      <c r="AC642" s="72"/>
      <c r="AD642" s="72"/>
      <c r="AE642" s="72"/>
      <c r="AF642" s="96"/>
      <c r="AG642" s="96"/>
      <c r="AH642" s="72"/>
      <c r="AI642" s="72"/>
      <c r="AJ642" s="72"/>
      <c r="AK642" s="72"/>
      <c r="AL642" s="72"/>
      <c r="AM642" s="72"/>
      <c r="AN642" s="72"/>
      <c r="AO642" s="96"/>
      <c r="AP642" s="72"/>
      <c r="AQ642" s="82"/>
      <c r="AR642" s="72"/>
      <c r="AS642" s="72"/>
      <c r="AT642" s="91"/>
      <c r="AU642" s="91"/>
      <c r="AV642" s="72"/>
      <c r="AX642" s="74"/>
      <c r="AY642" s="74"/>
      <c r="AZ642" s="74"/>
      <c r="BA642" s="74"/>
      <c r="BB642" s="74"/>
      <c r="BC642" s="74"/>
      <c r="BD642" s="74"/>
      <c r="BE642" s="74"/>
      <c r="BF642" s="74"/>
      <c r="BG642" s="74"/>
      <c r="BH642" s="74"/>
      <c r="BI642" s="74"/>
      <c r="BJ642" s="74"/>
      <c r="BK642" s="74"/>
      <c r="BL642" s="74"/>
      <c r="BM642" s="74"/>
      <c r="BN642" s="74"/>
      <c r="BO642" s="74"/>
      <c r="BP642" s="74"/>
      <c r="BQ642" s="74"/>
      <c r="BR642" s="74"/>
      <c r="BS642" s="74"/>
      <c r="BT642" s="74"/>
      <c r="BU642" s="74"/>
      <c r="BV642" s="74"/>
      <c r="BW642" s="74"/>
      <c r="BX642" s="74"/>
      <c r="BY642" s="74"/>
      <c r="BZ642" s="74"/>
      <c r="CA642" s="74"/>
      <c r="CB642" s="74"/>
      <c r="CC642" s="74"/>
      <c r="CD642" s="74"/>
      <c r="CE642" s="74"/>
      <c r="CF642" s="74"/>
      <c r="CG642" s="74"/>
      <c r="CH642" s="74"/>
      <c r="CI642" s="74"/>
      <c r="CJ642" s="74"/>
      <c r="CK642" s="74"/>
    </row>
    <row r="643" spans="1:89" s="67" customFormat="1" ht="15.75" thickBot="1">
      <c r="D643" s="8"/>
      <c r="I643" s="96"/>
      <c r="J643" s="72"/>
      <c r="K643" s="72"/>
      <c r="L643" s="72"/>
      <c r="M643" s="72"/>
      <c r="N643" s="72"/>
      <c r="O643" s="72"/>
      <c r="P643" s="96"/>
      <c r="Q643" s="96"/>
      <c r="R643" s="72"/>
      <c r="S643" s="72"/>
      <c r="T643" s="72"/>
      <c r="U643" s="72"/>
      <c r="V643" s="72"/>
      <c r="W643" s="72"/>
      <c r="X643" s="96"/>
      <c r="Y643" s="96"/>
      <c r="Z643" s="72"/>
      <c r="AA643" s="72"/>
      <c r="AB643" s="72"/>
      <c r="AC643" s="72"/>
      <c r="AD643" s="72"/>
      <c r="AE643" s="72"/>
      <c r="AF643" s="96"/>
      <c r="AG643" s="96"/>
      <c r="AH643" s="72"/>
      <c r="AI643" s="72"/>
      <c r="AJ643" s="72"/>
      <c r="AK643" s="72"/>
      <c r="AL643" s="72"/>
      <c r="AM643" s="72"/>
      <c r="AN643" s="96"/>
      <c r="AO643" s="96"/>
      <c r="AP643" s="72"/>
      <c r="AQ643" s="82"/>
      <c r="AR643" s="72"/>
      <c r="AS643" s="72"/>
      <c r="AT643" s="91"/>
      <c r="AU643" s="91"/>
      <c r="AV643" s="72"/>
      <c r="AX643" s="74"/>
      <c r="AY643" s="74"/>
      <c r="AZ643" s="74"/>
      <c r="BA643" s="74"/>
      <c r="BB643" s="74"/>
      <c r="BC643" s="74"/>
      <c r="BD643" s="74"/>
      <c r="BE643" s="74"/>
      <c r="BF643" s="74"/>
      <c r="BG643" s="74"/>
      <c r="BH643" s="74"/>
      <c r="BI643" s="74"/>
      <c r="BJ643" s="74"/>
      <c r="BK643" s="74"/>
      <c r="BL643" s="74"/>
      <c r="BM643" s="74"/>
      <c r="BN643" s="74"/>
      <c r="BO643" s="74"/>
      <c r="BP643" s="74"/>
      <c r="BQ643" s="74"/>
      <c r="BR643" s="74"/>
      <c r="BS643" s="74"/>
      <c r="BT643" s="74"/>
      <c r="BU643" s="74"/>
      <c r="BV643" s="74"/>
      <c r="BW643" s="74"/>
      <c r="BX643" s="74"/>
      <c r="BY643" s="74"/>
      <c r="BZ643" s="74"/>
      <c r="CA643" s="74"/>
      <c r="CB643" s="74"/>
      <c r="CC643" s="74"/>
      <c r="CD643" s="74"/>
      <c r="CE643" s="74"/>
      <c r="CF643" s="74"/>
      <c r="CG643" s="74"/>
      <c r="CH643" s="74"/>
      <c r="CI643" s="74"/>
      <c r="CJ643" s="74"/>
      <c r="CK643" s="74"/>
    </row>
    <row r="644" spans="1:89" ht="15.75" thickBot="1">
      <c r="A644" s="52" t="s">
        <v>15</v>
      </c>
      <c r="B644" s="52"/>
      <c r="C644" s="52"/>
      <c r="D644" s="52">
        <f>COUNTIF(I5:AN615,"?")</f>
        <v>823</v>
      </c>
      <c r="E644" s="52"/>
      <c r="F644" s="52"/>
      <c r="G644" s="52"/>
      <c r="H644" s="52"/>
      <c r="I644" s="129">
        <f>COUNTIF(I5:I615,"?")</f>
        <v>35</v>
      </c>
      <c r="J644" s="130">
        <f t="shared" ref="J644:AN644" si="45">COUNTIF(J5:J615,"?")</f>
        <v>38</v>
      </c>
      <c r="K644" s="130">
        <f t="shared" si="45"/>
        <v>60</v>
      </c>
      <c r="L644" s="130">
        <f t="shared" si="45"/>
        <v>31</v>
      </c>
      <c r="M644" s="130">
        <f t="shared" si="45"/>
        <v>10</v>
      </c>
      <c r="N644" s="130">
        <f t="shared" si="45"/>
        <v>22</v>
      </c>
      <c r="O644" s="130">
        <f t="shared" si="45"/>
        <v>1</v>
      </c>
      <c r="P644" s="131">
        <f t="shared" si="45"/>
        <v>1</v>
      </c>
      <c r="Q644" s="129">
        <f t="shared" si="45"/>
        <v>1</v>
      </c>
      <c r="R644" s="130">
        <f t="shared" si="45"/>
        <v>2</v>
      </c>
      <c r="S644" s="130">
        <f t="shared" si="45"/>
        <v>22</v>
      </c>
      <c r="T644" s="130">
        <f t="shared" si="45"/>
        <v>8</v>
      </c>
      <c r="U644" s="130">
        <f t="shared" si="45"/>
        <v>28</v>
      </c>
      <c r="V644" s="130">
        <f t="shared" si="45"/>
        <v>58</v>
      </c>
      <c r="W644" s="130">
        <f t="shared" si="45"/>
        <v>42</v>
      </c>
      <c r="X644" s="131">
        <f t="shared" si="45"/>
        <v>31</v>
      </c>
      <c r="Y644" s="129">
        <f t="shared" si="45"/>
        <v>36</v>
      </c>
      <c r="Z644" s="130">
        <f t="shared" si="45"/>
        <v>45</v>
      </c>
      <c r="AA644" s="130">
        <f t="shared" si="45"/>
        <v>66</v>
      </c>
      <c r="AB644" s="130">
        <f t="shared" si="45"/>
        <v>31</v>
      </c>
      <c r="AC644" s="130">
        <f t="shared" si="45"/>
        <v>12</v>
      </c>
      <c r="AD644" s="130">
        <f t="shared" si="45"/>
        <v>20</v>
      </c>
      <c r="AE644" s="130">
        <f t="shared" si="45"/>
        <v>6</v>
      </c>
      <c r="AF644" s="131">
        <f t="shared" si="45"/>
        <v>3</v>
      </c>
      <c r="AG644" s="129">
        <f t="shared" si="45"/>
        <v>4</v>
      </c>
      <c r="AH644" s="130">
        <f t="shared" si="45"/>
        <v>6</v>
      </c>
      <c r="AI644" s="130">
        <f t="shared" si="45"/>
        <v>21</v>
      </c>
      <c r="AJ644" s="130">
        <f t="shared" si="45"/>
        <v>13</v>
      </c>
      <c r="AK644" s="130">
        <f t="shared" si="45"/>
        <v>32</v>
      </c>
      <c r="AL644" s="130">
        <f t="shared" si="45"/>
        <v>64</v>
      </c>
      <c r="AM644" s="130">
        <f t="shared" si="45"/>
        <v>44</v>
      </c>
      <c r="AN644" s="131">
        <f t="shared" si="45"/>
        <v>30</v>
      </c>
      <c r="AO644" s="98"/>
      <c r="AP644" s="98">
        <f>SUM(I644:AN644)</f>
        <v>823</v>
      </c>
    </row>
    <row r="645" spans="1:89" s="67" customFormat="1" ht="15.75" thickBot="1">
      <c r="D645" s="8"/>
      <c r="I645" s="380">
        <f>SUM(I644:P644)</f>
        <v>198</v>
      </c>
      <c r="J645" s="381"/>
      <c r="K645" s="381"/>
      <c r="L645" s="381"/>
      <c r="M645" s="381"/>
      <c r="N645" s="381"/>
      <c r="O645" s="381"/>
      <c r="P645" s="382"/>
      <c r="Q645" s="380">
        <f t="shared" ref="Q645" si="46">SUM(Q644:X644)</f>
        <v>192</v>
      </c>
      <c r="R645" s="381"/>
      <c r="S645" s="381"/>
      <c r="T645" s="381"/>
      <c r="U645" s="381"/>
      <c r="V645" s="381"/>
      <c r="W645" s="381"/>
      <c r="X645" s="382"/>
      <c r="Y645" s="380">
        <f t="shared" ref="Y645" si="47">SUM(Y644:AF644)</f>
        <v>219</v>
      </c>
      <c r="Z645" s="381"/>
      <c r="AA645" s="381"/>
      <c r="AB645" s="381"/>
      <c r="AC645" s="381"/>
      <c r="AD645" s="381"/>
      <c r="AE645" s="381"/>
      <c r="AF645" s="382"/>
      <c r="AG645" s="380">
        <f t="shared" ref="AG645" si="48">SUM(AG644:AN644)</f>
        <v>214</v>
      </c>
      <c r="AH645" s="381"/>
      <c r="AI645" s="381"/>
      <c r="AJ645" s="381"/>
      <c r="AK645" s="381"/>
      <c r="AL645" s="381"/>
      <c r="AM645" s="381"/>
      <c r="AN645" s="382"/>
      <c r="AO645" s="96"/>
      <c r="AP645" s="72"/>
      <c r="AQ645" s="82"/>
      <c r="AR645" s="72"/>
      <c r="AS645" s="72"/>
      <c r="AT645" s="91"/>
      <c r="AU645" s="91"/>
      <c r="AV645" s="72"/>
      <c r="AX645" s="74"/>
      <c r="AY645" s="74"/>
      <c r="AZ645" s="74"/>
      <c r="BA645" s="74"/>
      <c r="BB645" s="74"/>
      <c r="BC645" s="74"/>
      <c r="BD645" s="74"/>
      <c r="BE645" s="74"/>
      <c r="BF645" s="74"/>
      <c r="BG645" s="74"/>
      <c r="BH645" s="74"/>
      <c r="BI645" s="74"/>
      <c r="BJ645" s="74"/>
      <c r="BK645" s="74"/>
      <c r="BL645" s="74"/>
      <c r="BM645" s="74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  <c r="BY645" s="74"/>
      <c r="BZ645" s="74"/>
      <c r="CA645" s="74"/>
      <c r="CB645" s="74"/>
      <c r="CC645" s="74"/>
      <c r="CD645" s="74"/>
      <c r="CE645" s="74"/>
      <c r="CF645" s="74"/>
      <c r="CG645" s="74"/>
      <c r="CH645" s="74"/>
      <c r="CI645" s="74"/>
      <c r="CJ645" s="74"/>
      <c r="CK645" s="74"/>
    </row>
    <row r="646" spans="1:89" s="67" customFormat="1" ht="15.75" thickBot="1">
      <c r="D646" s="8"/>
      <c r="I646" s="383">
        <f>SUM(I644:K644)</f>
        <v>133</v>
      </c>
      <c r="J646" s="384"/>
      <c r="K646" s="384"/>
      <c r="L646" s="386">
        <f>SUM(L644:M644)</f>
        <v>41</v>
      </c>
      <c r="M646" s="386"/>
      <c r="N646" s="146">
        <f>SUM(N644)</f>
        <v>22</v>
      </c>
      <c r="O646" s="388">
        <f>SUM(O644:P644)</f>
        <v>2</v>
      </c>
      <c r="P646" s="392"/>
      <c r="Q646" s="387">
        <f>SUM(Q644:R644)</f>
        <v>3</v>
      </c>
      <c r="R646" s="388"/>
      <c r="S646" s="146">
        <f>SUM(S644)</f>
        <v>22</v>
      </c>
      <c r="T646" s="386">
        <f>SUM(T644:U644)</f>
        <v>36</v>
      </c>
      <c r="U646" s="386"/>
      <c r="V646" s="384">
        <f>SUM(V644:X644)</f>
        <v>131</v>
      </c>
      <c r="W646" s="384"/>
      <c r="X646" s="385"/>
      <c r="Y646" s="383">
        <f>SUM(Y644:AA644)</f>
        <v>147</v>
      </c>
      <c r="Z646" s="384"/>
      <c r="AA646" s="384"/>
      <c r="AB646" s="386">
        <f>SUM(AB644:AC644)</f>
        <v>43</v>
      </c>
      <c r="AC646" s="386"/>
      <c r="AD646" s="146">
        <f>SUM(AD644)</f>
        <v>20</v>
      </c>
      <c r="AE646" s="388">
        <f>SUM(AE644:AF644)</f>
        <v>9</v>
      </c>
      <c r="AF646" s="392"/>
      <c r="AG646" s="387">
        <f>SUM(AG644:AH644)</f>
        <v>10</v>
      </c>
      <c r="AH646" s="388"/>
      <c r="AI646" s="146">
        <f>SUM(AI644)</f>
        <v>21</v>
      </c>
      <c r="AJ646" s="386">
        <f>SUM(AJ644:AK644)</f>
        <v>45</v>
      </c>
      <c r="AK646" s="386"/>
      <c r="AL646" s="384">
        <f>SUM(AL644:AN644)</f>
        <v>138</v>
      </c>
      <c r="AM646" s="384"/>
      <c r="AN646" s="385"/>
      <c r="AO646" s="96"/>
      <c r="AP646" s="72"/>
      <c r="AQ646" s="82"/>
      <c r="AR646" s="72"/>
      <c r="AS646" s="72"/>
      <c r="AT646" s="91"/>
      <c r="AU646" s="91"/>
      <c r="AV646" s="72"/>
      <c r="AX646" s="74"/>
      <c r="AY646" s="74"/>
      <c r="AZ646" s="74"/>
      <c r="BA646" s="74"/>
      <c r="BB646" s="74"/>
      <c r="BC646" s="74"/>
      <c r="BD646" s="74"/>
      <c r="BE646" s="74"/>
      <c r="BF646" s="74"/>
      <c r="BG646" s="74"/>
      <c r="BH646" s="74"/>
      <c r="BI646" s="74"/>
      <c r="BJ646" s="74"/>
      <c r="BK646" s="74"/>
      <c r="BL646" s="74"/>
      <c r="BM646" s="74"/>
      <c r="BN646" s="74"/>
      <c r="BO646" s="74"/>
      <c r="BP646" s="74"/>
      <c r="BQ646" s="74"/>
      <c r="BR646" s="74"/>
      <c r="BS646" s="74"/>
      <c r="BT646" s="74"/>
      <c r="BU646" s="74"/>
      <c r="BV646" s="74"/>
      <c r="BW646" s="74"/>
      <c r="BX646" s="74"/>
      <c r="BY646" s="74"/>
      <c r="BZ646" s="74"/>
      <c r="CA646" s="74"/>
      <c r="CB646" s="74"/>
      <c r="CC646" s="74"/>
      <c r="CD646" s="74"/>
      <c r="CE646" s="74"/>
      <c r="CF646" s="74"/>
      <c r="CG646" s="74"/>
      <c r="CH646" s="74"/>
      <c r="CI646" s="74"/>
      <c r="CJ646" s="74"/>
      <c r="CK646" s="74"/>
    </row>
    <row r="647" spans="1:89" s="67" customFormat="1" ht="15.75" thickBot="1">
      <c r="D647" s="8"/>
      <c r="I647" s="383">
        <f>SUM(I644:K644,V644:AA644,AL644:AN644)</f>
        <v>549</v>
      </c>
      <c r="J647" s="384"/>
      <c r="K647" s="384"/>
      <c r="L647" s="386">
        <f>SUM(L644:M644,T644:U644,AB644:AC644,AJ644:AK644)</f>
        <v>165</v>
      </c>
      <c r="M647" s="386"/>
      <c r="N647" s="146">
        <f>SUM(N644,S644,AD644,AI644)</f>
        <v>85</v>
      </c>
      <c r="O647" s="388">
        <f>SUM(O644:R644,AE644:AH644)</f>
        <v>24</v>
      </c>
      <c r="P647" s="392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  <c r="AL647" s="95"/>
      <c r="AM647" s="95"/>
      <c r="AN647" s="95"/>
      <c r="AO647" s="96"/>
      <c r="AP647" s="96"/>
      <c r="AQ647" s="96"/>
      <c r="AR647" s="96"/>
      <c r="AS647" s="96"/>
      <c r="AT647" s="96"/>
      <c r="AU647" s="96"/>
      <c r="AV647" s="96"/>
      <c r="AX647" s="97"/>
      <c r="AY647" s="97"/>
      <c r="AZ647" s="97"/>
      <c r="BA647" s="97"/>
      <c r="BB647" s="97"/>
      <c r="BC647" s="97"/>
      <c r="BD647" s="97"/>
      <c r="BE647" s="97"/>
      <c r="BF647" s="97"/>
      <c r="BG647" s="97"/>
      <c r="BH647" s="97"/>
      <c r="BI647" s="97"/>
      <c r="BJ647" s="97"/>
      <c r="BK647" s="97"/>
      <c r="BL647" s="97"/>
      <c r="BM647" s="97"/>
      <c r="BN647" s="97"/>
      <c r="BO647" s="97"/>
      <c r="BP647" s="97"/>
      <c r="BQ647" s="97"/>
      <c r="BR647" s="97"/>
      <c r="BS647" s="97"/>
      <c r="BT647" s="97"/>
      <c r="BU647" s="97"/>
      <c r="BV647" s="97"/>
      <c r="BW647" s="97"/>
      <c r="BX647" s="97"/>
      <c r="BY647" s="97"/>
      <c r="BZ647" s="97"/>
      <c r="CA647" s="97"/>
      <c r="CB647" s="97"/>
      <c r="CC647" s="97"/>
      <c r="CD647" s="97"/>
      <c r="CE647" s="97"/>
      <c r="CF647" s="97"/>
      <c r="CG647" s="97"/>
      <c r="CH647" s="97"/>
      <c r="CI647" s="97"/>
      <c r="CJ647" s="97"/>
      <c r="CK647" s="97"/>
    </row>
    <row r="648" spans="1:89" s="67" customFormat="1">
      <c r="D648" s="8"/>
      <c r="I648" s="95"/>
      <c r="J648" s="95"/>
      <c r="K648" s="95"/>
      <c r="L648" s="95"/>
      <c r="M648" s="95"/>
      <c r="N648" s="137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  <c r="AL648" s="95"/>
      <c r="AM648" s="95"/>
      <c r="AN648" s="95"/>
      <c r="AO648" s="96"/>
      <c r="AP648" s="96"/>
      <c r="AQ648" s="96"/>
      <c r="AR648" s="96"/>
      <c r="AS648" s="96"/>
      <c r="AT648" s="96"/>
      <c r="AU648" s="96"/>
      <c r="AV648" s="96"/>
      <c r="AX648" s="97"/>
      <c r="AY648" s="97"/>
      <c r="AZ648" s="97"/>
      <c r="BA648" s="97"/>
      <c r="BB648" s="97"/>
      <c r="BC648" s="97"/>
      <c r="BD648" s="97"/>
      <c r="BE648" s="97"/>
      <c r="BF648" s="97"/>
      <c r="BG648" s="97"/>
      <c r="BH648" s="97"/>
      <c r="BI648" s="97"/>
      <c r="BJ648" s="97"/>
      <c r="BK648" s="97"/>
      <c r="BL648" s="97"/>
      <c r="BM648" s="97"/>
      <c r="BN648" s="97"/>
      <c r="BO648" s="97"/>
      <c r="BP648" s="97"/>
      <c r="BQ648" s="97"/>
      <c r="BR648" s="97"/>
      <c r="BS648" s="97"/>
      <c r="BT648" s="97"/>
      <c r="BU648" s="97"/>
      <c r="BV648" s="97"/>
      <c r="BW648" s="97"/>
      <c r="BX648" s="97"/>
      <c r="BY648" s="97"/>
      <c r="BZ648" s="97"/>
      <c r="CA648" s="97"/>
      <c r="CB648" s="97"/>
      <c r="CC648" s="97"/>
      <c r="CD648" s="97"/>
      <c r="CE648" s="97"/>
      <c r="CF648" s="97"/>
      <c r="CG648" s="97"/>
      <c r="CH648" s="97"/>
      <c r="CI648" s="97"/>
      <c r="CJ648" s="97"/>
      <c r="CK648" s="97"/>
    </row>
    <row r="649" spans="1:89">
      <c r="A649" t="s">
        <v>342</v>
      </c>
      <c r="D649" s="8">
        <f>SUM(D626:D644)</f>
        <v>2391</v>
      </c>
      <c r="J649" s="57"/>
      <c r="K649" s="57"/>
      <c r="L649" s="57"/>
      <c r="M649" s="57"/>
      <c r="N649" s="57"/>
      <c r="O649" s="57"/>
      <c r="R649" s="57"/>
      <c r="S649" s="57"/>
      <c r="T649" s="57"/>
      <c r="U649" s="57"/>
      <c r="V649" s="57"/>
      <c r="W649" s="57"/>
      <c r="Z649" s="57"/>
      <c r="AA649" s="57"/>
      <c r="AB649" s="57"/>
      <c r="AC649" s="57"/>
      <c r="AD649" s="57"/>
      <c r="AE649" s="57"/>
      <c r="AH649" s="57"/>
      <c r="AI649" s="57"/>
      <c r="AJ649" s="57"/>
      <c r="AK649" s="57"/>
      <c r="AL649" s="57"/>
      <c r="AM649" s="57"/>
      <c r="AP649" s="57"/>
      <c r="AR649" s="57"/>
    </row>
    <row r="650" spans="1:89" ht="15.75" thickBot="1"/>
    <row r="651" spans="1:89" ht="15.75" thickBot="1">
      <c r="A651" s="52" t="s">
        <v>389</v>
      </c>
      <c r="B651" s="52"/>
      <c r="C651" s="52"/>
      <c r="D651" s="52"/>
      <c r="E651" s="52"/>
      <c r="F651" s="52"/>
      <c r="G651" s="52"/>
      <c r="H651" s="52"/>
      <c r="I651" s="129">
        <f>I616+I626+I637</f>
        <v>77</v>
      </c>
      <c r="J651" s="130">
        <f t="shared" ref="J651:AN651" si="49">J616+J626+J637</f>
        <v>135</v>
      </c>
      <c r="K651" s="130">
        <f t="shared" si="49"/>
        <v>162</v>
      </c>
      <c r="L651" s="130">
        <f t="shared" si="49"/>
        <v>198</v>
      </c>
      <c r="M651" s="130">
        <f t="shared" si="49"/>
        <v>219</v>
      </c>
      <c r="N651" s="130">
        <f t="shared" si="49"/>
        <v>208</v>
      </c>
      <c r="O651" s="130">
        <f t="shared" si="49"/>
        <v>230</v>
      </c>
      <c r="P651" s="131">
        <f t="shared" si="49"/>
        <v>229</v>
      </c>
      <c r="Q651" s="129">
        <f t="shared" si="49"/>
        <v>227</v>
      </c>
      <c r="R651" s="130">
        <f t="shared" si="49"/>
        <v>226</v>
      </c>
      <c r="S651" s="130">
        <f t="shared" si="49"/>
        <v>205</v>
      </c>
      <c r="T651" s="130">
        <f t="shared" si="49"/>
        <v>219</v>
      </c>
      <c r="U651" s="130">
        <f t="shared" si="49"/>
        <v>200</v>
      </c>
      <c r="V651" s="130">
        <f t="shared" si="49"/>
        <v>165</v>
      </c>
      <c r="W651" s="130">
        <f t="shared" si="49"/>
        <v>128</v>
      </c>
      <c r="X651" s="131">
        <f t="shared" si="49"/>
        <v>82</v>
      </c>
      <c r="Y651" s="129">
        <f t="shared" si="49"/>
        <v>86</v>
      </c>
      <c r="Z651" s="130">
        <f t="shared" si="49"/>
        <v>144</v>
      </c>
      <c r="AA651" s="130">
        <f t="shared" si="49"/>
        <v>171</v>
      </c>
      <c r="AB651" s="130">
        <f t="shared" si="49"/>
        <v>213</v>
      </c>
      <c r="AC651" s="130">
        <f t="shared" si="49"/>
        <v>232</v>
      </c>
      <c r="AD651" s="130">
        <f t="shared" si="49"/>
        <v>223</v>
      </c>
      <c r="AE651" s="130">
        <f t="shared" si="49"/>
        <v>237</v>
      </c>
      <c r="AF651" s="131">
        <f t="shared" si="49"/>
        <v>238</v>
      </c>
      <c r="AG651" s="129">
        <f t="shared" si="49"/>
        <v>239</v>
      </c>
      <c r="AH651" s="130">
        <f t="shared" si="49"/>
        <v>236</v>
      </c>
      <c r="AI651" s="130">
        <f t="shared" si="49"/>
        <v>220</v>
      </c>
      <c r="AJ651" s="130">
        <f t="shared" si="49"/>
        <v>229</v>
      </c>
      <c r="AK651" s="130">
        <f t="shared" si="49"/>
        <v>210</v>
      </c>
      <c r="AL651" s="130">
        <f t="shared" si="49"/>
        <v>172</v>
      </c>
      <c r="AM651" s="130">
        <f t="shared" si="49"/>
        <v>143</v>
      </c>
      <c r="AN651" s="131">
        <f t="shared" si="49"/>
        <v>89</v>
      </c>
      <c r="AO651" s="98"/>
      <c r="AP651" s="98">
        <f>SUM(I651:AN651)</f>
        <v>5992</v>
      </c>
    </row>
    <row r="652" spans="1:89" ht="15.75" thickBot="1">
      <c r="I652" s="421">
        <f>SUM(I651:P651)</f>
        <v>1458</v>
      </c>
      <c r="J652" s="422"/>
      <c r="K652" s="422"/>
      <c r="L652" s="422"/>
      <c r="M652" s="422"/>
      <c r="N652" s="422"/>
      <c r="O652" s="422"/>
      <c r="P652" s="423"/>
      <c r="Q652" s="421">
        <f t="shared" ref="Q652" si="50">SUM(Q651:X651)</f>
        <v>1452</v>
      </c>
      <c r="R652" s="422"/>
      <c r="S652" s="422"/>
      <c r="T652" s="422"/>
      <c r="U652" s="422"/>
      <c r="V652" s="422"/>
      <c r="W652" s="422"/>
      <c r="X652" s="423"/>
      <c r="Y652" s="421">
        <f t="shared" ref="Y652" si="51">SUM(Y651:AF651)</f>
        <v>1544</v>
      </c>
      <c r="Z652" s="422"/>
      <c r="AA652" s="422"/>
      <c r="AB652" s="422"/>
      <c r="AC652" s="422"/>
      <c r="AD652" s="422"/>
      <c r="AE652" s="422"/>
      <c r="AF652" s="423"/>
      <c r="AG652" s="421">
        <f t="shared" ref="AG652" si="52">SUM(AG651:AN651)</f>
        <v>1538</v>
      </c>
      <c r="AH652" s="422"/>
      <c r="AI652" s="422"/>
      <c r="AJ652" s="422"/>
      <c r="AK652" s="422"/>
      <c r="AL652" s="422"/>
      <c r="AM652" s="422"/>
      <c r="AN652" s="423"/>
    </row>
    <row r="653" spans="1:89" ht="15.75" thickBot="1">
      <c r="I653" s="383">
        <f>I651+J651+K651</f>
        <v>374</v>
      </c>
      <c r="J653" s="384"/>
      <c r="K653" s="384"/>
      <c r="L653" s="386">
        <f>L651+M651</f>
        <v>417</v>
      </c>
      <c r="M653" s="386"/>
      <c r="N653" s="136">
        <f>N651</f>
        <v>208</v>
      </c>
      <c r="O653" s="388">
        <f>O651+P651</f>
        <v>459</v>
      </c>
      <c r="P653" s="392"/>
      <c r="Q653" s="387">
        <f>Q651+R651</f>
        <v>453</v>
      </c>
      <c r="R653" s="388"/>
      <c r="S653" s="136">
        <f>S651</f>
        <v>205</v>
      </c>
      <c r="T653" s="386">
        <f>T651+U651</f>
        <v>419</v>
      </c>
      <c r="U653" s="386"/>
      <c r="V653" s="384">
        <f>V651+W651+X651</f>
        <v>375</v>
      </c>
      <c r="W653" s="384"/>
      <c r="X653" s="385"/>
      <c r="Y653" s="383">
        <f>Y651+Z651+AA651</f>
        <v>401</v>
      </c>
      <c r="Z653" s="384"/>
      <c r="AA653" s="384"/>
      <c r="AB653" s="386">
        <f>AB651+AC651</f>
        <v>445</v>
      </c>
      <c r="AC653" s="386"/>
      <c r="AD653" s="136">
        <f>AD651</f>
        <v>223</v>
      </c>
      <c r="AE653" s="388">
        <f>AE651+AF651</f>
        <v>475</v>
      </c>
      <c r="AF653" s="392"/>
      <c r="AG653" s="387">
        <f>AG651+AH651</f>
        <v>475</v>
      </c>
      <c r="AH653" s="388"/>
      <c r="AI653" s="136">
        <f>AI651</f>
        <v>220</v>
      </c>
      <c r="AJ653" s="386">
        <f>AJ651+AK651</f>
        <v>439</v>
      </c>
      <c r="AK653" s="386"/>
      <c r="AL653" s="384">
        <f>AL651+AM651+AN651</f>
        <v>404</v>
      </c>
      <c r="AM653" s="384"/>
      <c r="AN653" s="385"/>
    </row>
    <row r="654" spans="1:89" ht="15.75" thickBot="1">
      <c r="I654" s="383">
        <f>SUM(I651:K651,V651:AA651,AL651:AN651)</f>
        <v>1554</v>
      </c>
      <c r="J654" s="384"/>
      <c r="K654" s="384"/>
      <c r="L654" s="386">
        <f>SUM(L651:M651,T651:U651,AB651:AC651,AJ651:AK651)</f>
        <v>1720</v>
      </c>
      <c r="M654" s="386"/>
      <c r="N654" s="136">
        <f>SUM(N651,S651,AD651,AI651)</f>
        <v>856</v>
      </c>
      <c r="O654" s="388">
        <f>SUM(O651:R651,AE651:AH651)</f>
        <v>1862</v>
      </c>
      <c r="P654" s="392"/>
    </row>
    <row r="732" spans="49:56">
      <c r="AW732" s="17"/>
      <c r="AX732" s="17"/>
      <c r="AY732" s="17"/>
      <c r="AZ732" s="17"/>
      <c r="BA732" s="17"/>
      <c r="BB732" s="17"/>
      <c r="BC732" s="17"/>
      <c r="BD732" s="17"/>
    </row>
    <row r="733" spans="49:56">
      <c r="AW733" s="17"/>
      <c r="AX733" s="17"/>
      <c r="AY733" s="18"/>
      <c r="AZ733" s="18"/>
      <c r="BA733" s="17"/>
      <c r="BB733" s="17"/>
      <c r="BC733" s="17"/>
      <c r="BD733" s="17"/>
    </row>
    <row r="734" spans="49:56">
      <c r="AW734" s="17"/>
      <c r="AX734" s="17"/>
      <c r="AY734" s="18"/>
      <c r="AZ734" s="18"/>
      <c r="BA734" s="17"/>
      <c r="BB734" s="17"/>
      <c r="BC734" s="17"/>
      <c r="BD734" s="17"/>
    </row>
    <row r="735" spans="49:56">
      <c r="AW735" s="17"/>
      <c r="AX735" s="17"/>
      <c r="AY735" s="18"/>
      <c r="AZ735" s="18"/>
      <c r="BA735" s="17"/>
      <c r="BB735" s="17"/>
      <c r="BC735" s="17"/>
      <c r="BD735" s="17"/>
    </row>
    <row r="736" spans="49:56">
      <c r="AW736" s="17"/>
      <c r="AX736" s="17"/>
      <c r="AY736" s="18"/>
      <c r="AZ736" s="18"/>
      <c r="BA736" s="17"/>
      <c r="BB736" s="17"/>
      <c r="BC736" s="17"/>
      <c r="BD736" s="17"/>
    </row>
    <row r="737" spans="49:56">
      <c r="AW737" s="19"/>
      <c r="AX737" s="19"/>
      <c r="AY737" s="19"/>
      <c r="AZ737" s="19"/>
      <c r="BA737" s="19"/>
      <c r="BB737" s="19"/>
      <c r="BC737" s="19"/>
      <c r="BD737" s="19"/>
    </row>
    <row r="738" spans="49:56">
      <c r="AW738" s="19"/>
      <c r="AX738" s="19"/>
      <c r="AY738" s="19"/>
      <c r="AZ738" s="19"/>
      <c r="BA738" s="19"/>
      <c r="BB738" s="19"/>
      <c r="BC738" s="19"/>
      <c r="BD738" s="19"/>
    </row>
    <row r="739" spans="49:56">
      <c r="AW739" s="19"/>
      <c r="AX739" s="19"/>
      <c r="AY739" s="19"/>
      <c r="AZ739" s="19"/>
      <c r="BA739" s="19"/>
      <c r="BB739" s="19"/>
      <c r="BC739" s="19"/>
      <c r="BD739" s="19"/>
    </row>
  </sheetData>
  <mergeCells count="125">
    <mergeCell ref="Y652:AF652"/>
    <mergeCell ref="AG652:AN652"/>
    <mergeCell ref="A4:CX4"/>
    <mergeCell ref="V653:X653"/>
    <mergeCell ref="Y653:AA653"/>
    <mergeCell ref="AL653:AN653"/>
    <mergeCell ref="AB653:AC653"/>
    <mergeCell ref="AJ653:AK653"/>
    <mergeCell ref="AE653:AF653"/>
    <mergeCell ref="AG653:AH653"/>
    <mergeCell ref="Q645:X645"/>
    <mergeCell ref="Y645:AF645"/>
    <mergeCell ref="AG645:AN645"/>
    <mergeCell ref="V646:X646"/>
    <mergeCell ref="Y646:AA646"/>
    <mergeCell ref="AL646:AN646"/>
    <mergeCell ref="T646:U646"/>
    <mergeCell ref="AB646:AC646"/>
    <mergeCell ref="AJ646:AK646"/>
    <mergeCell ref="Q646:R646"/>
    <mergeCell ref="AE646:AF646"/>
    <mergeCell ref="AG646:AH646"/>
    <mergeCell ref="I640:K640"/>
    <mergeCell ref="L640:M640"/>
    <mergeCell ref="I654:K654"/>
    <mergeCell ref="L654:M654"/>
    <mergeCell ref="O654:P654"/>
    <mergeCell ref="Q653:R653"/>
    <mergeCell ref="T653:U653"/>
    <mergeCell ref="O647:P647"/>
    <mergeCell ref="L647:M647"/>
    <mergeCell ref="I647:K647"/>
    <mergeCell ref="I652:P652"/>
    <mergeCell ref="I653:K653"/>
    <mergeCell ref="O653:P653"/>
    <mergeCell ref="L653:M653"/>
    <mergeCell ref="Q652:X652"/>
    <mergeCell ref="O640:P640"/>
    <mergeCell ref="I645:P645"/>
    <mergeCell ref="O646:P646"/>
    <mergeCell ref="L646:M646"/>
    <mergeCell ref="I646:K646"/>
    <mergeCell ref="AJ639:AK639"/>
    <mergeCell ref="O639:P639"/>
    <mergeCell ref="Q639:R639"/>
    <mergeCell ref="AE639:AF639"/>
    <mergeCell ref="AG639:AH639"/>
    <mergeCell ref="AJ633:AK633"/>
    <mergeCell ref="AL633:AN633"/>
    <mergeCell ref="Y633:AA633"/>
    <mergeCell ref="V633:X633"/>
    <mergeCell ref="I633:K633"/>
    <mergeCell ref="Q633:R633"/>
    <mergeCell ref="AG632:AN632"/>
    <mergeCell ref="Y632:AF632"/>
    <mergeCell ref="Q632:X632"/>
    <mergeCell ref="I632:P632"/>
    <mergeCell ref="L633:M633"/>
    <mergeCell ref="O633:P633"/>
    <mergeCell ref="T633:U633"/>
    <mergeCell ref="AE617:AF617"/>
    <mergeCell ref="AG617:AH617"/>
    <mergeCell ref="AJ617:AK617"/>
    <mergeCell ref="AL617:AN617"/>
    <mergeCell ref="I624:X624"/>
    <mergeCell ref="Y624:AN624"/>
    <mergeCell ref="I629:K629"/>
    <mergeCell ref="T628:U628"/>
    <mergeCell ref="Y623:AF623"/>
    <mergeCell ref="AG623:AN623"/>
    <mergeCell ref="Q623:X623"/>
    <mergeCell ref="O628:P628"/>
    <mergeCell ref="Q628:R628"/>
    <mergeCell ref="L629:M629"/>
    <mergeCell ref="O629:P629"/>
    <mergeCell ref="I627:P627"/>
    <mergeCell ref="Q627:X627"/>
    <mergeCell ref="L634:M634"/>
    <mergeCell ref="O634:P634"/>
    <mergeCell ref="I1:P1"/>
    <mergeCell ref="Q1:X1"/>
    <mergeCell ref="Y1:AF1"/>
    <mergeCell ref="AG1:AN1"/>
    <mergeCell ref="I618:P618"/>
    <mergeCell ref="AG618:AN618"/>
    <mergeCell ref="Q618:X618"/>
    <mergeCell ref="Y618:AF618"/>
    <mergeCell ref="A595:CX595"/>
    <mergeCell ref="I617:K617"/>
    <mergeCell ref="L617:M617"/>
    <mergeCell ref="O617:P617"/>
    <mergeCell ref="Q617:R617"/>
    <mergeCell ref="T617:U617"/>
    <mergeCell ref="V617:X617"/>
    <mergeCell ref="Y617:AA617"/>
    <mergeCell ref="I628:K628"/>
    <mergeCell ref="L628:M628"/>
    <mergeCell ref="I619:X619"/>
    <mergeCell ref="Y619:AN619"/>
    <mergeCell ref="I623:P623"/>
    <mergeCell ref="AB617:AC617"/>
    <mergeCell ref="Q638:X638"/>
    <mergeCell ref="I638:P638"/>
    <mergeCell ref="I639:K639"/>
    <mergeCell ref="V639:X639"/>
    <mergeCell ref="L639:M639"/>
    <mergeCell ref="V628:X628"/>
    <mergeCell ref="AG628:AH628"/>
    <mergeCell ref="AG627:AN627"/>
    <mergeCell ref="AB628:AC628"/>
    <mergeCell ref="AE628:AF628"/>
    <mergeCell ref="Y628:AA628"/>
    <mergeCell ref="AJ628:AK628"/>
    <mergeCell ref="AL628:AN628"/>
    <mergeCell ref="Y627:AF627"/>
    <mergeCell ref="AB633:AC633"/>
    <mergeCell ref="AE633:AF633"/>
    <mergeCell ref="AG633:AH633"/>
    <mergeCell ref="AG638:AN638"/>
    <mergeCell ref="Y638:AF638"/>
    <mergeCell ref="Y639:AA639"/>
    <mergeCell ref="AL639:AN639"/>
    <mergeCell ref="T639:U639"/>
    <mergeCell ref="AB639:AC639"/>
    <mergeCell ref="I634:K634"/>
  </mergeCells>
  <conditionalFormatting sqref="C121:D121">
    <cfRule type="duplicateValues" dxfId="9" priority="1" stopIfTrue="1"/>
  </conditionalFormatting>
  <hyperlinks>
    <hyperlink ref="CX5" location="'Luustik 1'!A1" display="'Luustik 1'!A1"/>
  </hyperlinks>
  <pageMargins left="0.7" right="0.7" top="0.75" bottom="0.75" header="0.3" footer="0.3"/>
  <pageSetup paperSize="9" orientation="portrait" verticalDpi="15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65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N241" sqref="AN241"/>
    </sheetView>
  </sheetViews>
  <sheetFormatPr defaultRowHeight="15"/>
  <cols>
    <col min="1" max="1" width="5.85546875" bestFit="1" customWidth="1"/>
    <col min="2" max="2" width="9.5703125" bestFit="1" customWidth="1"/>
    <col min="3" max="3" width="5" bestFit="1" customWidth="1"/>
    <col min="4" max="4" width="4.5703125" bestFit="1" customWidth="1"/>
    <col min="5" max="7" width="3" style="20" bestFit="1" customWidth="1"/>
    <col min="8" max="8" width="4" style="20" bestFit="1" customWidth="1"/>
    <col min="9" max="10" width="3" style="20" bestFit="1" customWidth="1"/>
    <col min="11" max="12" width="2" style="20" bestFit="1" customWidth="1"/>
    <col min="13" max="13" width="4" style="20" bestFit="1" customWidth="1"/>
    <col min="14" max="36" width="3" style="20" bestFit="1" customWidth="1"/>
    <col min="37" max="37" width="5.85546875" bestFit="1" customWidth="1"/>
    <col min="43" max="43" width="13.28515625" customWidth="1"/>
  </cols>
  <sheetData>
    <row r="1" spans="1:43">
      <c r="A1" s="67"/>
      <c r="B1" s="67"/>
      <c r="C1" s="67"/>
      <c r="D1" s="67"/>
      <c r="E1" s="433" t="s">
        <v>336</v>
      </c>
      <c r="F1" s="433"/>
      <c r="G1" s="433"/>
      <c r="H1" s="433"/>
      <c r="I1" s="433"/>
      <c r="J1" s="433"/>
      <c r="K1" s="433"/>
      <c r="L1" s="433"/>
      <c r="M1" s="428" t="s">
        <v>337</v>
      </c>
      <c r="N1" s="428"/>
      <c r="O1" s="428"/>
      <c r="P1" s="428"/>
      <c r="Q1" s="428"/>
      <c r="R1" s="428"/>
      <c r="S1" s="428"/>
      <c r="T1" s="428"/>
      <c r="U1" s="429" t="s">
        <v>339</v>
      </c>
      <c r="V1" s="430"/>
      <c r="W1" s="430"/>
      <c r="X1" s="430"/>
      <c r="Y1" s="430"/>
      <c r="Z1" s="430"/>
      <c r="AA1" s="430"/>
      <c r="AB1" s="431"/>
      <c r="AC1" s="432" t="s">
        <v>338</v>
      </c>
      <c r="AD1" s="432"/>
      <c r="AE1" s="432"/>
      <c r="AF1" s="432"/>
      <c r="AG1" s="432"/>
      <c r="AH1" s="432"/>
      <c r="AI1" s="432"/>
      <c r="AJ1" s="432"/>
      <c r="AK1" s="67"/>
      <c r="AL1" s="67"/>
      <c r="AM1" s="67"/>
      <c r="AN1" s="67"/>
      <c r="AO1" s="67"/>
    </row>
    <row r="2" spans="1:43">
      <c r="A2" s="67"/>
      <c r="B2" s="67"/>
      <c r="C2" s="67"/>
      <c r="D2" s="67"/>
      <c r="E2" s="27" t="s">
        <v>42</v>
      </c>
      <c r="F2" s="27" t="s">
        <v>42</v>
      </c>
      <c r="G2" s="27" t="s">
        <v>42</v>
      </c>
      <c r="H2" s="27" t="s">
        <v>340</v>
      </c>
      <c r="I2" s="27" t="s">
        <v>341</v>
      </c>
      <c r="J2" s="27" t="s">
        <v>334</v>
      </c>
      <c r="K2" s="27" t="s">
        <v>335</v>
      </c>
      <c r="L2" s="27" t="s">
        <v>335</v>
      </c>
      <c r="M2" s="33" t="s">
        <v>335</v>
      </c>
      <c r="N2" s="33" t="s">
        <v>335</v>
      </c>
      <c r="O2" s="33" t="s">
        <v>334</v>
      </c>
      <c r="P2" s="33" t="s">
        <v>341</v>
      </c>
      <c r="Q2" s="33" t="s">
        <v>341</v>
      </c>
      <c r="R2" s="33" t="s">
        <v>42</v>
      </c>
      <c r="S2" s="33" t="s">
        <v>42</v>
      </c>
      <c r="T2" s="33" t="s">
        <v>42</v>
      </c>
      <c r="U2" s="376" t="s">
        <v>42</v>
      </c>
      <c r="V2" s="39" t="s">
        <v>42</v>
      </c>
      <c r="W2" s="39" t="s">
        <v>42</v>
      </c>
      <c r="X2" s="39" t="s">
        <v>341</v>
      </c>
      <c r="Y2" s="39" t="s">
        <v>341</v>
      </c>
      <c r="Z2" s="39" t="s">
        <v>334</v>
      </c>
      <c r="AA2" s="39" t="s">
        <v>335</v>
      </c>
      <c r="AB2" s="377" t="s">
        <v>335</v>
      </c>
      <c r="AC2" s="45" t="s">
        <v>335</v>
      </c>
      <c r="AD2" s="45" t="s">
        <v>335</v>
      </c>
      <c r="AE2" s="45" t="s">
        <v>334</v>
      </c>
      <c r="AF2" s="45" t="s">
        <v>341</v>
      </c>
      <c r="AG2" s="45" t="s">
        <v>341</v>
      </c>
      <c r="AH2" s="45" t="s">
        <v>42</v>
      </c>
      <c r="AI2" s="45" t="s">
        <v>42</v>
      </c>
      <c r="AJ2" s="45" t="s">
        <v>42</v>
      </c>
      <c r="AK2" s="67"/>
      <c r="AL2" s="67"/>
      <c r="AM2" s="67"/>
      <c r="AN2" s="67"/>
      <c r="AO2" s="67"/>
    </row>
    <row r="3" spans="1:43" ht="30">
      <c r="A3" t="s">
        <v>377</v>
      </c>
      <c r="B3" t="s">
        <v>1</v>
      </c>
      <c r="C3" t="s">
        <v>363</v>
      </c>
      <c r="D3" t="s">
        <v>2</v>
      </c>
      <c r="E3" s="27">
        <v>8</v>
      </c>
      <c r="F3" s="27">
        <v>7</v>
      </c>
      <c r="G3" s="27">
        <v>6</v>
      </c>
      <c r="H3" s="27">
        <v>5</v>
      </c>
      <c r="I3" s="27">
        <v>4</v>
      </c>
      <c r="J3" s="27">
        <v>3</v>
      </c>
      <c r="K3" s="27">
        <v>2</v>
      </c>
      <c r="L3" s="27">
        <v>1</v>
      </c>
      <c r="M3" s="33">
        <v>1</v>
      </c>
      <c r="N3" s="33">
        <v>2</v>
      </c>
      <c r="O3" s="33">
        <v>3</v>
      </c>
      <c r="P3" s="33">
        <v>4</v>
      </c>
      <c r="Q3" s="33">
        <v>5</v>
      </c>
      <c r="R3" s="33">
        <v>6</v>
      </c>
      <c r="S3" s="33">
        <v>7</v>
      </c>
      <c r="T3" s="33">
        <v>8</v>
      </c>
      <c r="U3" s="376">
        <v>8</v>
      </c>
      <c r="V3" s="39">
        <v>7</v>
      </c>
      <c r="W3" s="39">
        <v>6</v>
      </c>
      <c r="X3" s="39">
        <v>5</v>
      </c>
      <c r="Y3" s="39">
        <v>4</v>
      </c>
      <c r="Z3" s="39">
        <v>3</v>
      </c>
      <c r="AA3" s="39">
        <v>2</v>
      </c>
      <c r="AB3" s="377">
        <v>1</v>
      </c>
      <c r="AC3" s="45">
        <v>1</v>
      </c>
      <c r="AD3" s="45">
        <v>2</v>
      </c>
      <c r="AE3" s="45">
        <v>3</v>
      </c>
      <c r="AF3" s="45">
        <v>4</v>
      </c>
      <c r="AG3" s="45">
        <v>5</v>
      </c>
      <c r="AH3" s="45">
        <v>6</v>
      </c>
      <c r="AI3" s="45">
        <v>7</v>
      </c>
      <c r="AJ3" s="45">
        <v>8</v>
      </c>
      <c r="AK3" t="s">
        <v>0</v>
      </c>
      <c r="AL3" t="s">
        <v>343</v>
      </c>
      <c r="AM3" t="s">
        <v>7</v>
      </c>
      <c r="AN3" t="s">
        <v>203</v>
      </c>
      <c r="AO3" t="s">
        <v>370</v>
      </c>
      <c r="AP3" s="100" t="s">
        <v>379</v>
      </c>
      <c r="AQ3" s="100" t="s">
        <v>382</v>
      </c>
    </row>
    <row r="4" spans="1:43">
      <c r="A4" s="8">
        <v>1</v>
      </c>
      <c r="B4" s="8" t="s">
        <v>5</v>
      </c>
      <c r="C4" s="8" t="s">
        <v>42</v>
      </c>
      <c r="D4" s="8" t="s">
        <v>6</v>
      </c>
      <c r="E4" s="24">
        <v>1</v>
      </c>
      <c r="F4" s="5">
        <v>1</v>
      </c>
      <c r="G4" s="5">
        <v>1</v>
      </c>
      <c r="H4" s="5"/>
      <c r="I4" s="5">
        <v>1</v>
      </c>
      <c r="J4" s="5"/>
      <c r="K4" s="5"/>
      <c r="L4" s="25"/>
      <c r="M4" s="24"/>
      <c r="N4" s="5"/>
      <c r="O4" s="5"/>
      <c r="P4" s="5"/>
      <c r="Q4" s="5"/>
      <c r="R4" s="5">
        <v>1</v>
      </c>
      <c r="S4" s="5"/>
      <c r="T4" s="25"/>
      <c r="U4" s="5"/>
      <c r="V4" s="5"/>
      <c r="W4" s="5"/>
      <c r="X4" s="5"/>
      <c r="Y4" s="5"/>
      <c r="Z4" s="5"/>
      <c r="AA4" s="5"/>
      <c r="AB4" s="5"/>
      <c r="AC4" s="24"/>
      <c r="AD4" s="5"/>
      <c r="AE4" s="5"/>
      <c r="AF4" s="5"/>
      <c r="AG4" s="5"/>
      <c r="AH4" s="5"/>
      <c r="AI4" s="5">
        <v>1</v>
      </c>
      <c r="AJ4" s="25">
        <v>1</v>
      </c>
      <c r="AK4">
        <v>1</v>
      </c>
      <c r="AM4">
        <v>1</v>
      </c>
      <c r="AO4" s="67">
        <f>SUM(E4:AJ4)</f>
        <v>7</v>
      </c>
      <c r="AP4">
        <v>26</v>
      </c>
      <c r="AQ4" s="76">
        <f>AO4/AP4</f>
        <v>0.26923076923076922</v>
      </c>
    </row>
    <row r="5" spans="1:43">
      <c r="A5" s="8">
        <v>30</v>
      </c>
      <c r="B5" s="8" t="s">
        <v>41</v>
      </c>
      <c r="C5" s="8" t="s">
        <v>42</v>
      </c>
      <c r="D5" s="8" t="s">
        <v>42</v>
      </c>
      <c r="E5" s="24"/>
      <c r="F5" s="5"/>
      <c r="G5" s="5"/>
      <c r="H5" s="5"/>
      <c r="I5" s="5"/>
      <c r="J5" s="5"/>
      <c r="K5" s="5"/>
      <c r="L5" s="25"/>
      <c r="M5" s="24"/>
      <c r="N5" s="5"/>
      <c r="O5" s="5"/>
      <c r="P5" s="5"/>
      <c r="Q5" s="5"/>
      <c r="R5" s="5"/>
      <c r="S5" s="5">
        <v>1</v>
      </c>
      <c r="T5" s="25"/>
      <c r="U5" s="5"/>
      <c r="V5" s="5">
        <v>1</v>
      </c>
      <c r="W5" s="5"/>
      <c r="X5" s="5"/>
      <c r="Y5" s="5"/>
      <c r="Z5" s="5"/>
      <c r="AA5" s="5"/>
      <c r="AB5" s="5"/>
      <c r="AC5" s="24"/>
      <c r="AD5" s="5"/>
      <c r="AE5" s="5"/>
      <c r="AF5" s="5"/>
      <c r="AG5" s="5"/>
      <c r="AH5" s="5"/>
      <c r="AI5" s="5"/>
      <c r="AJ5" s="25"/>
      <c r="AK5" s="8">
        <v>30</v>
      </c>
      <c r="AM5">
        <v>1</v>
      </c>
      <c r="AO5" s="67">
        <f>SUM(E5:AJ5)</f>
        <v>2</v>
      </c>
      <c r="AP5">
        <v>26</v>
      </c>
      <c r="AQ5" s="76">
        <f t="shared" ref="AQ5:AQ67" si="0">AO5/AP5</f>
        <v>7.6923076923076927E-2</v>
      </c>
    </row>
    <row r="6" spans="1:43">
      <c r="A6" s="8">
        <v>34</v>
      </c>
      <c r="B6" s="8" t="s">
        <v>44</v>
      </c>
      <c r="C6" s="8" t="s">
        <v>349</v>
      </c>
      <c r="D6" s="8" t="s">
        <v>6</v>
      </c>
      <c r="E6" s="24"/>
      <c r="F6" s="5"/>
      <c r="G6" s="5"/>
      <c r="H6" s="5"/>
      <c r="I6" s="5"/>
      <c r="J6" s="5"/>
      <c r="K6" s="5"/>
      <c r="L6" s="25"/>
      <c r="M6" s="24"/>
      <c r="N6" s="5"/>
      <c r="O6" s="5"/>
      <c r="P6" s="5"/>
      <c r="Q6" s="5"/>
      <c r="R6" s="5"/>
      <c r="S6" s="5"/>
      <c r="T6" s="25"/>
      <c r="U6" s="5">
        <v>1</v>
      </c>
      <c r="V6" s="5"/>
      <c r="W6" s="5">
        <v>1</v>
      </c>
      <c r="X6" s="5"/>
      <c r="Y6" s="5"/>
      <c r="Z6" s="5"/>
      <c r="AA6" s="5"/>
      <c r="AB6" s="5"/>
      <c r="AC6" s="24"/>
      <c r="AD6" s="5"/>
      <c r="AE6" s="5"/>
      <c r="AF6" s="5"/>
      <c r="AG6" s="5"/>
      <c r="AH6" s="5"/>
      <c r="AI6" s="5"/>
      <c r="AJ6" s="25"/>
      <c r="AK6">
        <v>34</v>
      </c>
      <c r="AM6">
        <v>1</v>
      </c>
      <c r="AO6" s="67">
        <f>SUM(E6:AJ6)</f>
        <v>2</v>
      </c>
      <c r="AP6">
        <v>2</v>
      </c>
      <c r="AQ6" s="76">
        <f t="shared" si="0"/>
        <v>1</v>
      </c>
    </row>
    <row r="7" spans="1:43">
      <c r="A7" s="8">
        <v>38</v>
      </c>
      <c r="B7" s="8" t="s">
        <v>48</v>
      </c>
      <c r="C7" s="8" t="s">
        <v>357</v>
      </c>
      <c r="D7" s="8" t="s">
        <v>15</v>
      </c>
      <c r="E7" s="24"/>
      <c r="F7" s="5"/>
      <c r="G7" s="5"/>
      <c r="H7" s="5"/>
      <c r="I7" s="5"/>
      <c r="J7" s="5"/>
      <c r="K7" s="5"/>
      <c r="L7" s="25"/>
      <c r="M7" s="24"/>
      <c r="N7" s="5"/>
      <c r="O7" s="5"/>
      <c r="P7" s="5"/>
      <c r="Q7" s="5"/>
      <c r="R7" s="5"/>
      <c r="S7" s="5"/>
      <c r="T7" s="25"/>
      <c r="U7" s="5"/>
      <c r="V7" s="5"/>
      <c r="W7" s="5"/>
      <c r="X7" s="5"/>
      <c r="Y7" s="5"/>
      <c r="Z7" s="5"/>
      <c r="AA7" s="5"/>
      <c r="AB7" s="5"/>
      <c r="AC7" s="24"/>
      <c r="AD7" s="5"/>
      <c r="AE7" s="5"/>
      <c r="AF7" s="5"/>
      <c r="AG7" s="5"/>
      <c r="AH7" s="5"/>
      <c r="AI7" s="5"/>
      <c r="AJ7" s="25"/>
      <c r="AK7">
        <v>38</v>
      </c>
      <c r="AL7">
        <v>1</v>
      </c>
      <c r="AO7" s="67"/>
      <c r="AP7">
        <v>10</v>
      </c>
      <c r="AQ7" s="76"/>
    </row>
    <row r="8" spans="1:43">
      <c r="A8" s="8">
        <v>41</v>
      </c>
      <c r="B8" s="8" t="s">
        <v>5</v>
      </c>
      <c r="C8" s="8" t="s">
        <v>42</v>
      </c>
      <c r="D8" s="8" t="s">
        <v>6</v>
      </c>
      <c r="E8" s="24"/>
      <c r="F8" s="5"/>
      <c r="G8" s="5"/>
      <c r="H8" s="5"/>
      <c r="I8" s="5">
        <v>1</v>
      </c>
      <c r="J8" s="5"/>
      <c r="K8" s="5">
        <v>1</v>
      </c>
      <c r="L8" s="25"/>
      <c r="M8" s="24"/>
      <c r="N8" s="5">
        <v>1</v>
      </c>
      <c r="O8" s="5"/>
      <c r="P8" s="5"/>
      <c r="Q8" s="5"/>
      <c r="R8" s="5">
        <v>1</v>
      </c>
      <c r="S8" s="5"/>
      <c r="T8" s="25">
        <v>1</v>
      </c>
      <c r="U8" s="5"/>
      <c r="V8" s="5"/>
      <c r="W8" s="5"/>
      <c r="X8" s="5"/>
      <c r="Y8" s="5"/>
      <c r="Z8" s="5"/>
      <c r="AA8" s="5"/>
      <c r="AB8" s="5"/>
      <c r="AC8" s="24"/>
      <c r="AD8" s="5"/>
      <c r="AE8" s="5"/>
      <c r="AF8" s="5"/>
      <c r="AG8" s="5"/>
      <c r="AH8" s="5"/>
      <c r="AI8" s="5">
        <v>1</v>
      </c>
      <c r="AJ8" s="25"/>
      <c r="AK8">
        <v>41</v>
      </c>
      <c r="AM8">
        <v>1</v>
      </c>
      <c r="AO8" s="67">
        <f t="shared" ref="AO8:AO70" si="1">SUM(E8:AJ8)</f>
        <v>6</v>
      </c>
      <c r="AP8">
        <v>25</v>
      </c>
      <c r="AQ8" s="76">
        <f t="shared" si="0"/>
        <v>0.24</v>
      </c>
    </row>
    <row r="9" spans="1:43">
      <c r="A9" s="8">
        <v>42</v>
      </c>
      <c r="B9" s="8" t="s">
        <v>53</v>
      </c>
      <c r="C9" s="8" t="s">
        <v>346</v>
      </c>
      <c r="D9" s="8" t="s">
        <v>15</v>
      </c>
      <c r="E9" s="24"/>
      <c r="F9" s="5"/>
      <c r="G9" s="5"/>
      <c r="H9" s="5"/>
      <c r="I9" s="5"/>
      <c r="J9" s="5"/>
      <c r="K9" s="5"/>
      <c r="L9" s="25"/>
      <c r="M9" s="24"/>
      <c r="N9" s="5"/>
      <c r="O9" s="5"/>
      <c r="P9" s="5"/>
      <c r="Q9" s="5"/>
      <c r="R9" s="5"/>
      <c r="S9" s="5"/>
      <c r="T9" s="25"/>
      <c r="U9" s="5"/>
      <c r="V9" s="5"/>
      <c r="W9" s="5"/>
      <c r="X9" s="5"/>
      <c r="Y9" s="5"/>
      <c r="Z9" s="5"/>
      <c r="AA9" s="5"/>
      <c r="AB9" s="5"/>
      <c r="AC9" s="24"/>
      <c r="AD9" s="5"/>
      <c r="AE9" s="5"/>
      <c r="AF9" s="5"/>
      <c r="AG9" s="5"/>
      <c r="AH9" s="5"/>
      <c r="AI9" s="5"/>
      <c r="AJ9" s="25"/>
      <c r="AK9">
        <v>42</v>
      </c>
      <c r="AL9">
        <v>1</v>
      </c>
      <c r="AO9" s="67"/>
      <c r="AP9">
        <v>17</v>
      </c>
      <c r="AQ9" s="76"/>
    </row>
    <row r="10" spans="1:43">
      <c r="A10" s="8">
        <v>45</v>
      </c>
      <c r="B10" s="8" t="s">
        <v>55</v>
      </c>
      <c r="C10" s="8" t="s">
        <v>346</v>
      </c>
      <c r="D10" s="8" t="s">
        <v>15</v>
      </c>
      <c r="E10" s="24"/>
      <c r="F10" s="5"/>
      <c r="G10" s="5"/>
      <c r="H10" s="5"/>
      <c r="I10" s="5"/>
      <c r="J10" s="5"/>
      <c r="K10" s="5"/>
      <c r="L10" s="25"/>
      <c r="M10" s="24"/>
      <c r="N10" s="5"/>
      <c r="O10" s="5"/>
      <c r="P10" s="5"/>
      <c r="Q10" s="5"/>
      <c r="R10" s="5"/>
      <c r="S10" s="5"/>
      <c r="T10" s="25"/>
      <c r="U10" s="5"/>
      <c r="V10" s="5"/>
      <c r="W10" s="5"/>
      <c r="X10" s="5"/>
      <c r="Y10" s="5"/>
      <c r="Z10" s="5"/>
      <c r="AA10" s="5"/>
      <c r="AB10" s="5"/>
      <c r="AC10" s="24"/>
      <c r="AD10" s="5"/>
      <c r="AE10" s="5"/>
      <c r="AF10" s="5"/>
      <c r="AG10" s="5"/>
      <c r="AH10" s="5"/>
      <c r="AI10" s="5"/>
      <c r="AJ10" s="25"/>
      <c r="AK10">
        <v>45</v>
      </c>
      <c r="AL10">
        <v>1</v>
      </c>
      <c r="AO10" s="67"/>
      <c r="AP10">
        <v>9</v>
      </c>
      <c r="AQ10" s="76"/>
    </row>
    <row r="11" spans="1:43">
      <c r="A11" s="8">
        <v>46</v>
      </c>
      <c r="B11" s="55" t="s">
        <v>56</v>
      </c>
      <c r="C11" s="8" t="s">
        <v>360</v>
      </c>
      <c r="D11" s="8" t="s">
        <v>15</v>
      </c>
      <c r="E11" s="24"/>
      <c r="F11" s="5"/>
      <c r="G11" s="5"/>
      <c r="H11" s="5"/>
      <c r="I11" s="5"/>
      <c r="J11" s="5"/>
      <c r="K11" s="5"/>
      <c r="L11" s="25"/>
      <c r="M11" s="24"/>
      <c r="N11" s="5"/>
      <c r="O11" s="5"/>
      <c r="P11" s="5"/>
      <c r="Q11" s="5"/>
      <c r="R11" s="5"/>
      <c r="S11" s="5"/>
      <c r="T11" s="25"/>
      <c r="U11" s="5"/>
      <c r="V11" s="5"/>
      <c r="W11" s="5"/>
      <c r="X11" s="5"/>
      <c r="Y11" s="5"/>
      <c r="Z11" s="5"/>
      <c r="AA11" s="5"/>
      <c r="AB11" s="5"/>
      <c r="AC11" s="24"/>
      <c r="AD11" s="5"/>
      <c r="AE11" s="5"/>
      <c r="AF11" s="5"/>
      <c r="AG11" s="5"/>
      <c r="AH11" s="5"/>
      <c r="AI11" s="5"/>
      <c r="AJ11" s="25"/>
      <c r="AK11">
        <v>46</v>
      </c>
      <c r="AL11">
        <v>1</v>
      </c>
      <c r="AO11" s="67"/>
      <c r="AP11">
        <v>6</v>
      </c>
      <c r="AQ11" s="76"/>
    </row>
    <row r="12" spans="1:43">
      <c r="A12" s="8">
        <v>48</v>
      </c>
      <c r="B12" s="8" t="s">
        <v>57</v>
      </c>
      <c r="C12" s="8" t="s">
        <v>12</v>
      </c>
      <c r="D12" s="8" t="s">
        <v>6</v>
      </c>
      <c r="E12" s="24"/>
      <c r="F12" s="5"/>
      <c r="G12" s="5"/>
      <c r="H12" s="5"/>
      <c r="I12" s="5"/>
      <c r="J12" s="5"/>
      <c r="K12" s="5"/>
      <c r="L12" s="25"/>
      <c r="M12" s="24"/>
      <c r="N12" s="5"/>
      <c r="O12" s="5"/>
      <c r="P12" s="5"/>
      <c r="Q12" s="5"/>
      <c r="R12" s="5"/>
      <c r="S12" s="5"/>
      <c r="T12" s="25"/>
      <c r="U12" s="5"/>
      <c r="V12" s="5"/>
      <c r="W12" s="5">
        <v>1</v>
      </c>
      <c r="X12" s="5"/>
      <c r="Y12" s="5"/>
      <c r="Z12" s="5"/>
      <c r="AA12" s="5"/>
      <c r="AB12" s="5"/>
      <c r="AC12" s="24"/>
      <c r="AD12" s="5"/>
      <c r="AE12" s="5"/>
      <c r="AF12" s="5"/>
      <c r="AG12" s="5"/>
      <c r="AH12" s="5"/>
      <c r="AI12" s="5"/>
      <c r="AJ12" s="25"/>
      <c r="AK12">
        <v>48</v>
      </c>
      <c r="AM12">
        <v>1</v>
      </c>
      <c r="AO12" s="67">
        <f t="shared" si="1"/>
        <v>1</v>
      </c>
      <c r="AP12">
        <v>2</v>
      </c>
      <c r="AQ12" s="76">
        <f t="shared" si="0"/>
        <v>0.5</v>
      </c>
    </row>
    <row r="13" spans="1:43">
      <c r="A13" s="8">
        <v>49</v>
      </c>
      <c r="B13" s="8" t="s">
        <v>58</v>
      </c>
      <c r="C13" s="8" t="s">
        <v>358</v>
      </c>
      <c r="D13" s="8" t="s">
        <v>6</v>
      </c>
      <c r="E13" s="24"/>
      <c r="F13" s="5"/>
      <c r="G13" s="5"/>
      <c r="H13" s="5"/>
      <c r="I13" s="5"/>
      <c r="J13" s="5"/>
      <c r="K13" s="5"/>
      <c r="L13" s="25"/>
      <c r="M13" s="24"/>
      <c r="N13" s="5"/>
      <c r="O13" s="5"/>
      <c r="P13" s="5"/>
      <c r="Q13" s="5"/>
      <c r="R13" s="5"/>
      <c r="S13" s="5"/>
      <c r="T13" s="25"/>
      <c r="U13" s="5"/>
      <c r="V13" s="5">
        <v>1</v>
      </c>
      <c r="W13" s="5"/>
      <c r="X13" s="5"/>
      <c r="Y13" s="5"/>
      <c r="Z13" s="5"/>
      <c r="AA13" s="5"/>
      <c r="AB13" s="5"/>
      <c r="AC13" s="24"/>
      <c r="AD13" s="5"/>
      <c r="AE13" s="5"/>
      <c r="AF13" s="5"/>
      <c r="AG13" s="5"/>
      <c r="AH13" s="5">
        <v>1</v>
      </c>
      <c r="AI13" s="5"/>
      <c r="AJ13" s="25"/>
      <c r="AK13">
        <v>49</v>
      </c>
      <c r="AM13">
        <v>1</v>
      </c>
      <c r="AO13" s="67">
        <f t="shared" si="1"/>
        <v>2</v>
      </c>
      <c r="AP13">
        <v>29</v>
      </c>
      <c r="AQ13" s="76">
        <f t="shared" si="0"/>
        <v>6.8965517241379309E-2</v>
      </c>
    </row>
    <row r="14" spans="1:43">
      <c r="A14" s="8">
        <v>52</v>
      </c>
      <c r="B14" s="8" t="s">
        <v>41</v>
      </c>
      <c r="C14" s="8" t="s">
        <v>42</v>
      </c>
      <c r="D14" s="8" t="s">
        <v>6</v>
      </c>
      <c r="E14" s="24"/>
      <c r="F14" s="5"/>
      <c r="G14" s="5"/>
      <c r="H14" s="5"/>
      <c r="I14" s="5">
        <v>1</v>
      </c>
      <c r="J14" s="5"/>
      <c r="K14" s="5"/>
      <c r="L14" s="25"/>
      <c r="M14" s="24"/>
      <c r="N14" s="5"/>
      <c r="O14" s="5"/>
      <c r="P14" s="5">
        <v>1</v>
      </c>
      <c r="Q14" s="5"/>
      <c r="R14" s="5">
        <v>1</v>
      </c>
      <c r="S14" s="5">
        <v>1</v>
      </c>
      <c r="T14" s="25"/>
      <c r="U14" s="5"/>
      <c r="V14" s="5">
        <v>1</v>
      </c>
      <c r="W14" s="5"/>
      <c r="X14" s="5"/>
      <c r="Y14" s="5"/>
      <c r="Z14" s="5"/>
      <c r="AA14" s="5"/>
      <c r="AB14" s="5"/>
      <c r="AC14" s="24"/>
      <c r="AD14" s="5"/>
      <c r="AE14" s="5"/>
      <c r="AF14" s="5"/>
      <c r="AG14" s="5"/>
      <c r="AH14" s="5">
        <v>1</v>
      </c>
      <c r="AI14" s="5"/>
      <c r="AJ14" s="25"/>
      <c r="AK14">
        <v>52</v>
      </c>
      <c r="AM14">
        <v>1</v>
      </c>
      <c r="AO14" s="67">
        <f t="shared" si="1"/>
        <v>6</v>
      </c>
      <c r="AP14">
        <v>29</v>
      </c>
      <c r="AQ14" s="76">
        <f t="shared" si="0"/>
        <v>0.20689655172413793</v>
      </c>
    </row>
    <row r="15" spans="1:43">
      <c r="A15" s="8">
        <v>53</v>
      </c>
      <c r="B15" s="8" t="s">
        <v>62</v>
      </c>
      <c r="C15" s="8" t="s">
        <v>42</v>
      </c>
      <c r="D15" s="8" t="s">
        <v>42</v>
      </c>
      <c r="E15" s="24"/>
      <c r="F15" s="5">
        <v>1</v>
      </c>
      <c r="G15" s="5"/>
      <c r="H15" s="5"/>
      <c r="I15" s="5">
        <v>1</v>
      </c>
      <c r="J15" s="5"/>
      <c r="K15" s="5"/>
      <c r="L15" s="25"/>
      <c r="M15" s="24"/>
      <c r="N15" s="5"/>
      <c r="O15" s="5"/>
      <c r="P15" s="5"/>
      <c r="Q15" s="5"/>
      <c r="R15" s="5">
        <v>1</v>
      </c>
      <c r="S15" s="5">
        <v>1</v>
      </c>
      <c r="T15" s="25"/>
      <c r="U15" s="5">
        <v>1</v>
      </c>
      <c r="V15" s="5">
        <v>1</v>
      </c>
      <c r="W15" s="5"/>
      <c r="X15" s="5"/>
      <c r="Y15" s="5"/>
      <c r="Z15" s="5"/>
      <c r="AA15" s="5"/>
      <c r="AB15" s="5"/>
      <c r="AC15" s="24"/>
      <c r="AD15" s="5"/>
      <c r="AE15" s="5"/>
      <c r="AF15" s="5"/>
      <c r="AG15" s="5"/>
      <c r="AH15" s="5"/>
      <c r="AI15" s="5"/>
      <c r="AJ15" s="25">
        <v>1</v>
      </c>
      <c r="AK15" s="8">
        <v>53</v>
      </c>
      <c r="AL15" s="8"/>
      <c r="AM15" s="8">
        <v>1</v>
      </c>
      <c r="AN15" s="8"/>
      <c r="AO15" s="67">
        <f t="shared" si="1"/>
        <v>7</v>
      </c>
      <c r="AP15">
        <v>31</v>
      </c>
      <c r="AQ15" s="76">
        <f t="shared" si="0"/>
        <v>0.22580645161290322</v>
      </c>
    </row>
    <row r="16" spans="1:43" s="8" customFormat="1">
      <c r="A16" s="8">
        <v>54</v>
      </c>
      <c r="B16" s="8" t="s">
        <v>63</v>
      </c>
      <c r="C16" s="8" t="s">
        <v>346</v>
      </c>
      <c r="D16" s="8" t="s">
        <v>15</v>
      </c>
      <c r="E16" s="24"/>
      <c r="F16" s="5"/>
      <c r="G16" s="5"/>
      <c r="H16" s="5"/>
      <c r="I16" s="5"/>
      <c r="J16" s="5"/>
      <c r="K16" s="5"/>
      <c r="L16" s="25"/>
      <c r="M16" s="24"/>
      <c r="N16" s="5"/>
      <c r="O16" s="5"/>
      <c r="P16" s="5"/>
      <c r="Q16" s="5"/>
      <c r="R16" s="5"/>
      <c r="S16" s="5"/>
      <c r="T16" s="25"/>
      <c r="U16" s="5"/>
      <c r="V16" s="5"/>
      <c r="W16" s="5"/>
      <c r="X16" s="5"/>
      <c r="Y16" s="5"/>
      <c r="Z16" s="5"/>
      <c r="AA16" s="5"/>
      <c r="AB16" s="5"/>
      <c r="AC16" s="24"/>
      <c r="AD16" s="5"/>
      <c r="AE16" s="5"/>
      <c r="AF16" s="5"/>
      <c r="AG16" s="5"/>
      <c r="AH16" s="5"/>
      <c r="AI16" s="5"/>
      <c r="AJ16" s="25"/>
      <c r="AK16">
        <v>54</v>
      </c>
      <c r="AL16">
        <v>1</v>
      </c>
      <c r="AM16"/>
      <c r="AN16"/>
      <c r="AO16" s="67"/>
      <c r="AP16" s="8">
        <v>10</v>
      </c>
      <c r="AQ16" s="76"/>
    </row>
    <row r="17" spans="1:43">
      <c r="A17" s="8">
        <v>56</v>
      </c>
      <c r="B17" s="8" t="s">
        <v>53</v>
      </c>
      <c r="C17" s="8" t="s">
        <v>346</v>
      </c>
      <c r="D17" s="8" t="s">
        <v>15</v>
      </c>
      <c r="E17" s="24"/>
      <c r="F17" s="5"/>
      <c r="G17" s="5"/>
      <c r="H17" s="5"/>
      <c r="I17" s="5"/>
      <c r="J17" s="5"/>
      <c r="K17" s="5"/>
      <c r="L17" s="25"/>
      <c r="M17" s="24"/>
      <c r="N17" s="5"/>
      <c r="O17" s="5"/>
      <c r="P17" s="5"/>
      <c r="Q17" s="5"/>
      <c r="R17" s="5"/>
      <c r="S17" s="5"/>
      <c r="T17" s="25"/>
      <c r="U17" s="5"/>
      <c r="V17" s="5"/>
      <c r="W17" s="5"/>
      <c r="X17" s="5"/>
      <c r="Y17" s="5"/>
      <c r="Z17" s="5"/>
      <c r="AA17" s="5"/>
      <c r="AB17" s="5"/>
      <c r="AC17" s="24"/>
      <c r="AD17" s="5"/>
      <c r="AE17" s="5"/>
      <c r="AF17" s="5"/>
      <c r="AG17" s="5"/>
      <c r="AH17" s="5"/>
      <c r="AI17" s="5"/>
      <c r="AJ17" s="25"/>
      <c r="AK17">
        <v>56</v>
      </c>
      <c r="AL17">
        <v>1</v>
      </c>
      <c r="AO17" s="67"/>
      <c r="AP17">
        <v>17</v>
      </c>
      <c r="AQ17" s="76"/>
    </row>
    <row r="18" spans="1:43">
      <c r="A18" s="8">
        <v>57</v>
      </c>
      <c r="B18" s="8" t="s">
        <v>44</v>
      </c>
      <c r="C18" s="8" t="s">
        <v>349</v>
      </c>
      <c r="D18" s="8" t="s">
        <v>6</v>
      </c>
      <c r="E18" s="24"/>
      <c r="F18" s="5"/>
      <c r="G18" s="5"/>
      <c r="H18" s="5">
        <v>1</v>
      </c>
      <c r="I18" s="5"/>
      <c r="J18" s="5">
        <v>1</v>
      </c>
      <c r="K18" s="5">
        <v>1</v>
      </c>
      <c r="L18" s="25">
        <v>1</v>
      </c>
      <c r="M18" s="24"/>
      <c r="N18" s="5">
        <v>1</v>
      </c>
      <c r="O18" s="5">
        <v>1</v>
      </c>
      <c r="P18" s="5"/>
      <c r="Q18" s="5">
        <v>1</v>
      </c>
      <c r="R18" s="5"/>
      <c r="S18" s="5"/>
      <c r="T18" s="25"/>
      <c r="U18" s="5"/>
      <c r="V18" s="5"/>
      <c r="W18" s="5"/>
      <c r="X18" s="5"/>
      <c r="Y18" s="5"/>
      <c r="Z18" s="5">
        <v>1</v>
      </c>
      <c r="AA18" s="5"/>
      <c r="AB18" s="5"/>
      <c r="AC18" s="24"/>
      <c r="AD18" s="5">
        <v>1</v>
      </c>
      <c r="AE18" s="5">
        <v>1</v>
      </c>
      <c r="AF18" s="5">
        <v>1</v>
      </c>
      <c r="AG18" s="5">
        <v>1</v>
      </c>
      <c r="AH18" s="5"/>
      <c r="AI18" s="5"/>
      <c r="AJ18" s="25"/>
      <c r="AK18">
        <v>57</v>
      </c>
      <c r="AM18">
        <v>1</v>
      </c>
      <c r="AO18" s="67">
        <f t="shared" si="1"/>
        <v>12</v>
      </c>
      <c r="AP18">
        <v>15</v>
      </c>
      <c r="AQ18" s="76">
        <f t="shared" si="0"/>
        <v>0.8</v>
      </c>
    </row>
    <row r="19" spans="1:43">
      <c r="A19" s="8">
        <v>59</v>
      </c>
      <c r="B19" s="55" t="s">
        <v>56</v>
      </c>
      <c r="C19" s="8" t="s">
        <v>360</v>
      </c>
      <c r="D19" s="8" t="s">
        <v>15</v>
      </c>
      <c r="E19" s="24"/>
      <c r="F19" s="5"/>
      <c r="G19" s="5"/>
      <c r="H19" s="5"/>
      <c r="I19" s="5"/>
      <c r="J19" s="5"/>
      <c r="K19" s="5"/>
      <c r="L19" s="25"/>
      <c r="M19" s="24"/>
      <c r="N19" s="5"/>
      <c r="O19" s="5"/>
      <c r="P19" s="5"/>
      <c r="Q19" s="5"/>
      <c r="R19" s="5"/>
      <c r="S19" s="5"/>
      <c r="T19" s="25"/>
      <c r="U19" s="5"/>
      <c r="V19" s="5"/>
      <c r="W19" s="5"/>
      <c r="X19" s="5"/>
      <c r="Y19" s="5"/>
      <c r="Z19" s="5"/>
      <c r="AA19" s="5"/>
      <c r="AB19" s="5"/>
      <c r="AC19" s="24"/>
      <c r="AD19" s="5"/>
      <c r="AE19" s="5"/>
      <c r="AF19" s="5"/>
      <c r="AG19" s="5"/>
      <c r="AH19" s="5"/>
      <c r="AI19" s="5"/>
      <c r="AJ19" s="25"/>
      <c r="AK19">
        <v>59</v>
      </c>
      <c r="AL19">
        <v>1</v>
      </c>
      <c r="AO19" s="67"/>
      <c r="AP19">
        <v>7</v>
      </c>
      <c r="AQ19" s="76"/>
    </row>
    <row r="20" spans="1:43">
      <c r="A20" s="8">
        <v>60</v>
      </c>
      <c r="B20" s="8" t="s">
        <v>48</v>
      </c>
      <c r="C20" s="8" t="s">
        <v>357</v>
      </c>
      <c r="D20" s="8" t="s">
        <v>15</v>
      </c>
      <c r="E20" s="24"/>
      <c r="F20" s="5"/>
      <c r="G20" s="5"/>
      <c r="H20" s="5"/>
      <c r="I20" s="5"/>
      <c r="J20" s="5"/>
      <c r="K20" s="5"/>
      <c r="L20" s="25"/>
      <c r="M20" s="24"/>
      <c r="N20" s="5"/>
      <c r="O20" s="5"/>
      <c r="P20" s="5"/>
      <c r="Q20" s="5"/>
      <c r="R20" s="5"/>
      <c r="S20" s="5"/>
      <c r="T20" s="25"/>
      <c r="U20" s="5"/>
      <c r="V20" s="5"/>
      <c r="W20" s="5"/>
      <c r="X20" s="5"/>
      <c r="Y20" s="5"/>
      <c r="Z20" s="5"/>
      <c r="AA20" s="5"/>
      <c r="AB20" s="5"/>
      <c r="AC20" s="24"/>
      <c r="AD20" s="5"/>
      <c r="AE20" s="5"/>
      <c r="AF20" s="5"/>
      <c r="AG20" s="5"/>
      <c r="AH20" s="5"/>
      <c r="AI20" s="5"/>
      <c r="AJ20" s="25"/>
      <c r="AK20">
        <v>60</v>
      </c>
      <c r="AL20">
        <v>1</v>
      </c>
      <c r="AO20" s="67"/>
      <c r="AP20">
        <v>22</v>
      </c>
      <c r="AQ20" s="76"/>
    </row>
    <row r="21" spans="1:43">
      <c r="A21" s="8">
        <v>61</v>
      </c>
      <c r="B21" s="8" t="s">
        <v>99</v>
      </c>
      <c r="C21" s="8" t="s">
        <v>346</v>
      </c>
      <c r="D21" s="8" t="s">
        <v>15</v>
      </c>
      <c r="E21" s="24"/>
      <c r="F21" s="5"/>
      <c r="G21" s="5"/>
      <c r="H21" s="5"/>
      <c r="I21" s="5"/>
      <c r="J21" s="5"/>
      <c r="K21" s="5"/>
      <c r="L21" s="25"/>
      <c r="M21" s="24"/>
      <c r="N21" s="5"/>
      <c r="O21" s="5"/>
      <c r="P21" s="5"/>
      <c r="Q21" s="5"/>
      <c r="R21" s="5"/>
      <c r="S21" s="5"/>
      <c r="T21" s="25"/>
      <c r="U21" s="5"/>
      <c r="V21" s="5"/>
      <c r="W21" s="5"/>
      <c r="X21" s="5"/>
      <c r="Y21" s="5"/>
      <c r="Z21" s="5"/>
      <c r="AA21" s="5"/>
      <c r="AB21" s="5"/>
      <c r="AC21" s="24"/>
      <c r="AD21" s="5"/>
      <c r="AE21" s="5"/>
      <c r="AF21" s="5"/>
      <c r="AG21" s="5"/>
      <c r="AH21" s="5"/>
      <c r="AI21" s="5"/>
      <c r="AJ21" s="25"/>
      <c r="AK21">
        <v>61</v>
      </c>
      <c r="AL21">
        <v>1</v>
      </c>
      <c r="AO21" s="67"/>
      <c r="AP21">
        <v>21</v>
      </c>
      <c r="AQ21" s="76"/>
    </row>
    <row r="22" spans="1:43">
      <c r="A22" s="8">
        <v>62</v>
      </c>
      <c r="B22" s="8" t="s">
        <v>68</v>
      </c>
      <c r="C22" s="8" t="s">
        <v>357</v>
      </c>
      <c r="D22" s="8" t="s">
        <v>15</v>
      </c>
      <c r="E22" s="24"/>
      <c r="F22" s="5"/>
      <c r="G22" s="5"/>
      <c r="H22" s="5">
        <v>1</v>
      </c>
      <c r="I22" s="5"/>
      <c r="J22" s="5">
        <v>1</v>
      </c>
      <c r="K22" s="5"/>
      <c r="L22" s="25"/>
      <c r="M22" s="24"/>
      <c r="N22" s="5"/>
      <c r="O22" s="5">
        <v>1</v>
      </c>
      <c r="P22" s="5">
        <v>1</v>
      </c>
      <c r="Q22" s="5"/>
      <c r="R22" s="5"/>
      <c r="S22" s="5"/>
      <c r="T22" s="25"/>
      <c r="U22" s="5"/>
      <c r="V22" s="5"/>
      <c r="W22" s="5"/>
      <c r="X22" s="5"/>
      <c r="Y22" s="5"/>
      <c r="Z22" s="5"/>
      <c r="AA22" s="5"/>
      <c r="AB22" s="5"/>
      <c r="AC22" s="24"/>
      <c r="AD22" s="5"/>
      <c r="AE22" s="5"/>
      <c r="AF22" s="5"/>
      <c r="AG22" s="5"/>
      <c r="AH22" s="5"/>
      <c r="AI22" s="5"/>
      <c r="AJ22" s="25"/>
      <c r="AK22">
        <v>62</v>
      </c>
      <c r="AM22">
        <v>1</v>
      </c>
      <c r="AO22" s="67">
        <f t="shared" si="1"/>
        <v>4</v>
      </c>
      <c r="AP22">
        <v>28</v>
      </c>
      <c r="AQ22" s="76">
        <f t="shared" si="0"/>
        <v>0.14285714285714285</v>
      </c>
    </row>
    <row r="23" spans="1:43">
      <c r="A23" s="8">
        <v>63</v>
      </c>
      <c r="B23" s="8" t="s">
        <v>71</v>
      </c>
      <c r="C23" s="8" t="s">
        <v>366</v>
      </c>
      <c r="D23" s="8" t="s">
        <v>42</v>
      </c>
      <c r="E23" s="24"/>
      <c r="F23" s="5"/>
      <c r="G23" s="5"/>
      <c r="H23" s="5"/>
      <c r="I23" s="5"/>
      <c r="J23" s="5"/>
      <c r="K23" s="5"/>
      <c r="L23" s="25"/>
      <c r="M23" s="24"/>
      <c r="N23" s="5"/>
      <c r="O23" s="5"/>
      <c r="P23" s="5"/>
      <c r="Q23" s="5"/>
      <c r="R23" s="5"/>
      <c r="S23" s="5"/>
      <c r="T23" s="25"/>
      <c r="U23" s="5"/>
      <c r="V23" s="5"/>
      <c r="W23" s="5"/>
      <c r="X23" s="5"/>
      <c r="Y23" s="5"/>
      <c r="Z23" s="5"/>
      <c r="AA23" s="5"/>
      <c r="AB23" s="5"/>
      <c r="AC23" s="24"/>
      <c r="AD23" s="5"/>
      <c r="AE23" s="5"/>
      <c r="AF23" s="5"/>
      <c r="AG23" s="5"/>
      <c r="AH23" s="5"/>
      <c r="AI23" s="5"/>
      <c r="AJ23" s="25"/>
      <c r="AK23">
        <v>63</v>
      </c>
      <c r="AL23">
        <v>1</v>
      </c>
      <c r="AO23" s="67"/>
      <c r="AP23">
        <v>32</v>
      </c>
      <c r="AQ23" s="76"/>
    </row>
    <row r="24" spans="1:43">
      <c r="A24" s="8">
        <v>64</v>
      </c>
      <c r="B24" s="8" t="s">
        <v>73</v>
      </c>
      <c r="C24" s="8" t="s">
        <v>165</v>
      </c>
      <c r="D24" s="8" t="s">
        <v>42</v>
      </c>
      <c r="E24" s="24">
        <v>1</v>
      </c>
      <c r="F24" s="5">
        <v>1</v>
      </c>
      <c r="G24" s="5"/>
      <c r="H24" s="5"/>
      <c r="I24" s="5"/>
      <c r="J24" s="5"/>
      <c r="K24" s="5"/>
      <c r="L24" s="25"/>
      <c r="M24" s="24"/>
      <c r="N24" s="5"/>
      <c r="O24" s="5"/>
      <c r="P24" s="5"/>
      <c r="Q24" s="5"/>
      <c r="R24" s="5"/>
      <c r="S24" s="5"/>
      <c r="T24" s="25">
        <v>1</v>
      </c>
      <c r="U24" s="5"/>
      <c r="V24" s="5"/>
      <c r="W24" s="5"/>
      <c r="X24" s="5"/>
      <c r="Y24" s="5"/>
      <c r="Z24" s="5"/>
      <c r="AA24" s="5"/>
      <c r="AB24" s="5"/>
      <c r="AC24" s="24"/>
      <c r="AD24" s="5"/>
      <c r="AE24" s="5"/>
      <c r="AF24" s="5"/>
      <c r="AG24" s="5"/>
      <c r="AH24" s="5"/>
      <c r="AI24" s="5"/>
      <c r="AJ24" s="25"/>
      <c r="AK24">
        <v>64</v>
      </c>
      <c r="AM24">
        <v>1</v>
      </c>
      <c r="AO24" s="67">
        <f t="shared" si="1"/>
        <v>3</v>
      </c>
      <c r="AP24">
        <v>31</v>
      </c>
      <c r="AQ24" s="76">
        <f t="shared" si="0"/>
        <v>9.6774193548387094E-2</v>
      </c>
    </row>
    <row r="25" spans="1:43">
      <c r="A25" s="8">
        <v>65</v>
      </c>
      <c r="B25" s="8" t="s">
        <v>74</v>
      </c>
      <c r="C25" s="8" t="s">
        <v>346</v>
      </c>
      <c r="D25" s="8" t="s">
        <v>15</v>
      </c>
      <c r="E25" s="24"/>
      <c r="F25" s="5"/>
      <c r="G25" s="5"/>
      <c r="H25" s="5"/>
      <c r="I25" s="5"/>
      <c r="J25" s="5"/>
      <c r="K25" s="5"/>
      <c r="L25" s="25"/>
      <c r="M25" s="24"/>
      <c r="N25" s="5"/>
      <c r="O25" s="5"/>
      <c r="P25" s="5"/>
      <c r="Q25" s="5"/>
      <c r="R25" s="5"/>
      <c r="S25" s="5"/>
      <c r="T25" s="25"/>
      <c r="U25" s="5"/>
      <c r="V25" s="5"/>
      <c r="W25" s="5"/>
      <c r="X25" s="5"/>
      <c r="Y25" s="5"/>
      <c r="Z25" s="5"/>
      <c r="AA25" s="5"/>
      <c r="AB25" s="5"/>
      <c r="AC25" s="24"/>
      <c r="AD25" s="5"/>
      <c r="AE25" s="5"/>
      <c r="AF25" s="5"/>
      <c r="AG25" s="5"/>
      <c r="AH25" s="5"/>
      <c r="AI25" s="5"/>
      <c r="AJ25" s="25"/>
      <c r="AK25">
        <v>65</v>
      </c>
      <c r="AL25">
        <v>1</v>
      </c>
      <c r="AO25" s="67"/>
      <c r="AP25">
        <v>9</v>
      </c>
      <c r="AQ25" s="76"/>
    </row>
    <row r="26" spans="1:43" s="8" customFormat="1">
      <c r="A26" s="8">
        <v>68</v>
      </c>
      <c r="B26" s="8" t="s">
        <v>65</v>
      </c>
      <c r="C26" s="8" t="s">
        <v>12</v>
      </c>
      <c r="D26" s="8" t="s">
        <v>42</v>
      </c>
      <c r="E26" s="24"/>
      <c r="F26" s="5"/>
      <c r="G26" s="5"/>
      <c r="H26" s="5"/>
      <c r="I26" s="5"/>
      <c r="J26" s="5"/>
      <c r="K26" s="5"/>
      <c r="L26" s="25"/>
      <c r="M26" s="24"/>
      <c r="N26" s="5"/>
      <c r="O26" s="5"/>
      <c r="P26" s="5"/>
      <c r="Q26" s="5"/>
      <c r="R26" s="5"/>
      <c r="S26" s="5"/>
      <c r="T26" s="25"/>
      <c r="U26" s="5"/>
      <c r="V26" s="5"/>
      <c r="W26" s="5">
        <v>1</v>
      </c>
      <c r="X26" s="5">
        <v>1</v>
      </c>
      <c r="Y26" s="5"/>
      <c r="Z26" s="5"/>
      <c r="AA26" s="5"/>
      <c r="AB26" s="5"/>
      <c r="AC26" s="24"/>
      <c r="AD26" s="5"/>
      <c r="AE26" s="5"/>
      <c r="AF26" s="5"/>
      <c r="AG26" s="5"/>
      <c r="AH26" s="5"/>
      <c r="AI26" s="5"/>
      <c r="AJ26" s="25"/>
      <c r="AK26" s="8">
        <v>68</v>
      </c>
      <c r="AM26" s="8">
        <v>1</v>
      </c>
      <c r="AO26" s="67">
        <f t="shared" si="1"/>
        <v>2</v>
      </c>
      <c r="AP26" s="8">
        <v>32</v>
      </c>
      <c r="AQ26" s="76">
        <f t="shared" si="0"/>
        <v>6.25E-2</v>
      </c>
    </row>
    <row r="27" spans="1:43">
      <c r="A27" s="8">
        <v>69</v>
      </c>
      <c r="B27" s="8" t="s">
        <v>78</v>
      </c>
      <c r="C27" s="8" t="s">
        <v>359</v>
      </c>
      <c r="D27" s="8" t="s">
        <v>15</v>
      </c>
      <c r="E27" s="24"/>
      <c r="F27" s="5"/>
      <c r="G27" s="5"/>
      <c r="H27" s="5"/>
      <c r="I27" s="5"/>
      <c r="J27" s="5"/>
      <c r="K27" s="5"/>
      <c r="L27" s="25"/>
      <c r="M27" s="24"/>
      <c r="N27" s="5"/>
      <c r="O27" s="5"/>
      <c r="P27" s="5"/>
      <c r="Q27" s="5"/>
      <c r="R27" s="5"/>
      <c r="S27" s="5"/>
      <c r="T27" s="25"/>
      <c r="U27" s="5"/>
      <c r="V27" s="5"/>
      <c r="W27" s="5"/>
      <c r="X27" s="5"/>
      <c r="Y27" s="5"/>
      <c r="Z27" s="5"/>
      <c r="AA27" s="5"/>
      <c r="AB27" s="5"/>
      <c r="AC27" s="24"/>
      <c r="AD27" s="5"/>
      <c r="AE27" s="5"/>
      <c r="AF27" s="5"/>
      <c r="AG27" s="5"/>
      <c r="AH27" s="5"/>
      <c r="AI27" s="5"/>
      <c r="AJ27" s="25"/>
      <c r="AK27">
        <v>69</v>
      </c>
      <c r="AL27">
        <v>1</v>
      </c>
      <c r="AO27" s="67"/>
      <c r="AP27">
        <v>23</v>
      </c>
      <c r="AQ27" s="76"/>
    </row>
    <row r="28" spans="1:43">
      <c r="A28" s="8">
        <v>70</v>
      </c>
      <c r="B28" s="8" t="s">
        <v>80</v>
      </c>
      <c r="C28" s="8" t="s">
        <v>346</v>
      </c>
      <c r="D28" s="8" t="s">
        <v>15</v>
      </c>
      <c r="E28" s="24"/>
      <c r="F28" s="5"/>
      <c r="G28" s="5"/>
      <c r="H28" s="5"/>
      <c r="I28" s="5"/>
      <c r="J28" s="5"/>
      <c r="K28" s="5"/>
      <c r="L28" s="25"/>
      <c r="M28" s="24"/>
      <c r="N28" s="5"/>
      <c r="O28" s="5"/>
      <c r="P28" s="5"/>
      <c r="Q28" s="5"/>
      <c r="R28" s="5"/>
      <c r="S28" s="5"/>
      <c r="T28" s="25"/>
      <c r="U28" s="5"/>
      <c r="V28" s="5"/>
      <c r="W28" s="5"/>
      <c r="X28" s="5"/>
      <c r="Y28" s="5"/>
      <c r="Z28" s="5"/>
      <c r="AA28" s="5"/>
      <c r="AB28" s="5"/>
      <c r="AC28" s="24"/>
      <c r="AD28" s="5"/>
      <c r="AE28" s="5"/>
      <c r="AF28" s="5"/>
      <c r="AG28" s="5"/>
      <c r="AH28" s="5"/>
      <c r="AI28" s="5"/>
      <c r="AJ28" s="25"/>
      <c r="AK28">
        <v>70</v>
      </c>
      <c r="AL28">
        <v>1</v>
      </c>
      <c r="AO28" s="67"/>
      <c r="AP28">
        <v>19</v>
      </c>
      <c r="AQ28" s="76"/>
    </row>
    <row r="29" spans="1:43">
      <c r="A29" s="8" t="s">
        <v>82</v>
      </c>
      <c r="B29" s="8" t="s">
        <v>55</v>
      </c>
      <c r="C29" s="8" t="s">
        <v>346</v>
      </c>
      <c r="D29" s="8" t="s">
        <v>15</v>
      </c>
      <c r="E29" s="24"/>
      <c r="F29" s="5"/>
      <c r="G29" s="5"/>
      <c r="H29" s="5"/>
      <c r="I29" s="5"/>
      <c r="J29" s="5"/>
      <c r="K29" s="5"/>
      <c r="L29" s="25"/>
      <c r="M29" s="24"/>
      <c r="N29" s="5"/>
      <c r="O29" s="5"/>
      <c r="P29" s="5"/>
      <c r="Q29" s="5"/>
      <c r="R29" s="5"/>
      <c r="S29" s="5"/>
      <c r="T29" s="25"/>
      <c r="U29" s="5"/>
      <c r="V29" s="5"/>
      <c r="W29" s="5"/>
      <c r="X29" s="5"/>
      <c r="Y29" s="5"/>
      <c r="Z29" s="5"/>
      <c r="AA29" s="5"/>
      <c r="AB29" s="5"/>
      <c r="AC29" s="24"/>
      <c r="AD29" s="5"/>
      <c r="AE29" s="5"/>
      <c r="AF29" s="5"/>
      <c r="AG29" s="5"/>
      <c r="AH29" s="5"/>
      <c r="AI29" s="5"/>
      <c r="AJ29" s="25"/>
      <c r="AK29" t="s">
        <v>82</v>
      </c>
      <c r="AL29">
        <v>1</v>
      </c>
      <c r="AO29" s="67"/>
      <c r="AP29">
        <v>20</v>
      </c>
      <c r="AQ29" s="76"/>
    </row>
    <row r="30" spans="1:43">
      <c r="A30" s="8">
        <v>72</v>
      </c>
      <c r="B30" s="8" t="s">
        <v>5</v>
      </c>
      <c r="C30" s="8" t="s">
        <v>42</v>
      </c>
      <c r="D30" s="8" t="s">
        <v>42</v>
      </c>
      <c r="E30" s="24"/>
      <c r="F30" s="5">
        <v>1</v>
      </c>
      <c r="G30" s="5"/>
      <c r="H30" s="5"/>
      <c r="I30" s="5">
        <v>1</v>
      </c>
      <c r="J30" s="5">
        <v>1</v>
      </c>
      <c r="K30" s="5"/>
      <c r="L30" s="25"/>
      <c r="M30" s="24"/>
      <c r="N30" s="5"/>
      <c r="O30" s="5"/>
      <c r="P30" s="5"/>
      <c r="Q30" s="5"/>
      <c r="R30" s="5"/>
      <c r="S30" s="5">
        <v>1</v>
      </c>
      <c r="T30" s="25"/>
      <c r="U30" s="5">
        <v>1</v>
      </c>
      <c r="V30" s="5">
        <v>1</v>
      </c>
      <c r="W30" s="5"/>
      <c r="X30" s="5"/>
      <c r="Y30" s="5"/>
      <c r="Z30" s="5"/>
      <c r="AA30" s="5"/>
      <c r="AB30" s="5"/>
      <c r="AC30" s="24"/>
      <c r="AD30" s="5"/>
      <c r="AE30" s="5"/>
      <c r="AF30" s="5"/>
      <c r="AG30" s="5"/>
      <c r="AH30" s="5"/>
      <c r="AI30" s="5"/>
      <c r="AJ30" s="25"/>
      <c r="AK30">
        <v>72</v>
      </c>
      <c r="AM30">
        <v>1</v>
      </c>
      <c r="AO30" s="67">
        <f t="shared" si="1"/>
        <v>6</v>
      </c>
      <c r="AP30">
        <v>28</v>
      </c>
      <c r="AQ30" s="76">
        <f t="shared" si="0"/>
        <v>0.21428571428571427</v>
      </c>
    </row>
    <row r="31" spans="1:43">
      <c r="A31" s="8">
        <v>73</v>
      </c>
      <c r="B31" s="8" t="s">
        <v>44</v>
      </c>
      <c r="C31" s="8" t="s">
        <v>349</v>
      </c>
      <c r="D31" s="8" t="s">
        <v>6</v>
      </c>
      <c r="E31" s="24"/>
      <c r="F31" s="5"/>
      <c r="G31" s="5"/>
      <c r="H31" s="5"/>
      <c r="I31" s="5"/>
      <c r="J31" s="5"/>
      <c r="K31" s="5"/>
      <c r="L31" s="25"/>
      <c r="M31" s="24"/>
      <c r="N31" s="5"/>
      <c r="O31" s="5"/>
      <c r="P31" s="5"/>
      <c r="Q31" s="5"/>
      <c r="R31" s="5"/>
      <c r="S31" s="5"/>
      <c r="T31" s="25"/>
      <c r="U31" s="5"/>
      <c r="V31" s="5"/>
      <c r="W31" s="5"/>
      <c r="X31" s="5"/>
      <c r="Y31" s="5"/>
      <c r="Z31" s="5"/>
      <c r="AA31" s="5"/>
      <c r="AB31" s="5"/>
      <c r="AC31" s="24"/>
      <c r="AD31" s="5"/>
      <c r="AE31" s="5"/>
      <c r="AF31" s="5"/>
      <c r="AG31" s="5"/>
      <c r="AH31" s="5"/>
      <c r="AI31" s="5"/>
      <c r="AJ31" s="25"/>
      <c r="AK31">
        <v>73</v>
      </c>
      <c r="AL31">
        <v>1</v>
      </c>
      <c r="AO31" s="67"/>
      <c r="AP31">
        <v>7</v>
      </c>
      <c r="AQ31" s="76"/>
    </row>
    <row r="32" spans="1:43">
      <c r="A32" s="8">
        <v>74</v>
      </c>
      <c r="B32" s="8" t="s">
        <v>88</v>
      </c>
      <c r="C32" s="8" t="s">
        <v>12</v>
      </c>
      <c r="D32" s="8" t="s">
        <v>6</v>
      </c>
      <c r="E32" s="24"/>
      <c r="F32" s="5"/>
      <c r="G32" s="5"/>
      <c r="H32" s="5"/>
      <c r="I32" s="5"/>
      <c r="J32" s="5"/>
      <c r="K32" s="5"/>
      <c r="L32" s="25"/>
      <c r="M32" s="24"/>
      <c r="N32" s="5"/>
      <c r="O32" s="5"/>
      <c r="P32" s="5"/>
      <c r="Q32" s="5"/>
      <c r="R32" s="5"/>
      <c r="S32" s="5"/>
      <c r="T32" s="25"/>
      <c r="U32" s="5">
        <v>1</v>
      </c>
      <c r="V32" s="5">
        <v>1</v>
      </c>
      <c r="W32" s="5"/>
      <c r="X32" s="5"/>
      <c r="Y32" s="5"/>
      <c r="Z32" s="5"/>
      <c r="AA32" s="5"/>
      <c r="AB32" s="5"/>
      <c r="AC32" s="24"/>
      <c r="AD32" s="5"/>
      <c r="AE32" s="5"/>
      <c r="AF32" s="5"/>
      <c r="AG32" s="5"/>
      <c r="AH32" s="5"/>
      <c r="AI32" s="5"/>
      <c r="AJ32" s="25"/>
      <c r="AK32">
        <v>74</v>
      </c>
      <c r="AM32">
        <v>1</v>
      </c>
      <c r="AO32" s="67">
        <f t="shared" si="1"/>
        <v>2</v>
      </c>
      <c r="AP32">
        <v>31</v>
      </c>
      <c r="AQ32" s="76">
        <f t="shared" si="0"/>
        <v>6.4516129032258063E-2</v>
      </c>
    </row>
    <row r="33" spans="1:43">
      <c r="A33" s="8">
        <v>76</v>
      </c>
      <c r="B33" s="8" t="s">
        <v>73</v>
      </c>
      <c r="C33" s="8" t="s">
        <v>165</v>
      </c>
      <c r="D33" s="8" t="s">
        <v>42</v>
      </c>
      <c r="E33" s="24"/>
      <c r="F33" s="5"/>
      <c r="G33" s="5">
        <v>1</v>
      </c>
      <c r="H33" s="5"/>
      <c r="I33" s="5"/>
      <c r="J33" s="5"/>
      <c r="K33" s="5"/>
      <c r="L33" s="25"/>
      <c r="M33" s="24"/>
      <c r="N33" s="5"/>
      <c r="O33" s="5"/>
      <c r="P33" s="5"/>
      <c r="Q33" s="5"/>
      <c r="R33" s="5">
        <v>1</v>
      </c>
      <c r="S33" s="5"/>
      <c r="T33" s="25"/>
      <c r="U33" s="5"/>
      <c r="V33" s="5">
        <v>1</v>
      </c>
      <c r="W33" s="5">
        <v>1</v>
      </c>
      <c r="X33" s="5"/>
      <c r="Y33" s="5"/>
      <c r="Z33" s="5"/>
      <c r="AA33" s="5"/>
      <c r="AB33" s="5"/>
      <c r="AC33" s="24"/>
      <c r="AD33" s="5"/>
      <c r="AE33" s="5"/>
      <c r="AF33" s="5"/>
      <c r="AG33" s="5">
        <v>1</v>
      </c>
      <c r="AH33" s="5"/>
      <c r="AI33" s="5">
        <v>1</v>
      </c>
      <c r="AJ33" s="25"/>
      <c r="AK33">
        <v>76</v>
      </c>
      <c r="AM33">
        <v>1</v>
      </c>
      <c r="AO33" s="67">
        <f t="shared" si="1"/>
        <v>6</v>
      </c>
      <c r="AP33">
        <v>31</v>
      </c>
      <c r="AQ33" s="76">
        <f t="shared" si="0"/>
        <v>0.19354838709677419</v>
      </c>
    </row>
    <row r="34" spans="1:43">
      <c r="A34" s="8">
        <v>77</v>
      </c>
      <c r="B34" s="8" t="s">
        <v>78</v>
      </c>
      <c r="C34" s="8" t="s">
        <v>359</v>
      </c>
      <c r="D34" s="8" t="s">
        <v>15</v>
      </c>
      <c r="E34" s="24"/>
      <c r="F34" s="5"/>
      <c r="G34" s="5"/>
      <c r="H34" s="5"/>
      <c r="I34" s="5"/>
      <c r="J34" s="5"/>
      <c r="K34" s="5"/>
      <c r="L34" s="25"/>
      <c r="M34" s="24"/>
      <c r="N34" s="5"/>
      <c r="O34" s="5"/>
      <c r="P34" s="5"/>
      <c r="Q34" s="5"/>
      <c r="R34" s="5"/>
      <c r="S34" s="5"/>
      <c r="T34" s="25"/>
      <c r="U34" s="5"/>
      <c r="V34" s="5"/>
      <c r="W34" s="5"/>
      <c r="X34" s="5"/>
      <c r="Y34" s="5"/>
      <c r="Z34" s="5"/>
      <c r="AA34" s="5"/>
      <c r="AB34" s="5"/>
      <c r="AC34" s="24"/>
      <c r="AD34" s="5"/>
      <c r="AE34" s="5"/>
      <c r="AF34" s="5"/>
      <c r="AG34" s="5"/>
      <c r="AH34" s="5"/>
      <c r="AI34" s="5"/>
      <c r="AJ34" s="25"/>
      <c r="AK34">
        <v>77</v>
      </c>
      <c r="AL34">
        <v>1</v>
      </c>
      <c r="AO34" s="67"/>
      <c r="AP34">
        <v>22</v>
      </c>
      <c r="AQ34" s="76"/>
    </row>
    <row r="35" spans="1:43">
      <c r="A35" s="8">
        <v>79</v>
      </c>
      <c r="B35" s="8" t="s">
        <v>71</v>
      </c>
      <c r="C35" s="8" t="s">
        <v>366</v>
      </c>
      <c r="D35" s="8" t="s">
        <v>42</v>
      </c>
      <c r="E35" s="24"/>
      <c r="F35" s="5"/>
      <c r="G35" s="5">
        <v>1</v>
      </c>
      <c r="H35" s="5"/>
      <c r="I35" s="5"/>
      <c r="J35" s="5"/>
      <c r="K35" s="5"/>
      <c r="L35" s="25"/>
      <c r="M35" s="24"/>
      <c r="N35" s="5"/>
      <c r="O35" s="5"/>
      <c r="P35" s="5"/>
      <c r="Q35" s="5"/>
      <c r="R35" s="5"/>
      <c r="S35" s="5"/>
      <c r="T35" s="25"/>
      <c r="U35" s="5"/>
      <c r="V35" s="5"/>
      <c r="W35" s="5"/>
      <c r="X35" s="5"/>
      <c r="Y35" s="5"/>
      <c r="Z35" s="5"/>
      <c r="AA35" s="5"/>
      <c r="AB35" s="5"/>
      <c r="AC35" s="24"/>
      <c r="AD35" s="5"/>
      <c r="AE35" s="5"/>
      <c r="AF35" s="5"/>
      <c r="AG35" s="5"/>
      <c r="AH35" s="5"/>
      <c r="AI35" s="5"/>
      <c r="AJ35" s="25"/>
      <c r="AK35">
        <v>79</v>
      </c>
      <c r="AM35">
        <v>1</v>
      </c>
      <c r="AO35" s="67">
        <f t="shared" si="1"/>
        <v>1</v>
      </c>
      <c r="AP35">
        <v>30</v>
      </c>
      <c r="AQ35" s="76">
        <f t="shared" si="0"/>
        <v>3.3333333333333333E-2</v>
      </c>
    </row>
    <row r="36" spans="1:43" s="8" customFormat="1">
      <c r="A36" s="8">
        <v>82</v>
      </c>
      <c r="B36" s="55" t="s">
        <v>56</v>
      </c>
      <c r="C36" s="8" t="s">
        <v>360</v>
      </c>
      <c r="D36" s="8" t="s">
        <v>15</v>
      </c>
      <c r="E36" s="24"/>
      <c r="F36" s="5"/>
      <c r="G36" s="5"/>
      <c r="H36" s="5"/>
      <c r="I36" s="5"/>
      <c r="J36" s="5"/>
      <c r="K36" s="5"/>
      <c r="L36" s="25"/>
      <c r="M36" s="24"/>
      <c r="N36" s="5"/>
      <c r="O36" s="5"/>
      <c r="P36" s="5"/>
      <c r="Q36" s="5"/>
      <c r="R36" s="5"/>
      <c r="S36" s="5"/>
      <c r="T36" s="25"/>
      <c r="U36" s="5"/>
      <c r="V36" s="5"/>
      <c r="W36" s="5"/>
      <c r="X36" s="5"/>
      <c r="Y36" s="5"/>
      <c r="Z36" s="5"/>
      <c r="AA36" s="5"/>
      <c r="AB36" s="5"/>
      <c r="AC36" s="24"/>
      <c r="AD36" s="5"/>
      <c r="AE36" s="5"/>
      <c r="AF36" s="5"/>
      <c r="AG36" s="5"/>
      <c r="AH36" s="5"/>
      <c r="AI36" s="5"/>
      <c r="AJ36" s="25"/>
      <c r="AK36" s="8">
        <v>82</v>
      </c>
      <c r="AL36" s="8">
        <v>1</v>
      </c>
      <c r="AO36" s="67"/>
      <c r="AP36" s="8">
        <v>3</v>
      </c>
      <c r="AQ36" s="76"/>
    </row>
    <row r="37" spans="1:43">
      <c r="A37" s="8">
        <v>85</v>
      </c>
      <c r="B37" s="8" t="s">
        <v>93</v>
      </c>
      <c r="C37" s="8" t="s">
        <v>12</v>
      </c>
      <c r="D37" s="8" t="s">
        <v>6</v>
      </c>
      <c r="E37" s="24"/>
      <c r="F37" s="5"/>
      <c r="G37" s="5"/>
      <c r="H37" s="5"/>
      <c r="I37" s="5"/>
      <c r="J37" s="5"/>
      <c r="K37" s="5"/>
      <c r="L37" s="25"/>
      <c r="M37" s="24"/>
      <c r="N37" s="5"/>
      <c r="O37" s="5"/>
      <c r="P37" s="5"/>
      <c r="Q37" s="5"/>
      <c r="R37" s="5"/>
      <c r="S37" s="5"/>
      <c r="T37" s="25"/>
      <c r="U37" s="5"/>
      <c r="V37" s="5"/>
      <c r="W37" s="5"/>
      <c r="X37" s="5"/>
      <c r="Y37" s="5"/>
      <c r="Z37" s="5"/>
      <c r="AA37" s="5"/>
      <c r="AB37" s="5"/>
      <c r="AC37" s="24"/>
      <c r="AD37" s="5"/>
      <c r="AE37" s="5"/>
      <c r="AF37" s="5"/>
      <c r="AG37" s="5"/>
      <c r="AH37" s="5">
        <v>1</v>
      </c>
      <c r="AI37" s="5"/>
      <c r="AJ37" s="25"/>
      <c r="AK37">
        <v>85</v>
      </c>
      <c r="AM37">
        <v>1</v>
      </c>
      <c r="AO37" s="67">
        <f t="shared" si="1"/>
        <v>1</v>
      </c>
      <c r="AP37">
        <v>31</v>
      </c>
      <c r="AQ37" s="76">
        <f t="shared" si="0"/>
        <v>3.2258064516129031E-2</v>
      </c>
    </row>
    <row r="38" spans="1:43">
      <c r="A38" s="8">
        <v>86</v>
      </c>
      <c r="B38" s="8" t="s">
        <v>44</v>
      </c>
      <c r="C38" s="8" t="s">
        <v>349</v>
      </c>
      <c r="D38" s="8" t="s">
        <v>6</v>
      </c>
      <c r="E38" s="24"/>
      <c r="F38" s="5"/>
      <c r="G38" s="5"/>
      <c r="H38" s="5"/>
      <c r="I38" s="5">
        <v>1</v>
      </c>
      <c r="J38" s="5">
        <v>1</v>
      </c>
      <c r="K38" s="5"/>
      <c r="L38" s="25"/>
      <c r="M38" s="24"/>
      <c r="N38" s="5"/>
      <c r="O38" s="5"/>
      <c r="P38" s="5"/>
      <c r="Q38" s="5"/>
      <c r="R38" s="5"/>
      <c r="S38" s="5"/>
      <c r="T38" s="25"/>
      <c r="U38" s="5"/>
      <c r="V38" s="5"/>
      <c r="W38" s="5"/>
      <c r="X38" s="5"/>
      <c r="Y38" s="5"/>
      <c r="Z38" s="5"/>
      <c r="AA38" s="5"/>
      <c r="AB38" s="5"/>
      <c r="AC38" s="24"/>
      <c r="AD38" s="5"/>
      <c r="AE38" s="5"/>
      <c r="AF38" s="5"/>
      <c r="AG38" s="5">
        <v>1</v>
      </c>
      <c r="AH38" s="5"/>
      <c r="AI38" s="5"/>
      <c r="AJ38" s="25"/>
      <c r="AK38">
        <v>86</v>
      </c>
      <c r="AM38">
        <v>1</v>
      </c>
      <c r="AO38" s="67">
        <f t="shared" si="1"/>
        <v>3</v>
      </c>
      <c r="AP38">
        <v>23</v>
      </c>
      <c r="AQ38" s="76">
        <f t="shared" si="0"/>
        <v>0.13043478260869565</v>
      </c>
    </row>
    <row r="39" spans="1:43">
      <c r="A39" s="8">
        <v>88</v>
      </c>
      <c r="B39" s="8" t="s">
        <v>55</v>
      </c>
      <c r="C39" s="8" t="s">
        <v>346</v>
      </c>
      <c r="D39" s="8" t="s">
        <v>15</v>
      </c>
      <c r="E39" s="24"/>
      <c r="F39" s="5"/>
      <c r="G39" s="5"/>
      <c r="H39" s="5"/>
      <c r="I39" s="5"/>
      <c r="J39" s="5"/>
      <c r="K39" s="5"/>
      <c r="L39" s="25"/>
      <c r="M39" s="24"/>
      <c r="N39" s="5"/>
      <c r="O39" s="5"/>
      <c r="P39" s="5"/>
      <c r="Q39" s="5"/>
      <c r="R39" s="5"/>
      <c r="S39" s="5"/>
      <c r="T39" s="25"/>
      <c r="U39" s="5"/>
      <c r="V39" s="5"/>
      <c r="W39" s="5"/>
      <c r="X39" s="5"/>
      <c r="Y39" s="5"/>
      <c r="Z39" s="5"/>
      <c r="AA39" s="5"/>
      <c r="AB39" s="5"/>
      <c r="AC39" s="24"/>
      <c r="AD39" s="5"/>
      <c r="AE39" s="5"/>
      <c r="AF39" s="5"/>
      <c r="AG39" s="5"/>
      <c r="AH39" s="5"/>
      <c r="AI39" s="5"/>
      <c r="AJ39" s="25"/>
      <c r="AK39">
        <v>88</v>
      </c>
      <c r="AL39">
        <v>1</v>
      </c>
      <c r="AO39" s="67"/>
      <c r="AP39">
        <v>20</v>
      </c>
      <c r="AQ39" s="76"/>
    </row>
    <row r="40" spans="1:43">
      <c r="A40" s="8">
        <v>93</v>
      </c>
      <c r="B40" s="8" t="s">
        <v>63</v>
      </c>
      <c r="C40" s="8" t="s">
        <v>346</v>
      </c>
      <c r="D40" s="8" t="s">
        <v>15</v>
      </c>
      <c r="E40" s="24"/>
      <c r="F40" s="5"/>
      <c r="G40" s="5"/>
      <c r="H40" s="5"/>
      <c r="I40" s="5"/>
      <c r="J40" s="5"/>
      <c r="K40" s="5"/>
      <c r="L40" s="25"/>
      <c r="M40" s="24"/>
      <c r="N40" s="5"/>
      <c r="O40" s="5"/>
      <c r="P40" s="5"/>
      <c r="Q40" s="5"/>
      <c r="R40" s="5"/>
      <c r="S40" s="5"/>
      <c r="T40" s="25"/>
      <c r="U40" s="5"/>
      <c r="V40" s="5"/>
      <c r="W40" s="5"/>
      <c r="X40" s="5"/>
      <c r="Y40" s="5"/>
      <c r="Z40" s="5"/>
      <c r="AA40" s="5"/>
      <c r="AB40" s="5"/>
      <c r="AC40" s="24"/>
      <c r="AD40" s="5"/>
      <c r="AE40" s="5"/>
      <c r="AF40" s="5"/>
      <c r="AG40" s="5"/>
      <c r="AH40" s="5"/>
      <c r="AI40" s="5"/>
      <c r="AJ40" s="25"/>
      <c r="AK40">
        <v>93</v>
      </c>
      <c r="AL40">
        <v>1</v>
      </c>
      <c r="AO40" s="67"/>
      <c r="AP40">
        <v>10</v>
      </c>
      <c r="AQ40" s="76"/>
    </row>
    <row r="41" spans="1:43">
      <c r="A41" s="8">
        <v>95</v>
      </c>
      <c r="B41" s="8" t="s">
        <v>53</v>
      </c>
      <c r="C41" s="8" t="s">
        <v>346</v>
      </c>
      <c r="D41" s="8" t="s">
        <v>15</v>
      </c>
      <c r="E41" s="24"/>
      <c r="F41" s="5"/>
      <c r="G41" s="5"/>
      <c r="H41" s="5"/>
      <c r="I41" s="5">
        <v>1</v>
      </c>
      <c r="J41" s="5"/>
      <c r="K41" s="5"/>
      <c r="L41" s="25"/>
      <c r="M41" s="24"/>
      <c r="N41" s="5"/>
      <c r="O41" s="5"/>
      <c r="P41" s="5">
        <v>1</v>
      </c>
      <c r="Q41" s="5"/>
      <c r="R41" s="5"/>
      <c r="S41" s="5"/>
      <c r="T41" s="25"/>
      <c r="U41" s="5"/>
      <c r="V41" s="5"/>
      <c r="W41" s="5"/>
      <c r="X41" s="5"/>
      <c r="Y41" s="5"/>
      <c r="Z41" s="5"/>
      <c r="AA41" s="5"/>
      <c r="AB41" s="5"/>
      <c r="AC41" s="24"/>
      <c r="AD41" s="5"/>
      <c r="AE41" s="5"/>
      <c r="AF41" s="5"/>
      <c r="AG41" s="5"/>
      <c r="AH41" s="5"/>
      <c r="AI41" s="5"/>
      <c r="AJ41" s="25"/>
      <c r="AK41">
        <v>95</v>
      </c>
      <c r="AM41">
        <v>1</v>
      </c>
      <c r="AO41" s="67">
        <f t="shared" si="1"/>
        <v>2</v>
      </c>
      <c r="AP41">
        <v>23</v>
      </c>
      <c r="AQ41" s="76">
        <f t="shared" si="0"/>
        <v>8.6956521739130432E-2</v>
      </c>
    </row>
    <row r="42" spans="1:43">
      <c r="A42" s="8">
        <v>97</v>
      </c>
      <c r="B42" s="8" t="s">
        <v>44</v>
      </c>
      <c r="C42" s="8" t="s">
        <v>349</v>
      </c>
      <c r="D42" s="8" t="s">
        <v>42</v>
      </c>
      <c r="E42" s="24"/>
      <c r="F42" s="5"/>
      <c r="G42" s="5"/>
      <c r="H42" s="5"/>
      <c r="I42" s="5"/>
      <c r="J42" s="5"/>
      <c r="K42" s="5"/>
      <c r="L42" s="25"/>
      <c r="M42" s="24"/>
      <c r="N42" s="5"/>
      <c r="O42" s="5"/>
      <c r="P42" s="5"/>
      <c r="Q42" s="5"/>
      <c r="R42" s="5">
        <v>1</v>
      </c>
      <c r="S42" s="5">
        <v>1</v>
      </c>
      <c r="T42" s="25"/>
      <c r="U42" s="5"/>
      <c r="V42" s="5"/>
      <c r="W42" s="5"/>
      <c r="X42" s="5"/>
      <c r="Y42" s="5"/>
      <c r="Z42" s="5"/>
      <c r="AA42" s="5"/>
      <c r="AB42" s="5"/>
      <c r="AC42" s="24"/>
      <c r="AD42" s="5"/>
      <c r="AE42" s="5"/>
      <c r="AF42" s="5"/>
      <c r="AG42" s="5"/>
      <c r="AH42" s="5"/>
      <c r="AI42" s="5"/>
      <c r="AJ42" s="25"/>
      <c r="AK42">
        <v>97</v>
      </c>
      <c r="AM42">
        <v>1</v>
      </c>
      <c r="AO42" s="67">
        <f t="shared" si="1"/>
        <v>2</v>
      </c>
      <c r="AP42">
        <v>27</v>
      </c>
      <c r="AQ42" s="76">
        <f t="shared" si="0"/>
        <v>7.407407407407407E-2</v>
      </c>
    </row>
    <row r="43" spans="1:43">
      <c r="A43" s="8">
        <v>98</v>
      </c>
      <c r="B43" s="8" t="s">
        <v>62</v>
      </c>
      <c r="C43" s="8" t="s">
        <v>42</v>
      </c>
      <c r="D43" s="8" t="s">
        <v>42</v>
      </c>
      <c r="E43" s="24"/>
      <c r="F43" s="5"/>
      <c r="G43" s="5"/>
      <c r="H43" s="5"/>
      <c r="I43" s="5"/>
      <c r="J43" s="5"/>
      <c r="K43" s="5"/>
      <c r="L43" s="25"/>
      <c r="M43" s="24"/>
      <c r="N43" s="5"/>
      <c r="O43" s="5"/>
      <c r="P43" s="5"/>
      <c r="Q43" s="5"/>
      <c r="R43" s="5"/>
      <c r="S43" s="5"/>
      <c r="T43" s="25"/>
      <c r="U43" s="5"/>
      <c r="V43" s="5"/>
      <c r="W43" s="5"/>
      <c r="X43" s="5"/>
      <c r="Y43" s="5"/>
      <c r="Z43" s="5"/>
      <c r="AA43" s="5"/>
      <c r="AB43" s="5"/>
      <c r="AC43" s="24"/>
      <c r="AD43" s="5"/>
      <c r="AE43" s="5"/>
      <c r="AF43" s="5"/>
      <c r="AG43" s="5"/>
      <c r="AH43" s="5">
        <v>1</v>
      </c>
      <c r="AI43" s="5"/>
      <c r="AJ43" s="25">
        <v>1</v>
      </c>
      <c r="AK43">
        <v>98</v>
      </c>
      <c r="AM43">
        <v>1</v>
      </c>
      <c r="AO43" s="67">
        <f t="shared" si="1"/>
        <v>2</v>
      </c>
      <c r="AP43">
        <v>10</v>
      </c>
      <c r="AQ43" s="76">
        <f t="shared" si="0"/>
        <v>0.2</v>
      </c>
    </row>
    <row r="44" spans="1:43">
      <c r="A44" s="8">
        <v>100</v>
      </c>
      <c r="B44" s="8" t="s">
        <v>62</v>
      </c>
      <c r="C44" s="8" t="s">
        <v>42</v>
      </c>
      <c r="D44" s="8" t="s">
        <v>42</v>
      </c>
      <c r="E44" s="24">
        <v>1</v>
      </c>
      <c r="F44" s="5">
        <v>1</v>
      </c>
      <c r="G44" s="5"/>
      <c r="H44" s="5"/>
      <c r="I44" s="5"/>
      <c r="J44" s="5"/>
      <c r="K44" s="5"/>
      <c r="L44" s="25"/>
      <c r="M44" s="24"/>
      <c r="N44" s="5"/>
      <c r="O44" s="5"/>
      <c r="P44" s="5"/>
      <c r="Q44" s="5"/>
      <c r="R44" s="5"/>
      <c r="S44" s="5">
        <v>1</v>
      </c>
      <c r="T44" s="25">
        <v>1</v>
      </c>
      <c r="U44" s="5"/>
      <c r="V44" s="5"/>
      <c r="W44" s="5">
        <v>1</v>
      </c>
      <c r="X44" s="5"/>
      <c r="Y44" s="5"/>
      <c r="Z44" s="5"/>
      <c r="AA44" s="5"/>
      <c r="AB44" s="5"/>
      <c r="AC44" s="24"/>
      <c r="AD44" s="5"/>
      <c r="AE44" s="5"/>
      <c r="AF44" s="5"/>
      <c r="AG44" s="5"/>
      <c r="AH44" s="5">
        <v>1</v>
      </c>
      <c r="AI44" s="5">
        <v>1</v>
      </c>
      <c r="AJ44" s="25">
        <v>1</v>
      </c>
      <c r="AK44">
        <v>100</v>
      </c>
      <c r="AM44">
        <v>1</v>
      </c>
      <c r="AO44" s="67">
        <f t="shared" si="1"/>
        <v>8</v>
      </c>
      <c r="AP44">
        <v>32</v>
      </c>
      <c r="AQ44" s="76">
        <f t="shared" si="0"/>
        <v>0.25</v>
      </c>
    </row>
    <row r="45" spans="1:43">
      <c r="A45" s="8">
        <v>104</v>
      </c>
      <c r="B45" s="8" t="s">
        <v>106</v>
      </c>
      <c r="C45" s="8" t="s">
        <v>349</v>
      </c>
      <c r="D45" s="8" t="s">
        <v>42</v>
      </c>
      <c r="E45" s="24"/>
      <c r="F45" s="5"/>
      <c r="G45" s="5"/>
      <c r="H45" s="5">
        <v>1</v>
      </c>
      <c r="I45" s="5"/>
      <c r="J45" s="5"/>
      <c r="K45" s="5"/>
      <c r="L45" s="25"/>
      <c r="M45" s="24"/>
      <c r="N45" s="5"/>
      <c r="O45" s="5"/>
      <c r="P45" s="5">
        <v>1</v>
      </c>
      <c r="Q45" s="5"/>
      <c r="R45" s="5"/>
      <c r="S45" s="5"/>
      <c r="T45" s="25"/>
      <c r="U45" s="5"/>
      <c r="V45" s="5"/>
      <c r="W45" s="5"/>
      <c r="X45" s="5"/>
      <c r="Y45" s="5"/>
      <c r="Z45" s="5"/>
      <c r="AA45" s="5"/>
      <c r="AB45" s="5"/>
      <c r="AC45" s="24"/>
      <c r="AD45" s="5"/>
      <c r="AE45" s="5"/>
      <c r="AF45" s="5"/>
      <c r="AG45" s="5"/>
      <c r="AH45" s="5"/>
      <c r="AI45" s="5"/>
      <c r="AJ45" s="25">
        <v>1</v>
      </c>
      <c r="AK45">
        <v>104</v>
      </c>
      <c r="AM45">
        <v>1</v>
      </c>
      <c r="AO45" s="67">
        <f t="shared" si="1"/>
        <v>3</v>
      </c>
      <c r="AP45">
        <v>18</v>
      </c>
      <c r="AQ45" s="76">
        <f t="shared" si="0"/>
        <v>0.16666666666666666</v>
      </c>
    </row>
    <row r="46" spans="1:43">
      <c r="A46" s="8">
        <v>105</v>
      </c>
      <c r="B46" s="8" t="s">
        <v>55</v>
      </c>
      <c r="C46" s="8" t="s">
        <v>346</v>
      </c>
      <c r="D46" s="8" t="s">
        <v>15</v>
      </c>
      <c r="E46" s="24"/>
      <c r="F46" s="5"/>
      <c r="G46" s="5"/>
      <c r="H46" s="5"/>
      <c r="I46" s="5"/>
      <c r="J46" s="5"/>
      <c r="K46" s="5"/>
      <c r="L46" s="25"/>
      <c r="M46" s="24"/>
      <c r="N46" s="5"/>
      <c r="O46" s="5"/>
      <c r="P46" s="5"/>
      <c r="Q46" s="5"/>
      <c r="R46" s="5"/>
      <c r="S46" s="5"/>
      <c r="T46" s="25"/>
      <c r="U46" s="5"/>
      <c r="V46" s="5"/>
      <c r="W46" s="5"/>
      <c r="X46" s="5"/>
      <c r="Y46" s="5"/>
      <c r="Z46" s="5"/>
      <c r="AA46" s="5"/>
      <c r="AB46" s="5"/>
      <c r="AC46" s="24"/>
      <c r="AD46" s="5"/>
      <c r="AE46" s="5"/>
      <c r="AF46" s="5"/>
      <c r="AG46" s="5"/>
      <c r="AH46" s="5"/>
      <c r="AI46" s="5"/>
      <c r="AJ46" s="25"/>
      <c r="AK46">
        <v>105</v>
      </c>
      <c r="AL46">
        <v>1</v>
      </c>
      <c r="AO46" s="67"/>
      <c r="AP46">
        <v>20</v>
      </c>
      <c r="AQ46" s="76"/>
    </row>
    <row r="47" spans="1:43">
      <c r="A47" s="8">
        <v>106</v>
      </c>
      <c r="B47" s="8" t="s">
        <v>55</v>
      </c>
      <c r="C47" s="8" t="s">
        <v>346</v>
      </c>
      <c r="D47" s="8" t="s">
        <v>15</v>
      </c>
      <c r="E47" s="24"/>
      <c r="F47" s="5"/>
      <c r="G47" s="5"/>
      <c r="H47" s="5"/>
      <c r="I47" s="5"/>
      <c r="J47" s="5"/>
      <c r="K47" s="5"/>
      <c r="L47" s="25"/>
      <c r="M47" s="24"/>
      <c r="N47" s="5"/>
      <c r="O47" s="5"/>
      <c r="P47" s="5"/>
      <c r="Q47" s="5"/>
      <c r="R47" s="5"/>
      <c r="S47" s="5"/>
      <c r="T47" s="25"/>
      <c r="U47" s="5"/>
      <c r="V47" s="5"/>
      <c r="W47" s="5"/>
      <c r="X47" s="5"/>
      <c r="Y47" s="5"/>
      <c r="Z47" s="5"/>
      <c r="AA47" s="5"/>
      <c r="AB47" s="5"/>
      <c r="AC47" s="24"/>
      <c r="AD47" s="5"/>
      <c r="AE47" s="5"/>
      <c r="AF47" s="5"/>
      <c r="AG47" s="5"/>
      <c r="AH47" s="5"/>
      <c r="AI47" s="5"/>
      <c r="AJ47" s="25"/>
      <c r="AK47">
        <v>106</v>
      </c>
      <c r="AL47">
        <v>1</v>
      </c>
      <c r="AO47" s="67"/>
      <c r="AP47">
        <v>19</v>
      </c>
      <c r="AQ47" s="76"/>
    </row>
    <row r="48" spans="1:43">
      <c r="A48" s="8">
        <v>108</v>
      </c>
      <c r="B48" s="8" t="s">
        <v>99</v>
      </c>
      <c r="C48" s="8" t="s">
        <v>346</v>
      </c>
      <c r="D48" s="8" t="s">
        <v>15</v>
      </c>
      <c r="E48" s="24"/>
      <c r="F48" s="5"/>
      <c r="G48" s="5"/>
      <c r="H48" s="5"/>
      <c r="I48" s="5"/>
      <c r="J48" s="5"/>
      <c r="K48" s="5"/>
      <c r="L48" s="25"/>
      <c r="M48" s="24"/>
      <c r="N48" s="5"/>
      <c r="O48" s="5"/>
      <c r="P48" s="5"/>
      <c r="Q48" s="5"/>
      <c r="R48" s="5"/>
      <c r="S48" s="5"/>
      <c r="T48" s="25"/>
      <c r="U48" s="5"/>
      <c r="V48" s="5"/>
      <c r="W48" s="5"/>
      <c r="X48" s="5"/>
      <c r="Y48" s="5"/>
      <c r="Z48" s="5"/>
      <c r="AA48" s="5"/>
      <c r="AB48" s="5"/>
      <c r="AC48" s="24"/>
      <c r="AD48" s="5"/>
      <c r="AE48" s="5"/>
      <c r="AF48" s="5"/>
      <c r="AG48" s="5"/>
      <c r="AH48" s="5"/>
      <c r="AI48" s="5"/>
      <c r="AJ48" s="25"/>
      <c r="AK48">
        <v>108</v>
      </c>
      <c r="AL48">
        <v>1</v>
      </c>
      <c r="AO48" s="67"/>
      <c r="AP48">
        <v>17</v>
      </c>
      <c r="AQ48" s="76"/>
    </row>
    <row r="49" spans="1:43">
      <c r="A49" s="8">
        <v>109</v>
      </c>
      <c r="B49" s="8" t="s">
        <v>107</v>
      </c>
      <c r="C49" s="8" t="s">
        <v>358</v>
      </c>
      <c r="D49" s="8" t="s">
        <v>6</v>
      </c>
      <c r="E49" s="24"/>
      <c r="F49" s="5"/>
      <c r="G49" s="5"/>
      <c r="H49" s="5"/>
      <c r="I49" s="5"/>
      <c r="J49" s="5"/>
      <c r="K49" s="5"/>
      <c r="L49" s="25"/>
      <c r="M49" s="24"/>
      <c r="N49" s="5"/>
      <c r="O49" s="5"/>
      <c r="P49" s="5"/>
      <c r="Q49" s="5"/>
      <c r="R49" s="5"/>
      <c r="S49" s="5"/>
      <c r="T49" s="25"/>
      <c r="U49" s="5"/>
      <c r="V49" s="5"/>
      <c r="W49" s="5"/>
      <c r="X49" s="5"/>
      <c r="Y49" s="5"/>
      <c r="Z49" s="5"/>
      <c r="AA49" s="5"/>
      <c r="AB49" s="5"/>
      <c r="AC49" s="24"/>
      <c r="AD49" s="5"/>
      <c r="AE49" s="5"/>
      <c r="AF49" s="5"/>
      <c r="AG49" s="5"/>
      <c r="AH49" s="5"/>
      <c r="AI49" s="5"/>
      <c r="AJ49" s="25"/>
      <c r="AK49">
        <v>109</v>
      </c>
      <c r="AL49">
        <v>1</v>
      </c>
      <c r="AO49" s="67"/>
      <c r="AP49">
        <v>27</v>
      </c>
      <c r="AQ49" s="76"/>
    </row>
    <row r="50" spans="1:43">
      <c r="A50" s="8">
        <v>112</v>
      </c>
      <c r="B50" s="8" t="s">
        <v>62</v>
      </c>
      <c r="C50" s="8" t="s">
        <v>42</v>
      </c>
      <c r="D50" s="8" t="s">
        <v>42</v>
      </c>
      <c r="E50" s="24"/>
      <c r="F50" s="5"/>
      <c r="G50" s="5"/>
      <c r="H50" s="5"/>
      <c r="I50" s="5"/>
      <c r="J50" s="5"/>
      <c r="K50" s="5"/>
      <c r="L50" s="25"/>
      <c r="M50" s="24"/>
      <c r="N50" s="5"/>
      <c r="O50" s="5"/>
      <c r="P50" s="5"/>
      <c r="Q50" s="5"/>
      <c r="R50" s="5"/>
      <c r="S50" s="5"/>
      <c r="T50" s="25"/>
      <c r="U50" s="5"/>
      <c r="V50" s="5"/>
      <c r="W50" s="5"/>
      <c r="X50" s="5"/>
      <c r="Y50" s="5"/>
      <c r="Z50" s="5"/>
      <c r="AA50" s="5"/>
      <c r="AB50" s="5"/>
      <c r="AC50" s="24"/>
      <c r="AD50" s="5"/>
      <c r="AE50" s="5"/>
      <c r="AF50" s="5"/>
      <c r="AG50" s="5"/>
      <c r="AH50" s="5"/>
      <c r="AI50" s="5"/>
      <c r="AJ50" s="25"/>
      <c r="AK50">
        <v>112</v>
      </c>
      <c r="AL50">
        <v>1</v>
      </c>
      <c r="AO50" s="67"/>
      <c r="AP50">
        <v>25</v>
      </c>
      <c r="AQ50" s="76"/>
    </row>
    <row r="51" spans="1:43">
      <c r="A51" s="8">
        <v>115</v>
      </c>
      <c r="B51" s="8" t="s">
        <v>68</v>
      </c>
      <c r="C51" s="8" t="s">
        <v>357</v>
      </c>
      <c r="D51" s="8" t="s">
        <v>15</v>
      </c>
      <c r="E51" s="24"/>
      <c r="F51" s="5"/>
      <c r="G51" s="5"/>
      <c r="H51" s="5">
        <v>1</v>
      </c>
      <c r="I51" s="5"/>
      <c r="J51" s="5"/>
      <c r="K51" s="5"/>
      <c r="L51" s="25"/>
      <c r="M51" s="24"/>
      <c r="N51" s="5"/>
      <c r="O51" s="5"/>
      <c r="P51" s="5">
        <v>1</v>
      </c>
      <c r="Q51" s="5">
        <v>1</v>
      </c>
      <c r="R51" s="5"/>
      <c r="S51" s="5"/>
      <c r="T51" s="25"/>
      <c r="U51" s="5"/>
      <c r="V51" s="5"/>
      <c r="W51" s="5"/>
      <c r="X51" s="5"/>
      <c r="Y51" s="5"/>
      <c r="Z51" s="5"/>
      <c r="AA51" s="5"/>
      <c r="AB51" s="5"/>
      <c r="AC51" s="24"/>
      <c r="AD51" s="5"/>
      <c r="AE51" s="5"/>
      <c r="AF51" s="5"/>
      <c r="AG51" s="5"/>
      <c r="AH51" s="5"/>
      <c r="AI51" s="5"/>
      <c r="AJ51" s="25"/>
      <c r="AK51">
        <v>115</v>
      </c>
      <c r="AM51">
        <v>1</v>
      </c>
      <c r="AO51" s="67">
        <f t="shared" si="1"/>
        <v>3</v>
      </c>
      <c r="AP51">
        <v>22</v>
      </c>
      <c r="AQ51" s="76">
        <f t="shared" si="0"/>
        <v>0.13636363636363635</v>
      </c>
    </row>
    <row r="52" spans="1:43">
      <c r="A52" s="8">
        <v>116</v>
      </c>
      <c r="B52" s="8" t="s">
        <v>62</v>
      </c>
      <c r="C52" s="8" t="s">
        <v>42</v>
      </c>
      <c r="D52" s="8" t="s">
        <v>42</v>
      </c>
      <c r="E52" s="24"/>
      <c r="F52" s="5"/>
      <c r="G52" s="5"/>
      <c r="H52" s="5"/>
      <c r="I52" s="5"/>
      <c r="J52" s="5"/>
      <c r="K52" s="5"/>
      <c r="L52" s="25"/>
      <c r="M52" s="24"/>
      <c r="N52" s="5"/>
      <c r="O52" s="5"/>
      <c r="P52" s="5"/>
      <c r="Q52" s="5"/>
      <c r="R52" s="5"/>
      <c r="S52" s="5"/>
      <c r="T52" s="25"/>
      <c r="U52" s="5"/>
      <c r="V52" s="5"/>
      <c r="W52" s="5"/>
      <c r="X52" s="5"/>
      <c r="Y52" s="5"/>
      <c r="Z52" s="5"/>
      <c r="AA52" s="5"/>
      <c r="AB52" s="5"/>
      <c r="AC52" s="24"/>
      <c r="AD52" s="5"/>
      <c r="AE52" s="5"/>
      <c r="AF52" s="5"/>
      <c r="AG52" s="5"/>
      <c r="AH52" s="5"/>
      <c r="AI52" s="5"/>
      <c r="AJ52" s="25"/>
      <c r="AK52">
        <v>116</v>
      </c>
      <c r="AL52">
        <v>1</v>
      </c>
      <c r="AO52" s="67"/>
      <c r="AP52">
        <v>22</v>
      </c>
      <c r="AQ52" s="76"/>
    </row>
    <row r="53" spans="1:43">
      <c r="A53" s="8">
        <v>117</v>
      </c>
      <c r="B53" s="8" t="s">
        <v>55</v>
      </c>
      <c r="C53" s="8" t="s">
        <v>346</v>
      </c>
      <c r="D53" s="8" t="s">
        <v>15</v>
      </c>
      <c r="E53" s="24"/>
      <c r="F53" s="5"/>
      <c r="G53" s="5"/>
      <c r="H53" s="5"/>
      <c r="I53" s="5"/>
      <c r="J53" s="5"/>
      <c r="K53" s="5"/>
      <c r="L53" s="25"/>
      <c r="M53" s="24"/>
      <c r="N53" s="5"/>
      <c r="O53" s="5"/>
      <c r="P53" s="5"/>
      <c r="Q53" s="5"/>
      <c r="R53" s="5"/>
      <c r="S53" s="5"/>
      <c r="T53" s="25"/>
      <c r="U53" s="5"/>
      <c r="V53" s="5"/>
      <c r="W53" s="5"/>
      <c r="X53" s="5"/>
      <c r="Y53" s="5"/>
      <c r="Z53" s="5"/>
      <c r="AA53" s="5"/>
      <c r="AB53" s="5"/>
      <c r="AC53" s="24"/>
      <c r="AD53" s="5"/>
      <c r="AE53" s="5"/>
      <c r="AF53" s="5"/>
      <c r="AG53" s="5"/>
      <c r="AH53" s="5"/>
      <c r="AI53" s="5"/>
      <c r="AJ53" s="25"/>
      <c r="AK53">
        <v>117</v>
      </c>
      <c r="AL53">
        <v>1</v>
      </c>
      <c r="AO53" s="67"/>
      <c r="AP53">
        <v>19</v>
      </c>
      <c r="AQ53" s="76"/>
    </row>
    <row r="54" spans="1:43">
      <c r="A54" s="8">
        <v>120</v>
      </c>
      <c r="B54" s="8" t="s">
        <v>73</v>
      </c>
      <c r="C54" s="8" t="s">
        <v>165</v>
      </c>
      <c r="D54" s="8" t="s">
        <v>42</v>
      </c>
      <c r="E54" s="24"/>
      <c r="F54" s="5"/>
      <c r="G54" s="5"/>
      <c r="H54" s="5"/>
      <c r="I54" s="5"/>
      <c r="J54" s="5"/>
      <c r="K54" s="5"/>
      <c r="L54" s="25"/>
      <c r="M54" s="24"/>
      <c r="N54" s="5"/>
      <c r="O54" s="5"/>
      <c r="P54" s="5"/>
      <c r="Q54" s="5">
        <v>1</v>
      </c>
      <c r="R54" s="5"/>
      <c r="S54" s="5">
        <v>1</v>
      </c>
      <c r="T54" s="25">
        <v>1</v>
      </c>
      <c r="U54" s="5"/>
      <c r="V54" s="5"/>
      <c r="W54" s="5"/>
      <c r="X54" s="5"/>
      <c r="Y54" s="5"/>
      <c r="Z54" s="5"/>
      <c r="AA54" s="5"/>
      <c r="AB54" s="5"/>
      <c r="AC54" s="24"/>
      <c r="AD54" s="5"/>
      <c r="AE54" s="5"/>
      <c r="AF54" s="5"/>
      <c r="AG54" s="5"/>
      <c r="AH54" s="5"/>
      <c r="AI54" s="5"/>
      <c r="AJ54" s="25">
        <v>1</v>
      </c>
      <c r="AK54">
        <v>120</v>
      </c>
      <c r="AM54">
        <v>1</v>
      </c>
      <c r="AO54" s="67">
        <f t="shared" si="1"/>
        <v>4</v>
      </c>
      <c r="AP54">
        <v>18</v>
      </c>
      <c r="AQ54" s="76">
        <f t="shared" si="0"/>
        <v>0.22222222222222221</v>
      </c>
    </row>
    <row r="55" spans="1:43">
      <c r="A55" s="8">
        <v>121</v>
      </c>
      <c r="B55" s="8" t="s">
        <v>113</v>
      </c>
      <c r="C55" s="8" t="s">
        <v>357</v>
      </c>
      <c r="D55" s="8" t="s">
        <v>15</v>
      </c>
      <c r="E55" s="24"/>
      <c r="F55" s="5"/>
      <c r="G55" s="5"/>
      <c r="H55" s="5"/>
      <c r="I55" s="5"/>
      <c r="J55" s="5"/>
      <c r="K55" s="5"/>
      <c r="L55" s="25"/>
      <c r="M55" s="24"/>
      <c r="N55" s="5"/>
      <c r="O55" s="5"/>
      <c r="P55" s="5"/>
      <c r="Q55" s="5"/>
      <c r="R55" s="5"/>
      <c r="S55" s="5"/>
      <c r="T55" s="25"/>
      <c r="U55" s="5"/>
      <c r="V55" s="5"/>
      <c r="W55" s="5">
        <v>1</v>
      </c>
      <c r="X55" s="5"/>
      <c r="Y55" s="5"/>
      <c r="Z55" s="5"/>
      <c r="AA55" s="5"/>
      <c r="AB55" s="5"/>
      <c r="AC55" s="24"/>
      <c r="AD55" s="5"/>
      <c r="AE55" s="5"/>
      <c r="AF55" s="5"/>
      <c r="AG55" s="5"/>
      <c r="AH55" s="5">
        <v>1</v>
      </c>
      <c r="AI55" s="5"/>
      <c r="AJ55" s="25"/>
      <c r="AK55">
        <v>121</v>
      </c>
      <c r="AM55">
        <v>1</v>
      </c>
      <c r="AO55" s="67">
        <f t="shared" si="1"/>
        <v>2</v>
      </c>
      <c r="AP55">
        <v>28</v>
      </c>
      <c r="AQ55" s="76">
        <f t="shared" si="0"/>
        <v>7.1428571428571425E-2</v>
      </c>
    </row>
    <row r="56" spans="1:43">
      <c r="A56" s="8">
        <v>122</v>
      </c>
      <c r="B56" s="8" t="s">
        <v>115</v>
      </c>
      <c r="C56" s="8" t="s">
        <v>357</v>
      </c>
      <c r="D56" s="8" t="s">
        <v>6</v>
      </c>
      <c r="E56" s="24"/>
      <c r="F56" s="5"/>
      <c r="G56" s="5"/>
      <c r="H56" s="5"/>
      <c r="I56" s="5"/>
      <c r="J56" s="5"/>
      <c r="K56" s="5"/>
      <c r="L56" s="25"/>
      <c r="M56" s="24"/>
      <c r="N56" s="5"/>
      <c r="O56" s="5"/>
      <c r="P56" s="5"/>
      <c r="Q56" s="5"/>
      <c r="R56" s="5"/>
      <c r="S56" s="5"/>
      <c r="T56" s="25"/>
      <c r="U56" s="5"/>
      <c r="V56" s="5"/>
      <c r="W56" s="5"/>
      <c r="X56" s="5"/>
      <c r="Y56" s="5"/>
      <c r="Z56" s="5"/>
      <c r="AA56" s="5"/>
      <c r="AB56" s="5"/>
      <c r="AC56" s="24"/>
      <c r="AD56" s="5"/>
      <c r="AE56" s="5"/>
      <c r="AF56" s="5"/>
      <c r="AG56" s="5"/>
      <c r="AH56" s="5"/>
      <c r="AI56" s="5"/>
      <c r="AJ56" s="25"/>
      <c r="AK56">
        <v>122</v>
      </c>
      <c r="AL56">
        <v>1</v>
      </c>
      <c r="AO56" s="67"/>
      <c r="AP56">
        <v>28</v>
      </c>
      <c r="AQ56" s="76"/>
    </row>
    <row r="57" spans="1:43">
      <c r="A57" s="8">
        <v>125</v>
      </c>
      <c r="B57" s="8" t="s">
        <v>78</v>
      </c>
      <c r="C57" s="8" t="s">
        <v>359</v>
      </c>
      <c r="D57" s="8" t="s">
        <v>15</v>
      </c>
      <c r="E57" s="24"/>
      <c r="F57" s="5"/>
      <c r="G57" s="5"/>
      <c r="H57" s="5"/>
      <c r="I57" s="5"/>
      <c r="J57" s="5"/>
      <c r="K57" s="5"/>
      <c r="L57" s="25"/>
      <c r="M57" s="24"/>
      <c r="N57" s="5"/>
      <c r="O57" s="5"/>
      <c r="P57" s="5"/>
      <c r="Q57" s="5"/>
      <c r="R57" s="5"/>
      <c r="S57" s="5"/>
      <c r="T57" s="25"/>
      <c r="U57" s="5"/>
      <c r="V57" s="5"/>
      <c r="W57" s="5"/>
      <c r="X57" s="5"/>
      <c r="Y57" s="5"/>
      <c r="Z57" s="5"/>
      <c r="AA57" s="5"/>
      <c r="AB57" s="5"/>
      <c r="AC57" s="24"/>
      <c r="AD57" s="5"/>
      <c r="AE57" s="5"/>
      <c r="AF57" s="5"/>
      <c r="AG57" s="5"/>
      <c r="AH57" s="5"/>
      <c r="AI57" s="5"/>
      <c r="AJ57" s="25"/>
      <c r="AK57">
        <v>125</v>
      </c>
      <c r="AL57">
        <v>1</v>
      </c>
      <c r="AO57" s="67"/>
      <c r="AP57">
        <v>17</v>
      </c>
      <c r="AQ57" s="76"/>
    </row>
    <row r="58" spans="1:43">
      <c r="A58" s="8">
        <v>127</v>
      </c>
      <c r="B58" s="8" t="s">
        <v>62</v>
      </c>
      <c r="C58" s="8" t="s">
        <v>42</v>
      </c>
      <c r="D58" s="8" t="s">
        <v>42</v>
      </c>
      <c r="E58" s="24">
        <v>1</v>
      </c>
      <c r="F58" s="5">
        <v>1</v>
      </c>
      <c r="G58" s="5"/>
      <c r="H58" s="5"/>
      <c r="I58" s="5"/>
      <c r="J58" s="5"/>
      <c r="K58" s="5"/>
      <c r="L58" s="25"/>
      <c r="M58" s="24"/>
      <c r="N58" s="5"/>
      <c r="O58" s="5"/>
      <c r="P58" s="5"/>
      <c r="Q58" s="5"/>
      <c r="R58" s="5"/>
      <c r="S58" s="5">
        <v>1</v>
      </c>
      <c r="T58" s="25">
        <v>1</v>
      </c>
      <c r="U58" s="5"/>
      <c r="V58" s="5"/>
      <c r="W58" s="5"/>
      <c r="X58" s="5"/>
      <c r="Y58" s="5"/>
      <c r="Z58" s="5"/>
      <c r="AA58" s="5"/>
      <c r="AB58" s="5"/>
      <c r="AC58" s="24"/>
      <c r="AD58" s="5"/>
      <c r="AE58" s="5"/>
      <c r="AF58" s="5"/>
      <c r="AG58" s="5"/>
      <c r="AH58" s="5"/>
      <c r="AI58" s="5"/>
      <c r="AJ58" s="25"/>
      <c r="AK58">
        <v>127</v>
      </c>
      <c r="AM58">
        <v>1</v>
      </c>
      <c r="AO58" s="67">
        <f t="shared" si="1"/>
        <v>4</v>
      </c>
      <c r="AP58">
        <v>32</v>
      </c>
      <c r="AQ58" s="76">
        <f t="shared" si="0"/>
        <v>0.125</v>
      </c>
    </row>
    <row r="59" spans="1:43">
      <c r="A59" s="8">
        <v>129</v>
      </c>
      <c r="B59" s="8" t="s">
        <v>88</v>
      </c>
      <c r="C59" s="8" t="s">
        <v>12</v>
      </c>
      <c r="D59" s="8" t="s">
        <v>6</v>
      </c>
      <c r="E59" s="24"/>
      <c r="F59" s="5"/>
      <c r="G59" s="5"/>
      <c r="H59" s="5"/>
      <c r="I59" s="5"/>
      <c r="J59" s="5"/>
      <c r="K59" s="5"/>
      <c r="L59" s="25"/>
      <c r="M59" s="24"/>
      <c r="N59" s="5"/>
      <c r="O59" s="5"/>
      <c r="P59" s="5"/>
      <c r="Q59" s="5"/>
      <c r="R59" s="5"/>
      <c r="S59" s="5"/>
      <c r="T59" s="25"/>
      <c r="U59" s="5"/>
      <c r="V59" s="5"/>
      <c r="W59" s="5"/>
      <c r="X59" s="5"/>
      <c r="Y59" s="5"/>
      <c r="Z59" s="5"/>
      <c r="AA59" s="5"/>
      <c r="AB59" s="5"/>
      <c r="AC59" s="24"/>
      <c r="AD59" s="5"/>
      <c r="AE59" s="5"/>
      <c r="AF59" s="5"/>
      <c r="AG59" s="5"/>
      <c r="AH59" s="5"/>
      <c r="AI59" s="5"/>
      <c r="AJ59" s="25"/>
      <c r="AK59">
        <v>129</v>
      </c>
      <c r="AL59">
        <v>1</v>
      </c>
      <c r="AO59" s="67"/>
      <c r="AP59">
        <v>26</v>
      </c>
      <c r="AQ59" s="76"/>
    </row>
    <row r="60" spans="1:43">
      <c r="A60" s="8">
        <v>130</v>
      </c>
      <c r="B60" s="8" t="s">
        <v>41</v>
      </c>
      <c r="C60" s="8" t="s">
        <v>42</v>
      </c>
      <c r="D60" s="8" t="s">
        <v>42</v>
      </c>
      <c r="E60" s="24"/>
      <c r="F60" s="5"/>
      <c r="G60" s="5"/>
      <c r="H60" s="5"/>
      <c r="I60" s="5"/>
      <c r="J60" s="5"/>
      <c r="K60" s="5"/>
      <c r="L60" s="25"/>
      <c r="M60" s="24"/>
      <c r="N60" s="5"/>
      <c r="O60" s="5"/>
      <c r="P60" s="5"/>
      <c r="Q60" s="5"/>
      <c r="R60" s="5"/>
      <c r="S60" s="5"/>
      <c r="T60" s="25"/>
      <c r="U60" s="5"/>
      <c r="V60" s="5"/>
      <c r="W60" s="5"/>
      <c r="X60" s="5"/>
      <c r="Y60" s="5"/>
      <c r="Z60" s="5"/>
      <c r="AA60" s="5"/>
      <c r="AB60" s="5"/>
      <c r="AC60" s="24"/>
      <c r="AD60" s="5"/>
      <c r="AE60" s="5"/>
      <c r="AF60" s="5"/>
      <c r="AG60" s="5"/>
      <c r="AH60" s="5"/>
      <c r="AI60" s="5"/>
      <c r="AJ60" s="25"/>
      <c r="AK60">
        <v>130</v>
      </c>
      <c r="AL60">
        <v>1</v>
      </c>
      <c r="AO60" s="67"/>
      <c r="AP60">
        <v>30</v>
      </c>
      <c r="AQ60" s="76"/>
    </row>
    <row r="61" spans="1:43">
      <c r="A61" s="8">
        <v>131</v>
      </c>
      <c r="B61" s="8" t="s">
        <v>63</v>
      </c>
      <c r="C61" s="8" t="s">
        <v>346</v>
      </c>
      <c r="D61" s="8" t="s">
        <v>15</v>
      </c>
      <c r="E61" s="24"/>
      <c r="F61" s="5"/>
      <c r="G61" s="5"/>
      <c r="H61" s="5"/>
      <c r="I61" s="5"/>
      <c r="J61" s="5"/>
      <c r="K61" s="5"/>
      <c r="L61" s="25"/>
      <c r="M61" s="24"/>
      <c r="N61" s="5"/>
      <c r="O61" s="5"/>
      <c r="P61" s="5"/>
      <c r="Q61" s="5"/>
      <c r="R61" s="5"/>
      <c r="S61" s="5"/>
      <c r="T61" s="25"/>
      <c r="U61" s="5"/>
      <c r="V61" s="5"/>
      <c r="W61" s="5"/>
      <c r="X61" s="5"/>
      <c r="Y61" s="5"/>
      <c r="Z61" s="5"/>
      <c r="AA61" s="5"/>
      <c r="AB61" s="5"/>
      <c r="AC61" s="24"/>
      <c r="AD61" s="5"/>
      <c r="AE61" s="5"/>
      <c r="AF61" s="5"/>
      <c r="AG61" s="5"/>
      <c r="AH61" s="5"/>
      <c r="AI61" s="5"/>
      <c r="AJ61" s="25"/>
      <c r="AK61">
        <v>131</v>
      </c>
      <c r="AL61">
        <v>1</v>
      </c>
      <c r="AO61" s="67"/>
      <c r="AP61">
        <v>3</v>
      </c>
      <c r="AQ61" s="76"/>
    </row>
    <row r="62" spans="1:43">
      <c r="A62" s="8">
        <v>132</v>
      </c>
      <c r="B62" s="8" t="s">
        <v>99</v>
      </c>
      <c r="C62" s="8" t="s">
        <v>346</v>
      </c>
      <c r="D62" s="8" t="s">
        <v>15</v>
      </c>
      <c r="E62" s="24"/>
      <c r="F62" s="5"/>
      <c r="G62" s="5"/>
      <c r="H62" s="5"/>
      <c r="I62" s="5"/>
      <c r="J62" s="5"/>
      <c r="K62" s="5"/>
      <c r="L62" s="25"/>
      <c r="M62" s="24"/>
      <c r="N62" s="5"/>
      <c r="O62" s="5"/>
      <c r="P62" s="5"/>
      <c r="Q62" s="5"/>
      <c r="R62" s="5"/>
      <c r="S62" s="5"/>
      <c r="T62" s="25"/>
      <c r="U62" s="5"/>
      <c r="V62" s="5"/>
      <c r="W62" s="5"/>
      <c r="X62" s="5"/>
      <c r="Y62" s="5"/>
      <c r="Z62" s="5"/>
      <c r="AA62" s="5"/>
      <c r="AB62" s="5"/>
      <c r="AC62" s="24"/>
      <c r="AD62" s="5"/>
      <c r="AE62" s="5"/>
      <c r="AF62" s="5"/>
      <c r="AG62" s="5"/>
      <c r="AH62" s="5"/>
      <c r="AI62" s="5"/>
      <c r="AJ62" s="25"/>
      <c r="AK62">
        <v>132</v>
      </c>
      <c r="AL62">
        <v>1</v>
      </c>
      <c r="AO62" s="67"/>
      <c r="AP62">
        <v>20</v>
      </c>
      <c r="AQ62" s="76"/>
    </row>
    <row r="63" spans="1:43">
      <c r="A63" s="8">
        <v>133</v>
      </c>
      <c r="B63" s="8" t="s">
        <v>41</v>
      </c>
      <c r="C63" s="8" t="s">
        <v>42</v>
      </c>
      <c r="D63" s="8" t="s">
        <v>6</v>
      </c>
      <c r="E63" s="24"/>
      <c r="F63" s="5"/>
      <c r="G63" s="5"/>
      <c r="H63" s="5"/>
      <c r="I63" s="5"/>
      <c r="J63" s="5"/>
      <c r="K63" s="5"/>
      <c r="L63" s="25"/>
      <c r="M63" s="24"/>
      <c r="N63" s="5"/>
      <c r="O63" s="5"/>
      <c r="P63" s="5"/>
      <c r="Q63" s="5"/>
      <c r="R63" s="5"/>
      <c r="S63" s="5"/>
      <c r="T63" s="25"/>
      <c r="U63" s="5"/>
      <c r="V63" s="5">
        <v>1</v>
      </c>
      <c r="W63" s="5"/>
      <c r="X63" s="5"/>
      <c r="Y63" s="5"/>
      <c r="Z63" s="5"/>
      <c r="AA63" s="5"/>
      <c r="AB63" s="5"/>
      <c r="AC63" s="24"/>
      <c r="AD63" s="5"/>
      <c r="AE63" s="5"/>
      <c r="AF63" s="5"/>
      <c r="AG63" s="5"/>
      <c r="AH63" s="5">
        <v>1</v>
      </c>
      <c r="AI63" s="5">
        <v>1</v>
      </c>
      <c r="AJ63" s="25"/>
      <c r="AK63">
        <v>133</v>
      </c>
      <c r="AM63">
        <v>1</v>
      </c>
      <c r="AO63" s="67">
        <f t="shared" si="1"/>
        <v>3</v>
      </c>
      <c r="AP63">
        <v>26</v>
      </c>
      <c r="AQ63" s="76">
        <f t="shared" si="0"/>
        <v>0.11538461538461539</v>
      </c>
    </row>
    <row r="64" spans="1:43">
      <c r="A64" s="8">
        <v>134</v>
      </c>
      <c r="B64" s="8" t="s">
        <v>74</v>
      </c>
      <c r="C64" s="8" t="s">
        <v>346</v>
      </c>
      <c r="D64" s="8" t="s">
        <v>15</v>
      </c>
      <c r="E64" s="24"/>
      <c r="F64" s="5"/>
      <c r="G64" s="5"/>
      <c r="H64" s="5"/>
      <c r="I64" s="5"/>
      <c r="J64" s="5"/>
      <c r="K64" s="5"/>
      <c r="L64" s="25"/>
      <c r="M64" s="24"/>
      <c r="N64" s="5"/>
      <c r="O64" s="5"/>
      <c r="P64" s="5"/>
      <c r="Q64" s="5"/>
      <c r="R64" s="5"/>
      <c r="S64" s="5"/>
      <c r="T64" s="25"/>
      <c r="U64" s="5"/>
      <c r="V64" s="5"/>
      <c r="W64" s="5"/>
      <c r="X64" s="5"/>
      <c r="Y64" s="5"/>
      <c r="Z64" s="5"/>
      <c r="AA64" s="5"/>
      <c r="AB64" s="5"/>
      <c r="AC64" s="24"/>
      <c r="AD64" s="5"/>
      <c r="AE64" s="5"/>
      <c r="AF64" s="5"/>
      <c r="AG64" s="5"/>
      <c r="AH64" s="5"/>
      <c r="AI64" s="5"/>
      <c r="AJ64" s="25"/>
      <c r="AK64">
        <v>134</v>
      </c>
      <c r="AL64">
        <v>1</v>
      </c>
      <c r="AO64" s="67"/>
      <c r="AP64">
        <v>20</v>
      </c>
      <c r="AQ64" s="76"/>
    </row>
    <row r="65" spans="1:43">
      <c r="A65" s="8">
        <v>135</v>
      </c>
      <c r="B65" s="8" t="s">
        <v>63</v>
      </c>
      <c r="C65" s="8" t="s">
        <v>346</v>
      </c>
      <c r="D65" s="8" t="s">
        <v>15</v>
      </c>
      <c r="E65" s="24"/>
      <c r="F65" s="5"/>
      <c r="G65" s="5"/>
      <c r="H65" s="5"/>
      <c r="I65" s="5"/>
      <c r="J65" s="5"/>
      <c r="K65" s="5"/>
      <c r="L65" s="25"/>
      <c r="M65" s="24"/>
      <c r="N65" s="5"/>
      <c r="O65" s="5"/>
      <c r="P65" s="5"/>
      <c r="Q65" s="5"/>
      <c r="R65" s="5"/>
      <c r="S65" s="5"/>
      <c r="T65" s="25"/>
      <c r="U65" s="5"/>
      <c r="V65" s="5"/>
      <c r="W65" s="5"/>
      <c r="X65" s="5"/>
      <c r="Y65" s="5"/>
      <c r="Z65" s="5"/>
      <c r="AA65" s="5"/>
      <c r="AB65" s="5"/>
      <c r="AC65" s="24"/>
      <c r="AD65" s="5"/>
      <c r="AE65" s="5"/>
      <c r="AF65" s="5"/>
      <c r="AG65" s="5"/>
      <c r="AH65" s="5"/>
      <c r="AI65" s="5"/>
      <c r="AJ65" s="25"/>
      <c r="AK65">
        <v>135</v>
      </c>
      <c r="AL65">
        <v>1</v>
      </c>
      <c r="AO65" s="67"/>
      <c r="AP65">
        <v>12</v>
      </c>
      <c r="AQ65" s="76"/>
    </row>
    <row r="66" spans="1:43">
      <c r="A66" s="8">
        <v>136</v>
      </c>
      <c r="B66" s="8" t="s">
        <v>54</v>
      </c>
      <c r="C66" s="8" t="s">
        <v>345</v>
      </c>
      <c r="D66" s="8" t="s">
        <v>15</v>
      </c>
      <c r="E66" s="24"/>
      <c r="F66" s="5"/>
      <c r="G66" s="5"/>
      <c r="H66" s="5"/>
      <c r="I66" s="5"/>
      <c r="J66" s="5"/>
      <c r="K66" s="5"/>
      <c r="L66" s="25"/>
      <c r="M66" s="24"/>
      <c r="N66" s="5"/>
      <c r="O66" s="5"/>
      <c r="P66" s="5"/>
      <c r="Q66" s="5"/>
      <c r="R66" s="5"/>
      <c r="S66" s="5"/>
      <c r="T66" s="25"/>
      <c r="U66" s="5"/>
      <c r="V66" s="5"/>
      <c r="W66" s="5"/>
      <c r="X66" s="5"/>
      <c r="Y66" s="5"/>
      <c r="Z66" s="5"/>
      <c r="AA66" s="5"/>
      <c r="AB66" s="5"/>
      <c r="AC66" s="24"/>
      <c r="AD66" s="5"/>
      <c r="AE66" s="5"/>
      <c r="AF66" s="5"/>
      <c r="AG66" s="5"/>
      <c r="AH66" s="5"/>
      <c r="AI66" s="5"/>
      <c r="AJ66" s="25"/>
      <c r="AK66">
        <v>136</v>
      </c>
      <c r="AL66">
        <v>1</v>
      </c>
      <c r="AO66" s="67"/>
      <c r="AP66">
        <v>7</v>
      </c>
      <c r="AQ66" s="76"/>
    </row>
    <row r="67" spans="1:43">
      <c r="A67" s="8">
        <v>139</v>
      </c>
      <c r="B67" s="8" t="s">
        <v>123</v>
      </c>
      <c r="C67" s="8" t="s">
        <v>366</v>
      </c>
      <c r="D67" s="8" t="s">
        <v>42</v>
      </c>
      <c r="E67" s="24">
        <v>1</v>
      </c>
      <c r="F67" s="5">
        <v>1</v>
      </c>
      <c r="G67" s="5">
        <v>1</v>
      </c>
      <c r="H67" s="5">
        <v>1</v>
      </c>
      <c r="I67" s="5">
        <v>1</v>
      </c>
      <c r="J67" s="5"/>
      <c r="K67" s="5"/>
      <c r="L67" s="25"/>
      <c r="M67" s="24"/>
      <c r="N67" s="5"/>
      <c r="O67" s="5"/>
      <c r="P67" s="5">
        <v>1</v>
      </c>
      <c r="Q67" s="5"/>
      <c r="R67" s="5"/>
      <c r="S67" s="5">
        <v>1</v>
      </c>
      <c r="T67" s="25">
        <v>1</v>
      </c>
      <c r="U67" s="5"/>
      <c r="V67" s="5"/>
      <c r="W67" s="5">
        <v>1</v>
      </c>
      <c r="X67" s="5">
        <v>1</v>
      </c>
      <c r="Y67" s="5"/>
      <c r="Z67" s="5"/>
      <c r="AA67" s="5"/>
      <c r="AB67" s="5"/>
      <c r="AC67" s="24"/>
      <c r="AD67" s="5"/>
      <c r="AE67" s="5"/>
      <c r="AF67" s="5"/>
      <c r="AG67" s="5">
        <v>1</v>
      </c>
      <c r="AH67" s="5">
        <v>1</v>
      </c>
      <c r="AI67" s="5"/>
      <c r="AJ67" s="25"/>
      <c r="AK67">
        <v>139</v>
      </c>
      <c r="AM67">
        <v>1</v>
      </c>
      <c r="AO67" s="67">
        <f t="shared" si="1"/>
        <v>12</v>
      </c>
      <c r="AP67">
        <v>32</v>
      </c>
      <c r="AQ67" s="76">
        <f t="shared" si="0"/>
        <v>0.375</v>
      </c>
    </row>
    <row r="68" spans="1:43">
      <c r="A68" s="8">
        <v>140</v>
      </c>
      <c r="B68" s="8" t="s">
        <v>216</v>
      </c>
      <c r="C68" s="8" t="s">
        <v>42</v>
      </c>
      <c r="D68" s="8" t="s">
        <v>42</v>
      </c>
      <c r="E68" s="24"/>
      <c r="F68" s="5"/>
      <c r="G68" s="5"/>
      <c r="H68" s="5"/>
      <c r="I68" s="5"/>
      <c r="J68" s="5"/>
      <c r="K68" s="5"/>
      <c r="L68" s="25"/>
      <c r="M68" s="24"/>
      <c r="N68" s="5"/>
      <c r="O68" s="5"/>
      <c r="P68" s="5"/>
      <c r="Q68" s="5"/>
      <c r="R68" s="5"/>
      <c r="S68" s="5"/>
      <c r="T68" s="25"/>
      <c r="U68" s="5"/>
      <c r="V68" s="5"/>
      <c r="W68" s="5"/>
      <c r="X68" s="5"/>
      <c r="Y68" s="5"/>
      <c r="Z68" s="5"/>
      <c r="AA68" s="5"/>
      <c r="AB68" s="5"/>
      <c r="AC68" s="24"/>
      <c r="AD68" s="5"/>
      <c r="AE68" s="5"/>
      <c r="AF68" s="5"/>
      <c r="AG68" s="5"/>
      <c r="AH68" s="5"/>
      <c r="AI68" s="5"/>
      <c r="AJ68" s="25"/>
      <c r="AK68" s="8">
        <v>140</v>
      </c>
      <c r="AL68">
        <v>1</v>
      </c>
      <c r="AO68" s="67"/>
      <c r="AP68">
        <v>9</v>
      </c>
      <c r="AQ68" s="76"/>
    </row>
    <row r="69" spans="1:43">
      <c r="A69" s="8">
        <v>141</v>
      </c>
      <c r="B69" s="8" t="s">
        <v>65</v>
      </c>
      <c r="C69" s="8" t="s">
        <v>12</v>
      </c>
      <c r="D69" s="8" t="s">
        <v>6</v>
      </c>
      <c r="E69" s="24">
        <v>1</v>
      </c>
      <c r="F69" s="5"/>
      <c r="G69" s="5"/>
      <c r="H69" s="5"/>
      <c r="I69" s="5"/>
      <c r="J69" s="5"/>
      <c r="K69" s="5"/>
      <c r="L69" s="25"/>
      <c r="M69" s="24"/>
      <c r="N69" s="5"/>
      <c r="O69" s="5"/>
      <c r="P69" s="5"/>
      <c r="Q69" s="5"/>
      <c r="R69" s="5"/>
      <c r="S69" s="5"/>
      <c r="T69" s="25"/>
      <c r="U69" s="5"/>
      <c r="V69" s="5"/>
      <c r="W69" s="5"/>
      <c r="X69" s="5"/>
      <c r="Y69" s="5"/>
      <c r="Z69" s="5"/>
      <c r="AA69" s="5"/>
      <c r="AB69" s="5"/>
      <c r="AC69" s="24"/>
      <c r="AD69" s="5"/>
      <c r="AE69" s="5"/>
      <c r="AF69" s="5"/>
      <c r="AG69" s="5"/>
      <c r="AH69" s="5"/>
      <c r="AI69" s="5"/>
      <c r="AJ69" s="25"/>
      <c r="AK69">
        <v>141</v>
      </c>
      <c r="AM69">
        <v>1</v>
      </c>
      <c r="AO69" s="67">
        <f t="shared" si="1"/>
        <v>1</v>
      </c>
      <c r="AP69">
        <v>30</v>
      </c>
      <c r="AQ69" s="76">
        <f t="shared" ref="AQ69:AQ131" si="2">AO69/AP69</f>
        <v>3.3333333333333333E-2</v>
      </c>
    </row>
    <row r="70" spans="1:43">
      <c r="A70" s="8">
        <v>142</v>
      </c>
      <c r="B70" s="8" t="s">
        <v>71</v>
      </c>
      <c r="C70" s="8" t="s">
        <v>366</v>
      </c>
      <c r="D70" s="8" t="s">
        <v>42</v>
      </c>
      <c r="E70" s="24"/>
      <c r="F70" s="5"/>
      <c r="G70" s="5"/>
      <c r="H70" s="5"/>
      <c r="I70" s="5">
        <v>1</v>
      </c>
      <c r="J70" s="5"/>
      <c r="K70" s="5"/>
      <c r="L70" s="25"/>
      <c r="M70" s="24"/>
      <c r="N70" s="5"/>
      <c r="O70" s="5"/>
      <c r="P70" s="5"/>
      <c r="Q70" s="5">
        <v>1</v>
      </c>
      <c r="R70" s="5">
        <v>1</v>
      </c>
      <c r="S70" s="5"/>
      <c r="T70" s="25"/>
      <c r="U70" s="5"/>
      <c r="V70" s="5"/>
      <c r="W70" s="5"/>
      <c r="X70" s="5"/>
      <c r="Y70" s="5"/>
      <c r="Z70" s="5"/>
      <c r="AA70" s="5"/>
      <c r="AB70" s="5"/>
      <c r="AC70" s="24"/>
      <c r="AD70" s="5"/>
      <c r="AE70" s="5"/>
      <c r="AF70" s="5"/>
      <c r="AG70" s="5">
        <v>1</v>
      </c>
      <c r="AH70" s="5">
        <v>1</v>
      </c>
      <c r="AI70" s="5">
        <v>1</v>
      </c>
      <c r="AJ70" s="25"/>
      <c r="AK70">
        <v>142</v>
      </c>
      <c r="AM70">
        <v>1</v>
      </c>
      <c r="AO70" s="67">
        <f t="shared" si="1"/>
        <v>6</v>
      </c>
      <c r="AP70">
        <v>30</v>
      </c>
      <c r="AQ70" s="76">
        <f t="shared" si="2"/>
        <v>0.2</v>
      </c>
    </row>
    <row r="71" spans="1:43">
      <c r="A71" s="8">
        <v>143</v>
      </c>
      <c r="B71" s="8" t="s">
        <v>106</v>
      </c>
      <c r="C71" s="8" t="s">
        <v>349</v>
      </c>
      <c r="D71" s="8" t="s">
        <v>42</v>
      </c>
      <c r="E71" s="24"/>
      <c r="F71" s="5"/>
      <c r="G71" s="5"/>
      <c r="H71" s="5"/>
      <c r="I71" s="5"/>
      <c r="J71" s="5"/>
      <c r="K71" s="5"/>
      <c r="L71" s="25"/>
      <c r="M71" s="24"/>
      <c r="N71" s="5"/>
      <c r="O71" s="5"/>
      <c r="P71" s="5"/>
      <c r="Q71" s="5"/>
      <c r="R71" s="5"/>
      <c r="S71" s="5"/>
      <c r="T71" s="25"/>
      <c r="U71" s="5"/>
      <c r="V71" s="5"/>
      <c r="W71" s="5"/>
      <c r="X71" s="5"/>
      <c r="Y71" s="5"/>
      <c r="Z71" s="5">
        <v>1</v>
      </c>
      <c r="AA71" s="5">
        <v>1</v>
      </c>
      <c r="AB71" s="5"/>
      <c r="AC71" s="24"/>
      <c r="AD71" s="5"/>
      <c r="AE71" s="5">
        <v>1</v>
      </c>
      <c r="AF71" s="5"/>
      <c r="AG71" s="5"/>
      <c r="AH71" s="5"/>
      <c r="AI71" s="5"/>
      <c r="AJ71" s="25"/>
      <c r="AK71">
        <v>143</v>
      </c>
      <c r="AM71">
        <v>1</v>
      </c>
      <c r="AO71" s="67">
        <f t="shared" ref="AO71:AO83" si="3">SUM(E71:AJ71)</f>
        <v>3</v>
      </c>
      <c r="AP71">
        <v>6</v>
      </c>
      <c r="AQ71" s="76">
        <f t="shared" si="2"/>
        <v>0.5</v>
      </c>
    </row>
    <row r="72" spans="1:43">
      <c r="A72" s="8">
        <v>144</v>
      </c>
      <c r="B72" s="8" t="s">
        <v>80</v>
      </c>
      <c r="C72" s="8" t="s">
        <v>346</v>
      </c>
      <c r="D72" s="8" t="s">
        <v>15</v>
      </c>
      <c r="E72" s="24"/>
      <c r="F72" s="5"/>
      <c r="G72" s="5"/>
      <c r="H72" s="5"/>
      <c r="I72" s="5"/>
      <c r="J72" s="5"/>
      <c r="K72" s="5"/>
      <c r="L72" s="25"/>
      <c r="M72" s="24"/>
      <c r="N72" s="5"/>
      <c r="O72" s="5"/>
      <c r="P72" s="5"/>
      <c r="Q72" s="5"/>
      <c r="R72" s="5"/>
      <c r="S72" s="5"/>
      <c r="T72" s="25"/>
      <c r="U72" s="5"/>
      <c r="V72" s="5"/>
      <c r="W72" s="5"/>
      <c r="X72" s="5"/>
      <c r="Y72" s="5"/>
      <c r="Z72" s="5"/>
      <c r="AA72" s="5"/>
      <c r="AB72" s="5"/>
      <c r="AC72" s="24"/>
      <c r="AD72" s="5"/>
      <c r="AE72" s="5"/>
      <c r="AF72" s="5"/>
      <c r="AG72" s="5"/>
      <c r="AH72" s="5"/>
      <c r="AI72" s="5"/>
      <c r="AJ72" s="25"/>
      <c r="AK72">
        <v>144</v>
      </c>
      <c r="AL72">
        <v>1</v>
      </c>
      <c r="AO72" s="67"/>
      <c r="AP72">
        <v>20</v>
      </c>
      <c r="AQ72" s="76"/>
    </row>
    <row r="73" spans="1:43">
      <c r="A73" s="8">
        <v>145</v>
      </c>
      <c r="B73" s="8" t="s">
        <v>63</v>
      </c>
      <c r="C73" s="8" t="s">
        <v>346</v>
      </c>
      <c r="D73" s="8" t="s">
        <v>15</v>
      </c>
      <c r="E73" s="24"/>
      <c r="F73" s="5"/>
      <c r="G73" s="5"/>
      <c r="H73" s="5"/>
      <c r="I73" s="5"/>
      <c r="J73" s="5"/>
      <c r="K73" s="5"/>
      <c r="L73" s="25"/>
      <c r="M73" s="24"/>
      <c r="N73" s="5"/>
      <c r="O73" s="5"/>
      <c r="P73" s="5"/>
      <c r="Q73" s="5"/>
      <c r="R73" s="5"/>
      <c r="S73" s="5"/>
      <c r="T73" s="25"/>
      <c r="U73" s="5"/>
      <c r="V73" s="5"/>
      <c r="W73" s="5"/>
      <c r="X73" s="5"/>
      <c r="Y73" s="5"/>
      <c r="Z73" s="5"/>
      <c r="AA73" s="5"/>
      <c r="AB73" s="5"/>
      <c r="AC73" s="24"/>
      <c r="AD73" s="5"/>
      <c r="AE73" s="5"/>
      <c r="AF73" s="5"/>
      <c r="AG73" s="5"/>
      <c r="AH73" s="5"/>
      <c r="AI73" s="5"/>
      <c r="AJ73" s="25"/>
      <c r="AK73">
        <v>145</v>
      </c>
      <c r="AL73">
        <v>1</v>
      </c>
      <c r="AO73" s="67"/>
      <c r="AP73">
        <v>11</v>
      </c>
      <c r="AQ73" s="76"/>
    </row>
    <row r="74" spans="1:43">
      <c r="A74" s="8">
        <v>147</v>
      </c>
      <c r="B74" s="8" t="s">
        <v>68</v>
      </c>
      <c r="C74" s="8" t="s">
        <v>357</v>
      </c>
      <c r="D74" s="8" t="s">
        <v>15</v>
      </c>
      <c r="E74" s="24"/>
      <c r="F74" s="5"/>
      <c r="G74" s="5"/>
      <c r="H74" s="5"/>
      <c r="I74" s="5"/>
      <c r="J74" s="5"/>
      <c r="K74" s="5"/>
      <c r="L74" s="25"/>
      <c r="M74" s="24"/>
      <c r="N74" s="5"/>
      <c r="O74" s="5"/>
      <c r="P74" s="5"/>
      <c r="Q74" s="5"/>
      <c r="R74" s="5"/>
      <c r="S74" s="5"/>
      <c r="T74" s="25"/>
      <c r="U74" s="5"/>
      <c r="V74" s="5"/>
      <c r="W74" s="5"/>
      <c r="X74" s="5"/>
      <c r="Y74" s="5"/>
      <c r="Z74" s="5"/>
      <c r="AA74" s="5"/>
      <c r="AB74" s="5"/>
      <c r="AC74" s="24"/>
      <c r="AD74" s="5"/>
      <c r="AE74" s="5"/>
      <c r="AF74" s="5"/>
      <c r="AG74" s="5"/>
      <c r="AH74" s="5"/>
      <c r="AI74" s="5"/>
      <c r="AJ74" s="25"/>
      <c r="AK74">
        <v>147</v>
      </c>
      <c r="AL74">
        <v>1</v>
      </c>
      <c r="AO74" s="67"/>
      <c r="AP74">
        <v>15</v>
      </c>
      <c r="AQ74" s="76"/>
    </row>
    <row r="75" spans="1:43">
      <c r="A75" s="8">
        <v>148</v>
      </c>
      <c r="B75" s="8" t="s">
        <v>68</v>
      </c>
      <c r="C75" s="8" t="s">
        <v>357</v>
      </c>
      <c r="D75" s="8" t="s">
        <v>15</v>
      </c>
      <c r="E75" s="24"/>
      <c r="F75" s="5"/>
      <c r="G75" s="5"/>
      <c r="H75" s="5"/>
      <c r="I75" s="5">
        <v>1</v>
      </c>
      <c r="J75" s="5"/>
      <c r="K75" s="5"/>
      <c r="L75" s="25"/>
      <c r="M75" s="24"/>
      <c r="N75" s="5"/>
      <c r="O75" s="5"/>
      <c r="P75" s="5">
        <v>1</v>
      </c>
      <c r="Q75" s="5">
        <v>1</v>
      </c>
      <c r="R75" s="5"/>
      <c r="S75" s="5"/>
      <c r="T75" s="25"/>
      <c r="U75" s="5"/>
      <c r="V75" s="5"/>
      <c r="W75" s="5"/>
      <c r="X75" s="5"/>
      <c r="Y75" s="5"/>
      <c r="Z75" s="5"/>
      <c r="AA75" s="5"/>
      <c r="AB75" s="5"/>
      <c r="AC75" s="24"/>
      <c r="AD75" s="5"/>
      <c r="AE75" s="5"/>
      <c r="AF75" s="5"/>
      <c r="AG75" s="5"/>
      <c r="AH75" s="5"/>
      <c r="AI75" s="5"/>
      <c r="AJ75" s="25"/>
      <c r="AK75">
        <v>148</v>
      </c>
      <c r="AM75">
        <v>1</v>
      </c>
      <c r="AO75" s="67">
        <f t="shared" si="3"/>
        <v>3</v>
      </c>
      <c r="AP75">
        <v>20</v>
      </c>
      <c r="AQ75" s="76">
        <f t="shared" si="2"/>
        <v>0.15</v>
      </c>
    </row>
    <row r="76" spans="1:43">
      <c r="A76" s="8">
        <v>149</v>
      </c>
      <c r="B76" s="8" t="s">
        <v>80</v>
      </c>
      <c r="C76" s="8" t="s">
        <v>346</v>
      </c>
      <c r="D76" s="8" t="s">
        <v>15</v>
      </c>
      <c r="E76" s="24"/>
      <c r="F76" s="5"/>
      <c r="G76" s="5"/>
      <c r="H76" s="5"/>
      <c r="I76" s="5"/>
      <c r="J76" s="5"/>
      <c r="K76" s="5"/>
      <c r="L76" s="25"/>
      <c r="M76" s="24"/>
      <c r="N76" s="5"/>
      <c r="O76" s="5"/>
      <c r="P76" s="5"/>
      <c r="Q76" s="5"/>
      <c r="R76" s="5"/>
      <c r="S76" s="5"/>
      <c r="T76" s="25"/>
      <c r="U76" s="5"/>
      <c r="V76" s="5"/>
      <c r="W76" s="5"/>
      <c r="X76" s="5"/>
      <c r="Y76" s="5"/>
      <c r="Z76" s="5"/>
      <c r="AA76" s="5"/>
      <c r="AB76" s="5"/>
      <c r="AC76" s="24"/>
      <c r="AD76" s="5"/>
      <c r="AE76" s="5"/>
      <c r="AF76" s="5"/>
      <c r="AG76" s="5"/>
      <c r="AH76" s="5"/>
      <c r="AI76" s="5"/>
      <c r="AJ76" s="25"/>
      <c r="AK76">
        <v>149</v>
      </c>
      <c r="AL76">
        <v>1</v>
      </c>
      <c r="AO76" s="67"/>
      <c r="AP76">
        <v>20</v>
      </c>
      <c r="AQ76" s="76"/>
    </row>
    <row r="77" spans="1:43">
      <c r="A77" s="8">
        <v>151</v>
      </c>
      <c r="B77" s="8" t="s">
        <v>130</v>
      </c>
      <c r="C77" s="8" t="s">
        <v>357</v>
      </c>
      <c r="D77" s="8" t="s">
        <v>15</v>
      </c>
      <c r="E77" s="24"/>
      <c r="F77" s="5"/>
      <c r="G77" s="5"/>
      <c r="H77" s="5"/>
      <c r="I77" s="5"/>
      <c r="J77" s="5"/>
      <c r="K77" s="5"/>
      <c r="L77" s="25"/>
      <c r="M77" s="24"/>
      <c r="N77" s="5"/>
      <c r="O77" s="5"/>
      <c r="P77" s="5"/>
      <c r="Q77" s="5"/>
      <c r="R77" s="5"/>
      <c r="S77" s="5"/>
      <c r="T77" s="25"/>
      <c r="U77" s="5"/>
      <c r="V77" s="5"/>
      <c r="W77" s="5"/>
      <c r="X77" s="5"/>
      <c r="Y77" s="5"/>
      <c r="Z77" s="5"/>
      <c r="AA77" s="5"/>
      <c r="AB77" s="5"/>
      <c r="AC77" s="24"/>
      <c r="AD77" s="5"/>
      <c r="AE77" s="5"/>
      <c r="AF77" s="5"/>
      <c r="AG77" s="5"/>
      <c r="AH77" s="5"/>
      <c r="AI77" s="5">
        <v>1</v>
      </c>
      <c r="AJ77" s="25"/>
      <c r="AK77">
        <v>151</v>
      </c>
      <c r="AM77">
        <v>1</v>
      </c>
      <c r="AO77" s="67">
        <f t="shared" si="3"/>
        <v>1</v>
      </c>
      <c r="AP77">
        <v>28</v>
      </c>
      <c r="AQ77" s="76">
        <f t="shared" si="2"/>
        <v>3.5714285714285712E-2</v>
      </c>
    </row>
    <row r="78" spans="1:43">
      <c r="A78" s="8">
        <v>157</v>
      </c>
      <c r="B78" s="8" t="s">
        <v>55</v>
      </c>
      <c r="C78" s="8" t="s">
        <v>346</v>
      </c>
      <c r="D78" s="8" t="s">
        <v>15</v>
      </c>
      <c r="E78" s="24"/>
      <c r="F78" s="5"/>
      <c r="G78" s="5"/>
      <c r="H78" s="5"/>
      <c r="I78" s="5"/>
      <c r="J78" s="5"/>
      <c r="K78" s="5"/>
      <c r="L78" s="25"/>
      <c r="M78" s="24"/>
      <c r="N78" s="5"/>
      <c r="O78" s="5"/>
      <c r="P78" s="5"/>
      <c r="Q78" s="5"/>
      <c r="R78" s="5"/>
      <c r="S78" s="5"/>
      <c r="T78" s="25"/>
      <c r="U78" s="5"/>
      <c r="V78" s="5"/>
      <c r="W78" s="5"/>
      <c r="X78" s="5"/>
      <c r="Y78" s="5"/>
      <c r="Z78" s="5"/>
      <c r="AA78" s="5"/>
      <c r="AB78" s="5"/>
      <c r="AC78" s="24"/>
      <c r="AD78" s="5"/>
      <c r="AE78" s="5"/>
      <c r="AF78" s="5"/>
      <c r="AG78" s="5"/>
      <c r="AH78" s="5"/>
      <c r="AI78" s="5"/>
      <c r="AJ78" s="25"/>
      <c r="AK78">
        <v>157</v>
      </c>
      <c r="AL78">
        <v>1</v>
      </c>
      <c r="AO78" s="67"/>
      <c r="AP78">
        <v>10</v>
      </c>
      <c r="AQ78" s="76"/>
    </row>
    <row r="79" spans="1:43">
      <c r="A79" s="8">
        <v>162</v>
      </c>
      <c r="B79" s="8" t="s">
        <v>80</v>
      </c>
      <c r="C79" s="8" t="s">
        <v>346</v>
      </c>
      <c r="D79" s="8" t="s">
        <v>15</v>
      </c>
      <c r="E79" s="24"/>
      <c r="F79" s="5"/>
      <c r="G79" s="5"/>
      <c r="H79" s="5"/>
      <c r="I79" s="5"/>
      <c r="J79" s="5"/>
      <c r="K79" s="5"/>
      <c r="L79" s="25"/>
      <c r="M79" s="24"/>
      <c r="N79" s="5"/>
      <c r="O79" s="5"/>
      <c r="P79" s="5"/>
      <c r="Q79" s="5"/>
      <c r="R79" s="5"/>
      <c r="S79" s="5"/>
      <c r="T79" s="25"/>
      <c r="U79" s="5"/>
      <c r="V79" s="5"/>
      <c r="W79" s="5"/>
      <c r="X79" s="5"/>
      <c r="Y79" s="5"/>
      <c r="Z79" s="5"/>
      <c r="AA79" s="5"/>
      <c r="AB79" s="5"/>
      <c r="AC79" s="24"/>
      <c r="AD79" s="5"/>
      <c r="AE79" s="5"/>
      <c r="AF79" s="5"/>
      <c r="AG79" s="5"/>
      <c r="AH79" s="5"/>
      <c r="AI79" s="5"/>
      <c r="AJ79" s="25"/>
      <c r="AK79">
        <v>162</v>
      </c>
      <c r="AL79">
        <v>1</v>
      </c>
      <c r="AO79" s="67"/>
      <c r="AP79">
        <v>20</v>
      </c>
      <c r="AQ79" s="76"/>
    </row>
    <row r="80" spans="1:43">
      <c r="A80" s="8">
        <v>163</v>
      </c>
      <c r="B80" s="8" t="s">
        <v>62</v>
      </c>
      <c r="C80" s="8" t="s">
        <v>42</v>
      </c>
      <c r="D80" s="8" t="s">
        <v>42</v>
      </c>
      <c r="E80" s="24"/>
      <c r="F80" s="5"/>
      <c r="G80" s="5"/>
      <c r="H80" s="5">
        <v>1</v>
      </c>
      <c r="I80" s="5"/>
      <c r="J80" s="5"/>
      <c r="K80" s="5"/>
      <c r="L80" s="25"/>
      <c r="M80" s="24"/>
      <c r="N80" s="5"/>
      <c r="O80" s="5"/>
      <c r="P80" s="5"/>
      <c r="Q80" s="5"/>
      <c r="R80" s="5"/>
      <c r="S80" s="5"/>
      <c r="T80" s="25"/>
      <c r="U80" s="5"/>
      <c r="V80" s="5"/>
      <c r="W80" s="5">
        <v>1</v>
      </c>
      <c r="X80" s="5"/>
      <c r="Y80" s="5"/>
      <c r="Z80" s="5"/>
      <c r="AA80" s="5"/>
      <c r="AB80" s="5"/>
      <c r="AC80" s="24"/>
      <c r="AD80" s="5"/>
      <c r="AE80" s="5"/>
      <c r="AF80" s="5"/>
      <c r="AG80" s="5">
        <v>1</v>
      </c>
      <c r="AH80" s="5">
        <v>1</v>
      </c>
      <c r="AI80" s="5"/>
      <c r="AJ80" s="25"/>
      <c r="AK80">
        <v>163</v>
      </c>
      <c r="AM80">
        <v>1</v>
      </c>
      <c r="AO80" s="67">
        <f t="shared" si="3"/>
        <v>4</v>
      </c>
      <c r="AP80">
        <v>28</v>
      </c>
      <c r="AQ80" s="76">
        <f t="shared" si="2"/>
        <v>0.14285714285714285</v>
      </c>
    </row>
    <row r="81" spans="1:43">
      <c r="A81" s="8">
        <v>166</v>
      </c>
      <c r="B81" s="8" t="s">
        <v>136</v>
      </c>
      <c r="C81" s="8" t="s">
        <v>12</v>
      </c>
      <c r="D81" s="8" t="s">
        <v>6</v>
      </c>
      <c r="E81" s="24"/>
      <c r="F81" s="5"/>
      <c r="G81" s="5"/>
      <c r="H81" s="5"/>
      <c r="I81" s="5"/>
      <c r="J81" s="5"/>
      <c r="K81" s="5"/>
      <c r="L81" s="25"/>
      <c r="M81" s="24"/>
      <c r="N81" s="5"/>
      <c r="O81" s="5"/>
      <c r="P81" s="5"/>
      <c r="Q81" s="5"/>
      <c r="R81" s="5">
        <v>1</v>
      </c>
      <c r="S81" s="5"/>
      <c r="T81" s="25"/>
      <c r="U81" s="5"/>
      <c r="V81" s="5"/>
      <c r="W81" s="5"/>
      <c r="X81" s="5"/>
      <c r="Y81" s="5"/>
      <c r="Z81" s="5"/>
      <c r="AA81" s="5"/>
      <c r="AB81" s="5"/>
      <c r="AC81" s="24"/>
      <c r="AD81" s="5"/>
      <c r="AE81" s="5"/>
      <c r="AF81" s="5"/>
      <c r="AG81" s="5"/>
      <c r="AH81" s="5">
        <v>1</v>
      </c>
      <c r="AI81" s="5">
        <v>1</v>
      </c>
      <c r="AJ81" s="25"/>
      <c r="AK81">
        <v>166</v>
      </c>
      <c r="AM81">
        <v>1</v>
      </c>
      <c r="AO81" s="67">
        <f t="shared" si="3"/>
        <v>3</v>
      </c>
      <c r="AP81">
        <v>32</v>
      </c>
      <c r="AQ81" s="76">
        <f t="shared" si="2"/>
        <v>9.375E-2</v>
      </c>
    </row>
    <row r="82" spans="1:43">
      <c r="A82" s="8">
        <v>169</v>
      </c>
      <c r="B82" s="8" t="s">
        <v>139</v>
      </c>
      <c r="C82" s="8" t="s">
        <v>357</v>
      </c>
      <c r="D82" s="8" t="s">
        <v>15</v>
      </c>
      <c r="E82" s="24"/>
      <c r="F82" s="5"/>
      <c r="G82" s="5"/>
      <c r="H82" s="5"/>
      <c r="I82" s="5"/>
      <c r="J82" s="5"/>
      <c r="K82" s="5"/>
      <c r="L82" s="25"/>
      <c r="M82" s="24"/>
      <c r="N82" s="5"/>
      <c r="O82" s="5"/>
      <c r="P82" s="5"/>
      <c r="Q82" s="5"/>
      <c r="R82" s="5"/>
      <c r="S82" s="5"/>
      <c r="T82" s="25"/>
      <c r="U82" s="5"/>
      <c r="V82" s="5"/>
      <c r="W82" s="5"/>
      <c r="X82" s="5"/>
      <c r="Y82" s="5"/>
      <c r="Z82" s="5"/>
      <c r="AA82" s="5"/>
      <c r="AB82" s="5"/>
      <c r="AC82" s="24"/>
      <c r="AD82" s="5"/>
      <c r="AE82" s="5"/>
      <c r="AF82" s="5"/>
      <c r="AG82" s="5"/>
      <c r="AH82" s="5"/>
      <c r="AI82" s="5"/>
      <c r="AJ82" s="25"/>
      <c r="AK82">
        <v>169</v>
      </c>
      <c r="AL82">
        <v>1</v>
      </c>
      <c r="AO82" s="67"/>
      <c r="AP82">
        <v>24</v>
      </c>
      <c r="AQ82" s="76"/>
    </row>
    <row r="83" spans="1:43">
      <c r="A83" s="8">
        <v>170</v>
      </c>
      <c r="B83" s="8" t="s">
        <v>5</v>
      </c>
      <c r="C83" s="8" t="s">
        <v>42</v>
      </c>
      <c r="D83" s="8" t="s">
        <v>6</v>
      </c>
      <c r="E83" s="24"/>
      <c r="F83" s="5">
        <v>1</v>
      </c>
      <c r="G83" s="5"/>
      <c r="H83" s="5"/>
      <c r="I83" s="5"/>
      <c r="J83" s="5"/>
      <c r="K83" s="5"/>
      <c r="L83" s="25"/>
      <c r="M83" s="24"/>
      <c r="N83" s="5"/>
      <c r="O83" s="5"/>
      <c r="P83" s="5"/>
      <c r="Q83" s="5"/>
      <c r="R83" s="5"/>
      <c r="S83" s="5">
        <v>1</v>
      </c>
      <c r="T83" s="25"/>
      <c r="U83" s="5"/>
      <c r="V83" s="5"/>
      <c r="W83" s="5"/>
      <c r="X83" s="5"/>
      <c r="Y83" s="5"/>
      <c r="Z83" s="5"/>
      <c r="AA83" s="5"/>
      <c r="AB83" s="5"/>
      <c r="AC83" s="24"/>
      <c r="AD83" s="5"/>
      <c r="AE83" s="5"/>
      <c r="AF83" s="5"/>
      <c r="AG83" s="5">
        <v>1</v>
      </c>
      <c r="AH83" s="5"/>
      <c r="AI83" s="5">
        <v>1</v>
      </c>
      <c r="AJ83" s="25">
        <v>1</v>
      </c>
      <c r="AK83">
        <v>170</v>
      </c>
      <c r="AM83">
        <v>1</v>
      </c>
      <c r="AO83" s="67">
        <f t="shared" si="3"/>
        <v>5</v>
      </c>
      <c r="AP83">
        <v>31</v>
      </c>
      <c r="AQ83" s="76">
        <f t="shared" si="2"/>
        <v>0.16129032258064516</v>
      </c>
    </row>
    <row r="84" spans="1:43">
      <c r="A84" s="8">
        <v>171</v>
      </c>
      <c r="B84" s="8" t="s">
        <v>58</v>
      </c>
      <c r="C84" s="8" t="s">
        <v>358</v>
      </c>
      <c r="D84" s="8" t="s">
        <v>6</v>
      </c>
      <c r="E84" s="24"/>
      <c r="F84" s="5"/>
      <c r="G84" s="5"/>
      <c r="H84" s="5"/>
      <c r="I84" s="5"/>
      <c r="J84" s="5"/>
      <c r="K84" s="5"/>
      <c r="L84" s="25"/>
      <c r="M84" s="24"/>
      <c r="N84" s="5"/>
      <c r="O84" s="5"/>
      <c r="P84" s="5">
        <v>1</v>
      </c>
      <c r="Q84" s="5"/>
      <c r="R84" s="5"/>
      <c r="S84" s="5">
        <v>1</v>
      </c>
      <c r="T84" s="25"/>
      <c r="U84" s="5"/>
      <c r="V84" s="5"/>
      <c r="W84" s="5"/>
      <c r="X84" s="5"/>
      <c r="Y84" s="5"/>
      <c r="Z84" s="5"/>
      <c r="AA84" s="5"/>
      <c r="AB84" s="5"/>
      <c r="AC84" s="24"/>
      <c r="AD84" s="5"/>
      <c r="AE84" s="5"/>
      <c r="AF84" s="5"/>
      <c r="AG84" s="5"/>
      <c r="AH84" s="5"/>
      <c r="AI84" s="5"/>
      <c r="AJ84" s="25"/>
      <c r="AK84" s="8">
        <v>171</v>
      </c>
      <c r="AM84">
        <v>1</v>
      </c>
      <c r="AO84">
        <f>SUM(E84:AJ84)</f>
        <v>2</v>
      </c>
      <c r="AP84">
        <v>28</v>
      </c>
      <c r="AQ84" s="76">
        <f t="shared" si="2"/>
        <v>7.1428571428571425E-2</v>
      </c>
    </row>
    <row r="85" spans="1:43">
      <c r="A85" s="8">
        <v>172</v>
      </c>
      <c r="B85" s="8" t="s">
        <v>71</v>
      </c>
      <c r="C85" s="8" t="s">
        <v>366</v>
      </c>
      <c r="D85" s="8" t="s">
        <v>6</v>
      </c>
      <c r="E85" s="24"/>
      <c r="F85" s="5"/>
      <c r="G85" s="5"/>
      <c r="H85" s="5"/>
      <c r="I85" s="5"/>
      <c r="J85" s="5"/>
      <c r="K85" s="5"/>
      <c r="L85" s="25"/>
      <c r="M85" s="24"/>
      <c r="N85" s="5"/>
      <c r="O85" s="5"/>
      <c r="P85" s="5"/>
      <c r="Q85" s="5"/>
      <c r="R85" s="5"/>
      <c r="S85" s="5"/>
      <c r="T85" s="25"/>
      <c r="U85" s="5"/>
      <c r="V85" s="5"/>
      <c r="W85" s="5"/>
      <c r="X85" s="5"/>
      <c r="Y85" s="5"/>
      <c r="Z85" s="5"/>
      <c r="AA85" s="5"/>
      <c r="AB85" s="5"/>
      <c r="AC85" s="24"/>
      <c r="AD85" s="5"/>
      <c r="AE85" s="5"/>
      <c r="AF85" s="5"/>
      <c r="AG85" s="5"/>
      <c r="AH85" s="5"/>
      <c r="AI85" s="5"/>
      <c r="AJ85" s="25"/>
      <c r="AK85">
        <v>172</v>
      </c>
      <c r="AL85">
        <v>1</v>
      </c>
      <c r="AO85" s="67"/>
      <c r="AP85">
        <v>31</v>
      </c>
      <c r="AQ85" s="76"/>
    </row>
    <row r="86" spans="1:43">
      <c r="A86" s="8">
        <v>174</v>
      </c>
      <c r="B86" s="8" t="s">
        <v>141</v>
      </c>
      <c r="C86" s="8" t="s">
        <v>346</v>
      </c>
      <c r="D86" s="8" t="s">
        <v>15</v>
      </c>
      <c r="E86" s="24"/>
      <c r="F86" s="5"/>
      <c r="G86" s="5"/>
      <c r="H86" s="5"/>
      <c r="I86" s="5"/>
      <c r="J86" s="5"/>
      <c r="K86" s="5"/>
      <c r="L86" s="25"/>
      <c r="M86" s="24"/>
      <c r="N86" s="5"/>
      <c r="O86" s="5"/>
      <c r="P86" s="5"/>
      <c r="Q86" s="5"/>
      <c r="R86" s="5"/>
      <c r="S86" s="5"/>
      <c r="T86" s="25"/>
      <c r="U86" s="5"/>
      <c r="V86" s="5"/>
      <c r="W86" s="5"/>
      <c r="X86" s="5"/>
      <c r="Y86" s="5"/>
      <c r="Z86" s="5"/>
      <c r="AA86" s="5"/>
      <c r="AB86" s="5"/>
      <c r="AC86" s="24"/>
      <c r="AD86" s="5"/>
      <c r="AE86" s="5"/>
      <c r="AF86" s="5"/>
      <c r="AG86" s="5"/>
      <c r="AH86" s="5"/>
      <c r="AI86" s="5"/>
      <c r="AJ86" s="25"/>
      <c r="AK86">
        <v>174</v>
      </c>
      <c r="AL86">
        <v>1</v>
      </c>
      <c r="AO86" s="67"/>
      <c r="AP86">
        <v>20</v>
      </c>
      <c r="AQ86" s="76"/>
    </row>
    <row r="87" spans="1:43">
      <c r="A87" s="8">
        <v>176</v>
      </c>
      <c r="B87" s="8" t="s">
        <v>44</v>
      </c>
      <c r="C87" s="8" t="s">
        <v>349</v>
      </c>
      <c r="D87" s="8" t="s">
        <v>42</v>
      </c>
      <c r="E87" s="24"/>
      <c r="F87" s="5"/>
      <c r="G87" s="5"/>
      <c r="H87" s="5"/>
      <c r="I87" s="5"/>
      <c r="J87" s="5"/>
      <c r="K87" s="5"/>
      <c r="L87" s="25"/>
      <c r="M87" s="24"/>
      <c r="N87" s="5"/>
      <c r="O87" s="5"/>
      <c r="P87" s="5"/>
      <c r="Q87" s="5"/>
      <c r="R87" s="5"/>
      <c r="S87" s="5"/>
      <c r="T87" s="25"/>
      <c r="U87" s="5">
        <v>1</v>
      </c>
      <c r="V87" s="5"/>
      <c r="W87" s="5"/>
      <c r="X87" s="5"/>
      <c r="Y87" s="5">
        <v>1</v>
      </c>
      <c r="Z87" s="5"/>
      <c r="AA87" s="5"/>
      <c r="AB87" s="5"/>
      <c r="AC87" s="24"/>
      <c r="AD87" s="5"/>
      <c r="AE87" s="5"/>
      <c r="AF87" s="5"/>
      <c r="AG87" s="5"/>
      <c r="AH87" s="5"/>
      <c r="AI87" s="5"/>
      <c r="AJ87" s="25"/>
      <c r="AK87">
        <v>176</v>
      </c>
      <c r="AM87">
        <v>1</v>
      </c>
      <c r="AO87" s="67">
        <f t="shared" ref="AO87:AO145" si="4">SUM(E87:AJ87)</f>
        <v>2</v>
      </c>
      <c r="AP87">
        <v>15</v>
      </c>
      <c r="AQ87" s="76">
        <f t="shared" si="2"/>
        <v>0.13333333333333333</v>
      </c>
    </row>
    <row r="88" spans="1:43">
      <c r="A88" s="8">
        <v>178</v>
      </c>
      <c r="B88" s="8" t="s">
        <v>5</v>
      </c>
      <c r="C88" s="8" t="s">
        <v>42</v>
      </c>
      <c r="D88" s="8" t="s">
        <v>6</v>
      </c>
      <c r="E88" s="24"/>
      <c r="F88" s="5">
        <v>1</v>
      </c>
      <c r="G88" s="5"/>
      <c r="H88" s="5"/>
      <c r="I88" s="5"/>
      <c r="J88" s="5"/>
      <c r="K88" s="5"/>
      <c r="L88" s="25"/>
      <c r="M88" s="24"/>
      <c r="N88" s="5"/>
      <c r="O88" s="5"/>
      <c r="P88" s="5"/>
      <c r="Q88" s="5">
        <v>1</v>
      </c>
      <c r="R88" s="5"/>
      <c r="S88" s="5"/>
      <c r="T88" s="25"/>
      <c r="U88" s="5"/>
      <c r="V88" s="5"/>
      <c r="W88" s="5">
        <v>1</v>
      </c>
      <c r="X88" s="5"/>
      <c r="Y88" s="5"/>
      <c r="Z88" s="5"/>
      <c r="AA88" s="5"/>
      <c r="AB88" s="5"/>
      <c r="AC88" s="24"/>
      <c r="AD88" s="5"/>
      <c r="AE88" s="5"/>
      <c r="AF88" s="5"/>
      <c r="AG88" s="5"/>
      <c r="AH88" s="5"/>
      <c r="AI88" s="5"/>
      <c r="AJ88" s="25"/>
      <c r="AK88">
        <v>178</v>
      </c>
      <c r="AM88">
        <v>1</v>
      </c>
      <c r="AO88" s="67">
        <f t="shared" si="4"/>
        <v>3</v>
      </c>
      <c r="AP88">
        <v>29</v>
      </c>
      <c r="AQ88" s="76">
        <f t="shared" si="2"/>
        <v>0.10344827586206896</v>
      </c>
    </row>
    <row r="89" spans="1:43">
      <c r="A89" s="8">
        <v>179</v>
      </c>
      <c r="B89" s="8" t="s">
        <v>48</v>
      </c>
      <c r="C89" s="8" t="s">
        <v>357</v>
      </c>
      <c r="D89" s="8" t="s">
        <v>15</v>
      </c>
      <c r="E89" s="24"/>
      <c r="F89" s="5"/>
      <c r="G89" s="5"/>
      <c r="H89" s="5"/>
      <c r="I89" s="5"/>
      <c r="J89" s="5"/>
      <c r="K89" s="5"/>
      <c r="L89" s="25"/>
      <c r="M89" s="24"/>
      <c r="N89" s="5"/>
      <c r="O89" s="5"/>
      <c r="P89" s="5"/>
      <c r="Q89" s="5">
        <v>1</v>
      </c>
      <c r="R89" s="5"/>
      <c r="S89" s="5"/>
      <c r="T89" s="25"/>
      <c r="U89" s="5"/>
      <c r="V89" s="5"/>
      <c r="W89" s="5"/>
      <c r="X89" s="5"/>
      <c r="Y89" s="5"/>
      <c r="Z89" s="5"/>
      <c r="AA89" s="5"/>
      <c r="AB89" s="5"/>
      <c r="AC89" s="24"/>
      <c r="AD89" s="5"/>
      <c r="AE89" s="5"/>
      <c r="AF89" s="5"/>
      <c r="AG89" s="5">
        <v>1</v>
      </c>
      <c r="AH89" s="5"/>
      <c r="AI89" s="5"/>
      <c r="AJ89" s="25"/>
      <c r="AK89" s="8">
        <v>179</v>
      </c>
      <c r="AM89">
        <v>1</v>
      </c>
      <c r="AO89" s="67">
        <f t="shared" si="4"/>
        <v>2</v>
      </c>
      <c r="AP89">
        <v>21</v>
      </c>
      <c r="AQ89" s="76">
        <f t="shared" si="2"/>
        <v>9.5238095238095233E-2</v>
      </c>
    </row>
    <row r="90" spans="1:43">
      <c r="A90" s="8">
        <v>180</v>
      </c>
      <c r="B90" s="8" t="s">
        <v>143</v>
      </c>
      <c r="C90" s="8" t="s">
        <v>357</v>
      </c>
      <c r="D90" s="8" t="s">
        <v>15</v>
      </c>
      <c r="E90" s="24"/>
      <c r="F90" s="5"/>
      <c r="G90" s="5"/>
      <c r="H90" s="5"/>
      <c r="I90" s="5"/>
      <c r="J90" s="5"/>
      <c r="K90" s="5"/>
      <c r="L90" s="25"/>
      <c r="M90" s="24"/>
      <c r="N90" s="5"/>
      <c r="O90" s="5"/>
      <c r="P90" s="5"/>
      <c r="Q90" s="5"/>
      <c r="R90" s="5"/>
      <c r="S90" s="5"/>
      <c r="T90" s="25"/>
      <c r="U90" s="5"/>
      <c r="V90" s="5"/>
      <c r="W90" s="5"/>
      <c r="X90" s="5"/>
      <c r="Y90" s="5"/>
      <c r="Z90" s="5"/>
      <c r="AA90" s="5"/>
      <c r="AB90" s="5"/>
      <c r="AC90" s="24"/>
      <c r="AD90" s="5"/>
      <c r="AE90" s="5"/>
      <c r="AF90" s="5"/>
      <c r="AG90" s="5"/>
      <c r="AH90" s="5"/>
      <c r="AI90" s="5"/>
      <c r="AJ90" s="25"/>
      <c r="AK90">
        <v>180</v>
      </c>
      <c r="AL90">
        <v>1</v>
      </c>
      <c r="AO90" s="67"/>
      <c r="AP90">
        <v>22</v>
      </c>
      <c r="AQ90" s="76"/>
    </row>
    <row r="91" spans="1:43">
      <c r="A91" s="8">
        <v>181</v>
      </c>
      <c r="B91" s="8" t="s">
        <v>145</v>
      </c>
      <c r="C91" s="8" t="s">
        <v>357</v>
      </c>
      <c r="D91" s="8" t="s">
        <v>15</v>
      </c>
      <c r="E91" s="24"/>
      <c r="F91" s="5"/>
      <c r="G91" s="5">
        <v>1</v>
      </c>
      <c r="H91" s="5"/>
      <c r="I91" s="5"/>
      <c r="J91" s="5"/>
      <c r="K91" s="5"/>
      <c r="L91" s="25"/>
      <c r="M91" s="24"/>
      <c r="N91" s="5"/>
      <c r="O91" s="5"/>
      <c r="P91" s="5"/>
      <c r="Q91" s="5"/>
      <c r="R91" s="5"/>
      <c r="S91" s="5"/>
      <c r="T91" s="25"/>
      <c r="U91" s="5"/>
      <c r="V91" s="5"/>
      <c r="W91" s="5">
        <v>1</v>
      </c>
      <c r="X91" s="5"/>
      <c r="Y91" s="5"/>
      <c r="Z91" s="5"/>
      <c r="AA91" s="5"/>
      <c r="AB91" s="5"/>
      <c r="AC91" s="24"/>
      <c r="AD91" s="5"/>
      <c r="AE91" s="5"/>
      <c r="AF91" s="5"/>
      <c r="AG91" s="5"/>
      <c r="AH91" s="5"/>
      <c r="AI91" s="5">
        <v>1</v>
      </c>
      <c r="AJ91" s="25"/>
      <c r="AK91">
        <v>181</v>
      </c>
      <c r="AM91">
        <v>1</v>
      </c>
      <c r="AO91" s="67">
        <f t="shared" si="4"/>
        <v>3</v>
      </c>
      <c r="AP91">
        <v>28</v>
      </c>
      <c r="AQ91" s="76">
        <f t="shared" si="2"/>
        <v>0.10714285714285714</v>
      </c>
    </row>
    <row r="92" spans="1:43">
      <c r="A92" s="8">
        <v>185</v>
      </c>
      <c r="B92" s="8" t="s">
        <v>5</v>
      </c>
      <c r="C92" s="8" t="s">
        <v>42</v>
      </c>
      <c r="D92" s="8" t="s">
        <v>42</v>
      </c>
      <c r="E92" s="24"/>
      <c r="F92" s="5"/>
      <c r="G92" s="5"/>
      <c r="H92" s="5"/>
      <c r="I92" s="5"/>
      <c r="J92" s="5"/>
      <c r="K92" s="5"/>
      <c r="L92" s="25"/>
      <c r="M92" s="24"/>
      <c r="N92" s="5"/>
      <c r="O92" s="5"/>
      <c r="P92" s="5"/>
      <c r="Q92" s="5"/>
      <c r="R92" s="5">
        <v>1</v>
      </c>
      <c r="S92" s="5"/>
      <c r="T92" s="25">
        <v>1</v>
      </c>
      <c r="U92" s="5"/>
      <c r="V92" s="5"/>
      <c r="W92" s="5"/>
      <c r="X92" s="5"/>
      <c r="Y92" s="5"/>
      <c r="Z92" s="5"/>
      <c r="AA92" s="5"/>
      <c r="AB92" s="5"/>
      <c r="AC92" s="24"/>
      <c r="AD92" s="5"/>
      <c r="AE92" s="5"/>
      <c r="AF92" s="5"/>
      <c r="AG92" s="5"/>
      <c r="AH92" s="5"/>
      <c r="AI92" s="5"/>
      <c r="AJ92" s="25"/>
      <c r="AK92">
        <v>185</v>
      </c>
      <c r="AM92">
        <v>1</v>
      </c>
      <c r="AO92" s="67">
        <f t="shared" si="4"/>
        <v>2</v>
      </c>
      <c r="AP92">
        <v>32</v>
      </c>
      <c r="AQ92" s="76">
        <f t="shared" si="2"/>
        <v>6.25E-2</v>
      </c>
    </row>
    <row r="93" spans="1:43">
      <c r="A93" s="8">
        <v>187</v>
      </c>
      <c r="B93" s="8" t="s">
        <v>44</v>
      </c>
      <c r="C93" s="8" t="s">
        <v>349</v>
      </c>
      <c r="D93" s="8" t="s">
        <v>6</v>
      </c>
      <c r="E93" s="24">
        <v>1</v>
      </c>
      <c r="F93" s="5">
        <v>1</v>
      </c>
      <c r="G93" s="5"/>
      <c r="H93" s="5"/>
      <c r="I93" s="5"/>
      <c r="J93" s="5"/>
      <c r="K93" s="5"/>
      <c r="L93" s="25"/>
      <c r="M93" s="24"/>
      <c r="N93" s="5"/>
      <c r="O93" s="5"/>
      <c r="P93" s="5"/>
      <c r="Q93" s="5">
        <v>1</v>
      </c>
      <c r="R93" s="5">
        <v>1</v>
      </c>
      <c r="S93" s="5">
        <v>1</v>
      </c>
      <c r="T93" s="25">
        <v>1</v>
      </c>
      <c r="U93" s="5"/>
      <c r="V93" s="5"/>
      <c r="W93" s="5"/>
      <c r="X93" s="5"/>
      <c r="Y93" s="5"/>
      <c r="Z93" s="5">
        <v>1</v>
      </c>
      <c r="AA93" s="5"/>
      <c r="AB93" s="5"/>
      <c r="AC93" s="24"/>
      <c r="AD93" s="5"/>
      <c r="AE93" s="5"/>
      <c r="AF93" s="5">
        <v>1</v>
      </c>
      <c r="AG93" s="5">
        <v>1</v>
      </c>
      <c r="AH93" s="5"/>
      <c r="AI93" s="5"/>
      <c r="AJ93" s="25"/>
      <c r="AK93">
        <v>187</v>
      </c>
      <c r="AM93">
        <v>1</v>
      </c>
      <c r="AO93" s="67">
        <f t="shared" si="4"/>
        <v>9</v>
      </c>
      <c r="AP93">
        <v>20</v>
      </c>
      <c r="AQ93" s="76">
        <f t="shared" si="2"/>
        <v>0.45</v>
      </c>
    </row>
    <row r="94" spans="1:43">
      <c r="A94" s="8">
        <v>192</v>
      </c>
      <c r="B94" s="8" t="s">
        <v>149</v>
      </c>
      <c r="C94" s="8" t="s">
        <v>346</v>
      </c>
      <c r="D94" s="8" t="s">
        <v>15</v>
      </c>
      <c r="E94" s="24"/>
      <c r="F94" s="5"/>
      <c r="G94" s="5"/>
      <c r="H94" s="5"/>
      <c r="I94" s="5"/>
      <c r="J94" s="5"/>
      <c r="K94" s="5"/>
      <c r="L94" s="25"/>
      <c r="M94" s="24"/>
      <c r="N94" s="5"/>
      <c r="O94" s="5"/>
      <c r="P94" s="5"/>
      <c r="Q94" s="5"/>
      <c r="R94" s="5"/>
      <c r="S94" s="5"/>
      <c r="T94" s="25"/>
      <c r="U94" s="5"/>
      <c r="V94" s="5"/>
      <c r="W94" s="5"/>
      <c r="X94" s="5"/>
      <c r="Y94" s="5"/>
      <c r="Z94" s="5"/>
      <c r="AA94" s="5"/>
      <c r="AB94" s="5"/>
      <c r="AC94" s="24"/>
      <c r="AD94" s="5"/>
      <c r="AE94" s="5"/>
      <c r="AF94" s="5"/>
      <c r="AG94" s="5"/>
      <c r="AH94" s="5"/>
      <c r="AI94" s="5"/>
      <c r="AJ94" s="25"/>
      <c r="AK94">
        <v>192</v>
      </c>
      <c r="AL94">
        <v>1</v>
      </c>
      <c r="AO94" s="67"/>
      <c r="AP94">
        <v>20</v>
      </c>
      <c r="AQ94" s="76"/>
    </row>
    <row r="95" spans="1:43">
      <c r="A95" s="8">
        <v>193</v>
      </c>
      <c r="B95" s="8" t="s">
        <v>123</v>
      </c>
      <c r="C95" s="8" t="s">
        <v>366</v>
      </c>
      <c r="D95" s="8" t="s">
        <v>6</v>
      </c>
      <c r="E95" s="24">
        <v>1</v>
      </c>
      <c r="F95" s="5">
        <v>1</v>
      </c>
      <c r="G95" s="5">
        <v>1</v>
      </c>
      <c r="H95" s="5">
        <v>1</v>
      </c>
      <c r="I95" s="5"/>
      <c r="J95" s="5"/>
      <c r="K95" s="5"/>
      <c r="L95" s="25"/>
      <c r="M95" s="24"/>
      <c r="N95" s="5"/>
      <c r="O95" s="5"/>
      <c r="P95" s="5">
        <v>1</v>
      </c>
      <c r="Q95" s="5">
        <v>1</v>
      </c>
      <c r="R95" s="5">
        <v>1</v>
      </c>
      <c r="S95" s="5">
        <v>1</v>
      </c>
      <c r="T95" s="25">
        <v>1</v>
      </c>
      <c r="U95" s="5">
        <v>1</v>
      </c>
      <c r="V95" s="5">
        <v>1</v>
      </c>
      <c r="W95" s="5"/>
      <c r="X95" s="5">
        <v>1</v>
      </c>
      <c r="Y95" s="5">
        <v>1</v>
      </c>
      <c r="Z95" s="5"/>
      <c r="AA95" s="5"/>
      <c r="AB95" s="5"/>
      <c r="AC95" s="24"/>
      <c r="AD95" s="5"/>
      <c r="AE95" s="5"/>
      <c r="AF95" s="5">
        <v>1</v>
      </c>
      <c r="AG95" s="5"/>
      <c r="AH95" s="5"/>
      <c r="AI95" s="5">
        <v>1</v>
      </c>
      <c r="AJ95" s="25"/>
      <c r="AK95">
        <v>193</v>
      </c>
      <c r="AM95">
        <v>1</v>
      </c>
      <c r="AO95" s="67">
        <f t="shared" si="4"/>
        <v>15</v>
      </c>
      <c r="AP95">
        <v>29</v>
      </c>
      <c r="AQ95" s="76">
        <f t="shared" si="2"/>
        <v>0.51724137931034486</v>
      </c>
    </row>
    <row r="96" spans="1:43">
      <c r="A96" s="8">
        <v>194</v>
      </c>
      <c r="B96" s="8" t="s">
        <v>62</v>
      </c>
      <c r="C96" s="8" t="s">
        <v>42</v>
      </c>
      <c r="D96" s="8" t="s">
        <v>42</v>
      </c>
      <c r="E96" s="24"/>
      <c r="F96" s="5">
        <v>1</v>
      </c>
      <c r="G96" s="5">
        <v>1</v>
      </c>
      <c r="H96" s="5"/>
      <c r="I96" s="5"/>
      <c r="J96" s="5"/>
      <c r="K96" s="5"/>
      <c r="L96" s="25"/>
      <c r="M96" s="24"/>
      <c r="N96" s="5"/>
      <c r="O96" s="5"/>
      <c r="P96" s="5"/>
      <c r="Q96" s="5"/>
      <c r="R96" s="5">
        <v>1</v>
      </c>
      <c r="S96" s="5">
        <v>1</v>
      </c>
      <c r="T96" s="25">
        <v>1</v>
      </c>
      <c r="U96" s="5">
        <v>1</v>
      </c>
      <c r="V96" s="5">
        <v>1</v>
      </c>
      <c r="W96" s="5"/>
      <c r="X96" s="5"/>
      <c r="Y96" s="5"/>
      <c r="Z96" s="5"/>
      <c r="AA96" s="5"/>
      <c r="AB96" s="5"/>
      <c r="AC96" s="24"/>
      <c r="AD96" s="5"/>
      <c r="AE96" s="5"/>
      <c r="AF96" s="5"/>
      <c r="AG96" s="5"/>
      <c r="AH96" s="5">
        <v>1</v>
      </c>
      <c r="AI96" s="5"/>
      <c r="AJ96" s="25"/>
      <c r="AK96">
        <v>194</v>
      </c>
      <c r="AM96">
        <v>1</v>
      </c>
      <c r="AO96" s="67">
        <f t="shared" si="4"/>
        <v>8</v>
      </c>
      <c r="AP96">
        <v>30</v>
      </c>
      <c r="AQ96" s="76">
        <f t="shared" si="2"/>
        <v>0.26666666666666666</v>
      </c>
    </row>
    <row r="97" spans="1:43">
      <c r="A97" s="8">
        <v>205</v>
      </c>
      <c r="B97" s="8" t="s">
        <v>74</v>
      </c>
      <c r="C97" s="8" t="s">
        <v>346</v>
      </c>
      <c r="D97" s="8" t="s">
        <v>15</v>
      </c>
      <c r="E97" s="24"/>
      <c r="F97" s="5"/>
      <c r="G97" s="5"/>
      <c r="H97" s="5"/>
      <c r="I97" s="5"/>
      <c r="J97" s="5"/>
      <c r="K97" s="5"/>
      <c r="L97" s="25"/>
      <c r="M97" s="24"/>
      <c r="N97" s="5"/>
      <c r="O97" s="5"/>
      <c r="P97" s="5"/>
      <c r="Q97" s="5"/>
      <c r="R97" s="5"/>
      <c r="S97" s="5"/>
      <c r="T97" s="25"/>
      <c r="U97" s="5"/>
      <c r="V97" s="5"/>
      <c r="W97" s="5"/>
      <c r="X97" s="5"/>
      <c r="Y97" s="5"/>
      <c r="Z97" s="5"/>
      <c r="AA97" s="5"/>
      <c r="AB97" s="5"/>
      <c r="AC97" s="24"/>
      <c r="AD97" s="5"/>
      <c r="AE97" s="5"/>
      <c r="AF97" s="5"/>
      <c r="AG97" s="5"/>
      <c r="AH97" s="5"/>
      <c r="AI97" s="5"/>
      <c r="AJ97" s="25"/>
      <c r="AK97">
        <v>205</v>
      </c>
      <c r="AL97">
        <v>1</v>
      </c>
      <c r="AO97" s="67"/>
      <c r="AP97">
        <v>12</v>
      </c>
      <c r="AQ97" s="76"/>
    </row>
    <row r="98" spans="1:43">
      <c r="A98" s="8">
        <v>206</v>
      </c>
      <c r="B98" s="8" t="s">
        <v>139</v>
      </c>
      <c r="C98" s="8" t="s">
        <v>357</v>
      </c>
      <c r="D98" s="8" t="s">
        <v>15</v>
      </c>
      <c r="E98" s="24"/>
      <c r="F98" s="5"/>
      <c r="G98" s="5"/>
      <c r="H98" s="5"/>
      <c r="I98" s="5"/>
      <c r="J98" s="5"/>
      <c r="K98" s="5"/>
      <c r="L98" s="25"/>
      <c r="M98" s="24"/>
      <c r="N98" s="5"/>
      <c r="O98" s="5"/>
      <c r="P98" s="5"/>
      <c r="Q98" s="5"/>
      <c r="R98" s="5"/>
      <c r="S98" s="5"/>
      <c r="T98" s="25"/>
      <c r="U98" s="5"/>
      <c r="V98" s="5"/>
      <c r="W98" s="5"/>
      <c r="X98" s="5"/>
      <c r="Y98" s="5"/>
      <c r="Z98" s="5"/>
      <c r="AA98" s="5"/>
      <c r="AB98" s="5"/>
      <c r="AC98" s="24"/>
      <c r="AD98" s="5"/>
      <c r="AE98" s="5"/>
      <c r="AF98" s="5"/>
      <c r="AG98" s="5"/>
      <c r="AH98" s="5"/>
      <c r="AI98" s="5"/>
      <c r="AJ98" s="25"/>
      <c r="AK98">
        <v>206</v>
      </c>
      <c r="AL98">
        <v>1</v>
      </c>
      <c r="AO98" s="67"/>
      <c r="AP98">
        <v>4</v>
      </c>
      <c r="AQ98" s="76"/>
    </row>
    <row r="99" spans="1:43">
      <c r="A99" s="8">
        <v>210</v>
      </c>
      <c r="B99" s="8" t="s">
        <v>55</v>
      </c>
      <c r="C99" s="8" t="s">
        <v>346</v>
      </c>
      <c r="D99" s="8" t="s">
        <v>15</v>
      </c>
      <c r="E99" s="24"/>
      <c r="F99" s="5"/>
      <c r="G99" s="5"/>
      <c r="H99" s="5"/>
      <c r="I99" s="5"/>
      <c r="J99" s="5"/>
      <c r="K99" s="5"/>
      <c r="L99" s="25"/>
      <c r="M99" s="24"/>
      <c r="N99" s="5"/>
      <c r="O99" s="5"/>
      <c r="P99" s="5"/>
      <c r="Q99" s="5"/>
      <c r="R99" s="5"/>
      <c r="S99" s="5"/>
      <c r="T99" s="25"/>
      <c r="U99" s="5"/>
      <c r="V99" s="5"/>
      <c r="W99" s="5"/>
      <c r="X99" s="5"/>
      <c r="Y99" s="5"/>
      <c r="Z99" s="5"/>
      <c r="AA99" s="5"/>
      <c r="AB99" s="5"/>
      <c r="AC99" s="24"/>
      <c r="AD99" s="5"/>
      <c r="AE99" s="5"/>
      <c r="AF99" s="5"/>
      <c r="AG99" s="5"/>
      <c r="AH99" s="5"/>
      <c r="AI99" s="5"/>
      <c r="AJ99" s="25"/>
      <c r="AK99">
        <v>210</v>
      </c>
      <c r="AL99">
        <v>1</v>
      </c>
      <c r="AO99" s="67"/>
      <c r="AP99">
        <v>20</v>
      </c>
      <c r="AQ99" s="76"/>
    </row>
    <row r="100" spans="1:43">
      <c r="A100" s="8">
        <v>213</v>
      </c>
      <c r="B100" s="8" t="s">
        <v>62</v>
      </c>
      <c r="C100" s="8" t="s">
        <v>42</v>
      </c>
      <c r="D100" s="8" t="s">
        <v>42</v>
      </c>
      <c r="E100" s="24">
        <v>1</v>
      </c>
      <c r="F100" s="5">
        <v>1</v>
      </c>
      <c r="G100" s="5">
        <v>1</v>
      </c>
      <c r="H100" s="5"/>
      <c r="I100" s="5"/>
      <c r="J100" s="5">
        <v>1</v>
      </c>
      <c r="K100" s="5">
        <v>1</v>
      </c>
      <c r="L100" s="25">
        <v>1</v>
      </c>
      <c r="M100" s="24"/>
      <c r="N100" s="5">
        <v>1</v>
      </c>
      <c r="O100" s="5">
        <v>1</v>
      </c>
      <c r="P100" s="5">
        <v>1</v>
      </c>
      <c r="Q100" s="5">
        <v>1</v>
      </c>
      <c r="R100" s="5">
        <v>1</v>
      </c>
      <c r="S100" s="5">
        <v>1</v>
      </c>
      <c r="T100" s="25">
        <v>1</v>
      </c>
      <c r="U100" s="5">
        <v>1</v>
      </c>
      <c r="V100" s="5"/>
      <c r="W100" s="5">
        <v>1</v>
      </c>
      <c r="X100" s="5"/>
      <c r="Y100" s="5"/>
      <c r="Z100" s="5">
        <v>1</v>
      </c>
      <c r="AA100" s="5"/>
      <c r="AB100" s="5"/>
      <c r="AC100" s="24"/>
      <c r="AD100" s="5"/>
      <c r="AE100" s="5"/>
      <c r="AF100" s="5"/>
      <c r="AG100" s="5">
        <v>1</v>
      </c>
      <c r="AH100" s="5">
        <v>1</v>
      </c>
      <c r="AI100" s="5">
        <v>1</v>
      </c>
      <c r="AJ100" s="25">
        <v>1</v>
      </c>
      <c r="AK100">
        <v>213</v>
      </c>
      <c r="AM100">
        <v>1</v>
      </c>
      <c r="AO100" s="67">
        <f t="shared" si="4"/>
        <v>20</v>
      </c>
      <c r="AP100">
        <v>30</v>
      </c>
      <c r="AQ100" s="76">
        <f t="shared" si="2"/>
        <v>0.66666666666666663</v>
      </c>
    </row>
    <row r="101" spans="1:43">
      <c r="A101" s="8">
        <v>214</v>
      </c>
      <c r="B101" s="8" t="s">
        <v>63</v>
      </c>
      <c r="C101" s="8" t="s">
        <v>346</v>
      </c>
      <c r="D101" s="8" t="s">
        <v>15</v>
      </c>
      <c r="E101" s="24"/>
      <c r="F101" s="5"/>
      <c r="G101" s="5"/>
      <c r="H101" s="5"/>
      <c r="I101" s="5"/>
      <c r="J101" s="5"/>
      <c r="K101" s="5"/>
      <c r="L101" s="25"/>
      <c r="M101" s="24"/>
      <c r="N101" s="5"/>
      <c r="O101" s="5"/>
      <c r="P101" s="5"/>
      <c r="Q101" s="5"/>
      <c r="R101" s="5"/>
      <c r="S101" s="5"/>
      <c r="T101" s="25"/>
      <c r="U101" s="5"/>
      <c r="V101" s="5"/>
      <c r="W101" s="5"/>
      <c r="X101" s="5"/>
      <c r="Y101" s="5"/>
      <c r="Z101" s="5"/>
      <c r="AA101" s="5"/>
      <c r="AB101" s="5"/>
      <c r="AC101" s="24"/>
      <c r="AD101" s="5"/>
      <c r="AE101" s="5"/>
      <c r="AF101" s="5"/>
      <c r="AG101" s="5"/>
      <c r="AH101" s="5"/>
      <c r="AI101" s="5"/>
      <c r="AJ101" s="25"/>
      <c r="AK101">
        <v>214</v>
      </c>
      <c r="AL101">
        <v>1</v>
      </c>
      <c r="AO101" s="67"/>
      <c r="AP101">
        <v>10</v>
      </c>
      <c r="AQ101" s="76"/>
    </row>
    <row r="102" spans="1:43">
      <c r="A102" s="8">
        <v>216</v>
      </c>
      <c r="B102" s="81" t="s">
        <v>71</v>
      </c>
      <c r="C102" s="8" t="s">
        <v>366</v>
      </c>
      <c r="D102" s="81" t="s">
        <v>42</v>
      </c>
      <c r="E102" s="24"/>
      <c r="F102" s="5"/>
      <c r="G102" s="5"/>
      <c r="H102" s="5"/>
      <c r="I102" s="5"/>
      <c r="J102" s="5"/>
      <c r="K102" s="5"/>
      <c r="L102" s="25"/>
      <c r="M102" s="24"/>
      <c r="N102" s="5"/>
      <c r="O102" s="5"/>
      <c r="P102" s="5"/>
      <c r="Q102" s="5"/>
      <c r="R102" s="5"/>
      <c r="S102" s="5"/>
      <c r="T102" s="25"/>
      <c r="U102" s="5">
        <v>1</v>
      </c>
      <c r="V102" s="5">
        <v>1</v>
      </c>
      <c r="W102" s="5">
        <v>1</v>
      </c>
      <c r="X102" s="5"/>
      <c r="Y102" s="5"/>
      <c r="Z102" s="5"/>
      <c r="AA102" s="5">
        <v>1</v>
      </c>
      <c r="AB102" s="5">
        <v>1</v>
      </c>
      <c r="AC102" s="24"/>
      <c r="AD102" s="5"/>
      <c r="AE102" s="5"/>
      <c r="AF102" s="5"/>
      <c r="AG102" s="5"/>
      <c r="AH102" s="5"/>
      <c r="AI102" s="5"/>
      <c r="AJ102" s="25"/>
      <c r="AK102">
        <v>216</v>
      </c>
      <c r="AM102">
        <v>1</v>
      </c>
      <c r="AO102" s="67">
        <f t="shared" si="4"/>
        <v>5</v>
      </c>
      <c r="AP102">
        <v>24</v>
      </c>
      <c r="AQ102" s="76">
        <f t="shared" si="2"/>
        <v>0.20833333333333334</v>
      </c>
    </row>
    <row r="103" spans="1:43">
      <c r="A103" s="8">
        <v>219</v>
      </c>
      <c r="B103" s="81" t="s">
        <v>106</v>
      </c>
      <c r="C103" s="8" t="s">
        <v>349</v>
      </c>
      <c r="D103" s="81" t="s">
        <v>6</v>
      </c>
      <c r="E103" s="24"/>
      <c r="F103" s="5"/>
      <c r="G103" s="5"/>
      <c r="H103" s="5"/>
      <c r="I103" s="5"/>
      <c r="J103" s="5"/>
      <c r="K103" s="5"/>
      <c r="L103" s="25"/>
      <c r="M103" s="24"/>
      <c r="N103" s="5"/>
      <c r="O103" s="5"/>
      <c r="P103" s="5"/>
      <c r="Q103" s="5"/>
      <c r="R103" s="5"/>
      <c r="S103" s="5"/>
      <c r="T103" s="25"/>
      <c r="U103" s="5"/>
      <c r="V103" s="5"/>
      <c r="W103" s="5"/>
      <c r="X103" s="5"/>
      <c r="Y103" s="5"/>
      <c r="Z103" s="5"/>
      <c r="AA103" s="5"/>
      <c r="AB103" s="5"/>
      <c r="AC103" s="24"/>
      <c r="AD103" s="5"/>
      <c r="AE103" s="5">
        <v>1</v>
      </c>
      <c r="AF103" s="5">
        <v>1</v>
      </c>
      <c r="AG103" s="5"/>
      <c r="AH103" s="5"/>
      <c r="AI103" s="5"/>
      <c r="AJ103" s="25"/>
      <c r="AK103">
        <v>219</v>
      </c>
      <c r="AM103">
        <v>1</v>
      </c>
      <c r="AO103" s="67">
        <f t="shared" si="4"/>
        <v>2</v>
      </c>
      <c r="AP103">
        <v>2</v>
      </c>
      <c r="AQ103" s="76">
        <f t="shared" si="2"/>
        <v>1</v>
      </c>
    </row>
    <row r="104" spans="1:43">
      <c r="A104" s="8">
        <v>220</v>
      </c>
      <c r="B104" s="81" t="s">
        <v>71</v>
      </c>
      <c r="C104" s="8" t="s">
        <v>366</v>
      </c>
      <c r="D104" s="81" t="s">
        <v>6</v>
      </c>
      <c r="E104" s="24"/>
      <c r="F104" s="5">
        <v>1</v>
      </c>
      <c r="G104" s="5"/>
      <c r="H104" s="5">
        <v>1</v>
      </c>
      <c r="I104" s="5"/>
      <c r="J104" s="5"/>
      <c r="K104" s="5"/>
      <c r="L104" s="25"/>
      <c r="M104" s="24"/>
      <c r="N104" s="5"/>
      <c r="O104" s="5"/>
      <c r="P104" s="5"/>
      <c r="Q104" s="5"/>
      <c r="R104" s="5"/>
      <c r="S104" s="5"/>
      <c r="T104" s="25"/>
      <c r="U104" s="5"/>
      <c r="V104" s="5">
        <v>1</v>
      </c>
      <c r="W104" s="5">
        <v>1</v>
      </c>
      <c r="X104" s="5"/>
      <c r="Y104" s="5">
        <v>1</v>
      </c>
      <c r="Z104" s="5"/>
      <c r="AA104" s="5"/>
      <c r="AB104" s="5"/>
      <c r="AC104" s="24"/>
      <c r="AD104" s="5"/>
      <c r="AE104" s="5"/>
      <c r="AF104" s="5">
        <v>1</v>
      </c>
      <c r="AG104" s="5"/>
      <c r="AH104" s="5">
        <v>1</v>
      </c>
      <c r="AI104" s="5">
        <v>1</v>
      </c>
      <c r="AJ104" s="25"/>
      <c r="AK104">
        <v>220</v>
      </c>
      <c r="AM104">
        <v>1</v>
      </c>
      <c r="AO104" s="67">
        <f t="shared" si="4"/>
        <v>8</v>
      </c>
      <c r="AP104">
        <v>22</v>
      </c>
      <c r="AQ104" s="76">
        <f t="shared" si="2"/>
        <v>0.36363636363636365</v>
      </c>
    </row>
    <row r="105" spans="1:43">
      <c r="A105" s="8">
        <v>222</v>
      </c>
      <c r="B105" s="8" t="s">
        <v>131</v>
      </c>
      <c r="C105" s="8" t="s">
        <v>358</v>
      </c>
      <c r="D105" s="8" t="s">
        <v>15</v>
      </c>
      <c r="E105" s="24"/>
      <c r="F105" s="5"/>
      <c r="G105" s="5"/>
      <c r="H105" s="5"/>
      <c r="I105" s="5"/>
      <c r="J105" s="5"/>
      <c r="K105" s="5"/>
      <c r="L105" s="25"/>
      <c r="M105" s="24"/>
      <c r="N105" s="5"/>
      <c r="O105" s="5"/>
      <c r="P105" s="5"/>
      <c r="Q105" s="5"/>
      <c r="R105" s="5"/>
      <c r="S105" s="5"/>
      <c r="T105" s="25"/>
      <c r="U105" s="5"/>
      <c r="V105" s="5"/>
      <c r="W105" s="5"/>
      <c r="X105" s="5"/>
      <c r="Y105" s="5"/>
      <c r="Z105" s="5"/>
      <c r="AA105" s="5"/>
      <c r="AB105" s="5"/>
      <c r="AC105" s="24"/>
      <c r="AD105" s="5"/>
      <c r="AE105" s="5"/>
      <c r="AF105" s="5"/>
      <c r="AG105" s="5"/>
      <c r="AH105" s="5"/>
      <c r="AI105" s="5"/>
      <c r="AJ105" s="25"/>
      <c r="AK105" s="8">
        <v>222</v>
      </c>
      <c r="AL105">
        <v>1</v>
      </c>
      <c r="AO105" s="67"/>
      <c r="AP105">
        <v>17</v>
      </c>
      <c r="AQ105" s="76"/>
    </row>
    <row r="106" spans="1:43">
      <c r="A106" s="8">
        <v>224</v>
      </c>
      <c r="B106" s="8" t="s">
        <v>68</v>
      </c>
      <c r="C106" s="8" t="s">
        <v>357</v>
      </c>
      <c r="D106" s="8" t="s">
        <v>15</v>
      </c>
      <c r="E106" s="24"/>
      <c r="F106" s="5"/>
      <c r="G106" s="5"/>
      <c r="H106" s="5"/>
      <c r="I106" s="5"/>
      <c r="J106" s="5"/>
      <c r="K106" s="5"/>
      <c r="L106" s="25"/>
      <c r="M106" s="24"/>
      <c r="N106" s="5"/>
      <c r="O106" s="5"/>
      <c r="P106" s="5"/>
      <c r="Q106" s="5"/>
      <c r="R106" s="5"/>
      <c r="S106" s="5"/>
      <c r="T106" s="25"/>
      <c r="U106" s="5"/>
      <c r="V106" s="5"/>
      <c r="W106" s="5"/>
      <c r="X106" s="5"/>
      <c r="Y106" s="5"/>
      <c r="Z106" s="5"/>
      <c r="AA106" s="5"/>
      <c r="AB106" s="5"/>
      <c r="AC106" s="24"/>
      <c r="AD106" s="5"/>
      <c r="AE106" s="5"/>
      <c r="AF106" s="5"/>
      <c r="AG106" s="5"/>
      <c r="AH106" s="5"/>
      <c r="AI106" s="5"/>
      <c r="AJ106" s="25"/>
      <c r="AK106">
        <v>224</v>
      </c>
      <c r="AL106">
        <v>1</v>
      </c>
      <c r="AO106" s="67"/>
      <c r="AP106">
        <v>24</v>
      </c>
      <c r="AQ106" s="76"/>
    </row>
    <row r="107" spans="1:43">
      <c r="A107" s="8">
        <v>227</v>
      </c>
      <c r="B107" s="8" t="s">
        <v>123</v>
      </c>
      <c r="C107" s="8" t="s">
        <v>366</v>
      </c>
      <c r="D107" s="8" t="s">
        <v>6</v>
      </c>
      <c r="E107" s="24"/>
      <c r="F107" s="5">
        <v>1</v>
      </c>
      <c r="G107" s="5">
        <v>1</v>
      </c>
      <c r="H107" s="5"/>
      <c r="I107" s="5"/>
      <c r="J107" s="5"/>
      <c r="K107" s="5"/>
      <c r="L107" s="25"/>
      <c r="M107" s="24"/>
      <c r="N107" s="5"/>
      <c r="O107" s="5"/>
      <c r="P107" s="5"/>
      <c r="Q107" s="5"/>
      <c r="R107" s="5">
        <v>1</v>
      </c>
      <c r="S107" s="5">
        <v>1</v>
      </c>
      <c r="T107" s="25"/>
      <c r="U107" s="5"/>
      <c r="V107" s="5"/>
      <c r="W107" s="5"/>
      <c r="X107" s="5"/>
      <c r="Y107" s="5"/>
      <c r="Z107" s="5"/>
      <c r="AA107" s="5"/>
      <c r="AB107" s="5"/>
      <c r="AC107" s="24"/>
      <c r="AD107" s="5"/>
      <c r="AE107" s="5"/>
      <c r="AF107" s="5"/>
      <c r="AG107" s="5"/>
      <c r="AH107" s="5"/>
      <c r="AI107" s="5"/>
      <c r="AJ107" s="25"/>
      <c r="AK107">
        <v>227</v>
      </c>
      <c r="AM107">
        <v>1</v>
      </c>
      <c r="AO107" s="67">
        <f t="shared" si="4"/>
        <v>4</v>
      </c>
      <c r="AP107">
        <v>20</v>
      </c>
      <c r="AQ107" s="76">
        <f t="shared" si="2"/>
        <v>0.2</v>
      </c>
    </row>
    <row r="108" spans="1:43">
      <c r="A108" s="8">
        <v>228</v>
      </c>
      <c r="B108" s="8" t="s">
        <v>74</v>
      </c>
      <c r="C108" s="8" t="s">
        <v>346</v>
      </c>
      <c r="D108" s="8" t="s">
        <v>15</v>
      </c>
      <c r="E108" s="24"/>
      <c r="F108" s="5"/>
      <c r="G108" s="5"/>
      <c r="H108" s="5"/>
      <c r="I108" s="5"/>
      <c r="J108" s="5"/>
      <c r="K108" s="5"/>
      <c r="L108" s="25"/>
      <c r="M108" s="24"/>
      <c r="N108" s="5"/>
      <c r="O108" s="5"/>
      <c r="P108" s="5"/>
      <c r="Q108" s="5"/>
      <c r="R108" s="5"/>
      <c r="S108" s="5"/>
      <c r="T108" s="25"/>
      <c r="U108" s="5"/>
      <c r="V108" s="5"/>
      <c r="W108" s="5"/>
      <c r="X108" s="5"/>
      <c r="Y108" s="5"/>
      <c r="Z108" s="5"/>
      <c r="AA108" s="5"/>
      <c r="AB108" s="5"/>
      <c r="AC108" s="24"/>
      <c r="AD108" s="5"/>
      <c r="AE108" s="5"/>
      <c r="AF108" s="5"/>
      <c r="AG108" s="5"/>
      <c r="AH108" s="5"/>
      <c r="AI108" s="5"/>
      <c r="AJ108" s="25"/>
      <c r="AK108">
        <v>228</v>
      </c>
      <c r="AL108">
        <v>1</v>
      </c>
      <c r="AO108" s="67"/>
      <c r="AP108">
        <v>20</v>
      </c>
      <c r="AQ108" s="76"/>
    </row>
    <row r="109" spans="1:43">
      <c r="A109" s="8">
        <v>229</v>
      </c>
      <c r="B109" s="8" t="s">
        <v>74</v>
      </c>
      <c r="C109" s="8" t="s">
        <v>346</v>
      </c>
      <c r="D109" s="8" t="s">
        <v>15</v>
      </c>
      <c r="E109" s="24"/>
      <c r="F109" s="5"/>
      <c r="G109" s="5"/>
      <c r="H109" s="5"/>
      <c r="I109" s="5"/>
      <c r="J109" s="5"/>
      <c r="K109" s="5"/>
      <c r="L109" s="25"/>
      <c r="M109" s="24"/>
      <c r="N109" s="5"/>
      <c r="O109" s="5"/>
      <c r="P109" s="5"/>
      <c r="Q109" s="5"/>
      <c r="R109" s="5"/>
      <c r="S109" s="5"/>
      <c r="T109" s="25"/>
      <c r="U109" s="5"/>
      <c r="V109" s="5"/>
      <c r="W109" s="5"/>
      <c r="X109" s="5"/>
      <c r="Y109" s="5"/>
      <c r="Z109" s="5"/>
      <c r="AA109" s="5"/>
      <c r="AB109" s="5"/>
      <c r="AC109" s="24"/>
      <c r="AD109" s="5"/>
      <c r="AE109" s="5"/>
      <c r="AF109" s="5"/>
      <c r="AG109" s="5"/>
      <c r="AH109" s="5"/>
      <c r="AI109" s="5"/>
      <c r="AJ109" s="25"/>
      <c r="AK109">
        <v>229</v>
      </c>
      <c r="AL109">
        <v>1</v>
      </c>
      <c r="AO109" s="67"/>
      <c r="AP109">
        <v>14</v>
      </c>
      <c r="AQ109" s="76"/>
    </row>
    <row r="110" spans="1:43">
      <c r="A110" s="8">
        <v>234</v>
      </c>
      <c r="B110" s="8" t="s">
        <v>44</v>
      </c>
      <c r="C110" s="8" t="s">
        <v>349</v>
      </c>
      <c r="D110" s="8" t="s">
        <v>42</v>
      </c>
      <c r="E110" s="24"/>
      <c r="F110" s="5"/>
      <c r="G110" s="5"/>
      <c r="H110" s="5"/>
      <c r="I110" s="5"/>
      <c r="J110" s="5"/>
      <c r="K110" s="5"/>
      <c r="L110" s="25"/>
      <c r="M110" s="24"/>
      <c r="N110" s="5"/>
      <c r="O110" s="5"/>
      <c r="P110" s="5"/>
      <c r="Q110" s="5"/>
      <c r="R110" s="5"/>
      <c r="S110" s="5"/>
      <c r="T110" s="25"/>
      <c r="U110" s="5"/>
      <c r="V110" s="5"/>
      <c r="W110" s="5"/>
      <c r="X110" s="5"/>
      <c r="Y110" s="5"/>
      <c r="Z110" s="5"/>
      <c r="AA110" s="5"/>
      <c r="AB110" s="5"/>
      <c r="AC110" s="24"/>
      <c r="AD110" s="5"/>
      <c r="AE110" s="5"/>
      <c r="AF110" s="5"/>
      <c r="AG110" s="5"/>
      <c r="AH110" s="5"/>
      <c r="AI110" s="5"/>
      <c r="AJ110" s="25"/>
      <c r="AK110">
        <v>234</v>
      </c>
      <c r="AL110">
        <v>1</v>
      </c>
      <c r="AO110" s="67"/>
      <c r="AP110">
        <v>11</v>
      </c>
      <c r="AQ110" s="76"/>
    </row>
    <row r="111" spans="1:43">
      <c r="A111" s="8">
        <v>237</v>
      </c>
      <c r="B111" s="8" t="s">
        <v>63</v>
      </c>
      <c r="C111" s="8" t="s">
        <v>346</v>
      </c>
      <c r="D111" s="8" t="s">
        <v>15</v>
      </c>
      <c r="E111" s="24"/>
      <c r="F111" s="5"/>
      <c r="G111" s="5"/>
      <c r="H111" s="5"/>
      <c r="I111" s="5"/>
      <c r="J111" s="5"/>
      <c r="K111" s="5"/>
      <c r="L111" s="25"/>
      <c r="M111" s="24"/>
      <c r="N111" s="5"/>
      <c r="O111" s="5"/>
      <c r="P111" s="5"/>
      <c r="Q111" s="5"/>
      <c r="R111" s="5"/>
      <c r="S111" s="5"/>
      <c r="T111" s="25"/>
      <c r="U111" s="5"/>
      <c r="V111" s="5"/>
      <c r="W111" s="5"/>
      <c r="X111" s="5"/>
      <c r="Y111" s="5"/>
      <c r="Z111" s="5"/>
      <c r="AA111" s="5"/>
      <c r="AB111" s="5"/>
      <c r="AC111" s="24"/>
      <c r="AD111" s="5"/>
      <c r="AE111" s="5"/>
      <c r="AF111" s="5"/>
      <c r="AG111" s="5"/>
      <c r="AH111" s="5"/>
      <c r="AI111" s="5"/>
      <c r="AJ111" s="25"/>
      <c r="AK111">
        <v>237</v>
      </c>
      <c r="AL111">
        <v>1</v>
      </c>
      <c r="AO111" s="67"/>
      <c r="AP111">
        <v>5</v>
      </c>
      <c r="AQ111" s="76"/>
    </row>
    <row r="112" spans="1:43">
      <c r="A112" s="8">
        <v>241</v>
      </c>
      <c r="B112" s="8" t="s">
        <v>78</v>
      </c>
      <c r="C112" s="8" t="s">
        <v>359</v>
      </c>
      <c r="D112" s="8" t="s">
        <v>15</v>
      </c>
      <c r="E112" s="24"/>
      <c r="F112" s="5"/>
      <c r="G112" s="5"/>
      <c r="H112" s="5">
        <v>1</v>
      </c>
      <c r="I112" s="5"/>
      <c r="J112" s="5"/>
      <c r="K112" s="5"/>
      <c r="L112" s="25"/>
      <c r="M112" s="24"/>
      <c r="N112" s="5"/>
      <c r="O112" s="5"/>
      <c r="P112" s="5">
        <v>1</v>
      </c>
      <c r="Q112" s="5">
        <v>1</v>
      </c>
      <c r="R112" s="5"/>
      <c r="S112" s="5"/>
      <c r="T112" s="25"/>
      <c r="U112" s="5"/>
      <c r="V112" s="5"/>
      <c r="W112" s="5"/>
      <c r="X112" s="5"/>
      <c r="Y112" s="5"/>
      <c r="Z112" s="5"/>
      <c r="AA112" s="5"/>
      <c r="AB112" s="5"/>
      <c r="AC112" s="24"/>
      <c r="AD112" s="5"/>
      <c r="AE112" s="5"/>
      <c r="AF112" s="5"/>
      <c r="AG112" s="5"/>
      <c r="AH112" s="5"/>
      <c r="AI112" s="5"/>
      <c r="AJ112" s="25"/>
      <c r="AK112">
        <v>241</v>
      </c>
      <c r="AM112">
        <v>1</v>
      </c>
      <c r="AO112" s="67">
        <f t="shared" si="4"/>
        <v>3</v>
      </c>
      <c r="AP112">
        <v>19</v>
      </c>
      <c r="AQ112" s="76">
        <f t="shared" si="2"/>
        <v>0.15789473684210525</v>
      </c>
    </row>
    <row r="113" spans="1:43">
      <c r="A113" s="8">
        <v>246</v>
      </c>
      <c r="B113" s="8" t="s">
        <v>59</v>
      </c>
      <c r="C113" s="8" t="s">
        <v>346</v>
      </c>
      <c r="D113" s="8" t="s">
        <v>15</v>
      </c>
      <c r="E113" s="24"/>
      <c r="F113" s="5"/>
      <c r="G113" s="5"/>
      <c r="H113" s="5"/>
      <c r="I113" s="5"/>
      <c r="J113" s="5"/>
      <c r="K113" s="5"/>
      <c r="L113" s="25"/>
      <c r="M113" s="24"/>
      <c r="N113" s="5"/>
      <c r="O113" s="5"/>
      <c r="P113" s="5"/>
      <c r="Q113" s="5"/>
      <c r="R113" s="5"/>
      <c r="S113" s="5"/>
      <c r="T113" s="25"/>
      <c r="U113" s="5"/>
      <c r="V113" s="5"/>
      <c r="W113" s="5"/>
      <c r="X113" s="5"/>
      <c r="Y113" s="5">
        <v>1</v>
      </c>
      <c r="Z113" s="5"/>
      <c r="AA113" s="5"/>
      <c r="AB113" s="5"/>
      <c r="AC113" s="24"/>
      <c r="AD113" s="5"/>
      <c r="AE113" s="5"/>
      <c r="AF113" s="5"/>
      <c r="AG113" s="5"/>
      <c r="AH113" s="5"/>
      <c r="AI113" s="5"/>
      <c r="AJ113" s="25"/>
      <c r="AK113">
        <v>246</v>
      </c>
      <c r="AM113">
        <v>1</v>
      </c>
      <c r="AO113" s="67">
        <f t="shared" si="4"/>
        <v>1</v>
      </c>
      <c r="AP113">
        <v>20</v>
      </c>
      <c r="AQ113" s="76">
        <f t="shared" si="2"/>
        <v>0.05</v>
      </c>
    </row>
    <row r="114" spans="1:43" s="8" customFormat="1">
      <c r="A114" s="8">
        <v>251</v>
      </c>
      <c r="B114" s="55" t="s">
        <v>161</v>
      </c>
      <c r="C114" s="8" t="s">
        <v>357</v>
      </c>
      <c r="D114" s="8" t="s">
        <v>15</v>
      </c>
      <c r="E114" s="24"/>
      <c r="F114" s="5"/>
      <c r="G114" s="5"/>
      <c r="H114" s="5"/>
      <c r="I114" s="5"/>
      <c r="J114" s="5"/>
      <c r="K114" s="5"/>
      <c r="L114" s="25"/>
      <c r="M114" s="24"/>
      <c r="N114" s="5"/>
      <c r="O114" s="5"/>
      <c r="P114" s="5"/>
      <c r="Q114" s="5"/>
      <c r="R114" s="5"/>
      <c r="S114" s="5"/>
      <c r="T114" s="25"/>
      <c r="U114" s="5"/>
      <c r="V114" s="5"/>
      <c r="W114" s="5"/>
      <c r="X114" s="5"/>
      <c r="Y114" s="5"/>
      <c r="Z114" s="5"/>
      <c r="AA114" s="5"/>
      <c r="AB114" s="5"/>
      <c r="AC114" s="24"/>
      <c r="AD114" s="5"/>
      <c r="AE114" s="5"/>
      <c r="AF114" s="5"/>
      <c r="AG114" s="5"/>
      <c r="AH114" s="5">
        <v>1</v>
      </c>
      <c r="AI114" s="5"/>
      <c r="AJ114" s="25"/>
      <c r="AK114" s="8">
        <v>251</v>
      </c>
      <c r="AM114" s="8">
        <v>1</v>
      </c>
      <c r="AO114" s="67">
        <f t="shared" si="4"/>
        <v>1</v>
      </c>
      <c r="AP114" s="8">
        <v>13</v>
      </c>
      <c r="AQ114" s="76">
        <f t="shared" si="2"/>
        <v>7.6923076923076927E-2</v>
      </c>
    </row>
    <row r="115" spans="1:43" s="8" customFormat="1">
      <c r="A115" s="8">
        <v>254</v>
      </c>
      <c r="B115" s="8" t="s">
        <v>162</v>
      </c>
      <c r="C115" s="8" t="s">
        <v>12</v>
      </c>
      <c r="D115" s="8" t="s">
        <v>42</v>
      </c>
      <c r="E115" s="24"/>
      <c r="F115" s="5"/>
      <c r="G115" s="5"/>
      <c r="H115" s="5"/>
      <c r="I115" s="5"/>
      <c r="J115" s="5"/>
      <c r="K115" s="5"/>
      <c r="L115" s="25"/>
      <c r="M115" s="24"/>
      <c r="N115" s="5"/>
      <c r="O115" s="5"/>
      <c r="P115" s="5"/>
      <c r="Q115" s="5"/>
      <c r="R115" s="5">
        <v>1</v>
      </c>
      <c r="S115" s="5"/>
      <c r="T115" s="25"/>
      <c r="U115" s="5"/>
      <c r="V115" s="5">
        <v>1</v>
      </c>
      <c r="W115" s="5"/>
      <c r="X115" s="5"/>
      <c r="Y115" s="5"/>
      <c r="Z115" s="5"/>
      <c r="AA115" s="5"/>
      <c r="AB115" s="5"/>
      <c r="AC115" s="24"/>
      <c r="AD115" s="5"/>
      <c r="AE115" s="5"/>
      <c r="AF115" s="5"/>
      <c r="AG115" s="5"/>
      <c r="AH115" s="5">
        <v>1</v>
      </c>
      <c r="AI115" s="5"/>
      <c r="AJ115" s="25"/>
      <c r="AK115" s="8">
        <v>254</v>
      </c>
      <c r="AM115" s="8">
        <v>1</v>
      </c>
      <c r="AO115" s="67">
        <f t="shared" si="4"/>
        <v>3</v>
      </c>
      <c r="AP115" s="8">
        <v>32</v>
      </c>
      <c r="AQ115" s="76">
        <f t="shared" si="2"/>
        <v>9.375E-2</v>
      </c>
    </row>
    <row r="116" spans="1:43" s="8" customFormat="1">
      <c r="A116" s="8">
        <v>255</v>
      </c>
      <c r="B116" s="8" t="s">
        <v>59</v>
      </c>
      <c r="C116" s="8" t="s">
        <v>346</v>
      </c>
      <c r="D116" s="8" t="s">
        <v>15</v>
      </c>
      <c r="E116" s="24"/>
      <c r="F116" s="5"/>
      <c r="G116" s="5"/>
      <c r="H116" s="5"/>
      <c r="I116" s="5"/>
      <c r="J116" s="5"/>
      <c r="K116" s="5"/>
      <c r="L116" s="25"/>
      <c r="M116" s="24"/>
      <c r="N116" s="5"/>
      <c r="O116" s="5"/>
      <c r="P116" s="5"/>
      <c r="Q116" s="5"/>
      <c r="R116" s="5"/>
      <c r="S116" s="5"/>
      <c r="T116" s="25"/>
      <c r="U116" s="5"/>
      <c r="V116" s="5"/>
      <c r="W116" s="5"/>
      <c r="X116" s="5"/>
      <c r="Y116" s="5"/>
      <c r="Z116" s="5"/>
      <c r="AA116" s="5"/>
      <c r="AB116" s="5"/>
      <c r="AC116" s="24"/>
      <c r="AD116" s="5"/>
      <c r="AE116" s="5"/>
      <c r="AF116" s="5"/>
      <c r="AG116" s="5"/>
      <c r="AH116" s="5"/>
      <c r="AI116" s="5"/>
      <c r="AJ116" s="25"/>
      <c r="AK116" s="8">
        <v>255</v>
      </c>
      <c r="AL116" s="8">
        <v>1</v>
      </c>
      <c r="AO116" s="67"/>
      <c r="AP116" s="8">
        <v>1</v>
      </c>
      <c r="AQ116" s="76"/>
    </row>
    <row r="117" spans="1:43">
      <c r="A117" s="8">
        <v>256</v>
      </c>
      <c r="B117" s="8" t="s">
        <v>44</v>
      </c>
      <c r="C117" s="8" t="s">
        <v>349</v>
      </c>
      <c r="D117" s="8" t="s">
        <v>42</v>
      </c>
      <c r="E117" s="24"/>
      <c r="F117" s="5"/>
      <c r="G117" s="5"/>
      <c r="H117" s="5"/>
      <c r="I117" s="5"/>
      <c r="J117" s="5"/>
      <c r="K117" s="5"/>
      <c r="L117" s="25"/>
      <c r="M117" s="24"/>
      <c r="N117" s="5"/>
      <c r="O117" s="5"/>
      <c r="P117" s="5"/>
      <c r="Q117" s="5"/>
      <c r="R117" s="5"/>
      <c r="S117" s="5"/>
      <c r="T117" s="25"/>
      <c r="U117" s="5"/>
      <c r="V117" s="5"/>
      <c r="W117" s="5"/>
      <c r="X117" s="5"/>
      <c r="Y117" s="5"/>
      <c r="Z117" s="5">
        <v>1</v>
      </c>
      <c r="AA117" s="5"/>
      <c r="AB117" s="5"/>
      <c r="AC117" s="24"/>
      <c r="AD117" s="5"/>
      <c r="AE117" s="5"/>
      <c r="AF117" s="5"/>
      <c r="AG117" s="5"/>
      <c r="AH117" s="5"/>
      <c r="AI117" s="5"/>
      <c r="AJ117" s="25"/>
      <c r="AK117">
        <v>256</v>
      </c>
      <c r="AM117">
        <v>1</v>
      </c>
      <c r="AO117" s="67">
        <f t="shared" si="4"/>
        <v>1</v>
      </c>
      <c r="AP117">
        <v>8</v>
      </c>
      <c r="AQ117" s="76">
        <f t="shared" si="2"/>
        <v>0.125</v>
      </c>
    </row>
    <row r="118" spans="1:43">
      <c r="A118" s="8">
        <v>257</v>
      </c>
      <c r="B118" s="8" t="s">
        <v>55</v>
      </c>
      <c r="C118" s="8" t="s">
        <v>346</v>
      </c>
      <c r="D118" s="8" t="s">
        <v>15</v>
      </c>
      <c r="E118" s="24"/>
      <c r="F118" s="5"/>
      <c r="G118" s="5"/>
      <c r="H118" s="5"/>
      <c r="I118" s="5"/>
      <c r="J118" s="5"/>
      <c r="K118" s="5"/>
      <c r="L118" s="25"/>
      <c r="M118" s="24"/>
      <c r="N118" s="5"/>
      <c r="O118" s="5"/>
      <c r="P118" s="5"/>
      <c r="Q118" s="5"/>
      <c r="R118" s="5"/>
      <c r="S118" s="5"/>
      <c r="T118" s="25"/>
      <c r="U118" s="5"/>
      <c r="V118" s="5"/>
      <c r="W118" s="5"/>
      <c r="X118" s="5"/>
      <c r="Y118" s="5"/>
      <c r="Z118" s="5"/>
      <c r="AA118" s="5"/>
      <c r="AB118" s="5"/>
      <c r="AC118" s="24"/>
      <c r="AD118" s="5"/>
      <c r="AE118" s="5"/>
      <c r="AF118" s="5"/>
      <c r="AG118" s="5"/>
      <c r="AH118" s="5"/>
      <c r="AI118" s="5"/>
      <c r="AJ118" s="25"/>
      <c r="AK118">
        <v>257</v>
      </c>
      <c r="AL118">
        <v>1</v>
      </c>
      <c r="AO118" s="67"/>
      <c r="AP118">
        <v>16</v>
      </c>
      <c r="AQ118" s="76"/>
    </row>
    <row r="119" spans="1:43" s="67" customFormat="1">
      <c r="A119" s="8">
        <v>258</v>
      </c>
      <c r="B119" s="8" t="s">
        <v>74</v>
      </c>
      <c r="C119" s="8" t="s">
        <v>346</v>
      </c>
      <c r="D119" s="8" t="s">
        <v>15</v>
      </c>
      <c r="E119" s="24"/>
      <c r="F119" s="5"/>
      <c r="G119" s="5"/>
      <c r="H119" s="5"/>
      <c r="I119" s="5"/>
      <c r="J119" s="5"/>
      <c r="K119" s="5"/>
      <c r="L119" s="25"/>
      <c r="M119" s="24"/>
      <c r="N119" s="5"/>
      <c r="O119" s="5"/>
      <c r="P119" s="5"/>
      <c r="Q119" s="5"/>
      <c r="R119" s="5"/>
      <c r="S119" s="5"/>
      <c r="T119" s="25"/>
      <c r="U119" s="5"/>
      <c r="V119" s="5"/>
      <c r="W119" s="5"/>
      <c r="X119" s="5"/>
      <c r="Y119" s="5"/>
      <c r="Z119" s="5"/>
      <c r="AA119" s="5"/>
      <c r="AB119" s="5"/>
      <c r="AC119" s="24"/>
      <c r="AD119" s="5"/>
      <c r="AE119" s="5"/>
      <c r="AF119" s="5"/>
      <c r="AG119" s="5"/>
      <c r="AH119" s="5"/>
      <c r="AI119" s="5"/>
      <c r="AJ119" s="25"/>
      <c r="AK119" s="67">
        <v>258</v>
      </c>
      <c r="AL119" s="67">
        <v>1</v>
      </c>
      <c r="AP119" s="67">
        <v>5</v>
      </c>
      <c r="AQ119" s="76"/>
    </row>
    <row r="120" spans="1:43">
      <c r="A120" s="8">
        <v>263</v>
      </c>
      <c r="B120" s="8" t="s">
        <v>5</v>
      </c>
      <c r="C120" s="8" t="s">
        <v>42</v>
      </c>
      <c r="D120" s="8" t="s">
        <v>6</v>
      </c>
      <c r="E120" s="24"/>
      <c r="F120" s="5"/>
      <c r="G120" s="5"/>
      <c r="H120" s="5"/>
      <c r="I120" s="5"/>
      <c r="J120" s="5"/>
      <c r="K120" s="5"/>
      <c r="L120" s="25"/>
      <c r="M120" s="24"/>
      <c r="N120" s="5"/>
      <c r="O120" s="5"/>
      <c r="P120" s="5"/>
      <c r="Q120" s="5"/>
      <c r="R120" s="5"/>
      <c r="S120" s="5"/>
      <c r="T120" s="25"/>
      <c r="U120" s="5"/>
      <c r="V120" s="5"/>
      <c r="W120" s="5"/>
      <c r="X120" s="5"/>
      <c r="Y120" s="5"/>
      <c r="Z120" s="5"/>
      <c r="AA120" s="5"/>
      <c r="AB120" s="5"/>
      <c r="AC120" s="24"/>
      <c r="AD120" s="5"/>
      <c r="AE120" s="5"/>
      <c r="AF120" s="5"/>
      <c r="AG120" s="5"/>
      <c r="AH120" s="5"/>
      <c r="AI120" s="5"/>
      <c r="AJ120" s="25"/>
      <c r="AK120">
        <v>263</v>
      </c>
      <c r="AL120">
        <v>1</v>
      </c>
      <c r="AO120" s="67"/>
      <c r="AP120">
        <v>32</v>
      </c>
      <c r="AQ120" s="76"/>
    </row>
    <row r="121" spans="1:43">
      <c r="A121" s="8">
        <v>266</v>
      </c>
      <c r="B121" s="8" t="s">
        <v>197</v>
      </c>
      <c r="C121" s="8" t="s">
        <v>357</v>
      </c>
      <c r="D121" s="8" t="s">
        <v>15</v>
      </c>
      <c r="E121" s="24"/>
      <c r="F121" s="5"/>
      <c r="G121" s="5"/>
      <c r="H121" s="5"/>
      <c r="I121" s="5"/>
      <c r="J121" s="5"/>
      <c r="K121" s="5"/>
      <c r="L121" s="25"/>
      <c r="M121" s="24"/>
      <c r="N121" s="5"/>
      <c r="O121" s="5"/>
      <c r="P121" s="5"/>
      <c r="Q121" s="5"/>
      <c r="R121" s="5"/>
      <c r="S121" s="5"/>
      <c r="T121" s="25"/>
      <c r="U121" s="5"/>
      <c r="V121" s="5">
        <v>1</v>
      </c>
      <c r="W121" s="5"/>
      <c r="X121" s="5"/>
      <c r="Y121" s="5"/>
      <c r="Z121" s="5"/>
      <c r="AA121" s="5"/>
      <c r="AB121" s="5"/>
      <c r="AC121" s="24"/>
      <c r="AD121" s="5"/>
      <c r="AE121" s="5"/>
      <c r="AF121" s="5"/>
      <c r="AG121" s="5"/>
      <c r="AH121" s="5"/>
      <c r="AI121" s="5"/>
      <c r="AJ121" s="25"/>
      <c r="AK121">
        <v>266</v>
      </c>
      <c r="AM121">
        <v>1</v>
      </c>
      <c r="AO121" s="67">
        <f t="shared" si="4"/>
        <v>1</v>
      </c>
      <c r="AP121">
        <v>22</v>
      </c>
      <c r="AQ121" s="76">
        <f t="shared" si="2"/>
        <v>4.5454545454545456E-2</v>
      </c>
    </row>
    <row r="122" spans="1:43">
      <c r="A122" s="8">
        <v>267</v>
      </c>
      <c r="B122" s="8" t="s">
        <v>73</v>
      </c>
      <c r="C122" s="8" t="s">
        <v>165</v>
      </c>
      <c r="D122" s="8" t="s">
        <v>6</v>
      </c>
      <c r="E122" s="24"/>
      <c r="F122" s="5"/>
      <c r="G122" s="5"/>
      <c r="H122" s="5"/>
      <c r="I122" s="5"/>
      <c r="J122" s="5"/>
      <c r="K122" s="5"/>
      <c r="L122" s="25"/>
      <c r="M122" s="24"/>
      <c r="N122" s="5"/>
      <c r="O122" s="5"/>
      <c r="P122" s="5">
        <v>1</v>
      </c>
      <c r="Q122" s="5"/>
      <c r="R122" s="5"/>
      <c r="S122" s="5"/>
      <c r="T122" s="25"/>
      <c r="U122" s="5"/>
      <c r="V122" s="5">
        <v>1</v>
      </c>
      <c r="W122" s="5"/>
      <c r="X122" s="5"/>
      <c r="Y122" s="5"/>
      <c r="Z122" s="5"/>
      <c r="AA122" s="5"/>
      <c r="AB122" s="5"/>
      <c r="AC122" s="24"/>
      <c r="AD122" s="5"/>
      <c r="AE122" s="5"/>
      <c r="AF122" s="5"/>
      <c r="AG122" s="5"/>
      <c r="AH122" s="5"/>
      <c r="AI122" s="5"/>
      <c r="AJ122" s="25"/>
      <c r="AK122">
        <v>267</v>
      </c>
      <c r="AM122">
        <v>1</v>
      </c>
      <c r="AO122" s="67">
        <f t="shared" si="4"/>
        <v>2</v>
      </c>
      <c r="AP122">
        <v>22</v>
      </c>
      <c r="AQ122" s="76">
        <f t="shared" si="2"/>
        <v>9.0909090909090912E-2</v>
      </c>
    </row>
    <row r="123" spans="1:43">
      <c r="A123" s="8">
        <v>270</v>
      </c>
      <c r="B123" s="8" t="s">
        <v>197</v>
      </c>
      <c r="C123" s="8" t="s">
        <v>357</v>
      </c>
      <c r="D123" s="8" t="s">
        <v>15</v>
      </c>
      <c r="E123" s="24"/>
      <c r="F123" s="5"/>
      <c r="G123" s="5"/>
      <c r="H123" s="5"/>
      <c r="I123" s="5"/>
      <c r="J123" s="5"/>
      <c r="K123" s="5"/>
      <c r="L123" s="25"/>
      <c r="M123" s="24"/>
      <c r="N123" s="5"/>
      <c r="O123" s="5"/>
      <c r="P123" s="5"/>
      <c r="Q123" s="5"/>
      <c r="R123" s="5"/>
      <c r="S123" s="5"/>
      <c r="T123" s="25"/>
      <c r="U123" s="5"/>
      <c r="V123" s="5"/>
      <c r="W123" s="5"/>
      <c r="X123" s="5"/>
      <c r="Y123" s="5"/>
      <c r="Z123" s="5"/>
      <c r="AA123" s="5"/>
      <c r="AB123" s="5"/>
      <c r="AC123" s="24"/>
      <c r="AD123" s="5"/>
      <c r="AE123" s="5"/>
      <c r="AF123" s="5"/>
      <c r="AG123" s="5"/>
      <c r="AH123" s="5"/>
      <c r="AI123" s="5"/>
      <c r="AJ123" s="25"/>
      <c r="AK123">
        <v>270</v>
      </c>
      <c r="AL123">
        <v>1</v>
      </c>
      <c r="AO123" s="67"/>
      <c r="AP123">
        <v>21</v>
      </c>
      <c r="AQ123" s="76"/>
    </row>
    <row r="124" spans="1:43">
      <c r="A124" s="8">
        <v>271</v>
      </c>
      <c r="B124" s="8" t="s">
        <v>62</v>
      </c>
      <c r="C124" s="8" t="s">
        <v>42</v>
      </c>
      <c r="D124" s="8" t="s">
        <v>6</v>
      </c>
      <c r="E124" s="24"/>
      <c r="F124" s="5"/>
      <c r="G124" s="5">
        <v>1</v>
      </c>
      <c r="H124" s="5"/>
      <c r="I124" s="5"/>
      <c r="J124" s="5">
        <v>1</v>
      </c>
      <c r="K124" s="5">
        <v>1</v>
      </c>
      <c r="L124" s="25"/>
      <c r="M124" s="24"/>
      <c r="N124" s="5">
        <v>1</v>
      </c>
      <c r="O124" s="5"/>
      <c r="P124" s="5"/>
      <c r="Q124" s="5">
        <v>1</v>
      </c>
      <c r="R124" s="5"/>
      <c r="S124" s="5"/>
      <c r="T124" s="25"/>
      <c r="U124" s="5"/>
      <c r="V124" s="5"/>
      <c r="W124" s="5"/>
      <c r="X124" s="5"/>
      <c r="Y124" s="5">
        <v>1</v>
      </c>
      <c r="Z124" s="5">
        <v>1</v>
      </c>
      <c r="AA124" s="5"/>
      <c r="AB124" s="5"/>
      <c r="AC124" s="24"/>
      <c r="AD124" s="5"/>
      <c r="AE124" s="5"/>
      <c r="AF124" s="5"/>
      <c r="AG124" s="5"/>
      <c r="AH124" s="5"/>
      <c r="AI124" s="5"/>
      <c r="AJ124" s="25"/>
      <c r="AK124">
        <v>271</v>
      </c>
      <c r="AM124">
        <v>1</v>
      </c>
      <c r="AO124" s="67">
        <f t="shared" si="4"/>
        <v>7</v>
      </c>
      <c r="AP124">
        <v>22</v>
      </c>
      <c r="AQ124" s="76">
        <f t="shared" si="2"/>
        <v>0.31818181818181818</v>
      </c>
    </row>
    <row r="125" spans="1:43">
      <c r="A125" s="8">
        <v>272</v>
      </c>
      <c r="B125" s="8" t="s">
        <v>41</v>
      </c>
      <c r="C125" s="8" t="s">
        <v>42</v>
      </c>
      <c r="D125" s="8" t="s">
        <v>6</v>
      </c>
      <c r="E125" s="24"/>
      <c r="F125" s="5"/>
      <c r="G125" s="5"/>
      <c r="H125" s="5">
        <v>1</v>
      </c>
      <c r="I125" s="5"/>
      <c r="J125" s="5"/>
      <c r="K125" s="5"/>
      <c r="L125" s="25"/>
      <c r="M125" s="24"/>
      <c r="N125" s="5"/>
      <c r="O125" s="5"/>
      <c r="P125" s="5"/>
      <c r="Q125" s="5"/>
      <c r="R125" s="5"/>
      <c r="S125" s="5"/>
      <c r="T125" s="25"/>
      <c r="U125" s="5"/>
      <c r="V125" s="5"/>
      <c r="W125" s="5"/>
      <c r="X125" s="5">
        <v>1</v>
      </c>
      <c r="Y125" s="5"/>
      <c r="Z125" s="5"/>
      <c r="AA125" s="5"/>
      <c r="AB125" s="5"/>
      <c r="AC125" s="24"/>
      <c r="AD125" s="5"/>
      <c r="AE125" s="5"/>
      <c r="AF125" s="5"/>
      <c r="AG125" s="5">
        <v>1</v>
      </c>
      <c r="AH125" s="5"/>
      <c r="AI125" s="5"/>
      <c r="AJ125" s="25"/>
      <c r="AK125">
        <v>272</v>
      </c>
      <c r="AM125">
        <v>1</v>
      </c>
      <c r="AO125" s="67">
        <f t="shared" si="4"/>
        <v>3</v>
      </c>
      <c r="AP125">
        <v>16</v>
      </c>
      <c r="AQ125" s="76">
        <f t="shared" si="2"/>
        <v>0.1875</v>
      </c>
    </row>
    <row r="126" spans="1:43">
      <c r="A126" s="8">
        <v>273</v>
      </c>
      <c r="B126" s="8" t="s">
        <v>5</v>
      </c>
      <c r="C126" s="8" t="s">
        <v>42</v>
      </c>
      <c r="D126" s="8" t="s">
        <v>42</v>
      </c>
      <c r="E126" s="24"/>
      <c r="F126" s="5">
        <v>1</v>
      </c>
      <c r="G126" s="5"/>
      <c r="H126" s="5"/>
      <c r="I126" s="5">
        <v>1</v>
      </c>
      <c r="J126" s="5">
        <v>1</v>
      </c>
      <c r="K126" s="5"/>
      <c r="L126" s="25"/>
      <c r="M126" s="24"/>
      <c r="N126" s="5"/>
      <c r="O126" s="5"/>
      <c r="P126" s="5"/>
      <c r="Q126" s="5">
        <v>1</v>
      </c>
      <c r="R126" s="5"/>
      <c r="S126" s="5"/>
      <c r="T126" s="25"/>
      <c r="U126" s="5">
        <v>1</v>
      </c>
      <c r="V126" s="5"/>
      <c r="W126" s="5">
        <v>1</v>
      </c>
      <c r="X126" s="5"/>
      <c r="Y126" s="5"/>
      <c r="Z126" s="5"/>
      <c r="AA126" s="5"/>
      <c r="AB126" s="5"/>
      <c r="AC126" s="24"/>
      <c r="AD126" s="5"/>
      <c r="AE126" s="5"/>
      <c r="AF126" s="5"/>
      <c r="AG126" s="5">
        <v>1</v>
      </c>
      <c r="AH126" s="5">
        <v>1</v>
      </c>
      <c r="AI126" s="5"/>
      <c r="AJ126" s="25">
        <v>1</v>
      </c>
      <c r="AK126">
        <v>273</v>
      </c>
      <c r="AM126">
        <v>1</v>
      </c>
      <c r="AO126" s="67">
        <f t="shared" si="4"/>
        <v>9</v>
      </c>
      <c r="AP126">
        <v>28</v>
      </c>
      <c r="AQ126" s="76">
        <f t="shared" si="2"/>
        <v>0.32142857142857145</v>
      </c>
    </row>
    <row r="127" spans="1:43">
      <c r="A127" s="8">
        <v>280</v>
      </c>
      <c r="B127" s="8" t="s">
        <v>123</v>
      </c>
      <c r="C127" s="8" t="s">
        <v>366</v>
      </c>
      <c r="D127" s="8" t="s">
        <v>42</v>
      </c>
      <c r="E127" s="24">
        <v>1</v>
      </c>
      <c r="F127" s="5">
        <v>1</v>
      </c>
      <c r="G127" s="5"/>
      <c r="H127" s="5"/>
      <c r="I127" s="5"/>
      <c r="J127" s="5"/>
      <c r="K127" s="5"/>
      <c r="L127" s="25"/>
      <c r="M127" s="24"/>
      <c r="N127" s="5">
        <v>1</v>
      </c>
      <c r="O127" s="5"/>
      <c r="P127" s="5"/>
      <c r="Q127" s="5"/>
      <c r="R127" s="5"/>
      <c r="S127" s="5">
        <v>1</v>
      </c>
      <c r="T127" s="25"/>
      <c r="U127" s="5">
        <v>1</v>
      </c>
      <c r="V127" s="5"/>
      <c r="W127" s="5">
        <v>1</v>
      </c>
      <c r="X127" s="5"/>
      <c r="Y127" s="5"/>
      <c r="Z127" s="5"/>
      <c r="AA127" s="5"/>
      <c r="AB127" s="5"/>
      <c r="AC127" s="24"/>
      <c r="AD127" s="5"/>
      <c r="AE127" s="5"/>
      <c r="AF127" s="5"/>
      <c r="AG127" s="5"/>
      <c r="AH127" s="5"/>
      <c r="AI127" s="5"/>
      <c r="AJ127" s="25">
        <v>1</v>
      </c>
      <c r="AK127">
        <v>280</v>
      </c>
      <c r="AM127">
        <v>1</v>
      </c>
      <c r="AO127" s="67">
        <f t="shared" si="4"/>
        <v>7</v>
      </c>
      <c r="AP127">
        <v>24</v>
      </c>
      <c r="AQ127" s="76">
        <f t="shared" si="2"/>
        <v>0.29166666666666669</v>
      </c>
    </row>
    <row r="128" spans="1:43">
      <c r="A128" s="8">
        <v>283</v>
      </c>
      <c r="B128" s="8" t="s">
        <v>74</v>
      </c>
      <c r="C128" s="8" t="s">
        <v>346</v>
      </c>
      <c r="D128" s="8" t="s">
        <v>15</v>
      </c>
      <c r="E128" s="24"/>
      <c r="F128" s="5"/>
      <c r="G128" s="5"/>
      <c r="H128" s="5"/>
      <c r="I128" s="5"/>
      <c r="J128" s="5"/>
      <c r="K128" s="5"/>
      <c r="L128" s="25"/>
      <c r="M128" s="24"/>
      <c r="N128" s="5"/>
      <c r="O128" s="5"/>
      <c r="P128" s="5"/>
      <c r="Q128" s="5"/>
      <c r="R128" s="5"/>
      <c r="S128" s="5"/>
      <c r="T128" s="25"/>
      <c r="U128" s="5"/>
      <c r="V128" s="5"/>
      <c r="W128" s="5"/>
      <c r="X128" s="5"/>
      <c r="Y128" s="5"/>
      <c r="Z128" s="5"/>
      <c r="AA128" s="5"/>
      <c r="AB128" s="5"/>
      <c r="AC128" s="24"/>
      <c r="AD128" s="5"/>
      <c r="AE128" s="5"/>
      <c r="AF128" s="5"/>
      <c r="AG128" s="5"/>
      <c r="AH128" s="5"/>
      <c r="AI128" s="5"/>
      <c r="AJ128" s="25"/>
      <c r="AK128">
        <v>283</v>
      </c>
      <c r="AL128">
        <v>1</v>
      </c>
      <c r="AO128" s="67"/>
      <c r="AP128">
        <v>2</v>
      </c>
      <c r="AQ128" s="76"/>
    </row>
    <row r="129" spans="1:43">
      <c r="A129" s="8">
        <v>286</v>
      </c>
      <c r="B129" s="8" t="s">
        <v>63</v>
      </c>
      <c r="C129" s="8" t="s">
        <v>346</v>
      </c>
      <c r="D129" s="8" t="s">
        <v>15</v>
      </c>
      <c r="E129" s="24"/>
      <c r="F129" s="5"/>
      <c r="G129" s="5"/>
      <c r="H129" s="5"/>
      <c r="I129" s="5"/>
      <c r="J129" s="5"/>
      <c r="K129" s="5"/>
      <c r="L129" s="25"/>
      <c r="M129" s="24"/>
      <c r="N129" s="5"/>
      <c r="O129" s="5"/>
      <c r="P129" s="5"/>
      <c r="Q129" s="5"/>
      <c r="R129" s="5"/>
      <c r="S129" s="5"/>
      <c r="T129" s="25"/>
      <c r="U129" s="5"/>
      <c r="V129" s="5"/>
      <c r="W129" s="5"/>
      <c r="X129" s="5"/>
      <c r="Y129" s="5"/>
      <c r="Z129" s="5"/>
      <c r="AA129" s="5"/>
      <c r="AB129" s="5"/>
      <c r="AC129" s="24"/>
      <c r="AD129" s="5"/>
      <c r="AE129" s="5"/>
      <c r="AF129" s="5"/>
      <c r="AG129" s="5"/>
      <c r="AH129" s="5"/>
      <c r="AI129" s="5"/>
      <c r="AJ129" s="25"/>
      <c r="AK129">
        <v>286</v>
      </c>
      <c r="AL129">
        <v>1</v>
      </c>
      <c r="AO129" s="67"/>
      <c r="AP129">
        <v>12</v>
      </c>
      <c r="AQ129" s="76"/>
    </row>
    <row r="130" spans="1:43">
      <c r="A130" s="8">
        <v>287</v>
      </c>
      <c r="B130" s="8" t="s">
        <v>71</v>
      </c>
      <c r="C130" s="8" t="s">
        <v>366</v>
      </c>
      <c r="D130" s="8" t="s">
        <v>42</v>
      </c>
      <c r="E130" s="24"/>
      <c r="F130" s="5"/>
      <c r="G130" s="5"/>
      <c r="H130" s="5"/>
      <c r="I130" s="5"/>
      <c r="J130" s="5"/>
      <c r="K130" s="5"/>
      <c r="L130" s="25"/>
      <c r="M130" s="24"/>
      <c r="N130" s="5"/>
      <c r="O130" s="5"/>
      <c r="P130" s="5"/>
      <c r="Q130" s="5"/>
      <c r="R130" s="5"/>
      <c r="S130" s="5"/>
      <c r="T130" s="25"/>
      <c r="U130" s="5"/>
      <c r="V130" s="5"/>
      <c r="W130" s="5"/>
      <c r="X130" s="5"/>
      <c r="Y130" s="5"/>
      <c r="Z130" s="5"/>
      <c r="AA130" s="5"/>
      <c r="AB130" s="5"/>
      <c r="AC130" s="24"/>
      <c r="AD130" s="5"/>
      <c r="AE130" s="5"/>
      <c r="AF130" s="5"/>
      <c r="AG130" s="5"/>
      <c r="AH130" s="5"/>
      <c r="AI130" s="5"/>
      <c r="AJ130" s="25"/>
      <c r="AK130">
        <v>287</v>
      </c>
      <c r="AL130">
        <v>1</v>
      </c>
      <c r="AO130" s="67"/>
      <c r="AP130">
        <v>27</v>
      </c>
      <c r="AQ130" s="76"/>
    </row>
    <row r="131" spans="1:43">
      <c r="A131" s="8">
        <v>288</v>
      </c>
      <c r="B131" s="8" t="s">
        <v>71</v>
      </c>
      <c r="C131" s="8" t="s">
        <v>366</v>
      </c>
      <c r="D131" s="8" t="s">
        <v>42</v>
      </c>
      <c r="E131" s="24"/>
      <c r="F131" s="5"/>
      <c r="G131" s="5"/>
      <c r="H131" s="5"/>
      <c r="I131" s="5">
        <v>1</v>
      </c>
      <c r="J131" s="5"/>
      <c r="K131" s="5"/>
      <c r="L131" s="25"/>
      <c r="M131" s="24"/>
      <c r="N131" s="5"/>
      <c r="O131" s="5"/>
      <c r="P131" s="5">
        <v>1</v>
      </c>
      <c r="Q131" s="5"/>
      <c r="R131" s="5"/>
      <c r="S131" s="5"/>
      <c r="T131" s="25"/>
      <c r="U131" s="5"/>
      <c r="V131" s="5"/>
      <c r="W131" s="5"/>
      <c r="X131" s="5"/>
      <c r="Y131" s="5"/>
      <c r="Z131" s="5">
        <v>1</v>
      </c>
      <c r="AA131" s="5"/>
      <c r="AB131" s="5"/>
      <c r="AC131" s="24"/>
      <c r="AD131" s="5"/>
      <c r="AE131" s="5"/>
      <c r="AF131" s="5"/>
      <c r="AG131" s="5"/>
      <c r="AH131" s="5"/>
      <c r="AI131" s="5"/>
      <c r="AJ131" s="25"/>
      <c r="AK131">
        <v>288</v>
      </c>
      <c r="AM131">
        <v>1</v>
      </c>
      <c r="AO131" s="67">
        <f t="shared" si="4"/>
        <v>3</v>
      </c>
      <c r="AP131">
        <v>32</v>
      </c>
      <c r="AQ131" s="76">
        <f t="shared" si="2"/>
        <v>9.375E-2</v>
      </c>
    </row>
    <row r="132" spans="1:43">
      <c r="A132" s="8">
        <v>291</v>
      </c>
      <c r="B132" s="8" t="s">
        <v>80</v>
      </c>
      <c r="C132" s="8" t="s">
        <v>346</v>
      </c>
      <c r="D132" s="8" t="s">
        <v>15</v>
      </c>
      <c r="E132" s="24"/>
      <c r="F132" s="5"/>
      <c r="G132" s="5"/>
      <c r="H132" s="5"/>
      <c r="I132" s="5"/>
      <c r="J132" s="5"/>
      <c r="K132" s="5"/>
      <c r="L132" s="25"/>
      <c r="M132" s="24"/>
      <c r="N132" s="5"/>
      <c r="O132" s="5"/>
      <c r="P132" s="5"/>
      <c r="Q132" s="5"/>
      <c r="R132" s="5"/>
      <c r="S132" s="5"/>
      <c r="T132" s="25"/>
      <c r="U132" s="5"/>
      <c r="V132" s="5"/>
      <c r="W132" s="5"/>
      <c r="X132" s="5"/>
      <c r="Y132" s="5"/>
      <c r="Z132" s="5"/>
      <c r="AA132" s="5"/>
      <c r="AB132" s="5"/>
      <c r="AC132" s="24"/>
      <c r="AD132" s="5"/>
      <c r="AE132" s="5"/>
      <c r="AF132" s="5"/>
      <c r="AG132" s="5"/>
      <c r="AH132" s="5"/>
      <c r="AI132" s="5"/>
      <c r="AJ132" s="25"/>
      <c r="AK132">
        <v>291</v>
      </c>
      <c r="AL132">
        <v>1</v>
      </c>
      <c r="AO132" s="67"/>
      <c r="AP132">
        <v>12</v>
      </c>
      <c r="AQ132" s="76"/>
    </row>
    <row r="133" spans="1:43">
      <c r="A133" s="8">
        <v>292</v>
      </c>
      <c r="B133" s="8" t="s">
        <v>74</v>
      </c>
      <c r="C133" s="8" t="s">
        <v>346</v>
      </c>
      <c r="D133" s="8" t="s">
        <v>15</v>
      </c>
      <c r="E133" s="24"/>
      <c r="F133" s="5"/>
      <c r="G133" s="5"/>
      <c r="H133" s="5"/>
      <c r="I133" s="5"/>
      <c r="J133" s="5"/>
      <c r="K133" s="5"/>
      <c r="L133" s="25"/>
      <c r="M133" s="24"/>
      <c r="N133" s="5"/>
      <c r="O133" s="5"/>
      <c r="P133" s="5"/>
      <c r="Q133" s="5"/>
      <c r="R133" s="5"/>
      <c r="S133" s="5"/>
      <c r="T133" s="25"/>
      <c r="U133" s="5"/>
      <c r="V133" s="5"/>
      <c r="W133" s="5"/>
      <c r="X133" s="5"/>
      <c r="Y133" s="5"/>
      <c r="Z133" s="5"/>
      <c r="AA133" s="5"/>
      <c r="AB133" s="5"/>
      <c r="AC133" s="24"/>
      <c r="AD133" s="5"/>
      <c r="AE133" s="5"/>
      <c r="AF133" s="5"/>
      <c r="AG133" s="5"/>
      <c r="AH133" s="5"/>
      <c r="AI133" s="5"/>
      <c r="AJ133" s="25"/>
      <c r="AK133">
        <v>292</v>
      </c>
      <c r="AL133">
        <v>1</v>
      </c>
      <c r="AO133" s="67"/>
      <c r="AP133">
        <v>12</v>
      </c>
      <c r="AQ133" s="76"/>
    </row>
    <row r="134" spans="1:43">
      <c r="A134" s="8">
        <v>293</v>
      </c>
      <c r="B134" s="8" t="s">
        <v>106</v>
      </c>
      <c r="C134" s="8" t="s">
        <v>349</v>
      </c>
      <c r="D134" s="8" t="s">
        <v>6</v>
      </c>
      <c r="E134" s="24"/>
      <c r="F134" s="5"/>
      <c r="G134" s="5"/>
      <c r="H134" s="5"/>
      <c r="I134" s="5"/>
      <c r="J134" s="5"/>
      <c r="K134" s="5"/>
      <c r="L134" s="25"/>
      <c r="M134" s="24"/>
      <c r="N134" s="5"/>
      <c r="O134" s="5"/>
      <c r="P134" s="5"/>
      <c r="Q134" s="5"/>
      <c r="R134" s="5"/>
      <c r="S134" s="5"/>
      <c r="T134" s="25"/>
      <c r="U134" s="5"/>
      <c r="V134" s="5"/>
      <c r="W134" s="5"/>
      <c r="X134" s="5"/>
      <c r="Y134" s="5"/>
      <c r="Z134" s="5"/>
      <c r="AA134" s="5"/>
      <c r="AB134" s="5"/>
      <c r="AC134" s="24"/>
      <c r="AD134" s="5"/>
      <c r="AE134" s="5"/>
      <c r="AF134" s="5"/>
      <c r="AG134" s="5"/>
      <c r="AH134" s="5"/>
      <c r="AI134" s="5"/>
      <c r="AJ134" s="25"/>
      <c r="AK134">
        <v>293</v>
      </c>
      <c r="AL134">
        <v>1</v>
      </c>
      <c r="AO134" s="67"/>
      <c r="AP134">
        <v>31</v>
      </c>
      <c r="AQ134" s="76"/>
    </row>
    <row r="135" spans="1:43">
      <c r="A135" s="8">
        <v>299</v>
      </c>
      <c r="B135" s="8" t="s">
        <v>63</v>
      </c>
      <c r="C135" s="8" t="s">
        <v>346</v>
      </c>
      <c r="D135" s="8" t="s">
        <v>15</v>
      </c>
      <c r="E135" s="24"/>
      <c r="F135" s="5"/>
      <c r="G135" s="5"/>
      <c r="H135" s="5"/>
      <c r="I135" s="5"/>
      <c r="J135" s="5"/>
      <c r="K135" s="5"/>
      <c r="L135" s="25"/>
      <c r="M135" s="24"/>
      <c r="N135" s="5"/>
      <c r="O135" s="5"/>
      <c r="P135" s="5"/>
      <c r="Q135" s="5"/>
      <c r="R135" s="5"/>
      <c r="S135" s="5"/>
      <c r="T135" s="25"/>
      <c r="U135" s="5"/>
      <c r="V135" s="5"/>
      <c r="W135" s="5"/>
      <c r="X135" s="5"/>
      <c r="Y135" s="5"/>
      <c r="Z135" s="5"/>
      <c r="AA135" s="5"/>
      <c r="AB135" s="5"/>
      <c r="AC135" s="24"/>
      <c r="AD135" s="5"/>
      <c r="AE135" s="5"/>
      <c r="AF135" s="5"/>
      <c r="AG135" s="5"/>
      <c r="AH135" s="5"/>
      <c r="AI135" s="5"/>
      <c r="AJ135" s="25"/>
      <c r="AK135">
        <v>299</v>
      </c>
      <c r="AL135">
        <v>1</v>
      </c>
      <c r="AO135" s="67"/>
      <c r="AP135">
        <v>5</v>
      </c>
      <c r="AQ135" s="76"/>
    </row>
    <row r="136" spans="1:43">
      <c r="A136" s="8">
        <v>301</v>
      </c>
      <c r="B136" s="8" t="s">
        <v>123</v>
      </c>
      <c r="C136" s="8" t="s">
        <v>366</v>
      </c>
      <c r="D136" s="8" t="s">
        <v>42</v>
      </c>
      <c r="E136" s="24"/>
      <c r="F136" s="5"/>
      <c r="G136" s="5">
        <v>1</v>
      </c>
      <c r="H136" s="5">
        <v>1</v>
      </c>
      <c r="I136" s="5">
        <v>1</v>
      </c>
      <c r="J136" s="5">
        <v>1</v>
      </c>
      <c r="K136" s="5"/>
      <c r="L136" s="25"/>
      <c r="M136" s="24"/>
      <c r="N136" s="5"/>
      <c r="O136" s="5">
        <v>1</v>
      </c>
      <c r="P136" s="5">
        <v>1</v>
      </c>
      <c r="Q136" s="5"/>
      <c r="R136" s="5"/>
      <c r="S136" s="5"/>
      <c r="T136" s="25"/>
      <c r="U136" s="5"/>
      <c r="V136" s="5">
        <v>1</v>
      </c>
      <c r="W136" s="5">
        <v>1</v>
      </c>
      <c r="X136" s="5"/>
      <c r="Y136" s="5"/>
      <c r="Z136" s="5"/>
      <c r="AA136" s="5"/>
      <c r="AB136" s="5"/>
      <c r="AC136" s="24"/>
      <c r="AD136" s="5"/>
      <c r="AE136" s="5"/>
      <c r="AF136" s="5"/>
      <c r="AG136" s="5"/>
      <c r="AH136" s="5"/>
      <c r="AI136" s="5"/>
      <c r="AJ136" s="25"/>
      <c r="AK136">
        <v>301</v>
      </c>
      <c r="AM136">
        <v>1</v>
      </c>
      <c r="AO136" s="67">
        <f t="shared" si="4"/>
        <v>8</v>
      </c>
      <c r="AP136">
        <v>21</v>
      </c>
      <c r="AQ136" s="76">
        <f t="shared" ref="AQ136:AQ195" si="5">AO136/AP136</f>
        <v>0.38095238095238093</v>
      </c>
    </row>
    <row r="137" spans="1:43">
      <c r="A137" s="8">
        <v>302</v>
      </c>
      <c r="B137" s="8" t="s">
        <v>41</v>
      </c>
      <c r="C137" s="8" t="s">
        <v>42</v>
      </c>
      <c r="D137" s="8" t="s">
        <v>42</v>
      </c>
      <c r="E137" s="24"/>
      <c r="F137" s="5">
        <v>1</v>
      </c>
      <c r="G137" s="5"/>
      <c r="H137" s="5"/>
      <c r="I137" s="5"/>
      <c r="J137" s="5"/>
      <c r="K137" s="5"/>
      <c r="L137" s="25"/>
      <c r="M137" s="24"/>
      <c r="N137" s="5"/>
      <c r="O137" s="5"/>
      <c r="P137" s="5"/>
      <c r="Q137" s="5"/>
      <c r="R137" s="5">
        <v>1</v>
      </c>
      <c r="S137" s="5"/>
      <c r="T137" s="25"/>
      <c r="U137" s="5"/>
      <c r="V137" s="5"/>
      <c r="W137" s="5"/>
      <c r="X137" s="5"/>
      <c r="Y137" s="5"/>
      <c r="Z137" s="5"/>
      <c r="AA137" s="5"/>
      <c r="AB137" s="5"/>
      <c r="AC137" s="24"/>
      <c r="AD137" s="5"/>
      <c r="AE137" s="5"/>
      <c r="AF137" s="5"/>
      <c r="AG137" s="5"/>
      <c r="AH137" s="5">
        <v>1</v>
      </c>
      <c r="AI137" s="5">
        <v>1</v>
      </c>
      <c r="AJ137" s="25"/>
      <c r="AK137">
        <v>302</v>
      </c>
      <c r="AM137">
        <v>1</v>
      </c>
      <c r="AO137" s="67">
        <f t="shared" si="4"/>
        <v>4</v>
      </c>
      <c r="AP137">
        <v>31</v>
      </c>
      <c r="AQ137" s="76">
        <f t="shared" si="5"/>
        <v>0.12903225806451613</v>
      </c>
    </row>
    <row r="138" spans="1:43">
      <c r="A138" s="8">
        <v>303</v>
      </c>
      <c r="B138" s="8" t="s">
        <v>136</v>
      </c>
      <c r="C138" s="8" t="s">
        <v>12</v>
      </c>
      <c r="D138" s="8" t="s">
        <v>42</v>
      </c>
      <c r="E138" s="24"/>
      <c r="F138" s="5"/>
      <c r="G138" s="5"/>
      <c r="H138" s="5"/>
      <c r="I138" s="5"/>
      <c r="J138" s="5"/>
      <c r="K138" s="5"/>
      <c r="L138" s="25"/>
      <c r="M138" s="24"/>
      <c r="N138" s="5"/>
      <c r="O138" s="5"/>
      <c r="P138" s="5"/>
      <c r="Q138" s="5"/>
      <c r="R138" s="5"/>
      <c r="S138" s="5"/>
      <c r="T138" s="25"/>
      <c r="U138" s="5"/>
      <c r="V138" s="5"/>
      <c r="W138" s="5"/>
      <c r="X138" s="5"/>
      <c r="Y138" s="5"/>
      <c r="Z138" s="5"/>
      <c r="AA138" s="5"/>
      <c r="AB138" s="5"/>
      <c r="AC138" s="24"/>
      <c r="AD138" s="5"/>
      <c r="AE138" s="5"/>
      <c r="AF138" s="5"/>
      <c r="AG138" s="5"/>
      <c r="AH138" s="5"/>
      <c r="AI138" s="5"/>
      <c r="AJ138" s="25"/>
      <c r="AK138">
        <v>303</v>
      </c>
      <c r="AL138">
        <v>1</v>
      </c>
      <c r="AO138" s="67"/>
      <c r="AP138">
        <v>32</v>
      </c>
      <c r="AQ138" s="76"/>
    </row>
    <row r="139" spans="1:43">
      <c r="A139" s="8">
        <v>304</v>
      </c>
      <c r="B139" s="8" t="s">
        <v>93</v>
      </c>
      <c r="C139" s="8" t="s">
        <v>12</v>
      </c>
      <c r="D139" s="8" t="s">
        <v>42</v>
      </c>
      <c r="E139" s="24"/>
      <c r="F139" s="5"/>
      <c r="G139" s="5"/>
      <c r="H139" s="5"/>
      <c r="I139" s="5"/>
      <c r="J139" s="5"/>
      <c r="K139" s="5"/>
      <c r="L139" s="25"/>
      <c r="M139" s="24"/>
      <c r="N139" s="5"/>
      <c r="O139" s="5"/>
      <c r="P139" s="5"/>
      <c r="Q139" s="5"/>
      <c r="R139" s="5"/>
      <c r="S139" s="5"/>
      <c r="T139" s="25"/>
      <c r="U139" s="5"/>
      <c r="V139" s="5"/>
      <c r="W139" s="5"/>
      <c r="X139" s="5"/>
      <c r="Y139" s="5"/>
      <c r="Z139" s="5"/>
      <c r="AA139" s="5"/>
      <c r="AB139" s="5"/>
      <c r="AC139" s="24"/>
      <c r="AD139" s="5"/>
      <c r="AE139" s="5"/>
      <c r="AF139" s="5"/>
      <c r="AG139" s="5"/>
      <c r="AH139" s="5"/>
      <c r="AI139" s="5"/>
      <c r="AJ139" s="25"/>
      <c r="AK139">
        <v>304</v>
      </c>
      <c r="AL139">
        <v>1</v>
      </c>
      <c r="AN139" t="s">
        <v>381</v>
      </c>
      <c r="AO139" s="67"/>
      <c r="AP139">
        <v>29</v>
      </c>
      <c r="AQ139" s="76"/>
    </row>
    <row r="140" spans="1:43">
      <c r="A140" s="8">
        <v>308</v>
      </c>
      <c r="B140" s="8" t="s">
        <v>123</v>
      </c>
      <c r="C140" s="8" t="s">
        <v>366</v>
      </c>
      <c r="D140" s="8" t="s">
        <v>6</v>
      </c>
      <c r="E140" s="24"/>
      <c r="F140" s="5">
        <v>1</v>
      </c>
      <c r="G140" s="5"/>
      <c r="H140" s="5"/>
      <c r="I140" s="5"/>
      <c r="J140" s="5"/>
      <c r="K140" s="5">
        <v>1</v>
      </c>
      <c r="L140" s="25"/>
      <c r="M140" s="24"/>
      <c r="N140" s="5"/>
      <c r="O140" s="5"/>
      <c r="P140" s="5"/>
      <c r="Q140" s="5">
        <v>1</v>
      </c>
      <c r="R140" s="5"/>
      <c r="S140" s="5"/>
      <c r="T140" s="25">
        <v>1</v>
      </c>
      <c r="U140" s="5">
        <v>1</v>
      </c>
      <c r="V140" s="5"/>
      <c r="W140" s="5">
        <v>1</v>
      </c>
      <c r="X140" s="5"/>
      <c r="Y140" s="5"/>
      <c r="Z140" s="5"/>
      <c r="AA140" s="5"/>
      <c r="AB140" s="5">
        <v>1</v>
      </c>
      <c r="AC140" s="24"/>
      <c r="AD140" s="5">
        <v>1</v>
      </c>
      <c r="AE140" s="5">
        <v>1</v>
      </c>
      <c r="AF140" s="5">
        <v>1</v>
      </c>
      <c r="AG140" s="5"/>
      <c r="AH140" s="5"/>
      <c r="AI140" s="5"/>
      <c r="AJ140" s="25"/>
      <c r="AK140">
        <v>308</v>
      </c>
      <c r="AM140">
        <v>1</v>
      </c>
      <c r="AO140" s="67">
        <f t="shared" si="4"/>
        <v>10</v>
      </c>
      <c r="AP140">
        <v>20</v>
      </c>
      <c r="AQ140" s="76">
        <f t="shared" si="5"/>
        <v>0.5</v>
      </c>
    </row>
    <row r="141" spans="1:43">
      <c r="A141" s="8">
        <v>311</v>
      </c>
      <c r="B141" s="8" t="s">
        <v>130</v>
      </c>
      <c r="C141" s="8" t="s">
        <v>357</v>
      </c>
      <c r="D141" s="8" t="s">
        <v>15</v>
      </c>
      <c r="E141" s="24"/>
      <c r="F141" s="5"/>
      <c r="G141" s="5"/>
      <c r="H141" s="5"/>
      <c r="I141" s="5"/>
      <c r="J141" s="5"/>
      <c r="K141" s="5"/>
      <c r="L141" s="25"/>
      <c r="M141" s="24"/>
      <c r="N141" s="5"/>
      <c r="O141" s="5"/>
      <c r="P141" s="5"/>
      <c r="Q141" s="5"/>
      <c r="R141" s="5"/>
      <c r="S141" s="5"/>
      <c r="T141" s="25"/>
      <c r="U141" s="5"/>
      <c r="V141" s="5"/>
      <c r="W141" s="5"/>
      <c r="X141" s="5"/>
      <c r="Y141" s="5"/>
      <c r="Z141" s="5"/>
      <c r="AA141" s="5"/>
      <c r="AB141" s="5"/>
      <c r="AC141" s="24"/>
      <c r="AD141" s="5"/>
      <c r="AE141" s="5"/>
      <c r="AF141" s="5"/>
      <c r="AG141" s="5"/>
      <c r="AH141" s="5"/>
      <c r="AI141" s="5"/>
      <c r="AJ141" s="25"/>
      <c r="AK141">
        <v>311</v>
      </c>
      <c r="AL141">
        <v>1</v>
      </c>
      <c r="AO141" s="67"/>
      <c r="AP141">
        <v>24</v>
      </c>
      <c r="AQ141" s="76"/>
    </row>
    <row r="142" spans="1:43">
      <c r="A142" s="8">
        <v>315</v>
      </c>
      <c r="B142" s="8" t="s">
        <v>71</v>
      </c>
      <c r="C142" s="8" t="s">
        <v>366</v>
      </c>
      <c r="D142" s="8" t="s">
        <v>42</v>
      </c>
      <c r="E142" s="24">
        <v>1</v>
      </c>
      <c r="F142" s="5">
        <v>1</v>
      </c>
      <c r="G142" s="5"/>
      <c r="H142" s="5"/>
      <c r="I142" s="5"/>
      <c r="J142" s="5"/>
      <c r="K142" s="5"/>
      <c r="L142" s="25"/>
      <c r="M142" s="24"/>
      <c r="N142" s="5">
        <v>1</v>
      </c>
      <c r="O142" s="5"/>
      <c r="P142" s="5">
        <v>1</v>
      </c>
      <c r="Q142" s="5">
        <v>1</v>
      </c>
      <c r="R142" s="5">
        <v>1</v>
      </c>
      <c r="S142" s="5">
        <v>1</v>
      </c>
      <c r="T142" s="25">
        <v>1</v>
      </c>
      <c r="U142" s="5">
        <v>1</v>
      </c>
      <c r="V142" s="5">
        <v>1</v>
      </c>
      <c r="W142" s="5">
        <v>1</v>
      </c>
      <c r="X142" s="5">
        <v>1</v>
      </c>
      <c r="Y142" s="5">
        <v>1</v>
      </c>
      <c r="Z142" s="5"/>
      <c r="AA142" s="5"/>
      <c r="AB142" s="5"/>
      <c r="AC142" s="24"/>
      <c r="AD142" s="5"/>
      <c r="AE142" s="5"/>
      <c r="AF142" s="5"/>
      <c r="AG142" s="5"/>
      <c r="AH142" s="5"/>
      <c r="AI142" s="5">
        <v>1</v>
      </c>
      <c r="AJ142" s="25"/>
      <c r="AK142">
        <v>315</v>
      </c>
      <c r="AM142">
        <v>1</v>
      </c>
      <c r="AO142" s="67">
        <f t="shared" si="4"/>
        <v>14</v>
      </c>
      <c r="AP142">
        <v>26</v>
      </c>
      <c r="AQ142" s="76">
        <f t="shared" si="5"/>
        <v>0.53846153846153844</v>
      </c>
    </row>
    <row r="143" spans="1:43">
      <c r="A143" s="8">
        <v>321</v>
      </c>
      <c r="B143" s="8" t="s">
        <v>54</v>
      </c>
      <c r="C143" s="8" t="s">
        <v>345</v>
      </c>
      <c r="D143" s="8" t="s">
        <v>15</v>
      </c>
      <c r="E143" s="24"/>
      <c r="F143" s="5"/>
      <c r="G143" s="5"/>
      <c r="H143" s="5"/>
      <c r="I143" s="5"/>
      <c r="J143" s="5"/>
      <c r="K143" s="5"/>
      <c r="L143" s="25"/>
      <c r="M143" s="24"/>
      <c r="N143" s="5"/>
      <c r="O143" s="5"/>
      <c r="P143" s="5"/>
      <c r="Q143" s="5"/>
      <c r="R143" s="5"/>
      <c r="S143" s="5"/>
      <c r="T143" s="25"/>
      <c r="U143" s="5"/>
      <c r="V143" s="5"/>
      <c r="W143" s="5"/>
      <c r="X143" s="5"/>
      <c r="Y143" s="5"/>
      <c r="Z143" s="5"/>
      <c r="AA143" s="5"/>
      <c r="AB143" s="5"/>
      <c r="AC143" s="24"/>
      <c r="AD143" s="5"/>
      <c r="AE143" s="5"/>
      <c r="AF143" s="5"/>
      <c r="AG143" s="5"/>
      <c r="AH143" s="5"/>
      <c r="AI143" s="5"/>
      <c r="AJ143" s="25"/>
      <c r="AK143">
        <v>321</v>
      </c>
      <c r="AL143">
        <v>1</v>
      </c>
      <c r="AO143" s="67"/>
      <c r="AP143">
        <v>7</v>
      </c>
      <c r="AQ143" s="76"/>
    </row>
    <row r="144" spans="1:43">
      <c r="A144" s="8">
        <v>331</v>
      </c>
      <c r="B144" s="8" t="s">
        <v>240</v>
      </c>
      <c r="C144" s="8" t="s">
        <v>42</v>
      </c>
      <c r="D144" s="8" t="s">
        <v>42</v>
      </c>
      <c r="E144" s="24"/>
      <c r="F144" s="5"/>
      <c r="G144" s="5"/>
      <c r="H144" s="5"/>
      <c r="I144" s="5">
        <v>1</v>
      </c>
      <c r="J144" s="5"/>
      <c r="K144" s="5"/>
      <c r="L144" s="25"/>
      <c r="M144" s="24"/>
      <c r="N144" s="5"/>
      <c r="O144" s="5"/>
      <c r="P144" s="5"/>
      <c r="Q144" s="5"/>
      <c r="R144" s="5"/>
      <c r="S144" s="5"/>
      <c r="T144" s="25">
        <v>1</v>
      </c>
      <c r="U144" s="5">
        <v>1</v>
      </c>
      <c r="V144" s="5">
        <v>1</v>
      </c>
      <c r="W144" s="5"/>
      <c r="X144" s="5"/>
      <c r="Y144" s="5"/>
      <c r="Z144" s="5"/>
      <c r="AA144" s="5"/>
      <c r="AB144" s="5"/>
      <c r="AC144" s="24"/>
      <c r="AD144" s="5"/>
      <c r="AE144" s="5"/>
      <c r="AF144" s="5"/>
      <c r="AG144" s="5"/>
      <c r="AH144" s="5"/>
      <c r="AI144" s="5">
        <v>1</v>
      </c>
      <c r="AJ144" s="25">
        <v>1</v>
      </c>
      <c r="AK144">
        <v>331</v>
      </c>
      <c r="AM144">
        <v>1</v>
      </c>
      <c r="AO144" s="67">
        <f t="shared" si="4"/>
        <v>6</v>
      </c>
      <c r="AP144">
        <v>24</v>
      </c>
      <c r="AQ144" s="76">
        <f t="shared" si="5"/>
        <v>0.25</v>
      </c>
    </row>
    <row r="145" spans="1:43" s="8" customFormat="1">
      <c r="A145" s="8">
        <v>334</v>
      </c>
      <c r="B145" s="8" t="s">
        <v>5</v>
      </c>
      <c r="C145" s="8" t="s">
        <v>42</v>
      </c>
      <c r="D145" s="8" t="s">
        <v>6</v>
      </c>
      <c r="E145" s="24"/>
      <c r="F145" s="5"/>
      <c r="G145" s="5">
        <v>1</v>
      </c>
      <c r="H145" s="5"/>
      <c r="I145" s="5"/>
      <c r="J145" s="5"/>
      <c r="K145" s="5">
        <v>1</v>
      </c>
      <c r="L145" s="25"/>
      <c r="M145" s="24"/>
      <c r="N145" s="5"/>
      <c r="O145" s="5"/>
      <c r="P145" s="5"/>
      <c r="Q145" s="5"/>
      <c r="R145" s="5"/>
      <c r="S145" s="5">
        <v>1</v>
      </c>
      <c r="T145" s="25"/>
      <c r="U145" s="5"/>
      <c r="V145" s="5"/>
      <c r="W145" s="5"/>
      <c r="X145" s="5"/>
      <c r="Y145" s="5"/>
      <c r="Z145" s="5"/>
      <c r="AA145" s="5"/>
      <c r="AB145" s="5"/>
      <c r="AC145" s="24"/>
      <c r="AD145" s="5"/>
      <c r="AE145" s="5"/>
      <c r="AF145" s="5"/>
      <c r="AG145" s="5"/>
      <c r="AH145" s="5"/>
      <c r="AI145" s="5"/>
      <c r="AJ145" s="25"/>
      <c r="AK145" s="8">
        <v>334</v>
      </c>
      <c r="AM145" s="8">
        <v>1</v>
      </c>
      <c r="AO145" s="67">
        <f t="shared" si="4"/>
        <v>3</v>
      </c>
      <c r="AP145" s="8">
        <v>28</v>
      </c>
      <c r="AQ145" s="76">
        <f t="shared" si="5"/>
        <v>0.10714285714285714</v>
      </c>
    </row>
    <row r="146" spans="1:43">
      <c r="A146" s="8">
        <v>335</v>
      </c>
      <c r="B146" s="8" t="s">
        <v>74</v>
      </c>
      <c r="C146" s="8" t="s">
        <v>346</v>
      </c>
      <c r="D146" s="8" t="s">
        <v>15</v>
      </c>
      <c r="E146" s="24"/>
      <c r="F146" s="5"/>
      <c r="G146" s="5"/>
      <c r="H146" s="5"/>
      <c r="I146" s="5"/>
      <c r="J146" s="5"/>
      <c r="K146" s="5"/>
      <c r="L146" s="25"/>
      <c r="M146" s="24"/>
      <c r="N146" s="5"/>
      <c r="O146" s="5"/>
      <c r="P146" s="5"/>
      <c r="Q146" s="5"/>
      <c r="R146" s="5"/>
      <c r="S146" s="5"/>
      <c r="T146" s="25"/>
      <c r="U146" s="5"/>
      <c r="V146" s="5"/>
      <c r="W146" s="5"/>
      <c r="X146" s="5"/>
      <c r="Y146" s="5"/>
      <c r="Z146" s="5"/>
      <c r="AA146" s="5"/>
      <c r="AB146" s="5"/>
      <c r="AC146" s="24"/>
      <c r="AD146" s="5"/>
      <c r="AE146" s="5"/>
      <c r="AF146" s="5"/>
      <c r="AG146" s="5"/>
      <c r="AH146" s="5"/>
      <c r="AI146" s="5"/>
      <c r="AJ146" s="25"/>
      <c r="AK146">
        <v>335</v>
      </c>
      <c r="AL146">
        <v>1</v>
      </c>
      <c r="AO146" s="67"/>
      <c r="AP146">
        <v>8</v>
      </c>
      <c r="AQ146" s="76"/>
    </row>
    <row r="147" spans="1:43">
      <c r="A147" s="8">
        <v>336</v>
      </c>
      <c r="B147" s="8" t="s">
        <v>55</v>
      </c>
      <c r="C147" s="8" t="s">
        <v>346</v>
      </c>
      <c r="D147" s="8" t="s">
        <v>15</v>
      </c>
      <c r="E147" s="24"/>
      <c r="F147" s="5"/>
      <c r="G147" s="5"/>
      <c r="H147" s="5"/>
      <c r="I147" s="5"/>
      <c r="J147" s="5"/>
      <c r="K147" s="5"/>
      <c r="L147" s="25"/>
      <c r="M147" s="24"/>
      <c r="N147" s="5"/>
      <c r="O147" s="5"/>
      <c r="P147" s="5"/>
      <c r="Q147" s="5"/>
      <c r="R147" s="5"/>
      <c r="S147" s="5"/>
      <c r="T147" s="25"/>
      <c r="U147" s="5"/>
      <c r="V147" s="5"/>
      <c r="W147" s="5"/>
      <c r="X147" s="5"/>
      <c r="Y147" s="5"/>
      <c r="Z147" s="5"/>
      <c r="AA147" s="5"/>
      <c r="AB147" s="5"/>
      <c r="AC147" s="24"/>
      <c r="AD147" s="5"/>
      <c r="AE147" s="5"/>
      <c r="AF147" s="5"/>
      <c r="AG147" s="5"/>
      <c r="AH147" s="5"/>
      <c r="AI147" s="5"/>
      <c r="AJ147" s="25"/>
      <c r="AK147">
        <v>336</v>
      </c>
      <c r="AL147">
        <v>1</v>
      </c>
      <c r="AO147" s="67"/>
      <c r="AP147">
        <v>16</v>
      </c>
      <c r="AQ147" s="76"/>
    </row>
    <row r="148" spans="1:43">
      <c r="A148" s="8">
        <v>339</v>
      </c>
      <c r="B148" s="8" t="s">
        <v>91</v>
      </c>
      <c r="C148" s="8" t="s">
        <v>366</v>
      </c>
      <c r="D148" s="8" t="s">
        <v>42</v>
      </c>
      <c r="E148" s="24"/>
      <c r="F148" s="5"/>
      <c r="G148" s="5"/>
      <c r="H148" s="5"/>
      <c r="I148" s="5"/>
      <c r="J148" s="5"/>
      <c r="K148" s="5"/>
      <c r="L148" s="25"/>
      <c r="M148" s="24"/>
      <c r="N148" s="5"/>
      <c r="O148" s="5"/>
      <c r="P148" s="5"/>
      <c r="Q148" s="5"/>
      <c r="R148" s="5"/>
      <c r="S148" s="5"/>
      <c r="T148" s="25"/>
      <c r="U148" s="5"/>
      <c r="V148" s="5"/>
      <c r="W148" s="5"/>
      <c r="X148" s="5"/>
      <c r="Y148" s="5"/>
      <c r="Z148" s="5"/>
      <c r="AA148" s="5"/>
      <c r="AB148" s="5"/>
      <c r="AC148" s="24"/>
      <c r="AD148" s="5"/>
      <c r="AE148" s="5"/>
      <c r="AF148" s="5"/>
      <c r="AG148" s="5"/>
      <c r="AH148" s="5"/>
      <c r="AI148" s="5"/>
      <c r="AJ148" s="25"/>
      <c r="AK148">
        <v>339</v>
      </c>
      <c r="AL148">
        <v>1</v>
      </c>
      <c r="AO148" s="67"/>
      <c r="AP148">
        <v>31</v>
      </c>
      <c r="AQ148" s="76"/>
    </row>
    <row r="149" spans="1:43">
      <c r="A149" s="8">
        <v>340</v>
      </c>
      <c r="B149" s="8" t="s">
        <v>44</v>
      </c>
      <c r="C149" s="8" t="s">
        <v>349</v>
      </c>
      <c r="D149" s="8" t="s">
        <v>6</v>
      </c>
      <c r="E149" s="24"/>
      <c r="F149" s="5"/>
      <c r="G149" s="5"/>
      <c r="H149" s="5"/>
      <c r="I149" s="5"/>
      <c r="J149" s="5"/>
      <c r="K149" s="5"/>
      <c r="L149" s="25"/>
      <c r="M149" s="24"/>
      <c r="N149" s="5"/>
      <c r="O149" s="5">
        <v>1</v>
      </c>
      <c r="P149" s="5">
        <v>1</v>
      </c>
      <c r="Q149" s="5"/>
      <c r="R149" s="5"/>
      <c r="S149" s="5"/>
      <c r="T149" s="25"/>
      <c r="U149" s="5"/>
      <c r="V149" s="5"/>
      <c r="W149" s="5"/>
      <c r="X149" s="5"/>
      <c r="Y149" s="5"/>
      <c r="Z149" s="5"/>
      <c r="AA149" s="5"/>
      <c r="AB149" s="5"/>
      <c r="AC149" s="24"/>
      <c r="AD149" s="5"/>
      <c r="AE149" s="5"/>
      <c r="AF149" s="5"/>
      <c r="AG149" s="5"/>
      <c r="AH149" s="5"/>
      <c r="AI149" s="5"/>
      <c r="AJ149" s="25"/>
      <c r="AK149">
        <v>340</v>
      </c>
      <c r="AM149">
        <v>1</v>
      </c>
      <c r="AO149" s="67">
        <f t="shared" ref="AO149:AO211" si="6">SUM(E149:AJ149)</f>
        <v>2</v>
      </c>
      <c r="AP149">
        <v>10</v>
      </c>
      <c r="AQ149" s="76">
        <f t="shared" si="5"/>
        <v>0.2</v>
      </c>
    </row>
    <row r="150" spans="1:43">
      <c r="A150" s="8">
        <v>343</v>
      </c>
      <c r="B150" s="8" t="s">
        <v>216</v>
      </c>
      <c r="C150" s="8" t="s">
        <v>42</v>
      </c>
      <c r="D150" s="8" t="s">
        <v>6</v>
      </c>
      <c r="E150" s="24"/>
      <c r="F150" s="5"/>
      <c r="G150" s="5"/>
      <c r="H150" s="5"/>
      <c r="I150" s="5"/>
      <c r="J150" s="5"/>
      <c r="K150" s="5"/>
      <c r="L150" s="25"/>
      <c r="M150" s="24"/>
      <c r="N150" s="5"/>
      <c r="O150" s="5"/>
      <c r="P150" s="5"/>
      <c r="Q150" s="5"/>
      <c r="R150" s="5"/>
      <c r="S150" s="5">
        <v>1</v>
      </c>
      <c r="T150" s="25"/>
      <c r="U150" s="5"/>
      <c r="V150" s="5"/>
      <c r="W150" s="5"/>
      <c r="X150" s="5"/>
      <c r="Y150" s="5"/>
      <c r="Z150" s="5"/>
      <c r="AA150" s="5"/>
      <c r="AB150" s="5"/>
      <c r="AC150" s="24"/>
      <c r="AD150" s="5"/>
      <c r="AE150" s="5"/>
      <c r="AF150" s="5"/>
      <c r="AG150" s="5"/>
      <c r="AH150" s="5">
        <v>1</v>
      </c>
      <c r="AI150" s="5"/>
      <c r="AJ150" s="25"/>
      <c r="AK150">
        <v>343</v>
      </c>
      <c r="AM150">
        <v>1</v>
      </c>
      <c r="AO150" s="67">
        <f t="shared" si="6"/>
        <v>2</v>
      </c>
      <c r="AP150">
        <v>31</v>
      </c>
      <c r="AQ150" s="76">
        <f t="shared" si="5"/>
        <v>6.4516129032258063E-2</v>
      </c>
    </row>
    <row r="151" spans="1:43">
      <c r="A151" s="8">
        <v>344</v>
      </c>
      <c r="B151" s="8" t="s">
        <v>63</v>
      </c>
      <c r="C151" s="8" t="s">
        <v>346</v>
      </c>
      <c r="D151" s="8" t="s">
        <v>15</v>
      </c>
      <c r="E151" s="24"/>
      <c r="F151" s="5"/>
      <c r="G151" s="5"/>
      <c r="H151" s="5"/>
      <c r="I151" s="5"/>
      <c r="J151" s="5"/>
      <c r="K151" s="5"/>
      <c r="L151" s="25"/>
      <c r="M151" s="24"/>
      <c r="N151" s="5"/>
      <c r="O151" s="5"/>
      <c r="P151" s="5"/>
      <c r="Q151" s="5"/>
      <c r="R151" s="5"/>
      <c r="S151" s="5"/>
      <c r="T151" s="25"/>
      <c r="U151" s="5"/>
      <c r="V151" s="5"/>
      <c r="W151" s="5"/>
      <c r="X151" s="5"/>
      <c r="Y151" s="5"/>
      <c r="Z151" s="5"/>
      <c r="AA151" s="5"/>
      <c r="AB151" s="5"/>
      <c r="AC151" s="24"/>
      <c r="AD151" s="5"/>
      <c r="AE151" s="5"/>
      <c r="AF151" s="5"/>
      <c r="AG151" s="5"/>
      <c r="AH151" s="5"/>
      <c r="AI151" s="5"/>
      <c r="AJ151" s="25"/>
      <c r="AK151">
        <v>344</v>
      </c>
      <c r="AL151">
        <v>1</v>
      </c>
      <c r="AO151" s="67"/>
      <c r="AP151">
        <v>15</v>
      </c>
      <c r="AQ151" s="76"/>
    </row>
    <row r="152" spans="1:43">
      <c r="A152" s="8">
        <v>345</v>
      </c>
      <c r="B152" s="8" t="s">
        <v>59</v>
      </c>
      <c r="C152" s="8" t="s">
        <v>346</v>
      </c>
      <c r="D152" s="8" t="s">
        <v>15</v>
      </c>
      <c r="E152" s="24"/>
      <c r="F152" s="5"/>
      <c r="G152" s="5"/>
      <c r="H152" s="5"/>
      <c r="I152" s="5"/>
      <c r="J152" s="5"/>
      <c r="K152" s="5"/>
      <c r="L152" s="25"/>
      <c r="M152" s="24"/>
      <c r="N152" s="5"/>
      <c r="O152" s="5"/>
      <c r="P152" s="5"/>
      <c r="Q152" s="5"/>
      <c r="R152" s="5"/>
      <c r="S152" s="5"/>
      <c r="T152" s="25"/>
      <c r="U152" s="5"/>
      <c r="V152" s="5"/>
      <c r="W152" s="5"/>
      <c r="X152" s="5"/>
      <c r="Y152" s="5">
        <v>1</v>
      </c>
      <c r="Z152" s="5"/>
      <c r="AA152" s="5"/>
      <c r="AB152" s="5"/>
      <c r="AC152" s="24"/>
      <c r="AD152" s="5"/>
      <c r="AE152" s="5"/>
      <c r="AF152" s="5"/>
      <c r="AG152" s="5"/>
      <c r="AH152" s="5"/>
      <c r="AI152" s="5"/>
      <c r="AJ152" s="25"/>
      <c r="AK152">
        <v>345</v>
      </c>
      <c r="AM152">
        <v>1</v>
      </c>
      <c r="AO152" s="67">
        <f t="shared" si="6"/>
        <v>1</v>
      </c>
      <c r="AP152">
        <v>16</v>
      </c>
      <c r="AQ152" s="76">
        <f t="shared" si="5"/>
        <v>6.25E-2</v>
      </c>
    </row>
    <row r="153" spans="1:43">
      <c r="A153" s="8">
        <v>346</v>
      </c>
      <c r="B153" s="8" t="s">
        <v>5</v>
      </c>
      <c r="C153" s="8" t="s">
        <v>42</v>
      </c>
      <c r="D153" s="8" t="s">
        <v>6</v>
      </c>
      <c r="E153" s="24">
        <v>1</v>
      </c>
      <c r="F153" s="5"/>
      <c r="G153" s="5"/>
      <c r="H153" s="5"/>
      <c r="I153" s="5">
        <v>1</v>
      </c>
      <c r="J153" s="5"/>
      <c r="K153" s="5"/>
      <c r="L153" s="25"/>
      <c r="M153" s="24"/>
      <c r="N153" s="5"/>
      <c r="O153" s="5"/>
      <c r="P153" s="5"/>
      <c r="Q153" s="5">
        <v>1</v>
      </c>
      <c r="R153" s="5">
        <v>1</v>
      </c>
      <c r="S153" s="5">
        <v>1</v>
      </c>
      <c r="T153" s="25"/>
      <c r="U153" s="5"/>
      <c r="V153" s="5">
        <v>1</v>
      </c>
      <c r="W153" s="5"/>
      <c r="X153" s="5"/>
      <c r="Y153" s="5"/>
      <c r="Z153" s="5"/>
      <c r="AA153" s="5"/>
      <c r="AB153" s="5"/>
      <c r="AC153" s="24"/>
      <c r="AD153" s="5"/>
      <c r="AE153" s="5"/>
      <c r="AF153" s="5"/>
      <c r="AG153" s="5"/>
      <c r="AH153" s="5">
        <v>1</v>
      </c>
      <c r="AI153" s="5"/>
      <c r="AJ153" s="25"/>
      <c r="AK153">
        <v>346</v>
      </c>
      <c r="AM153">
        <v>1</v>
      </c>
      <c r="AO153" s="67">
        <f t="shared" si="6"/>
        <v>7</v>
      </c>
      <c r="AP153">
        <v>30</v>
      </c>
      <c r="AQ153" s="76">
        <f t="shared" si="5"/>
        <v>0.23333333333333334</v>
      </c>
    </row>
    <row r="154" spans="1:43">
      <c r="A154" s="8">
        <v>347</v>
      </c>
      <c r="B154" s="8" t="s">
        <v>141</v>
      </c>
      <c r="C154" s="8" t="s">
        <v>346</v>
      </c>
      <c r="D154" s="8" t="s">
        <v>15</v>
      </c>
      <c r="E154" s="24"/>
      <c r="F154" s="5"/>
      <c r="G154" s="5"/>
      <c r="H154" s="5"/>
      <c r="I154" s="5"/>
      <c r="J154" s="5"/>
      <c r="K154" s="5"/>
      <c r="L154" s="25"/>
      <c r="M154" s="24"/>
      <c r="N154" s="5"/>
      <c r="O154" s="5"/>
      <c r="P154" s="5"/>
      <c r="Q154" s="5"/>
      <c r="R154" s="5"/>
      <c r="S154" s="5"/>
      <c r="T154" s="25"/>
      <c r="U154" s="5"/>
      <c r="V154" s="5"/>
      <c r="W154" s="5"/>
      <c r="X154" s="5"/>
      <c r="Y154" s="5"/>
      <c r="Z154" s="5"/>
      <c r="AA154" s="5"/>
      <c r="AB154" s="5"/>
      <c r="AC154" s="24"/>
      <c r="AD154" s="5"/>
      <c r="AE154" s="5"/>
      <c r="AF154" s="5"/>
      <c r="AG154" s="5"/>
      <c r="AH154" s="5"/>
      <c r="AI154" s="5"/>
      <c r="AJ154" s="25"/>
      <c r="AK154">
        <v>347</v>
      </c>
      <c r="AL154">
        <v>1</v>
      </c>
      <c r="AO154" s="67"/>
      <c r="AP154">
        <v>11</v>
      </c>
      <c r="AQ154" s="76"/>
    </row>
    <row r="155" spans="1:43">
      <c r="A155" s="8">
        <v>348</v>
      </c>
      <c r="B155" s="8" t="s">
        <v>106</v>
      </c>
      <c r="C155" s="8" t="s">
        <v>349</v>
      </c>
      <c r="D155" s="8" t="s">
        <v>6</v>
      </c>
      <c r="E155" s="24"/>
      <c r="F155" s="5"/>
      <c r="G155" s="5"/>
      <c r="H155" s="5"/>
      <c r="I155" s="5"/>
      <c r="J155" s="5"/>
      <c r="K155" s="5"/>
      <c r="L155" s="25"/>
      <c r="M155" s="24"/>
      <c r="N155" s="5"/>
      <c r="O155" s="5">
        <v>1</v>
      </c>
      <c r="P155" s="5"/>
      <c r="Q155" s="5">
        <v>1</v>
      </c>
      <c r="R155" s="5">
        <v>1</v>
      </c>
      <c r="S155" s="5"/>
      <c r="T155" s="25"/>
      <c r="U155" s="5"/>
      <c r="V155" s="5"/>
      <c r="W155" s="5"/>
      <c r="X155" s="5"/>
      <c r="Y155" s="5">
        <v>1</v>
      </c>
      <c r="Z155" s="5">
        <v>1</v>
      </c>
      <c r="AA155" s="5"/>
      <c r="AB155" s="5"/>
      <c r="AC155" s="24"/>
      <c r="AD155" s="5"/>
      <c r="AE155" s="5">
        <v>1</v>
      </c>
      <c r="AF155" s="5">
        <v>1</v>
      </c>
      <c r="AG155" s="5"/>
      <c r="AH155" s="5"/>
      <c r="AI155" s="5"/>
      <c r="AJ155" s="25"/>
      <c r="AK155">
        <v>348</v>
      </c>
      <c r="AM155">
        <v>1</v>
      </c>
      <c r="AO155" s="67">
        <f t="shared" si="6"/>
        <v>7</v>
      </c>
      <c r="AP155">
        <v>10</v>
      </c>
      <c r="AQ155" s="76">
        <f t="shared" si="5"/>
        <v>0.7</v>
      </c>
    </row>
    <row r="156" spans="1:43">
      <c r="A156" s="8">
        <v>349</v>
      </c>
      <c r="B156" s="8" t="s">
        <v>103</v>
      </c>
      <c r="C156" s="8" t="s">
        <v>357</v>
      </c>
      <c r="D156" s="8" t="s">
        <v>15</v>
      </c>
      <c r="E156" s="24"/>
      <c r="F156" s="5"/>
      <c r="G156" s="5"/>
      <c r="H156" s="5"/>
      <c r="I156" s="5"/>
      <c r="J156" s="5"/>
      <c r="K156" s="5"/>
      <c r="L156" s="25"/>
      <c r="M156" s="24"/>
      <c r="N156" s="5"/>
      <c r="O156" s="5"/>
      <c r="P156" s="5"/>
      <c r="Q156" s="5"/>
      <c r="R156" s="5"/>
      <c r="S156" s="5"/>
      <c r="T156" s="25"/>
      <c r="U156" s="5"/>
      <c r="V156" s="5"/>
      <c r="W156" s="5"/>
      <c r="X156" s="5"/>
      <c r="Y156" s="5"/>
      <c r="Z156" s="5"/>
      <c r="AA156" s="5"/>
      <c r="AB156" s="5"/>
      <c r="AC156" s="24"/>
      <c r="AD156" s="5"/>
      <c r="AE156" s="5"/>
      <c r="AF156" s="5"/>
      <c r="AG156" s="5"/>
      <c r="AH156" s="5"/>
      <c r="AI156" s="5"/>
      <c r="AJ156" s="25"/>
      <c r="AK156">
        <v>349</v>
      </c>
      <c r="AL156">
        <v>1</v>
      </c>
      <c r="AO156" s="67"/>
      <c r="AP156">
        <v>28</v>
      </c>
      <c r="AQ156" s="76"/>
    </row>
    <row r="157" spans="1:43">
      <c r="A157" s="8">
        <v>350</v>
      </c>
      <c r="B157" s="8" t="s">
        <v>80</v>
      </c>
      <c r="C157" s="8" t="s">
        <v>346</v>
      </c>
      <c r="D157" s="8" t="s">
        <v>15</v>
      </c>
      <c r="E157" s="24"/>
      <c r="F157" s="5"/>
      <c r="G157" s="5"/>
      <c r="H157" s="5"/>
      <c r="I157" s="5"/>
      <c r="J157" s="5"/>
      <c r="K157" s="5"/>
      <c r="L157" s="25"/>
      <c r="M157" s="24"/>
      <c r="N157" s="5"/>
      <c r="O157" s="5"/>
      <c r="P157" s="5"/>
      <c r="Q157" s="5"/>
      <c r="R157" s="5"/>
      <c r="S157" s="5"/>
      <c r="T157" s="25"/>
      <c r="U157" s="5"/>
      <c r="V157" s="5"/>
      <c r="W157" s="5"/>
      <c r="X157" s="5"/>
      <c r="Y157" s="5"/>
      <c r="Z157" s="5"/>
      <c r="AA157" s="5"/>
      <c r="AB157" s="5"/>
      <c r="AC157" s="24"/>
      <c r="AD157" s="5"/>
      <c r="AE157" s="5"/>
      <c r="AF157" s="5"/>
      <c r="AG157" s="5"/>
      <c r="AH157" s="5"/>
      <c r="AI157" s="5"/>
      <c r="AJ157" s="25"/>
      <c r="AK157">
        <v>350</v>
      </c>
      <c r="AL157">
        <v>1</v>
      </c>
      <c r="AO157" s="67"/>
      <c r="AP157">
        <v>17</v>
      </c>
      <c r="AQ157" s="76"/>
    </row>
    <row r="158" spans="1:43">
      <c r="A158" s="8">
        <v>351</v>
      </c>
      <c r="B158" s="8" t="s">
        <v>106</v>
      </c>
      <c r="C158" s="8" t="s">
        <v>349</v>
      </c>
      <c r="D158" s="8" t="s">
        <v>6</v>
      </c>
      <c r="E158" s="24"/>
      <c r="F158" s="5"/>
      <c r="G158" s="5"/>
      <c r="H158" s="5"/>
      <c r="I158" s="5"/>
      <c r="J158" s="5"/>
      <c r="K158" s="5"/>
      <c r="L158" s="25"/>
      <c r="M158" s="24"/>
      <c r="N158" s="5"/>
      <c r="O158" s="5"/>
      <c r="P158" s="5"/>
      <c r="Q158" s="5"/>
      <c r="R158" s="5"/>
      <c r="S158" s="5"/>
      <c r="T158" s="25"/>
      <c r="U158" s="5"/>
      <c r="V158" s="5"/>
      <c r="W158" s="5"/>
      <c r="X158" s="5"/>
      <c r="Y158" s="5"/>
      <c r="Z158" s="5"/>
      <c r="AA158" s="5"/>
      <c r="AB158" s="5"/>
      <c r="AC158" s="24"/>
      <c r="AD158" s="5"/>
      <c r="AE158" s="5"/>
      <c r="AF158" s="5"/>
      <c r="AG158" s="5"/>
      <c r="AH158" s="5"/>
      <c r="AI158" s="5"/>
      <c r="AJ158" s="25"/>
      <c r="AK158">
        <v>351</v>
      </c>
      <c r="AL158">
        <v>1</v>
      </c>
      <c r="AO158" s="67"/>
      <c r="AP158">
        <v>29</v>
      </c>
      <c r="AQ158" s="76"/>
    </row>
    <row r="159" spans="1:43">
      <c r="A159" s="8">
        <v>354</v>
      </c>
      <c r="B159" s="8" t="s">
        <v>136</v>
      </c>
      <c r="C159" s="8" t="s">
        <v>12</v>
      </c>
      <c r="D159" s="8" t="s">
        <v>42</v>
      </c>
      <c r="E159" s="24"/>
      <c r="F159" s="5"/>
      <c r="G159" s="5"/>
      <c r="H159" s="5"/>
      <c r="I159" s="5"/>
      <c r="J159" s="5"/>
      <c r="K159" s="5"/>
      <c r="L159" s="25"/>
      <c r="M159" s="24"/>
      <c r="N159" s="5"/>
      <c r="O159" s="5"/>
      <c r="P159" s="5"/>
      <c r="Q159" s="5"/>
      <c r="R159" s="5"/>
      <c r="S159" s="5"/>
      <c r="T159" s="25"/>
      <c r="U159" s="5"/>
      <c r="V159" s="5"/>
      <c r="W159" s="5"/>
      <c r="X159" s="5"/>
      <c r="Y159" s="5"/>
      <c r="Z159" s="5"/>
      <c r="AA159" s="5"/>
      <c r="AB159" s="5"/>
      <c r="AC159" s="24"/>
      <c r="AD159" s="5"/>
      <c r="AE159" s="5"/>
      <c r="AF159" s="5">
        <v>1</v>
      </c>
      <c r="AG159" s="5"/>
      <c r="AH159" s="5"/>
      <c r="AI159" s="5"/>
      <c r="AJ159" s="25"/>
      <c r="AK159">
        <v>354</v>
      </c>
      <c r="AM159">
        <v>1</v>
      </c>
      <c r="AO159" s="67">
        <f t="shared" si="6"/>
        <v>1</v>
      </c>
      <c r="AP159">
        <v>31</v>
      </c>
      <c r="AQ159" s="76">
        <f t="shared" si="5"/>
        <v>3.2258064516129031E-2</v>
      </c>
    </row>
    <row r="160" spans="1:43">
      <c r="A160" s="8">
        <v>358</v>
      </c>
      <c r="B160" s="8" t="s">
        <v>136</v>
      </c>
      <c r="C160" s="8" t="s">
        <v>12</v>
      </c>
      <c r="D160" s="8" t="s">
        <v>42</v>
      </c>
      <c r="E160" s="24"/>
      <c r="F160" s="5"/>
      <c r="G160" s="5"/>
      <c r="H160" s="5"/>
      <c r="I160" s="5"/>
      <c r="J160" s="5"/>
      <c r="K160" s="5"/>
      <c r="L160" s="25"/>
      <c r="M160" s="24"/>
      <c r="N160" s="5"/>
      <c r="O160" s="5"/>
      <c r="P160" s="5"/>
      <c r="Q160" s="5"/>
      <c r="R160" s="5"/>
      <c r="S160" s="5"/>
      <c r="T160" s="25"/>
      <c r="U160" s="5"/>
      <c r="V160" s="5"/>
      <c r="W160" s="5"/>
      <c r="X160" s="5"/>
      <c r="Y160" s="5"/>
      <c r="Z160" s="5"/>
      <c r="AA160" s="5"/>
      <c r="AB160" s="5"/>
      <c r="AC160" s="24"/>
      <c r="AD160" s="5"/>
      <c r="AE160" s="5"/>
      <c r="AF160" s="5"/>
      <c r="AG160" s="5"/>
      <c r="AH160" s="5"/>
      <c r="AI160" s="5"/>
      <c r="AJ160" s="25"/>
      <c r="AK160">
        <v>358</v>
      </c>
      <c r="AL160">
        <v>1</v>
      </c>
      <c r="AO160" s="67"/>
      <c r="AP160">
        <v>31</v>
      </c>
      <c r="AQ160" s="76"/>
    </row>
    <row r="161" spans="1:43">
      <c r="A161" s="8">
        <v>359</v>
      </c>
      <c r="B161" s="8" t="s">
        <v>78</v>
      </c>
      <c r="C161" s="8" t="s">
        <v>359</v>
      </c>
      <c r="D161" s="8" t="s">
        <v>15</v>
      </c>
      <c r="E161" s="24"/>
      <c r="F161" s="5"/>
      <c r="G161" s="5"/>
      <c r="H161" s="5"/>
      <c r="I161" s="5"/>
      <c r="J161" s="5"/>
      <c r="K161" s="5"/>
      <c r="L161" s="25"/>
      <c r="M161" s="24"/>
      <c r="N161" s="5"/>
      <c r="O161" s="5"/>
      <c r="P161" s="5"/>
      <c r="Q161" s="5"/>
      <c r="R161" s="5"/>
      <c r="S161" s="5"/>
      <c r="T161" s="25"/>
      <c r="U161" s="5"/>
      <c r="V161" s="5"/>
      <c r="W161" s="5"/>
      <c r="X161" s="5"/>
      <c r="Y161" s="5"/>
      <c r="Z161" s="5"/>
      <c r="AA161" s="5"/>
      <c r="AB161" s="5"/>
      <c r="AC161" s="24"/>
      <c r="AD161" s="5"/>
      <c r="AE161" s="5"/>
      <c r="AF161" s="5"/>
      <c r="AG161" s="5"/>
      <c r="AH161" s="5"/>
      <c r="AI161" s="5"/>
      <c r="AJ161" s="25"/>
      <c r="AK161">
        <v>359</v>
      </c>
      <c r="AL161">
        <v>1</v>
      </c>
      <c r="AO161" s="67"/>
      <c r="AP161">
        <v>15</v>
      </c>
      <c r="AQ161" s="76"/>
    </row>
    <row r="162" spans="1:43">
      <c r="A162" s="8">
        <v>360</v>
      </c>
      <c r="B162" s="8" t="s">
        <v>71</v>
      </c>
      <c r="C162" s="8" t="s">
        <v>366</v>
      </c>
      <c r="D162" s="8" t="s">
        <v>42</v>
      </c>
      <c r="E162" s="24"/>
      <c r="F162" s="5">
        <v>1</v>
      </c>
      <c r="G162" s="5"/>
      <c r="H162" s="5"/>
      <c r="I162" s="5">
        <v>1</v>
      </c>
      <c r="J162" s="5">
        <v>1</v>
      </c>
      <c r="K162" s="5"/>
      <c r="L162" s="25"/>
      <c r="M162" s="24"/>
      <c r="N162" s="5"/>
      <c r="O162" s="5"/>
      <c r="P162" s="5"/>
      <c r="Q162" s="5"/>
      <c r="R162" s="5">
        <v>1</v>
      </c>
      <c r="S162" s="5"/>
      <c r="T162" s="25"/>
      <c r="U162" s="5"/>
      <c r="V162" s="5"/>
      <c r="W162" s="5"/>
      <c r="X162" s="5"/>
      <c r="Y162" s="5"/>
      <c r="Z162" s="5"/>
      <c r="AA162" s="5"/>
      <c r="AB162" s="5"/>
      <c r="AC162" s="24"/>
      <c r="AD162" s="5"/>
      <c r="AE162" s="5"/>
      <c r="AF162" s="5">
        <v>1</v>
      </c>
      <c r="AG162" s="5"/>
      <c r="AH162" s="5">
        <v>1</v>
      </c>
      <c r="AI162" s="5">
        <v>1</v>
      </c>
      <c r="AJ162" s="25"/>
      <c r="AK162">
        <v>360</v>
      </c>
      <c r="AM162">
        <v>1</v>
      </c>
      <c r="AO162" s="67">
        <f t="shared" si="6"/>
        <v>7</v>
      </c>
      <c r="AP162">
        <v>24</v>
      </c>
      <c r="AQ162" s="76">
        <f t="shared" si="5"/>
        <v>0.29166666666666669</v>
      </c>
    </row>
    <row r="163" spans="1:43">
      <c r="A163" s="8">
        <v>361</v>
      </c>
      <c r="B163" s="8" t="s">
        <v>55</v>
      </c>
      <c r="C163" s="8" t="s">
        <v>346</v>
      </c>
      <c r="D163" s="8" t="s">
        <v>15</v>
      </c>
      <c r="E163" s="24"/>
      <c r="F163" s="5"/>
      <c r="G163" s="5"/>
      <c r="H163" s="5"/>
      <c r="I163" s="5"/>
      <c r="J163" s="5"/>
      <c r="K163" s="5"/>
      <c r="L163" s="25"/>
      <c r="M163" s="24"/>
      <c r="N163" s="5"/>
      <c r="O163" s="5"/>
      <c r="P163" s="5"/>
      <c r="Q163" s="5"/>
      <c r="R163" s="5"/>
      <c r="S163" s="5"/>
      <c r="T163" s="25"/>
      <c r="U163" s="5"/>
      <c r="V163" s="5"/>
      <c r="W163" s="5"/>
      <c r="X163" s="5"/>
      <c r="Y163" s="5"/>
      <c r="Z163" s="5"/>
      <c r="AA163" s="5"/>
      <c r="AB163" s="5"/>
      <c r="AC163" s="24"/>
      <c r="AD163" s="5"/>
      <c r="AE163" s="5"/>
      <c r="AF163" s="5"/>
      <c r="AG163" s="5"/>
      <c r="AH163" s="5"/>
      <c r="AI163" s="5"/>
      <c r="AJ163" s="25"/>
      <c r="AK163">
        <v>361</v>
      </c>
      <c r="AL163">
        <v>1</v>
      </c>
      <c r="AO163" s="67"/>
      <c r="AP163">
        <v>18</v>
      </c>
      <c r="AQ163" s="76"/>
    </row>
    <row r="164" spans="1:43">
      <c r="A164" s="8">
        <v>363</v>
      </c>
      <c r="B164" s="8" t="s">
        <v>216</v>
      </c>
      <c r="C164" s="8" t="s">
        <v>42</v>
      </c>
      <c r="D164" s="8" t="s">
        <v>6</v>
      </c>
      <c r="E164" s="24"/>
      <c r="F164" s="5"/>
      <c r="G164" s="5">
        <v>1</v>
      </c>
      <c r="H164" s="5"/>
      <c r="I164" s="5"/>
      <c r="J164" s="5"/>
      <c r="K164" s="5"/>
      <c r="L164" s="25"/>
      <c r="M164" s="24">
        <v>1</v>
      </c>
      <c r="N164" s="5">
        <v>1</v>
      </c>
      <c r="O164" s="5"/>
      <c r="P164" s="5"/>
      <c r="Q164" s="5"/>
      <c r="R164" s="5"/>
      <c r="S164" s="5">
        <v>1</v>
      </c>
      <c r="T164" s="25">
        <v>1</v>
      </c>
      <c r="U164" s="5"/>
      <c r="V164" s="5"/>
      <c r="W164" s="5"/>
      <c r="X164" s="5"/>
      <c r="Y164" s="5"/>
      <c r="Z164" s="5"/>
      <c r="AA164" s="5"/>
      <c r="AB164" s="5"/>
      <c r="AC164" s="24"/>
      <c r="AD164" s="5"/>
      <c r="AE164" s="5"/>
      <c r="AF164" s="5"/>
      <c r="AG164" s="5"/>
      <c r="AH164" s="5"/>
      <c r="AI164" s="5">
        <v>1</v>
      </c>
      <c r="AJ164" s="25"/>
      <c r="AK164">
        <v>363</v>
      </c>
      <c r="AM164">
        <v>1</v>
      </c>
      <c r="AO164" s="67">
        <f t="shared" si="6"/>
        <v>6</v>
      </c>
      <c r="AP164">
        <v>30</v>
      </c>
      <c r="AQ164" s="76">
        <f t="shared" si="5"/>
        <v>0.2</v>
      </c>
    </row>
    <row r="165" spans="1:43">
      <c r="A165" s="8">
        <v>365</v>
      </c>
      <c r="B165" s="8" t="s">
        <v>197</v>
      </c>
      <c r="C165" s="8" t="s">
        <v>357</v>
      </c>
      <c r="D165" s="8" t="s">
        <v>15</v>
      </c>
      <c r="E165" s="24"/>
      <c r="F165" s="5"/>
      <c r="G165" s="5"/>
      <c r="H165" s="5"/>
      <c r="I165" s="5"/>
      <c r="J165" s="5"/>
      <c r="K165" s="5"/>
      <c r="L165" s="25"/>
      <c r="M165" s="24"/>
      <c r="N165" s="5"/>
      <c r="O165" s="5"/>
      <c r="P165" s="5"/>
      <c r="Q165" s="5"/>
      <c r="R165" s="5"/>
      <c r="S165" s="5"/>
      <c r="T165" s="25"/>
      <c r="U165" s="5"/>
      <c r="V165" s="5"/>
      <c r="W165" s="5"/>
      <c r="X165" s="5"/>
      <c r="Y165" s="5"/>
      <c r="Z165" s="5"/>
      <c r="AA165" s="5"/>
      <c r="AB165" s="5"/>
      <c r="AC165" s="24"/>
      <c r="AD165" s="5"/>
      <c r="AE165" s="5"/>
      <c r="AF165" s="5"/>
      <c r="AG165" s="5"/>
      <c r="AH165" s="5"/>
      <c r="AI165" s="5"/>
      <c r="AJ165" s="25"/>
      <c r="AK165">
        <v>365</v>
      </c>
      <c r="AL165">
        <v>1</v>
      </c>
      <c r="AO165" s="67"/>
      <c r="AP165">
        <v>9</v>
      </c>
      <c r="AQ165" s="76"/>
    </row>
    <row r="166" spans="1:43">
      <c r="A166" s="8">
        <v>367</v>
      </c>
      <c r="B166" s="8" t="s">
        <v>80</v>
      </c>
      <c r="C166" s="8" t="s">
        <v>346</v>
      </c>
      <c r="D166" s="8" t="s">
        <v>15</v>
      </c>
      <c r="E166" s="24"/>
      <c r="F166" s="5"/>
      <c r="G166" s="5"/>
      <c r="H166" s="5"/>
      <c r="I166" s="5"/>
      <c r="J166" s="5"/>
      <c r="K166" s="5"/>
      <c r="L166" s="25"/>
      <c r="M166" s="24"/>
      <c r="N166" s="5"/>
      <c r="O166" s="5"/>
      <c r="P166" s="5"/>
      <c r="Q166" s="5"/>
      <c r="R166" s="5"/>
      <c r="S166" s="5"/>
      <c r="T166" s="25"/>
      <c r="U166" s="5"/>
      <c r="V166" s="5"/>
      <c r="W166" s="5"/>
      <c r="X166" s="5"/>
      <c r="Y166" s="5"/>
      <c r="Z166" s="5"/>
      <c r="AA166" s="5"/>
      <c r="AB166" s="5"/>
      <c r="AC166" s="24"/>
      <c r="AD166" s="5"/>
      <c r="AE166" s="5"/>
      <c r="AF166" s="5"/>
      <c r="AG166" s="5"/>
      <c r="AH166" s="5"/>
      <c r="AI166" s="5"/>
      <c r="AJ166" s="25"/>
      <c r="AK166">
        <v>367</v>
      </c>
      <c r="AL166">
        <v>1</v>
      </c>
      <c r="AO166" s="67"/>
      <c r="AP166">
        <v>11</v>
      </c>
      <c r="AQ166" s="76"/>
    </row>
    <row r="167" spans="1:43">
      <c r="A167" s="8">
        <v>371</v>
      </c>
      <c r="B167" s="8" t="s">
        <v>73</v>
      </c>
      <c r="C167" s="8" t="s">
        <v>165</v>
      </c>
      <c r="D167" s="8" t="s">
        <v>42</v>
      </c>
      <c r="E167" s="24"/>
      <c r="F167" s="5"/>
      <c r="G167" s="5"/>
      <c r="H167" s="5"/>
      <c r="I167" s="5"/>
      <c r="J167" s="5"/>
      <c r="K167" s="5"/>
      <c r="L167" s="25"/>
      <c r="M167" s="24"/>
      <c r="N167" s="5"/>
      <c r="O167" s="5"/>
      <c r="P167" s="5"/>
      <c r="Q167" s="5"/>
      <c r="R167" s="5">
        <v>1</v>
      </c>
      <c r="S167" s="5"/>
      <c r="T167" s="25"/>
      <c r="U167" s="5"/>
      <c r="V167" s="5"/>
      <c r="W167" s="5"/>
      <c r="X167" s="5"/>
      <c r="Y167" s="5"/>
      <c r="Z167" s="5"/>
      <c r="AA167" s="5"/>
      <c r="AB167" s="5"/>
      <c r="AC167" s="24"/>
      <c r="AD167" s="5"/>
      <c r="AE167" s="5"/>
      <c r="AF167" s="5"/>
      <c r="AG167" s="5"/>
      <c r="AH167" s="5"/>
      <c r="AI167" s="5"/>
      <c r="AJ167" s="25"/>
      <c r="AK167">
        <v>371</v>
      </c>
      <c r="AM167">
        <v>1</v>
      </c>
      <c r="AO167" s="67">
        <f t="shared" si="6"/>
        <v>1</v>
      </c>
      <c r="AP167">
        <v>32</v>
      </c>
      <c r="AQ167" s="76">
        <f t="shared" si="5"/>
        <v>3.125E-2</v>
      </c>
    </row>
    <row r="168" spans="1:43">
      <c r="A168" s="8">
        <v>375</v>
      </c>
      <c r="B168" s="8" t="s">
        <v>44</v>
      </c>
      <c r="C168" s="8" t="s">
        <v>349</v>
      </c>
      <c r="D168" s="8" t="s">
        <v>6</v>
      </c>
      <c r="E168" s="24"/>
      <c r="F168" s="5"/>
      <c r="G168" s="5"/>
      <c r="H168" s="5"/>
      <c r="I168" s="5"/>
      <c r="J168" s="5"/>
      <c r="K168" s="5"/>
      <c r="L168" s="25"/>
      <c r="M168" s="24"/>
      <c r="N168" s="5"/>
      <c r="O168" s="5"/>
      <c r="P168" s="5"/>
      <c r="Q168" s="5"/>
      <c r="R168" s="5"/>
      <c r="S168" s="5"/>
      <c r="T168" s="25"/>
      <c r="U168" s="5"/>
      <c r="V168" s="5"/>
      <c r="W168" s="5"/>
      <c r="X168" s="5"/>
      <c r="Y168" s="5"/>
      <c r="Z168" s="5"/>
      <c r="AA168" s="5"/>
      <c r="AB168" s="5"/>
      <c r="AC168" s="24"/>
      <c r="AD168" s="5"/>
      <c r="AE168" s="5"/>
      <c r="AF168" s="5"/>
      <c r="AG168" s="5"/>
      <c r="AH168" s="5"/>
      <c r="AI168" s="5"/>
      <c r="AJ168" s="25"/>
      <c r="AK168">
        <v>375</v>
      </c>
      <c r="AL168">
        <v>1</v>
      </c>
      <c r="AO168" s="67"/>
      <c r="AP168">
        <v>11</v>
      </c>
      <c r="AQ168" s="76"/>
    </row>
    <row r="169" spans="1:43">
      <c r="A169" s="8">
        <v>376</v>
      </c>
      <c r="B169" s="8" t="s">
        <v>106</v>
      </c>
      <c r="C169" s="8" t="s">
        <v>349</v>
      </c>
      <c r="D169" s="8" t="s">
        <v>6</v>
      </c>
      <c r="E169" s="24"/>
      <c r="F169" s="5"/>
      <c r="G169" s="5">
        <v>1</v>
      </c>
      <c r="H169" s="5"/>
      <c r="I169" s="5"/>
      <c r="J169" s="5"/>
      <c r="K169" s="5"/>
      <c r="L169" s="25"/>
      <c r="M169" s="24"/>
      <c r="N169" s="5"/>
      <c r="O169" s="5"/>
      <c r="P169" s="5"/>
      <c r="Q169" s="5"/>
      <c r="R169" s="5"/>
      <c r="S169" s="5"/>
      <c r="T169" s="25"/>
      <c r="U169" s="5"/>
      <c r="V169" s="5"/>
      <c r="W169" s="5"/>
      <c r="X169" s="5"/>
      <c r="Y169" s="5"/>
      <c r="Z169" s="5"/>
      <c r="AA169" s="5"/>
      <c r="AB169" s="5"/>
      <c r="AC169" s="24"/>
      <c r="AD169" s="5"/>
      <c r="AE169" s="5"/>
      <c r="AF169" s="5"/>
      <c r="AG169" s="5">
        <v>1</v>
      </c>
      <c r="AH169" s="5"/>
      <c r="AI169" s="5"/>
      <c r="AJ169" s="25"/>
      <c r="AK169">
        <v>376</v>
      </c>
      <c r="AM169">
        <v>1</v>
      </c>
      <c r="AO169" s="67">
        <f t="shared" si="6"/>
        <v>2</v>
      </c>
      <c r="AP169">
        <v>2</v>
      </c>
      <c r="AQ169" s="76">
        <f t="shared" si="5"/>
        <v>1</v>
      </c>
    </row>
    <row r="170" spans="1:43">
      <c r="A170" s="8">
        <v>377</v>
      </c>
      <c r="B170" s="8" t="s">
        <v>62</v>
      </c>
      <c r="C170" s="8" t="s">
        <v>42</v>
      </c>
      <c r="D170" s="8" t="s">
        <v>6</v>
      </c>
      <c r="E170" s="24">
        <v>1</v>
      </c>
      <c r="F170" s="5">
        <v>1</v>
      </c>
      <c r="G170" s="5"/>
      <c r="H170" s="5"/>
      <c r="I170" s="5">
        <v>1</v>
      </c>
      <c r="J170" s="5"/>
      <c r="K170" s="5"/>
      <c r="L170" s="25"/>
      <c r="M170" s="24"/>
      <c r="N170" s="5"/>
      <c r="O170" s="5"/>
      <c r="P170" s="5"/>
      <c r="Q170" s="5"/>
      <c r="R170" s="5"/>
      <c r="S170" s="5">
        <v>1</v>
      </c>
      <c r="T170" s="25">
        <v>1</v>
      </c>
      <c r="U170" s="5"/>
      <c r="V170" s="5"/>
      <c r="W170" s="5"/>
      <c r="X170" s="5"/>
      <c r="Y170" s="5"/>
      <c r="Z170" s="5"/>
      <c r="AA170" s="5"/>
      <c r="AB170" s="5"/>
      <c r="AC170" s="24"/>
      <c r="AD170" s="5"/>
      <c r="AE170" s="5"/>
      <c r="AF170" s="5"/>
      <c r="AG170" s="5"/>
      <c r="AH170" s="5">
        <v>1</v>
      </c>
      <c r="AI170" s="5">
        <v>1</v>
      </c>
      <c r="AJ170" s="25"/>
      <c r="AK170">
        <v>377</v>
      </c>
      <c r="AM170">
        <v>1</v>
      </c>
      <c r="AO170" s="67">
        <f t="shared" si="6"/>
        <v>7</v>
      </c>
      <c r="AP170">
        <v>28</v>
      </c>
      <c r="AQ170" s="76">
        <f t="shared" si="5"/>
        <v>0.25</v>
      </c>
    </row>
    <row r="171" spans="1:43">
      <c r="A171" s="8">
        <v>380</v>
      </c>
      <c r="B171" s="8" t="s">
        <v>136</v>
      </c>
      <c r="C171" s="8" t="s">
        <v>12</v>
      </c>
      <c r="D171" s="8" t="s">
        <v>42</v>
      </c>
      <c r="E171" s="24"/>
      <c r="F171" s="5"/>
      <c r="G171" s="5"/>
      <c r="H171" s="5"/>
      <c r="I171" s="5"/>
      <c r="J171" s="5"/>
      <c r="K171" s="5"/>
      <c r="L171" s="25"/>
      <c r="M171" s="24"/>
      <c r="N171" s="5"/>
      <c r="O171" s="5"/>
      <c r="P171" s="5"/>
      <c r="Q171" s="5"/>
      <c r="R171" s="5"/>
      <c r="S171" s="5"/>
      <c r="T171" s="25"/>
      <c r="U171" s="5"/>
      <c r="V171" s="5"/>
      <c r="W171" s="5"/>
      <c r="X171" s="5"/>
      <c r="Y171" s="5"/>
      <c r="Z171" s="5"/>
      <c r="AA171" s="5"/>
      <c r="AB171" s="5"/>
      <c r="AC171" s="24"/>
      <c r="AD171" s="5"/>
      <c r="AE171" s="5"/>
      <c r="AF171" s="5"/>
      <c r="AG171" s="5"/>
      <c r="AH171" s="5"/>
      <c r="AI171" s="5"/>
      <c r="AJ171" s="25"/>
      <c r="AK171">
        <v>380</v>
      </c>
      <c r="AL171">
        <v>1</v>
      </c>
      <c r="AO171" s="67"/>
      <c r="AP171">
        <v>30</v>
      </c>
      <c r="AQ171" s="76"/>
    </row>
    <row r="172" spans="1:43">
      <c r="A172" s="8">
        <v>386</v>
      </c>
      <c r="B172" s="8" t="s">
        <v>80</v>
      </c>
      <c r="C172" s="8" t="s">
        <v>346</v>
      </c>
      <c r="D172" s="8" t="s">
        <v>15</v>
      </c>
      <c r="E172" s="24"/>
      <c r="F172" s="5"/>
      <c r="G172" s="5"/>
      <c r="H172" s="5"/>
      <c r="I172" s="5"/>
      <c r="J172" s="5"/>
      <c r="K172" s="5"/>
      <c r="L172" s="25"/>
      <c r="M172" s="24"/>
      <c r="N172" s="5"/>
      <c r="O172" s="5"/>
      <c r="P172" s="5"/>
      <c r="Q172" s="5"/>
      <c r="R172" s="5"/>
      <c r="S172" s="5"/>
      <c r="T172" s="25"/>
      <c r="U172" s="5"/>
      <c r="V172" s="5"/>
      <c r="W172" s="5"/>
      <c r="X172" s="5"/>
      <c r="Y172" s="5"/>
      <c r="Z172" s="5"/>
      <c r="AA172" s="5"/>
      <c r="AB172" s="5"/>
      <c r="AC172" s="24"/>
      <c r="AD172" s="5"/>
      <c r="AE172" s="5"/>
      <c r="AF172" s="5"/>
      <c r="AG172" s="5"/>
      <c r="AH172" s="5"/>
      <c r="AI172" s="5"/>
      <c r="AJ172" s="25"/>
      <c r="AK172">
        <v>386</v>
      </c>
      <c r="AL172">
        <v>1</v>
      </c>
      <c r="AO172" s="67"/>
      <c r="AP172">
        <v>16</v>
      </c>
      <c r="AQ172" s="76"/>
    </row>
    <row r="173" spans="1:43">
      <c r="A173" s="8">
        <v>392</v>
      </c>
      <c r="B173" s="8" t="s">
        <v>80</v>
      </c>
      <c r="C173" s="8" t="s">
        <v>346</v>
      </c>
      <c r="D173" s="8" t="s">
        <v>15</v>
      </c>
      <c r="E173" s="24"/>
      <c r="F173" s="5"/>
      <c r="G173" s="5"/>
      <c r="H173" s="5"/>
      <c r="I173" s="5"/>
      <c r="J173" s="5"/>
      <c r="K173" s="5"/>
      <c r="L173" s="25"/>
      <c r="M173" s="24"/>
      <c r="N173" s="5"/>
      <c r="O173" s="5"/>
      <c r="P173" s="5"/>
      <c r="Q173" s="5"/>
      <c r="R173" s="5"/>
      <c r="S173" s="5"/>
      <c r="T173" s="25"/>
      <c r="U173" s="5"/>
      <c r="V173" s="5"/>
      <c r="W173" s="5"/>
      <c r="X173" s="5"/>
      <c r="Y173" s="5"/>
      <c r="Z173" s="5"/>
      <c r="AA173" s="5"/>
      <c r="AB173" s="5"/>
      <c r="AC173" s="24"/>
      <c r="AD173" s="5"/>
      <c r="AE173" s="5"/>
      <c r="AF173" s="5"/>
      <c r="AG173" s="5"/>
      <c r="AH173" s="5"/>
      <c r="AI173" s="5"/>
      <c r="AJ173" s="25"/>
      <c r="AK173">
        <v>392</v>
      </c>
      <c r="AL173">
        <v>1</v>
      </c>
      <c r="AO173" s="67"/>
      <c r="AP173">
        <v>16</v>
      </c>
      <c r="AQ173" s="76"/>
    </row>
    <row r="174" spans="1:43" s="8" customFormat="1">
      <c r="A174" s="8">
        <v>401</v>
      </c>
      <c r="B174" s="8" t="s">
        <v>123</v>
      </c>
      <c r="C174" s="8" t="s">
        <v>366</v>
      </c>
      <c r="D174" s="8" t="s">
        <v>42</v>
      </c>
      <c r="E174" s="24"/>
      <c r="F174" s="5"/>
      <c r="G174" s="5"/>
      <c r="H174" s="5"/>
      <c r="I174" s="5">
        <v>1</v>
      </c>
      <c r="J174" s="5">
        <v>1</v>
      </c>
      <c r="K174" s="5"/>
      <c r="L174" s="25"/>
      <c r="M174" s="24"/>
      <c r="N174" s="5"/>
      <c r="O174" s="5">
        <v>1</v>
      </c>
      <c r="P174" s="5"/>
      <c r="Q174" s="5"/>
      <c r="R174" s="5">
        <v>1</v>
      </c>
      <c r="S174" s="5"/>
      <c r="T174" s="25"/>
      <c r="U174" s="5"/>
      <c r="V174" s="5"/>
      <c r="W174" s="5"/>
      <c r="X174" s="5">
        <v>1</v>
      </c>
      <c r="Y174" s="5"/>
      <c r="Z174" s="5"/>
      <c r="AA174" s="5"/>
      <c r="AB174" s="5"/>
      <c r="AC174" s="24"/>
      <c r="AD174" s="5"/>
      <c r="AE174" s="5"/>
      <c r="AF174" s="5">
        <v>1</v>
      </c>
      <c r="AG174" s="5"/>
      <c r="AH174" s="5"/>
      <c r="AI174" s="5"/>
      <c r="AJ174" s="25"/>
      <c r="AK174" s="8">
        <v>401</v>
      </c>
      <c r="AM174" s="8">
        <v>1</v>
      </c>
      <c r="AO174" s="67">
        <f t="shared" si="6"/>
        <v>6</v>
      </c>
      <c r="AP174" s="8">
        <v>23</v>
      </c>
      <c r="AQ174" s="76">
        <f t="shared" si="5"/>
        <v>0.2608695652173913</v>
      </c>
    </row>
    <row r="175" spans="1:43">
      <c r="A175" s="8">
        <v>402</v>
      </c>
      <c r="B175" s="8" t="s">
        <v>88</v>
      </c>
      <c r="C175" s="8" t="s">
        <v>12</v>
      </c>
      <c r="D175" s="8" t="s">
        <v>6</v>
      </c>
      <c r="E175" s="24"/>
      <c r="F175" s="5"/>
      <c r="G175" s="5"/>
      <c r="H175" s="5"/>
      <c r="I175" s="5"/>
      <c r="J175" s="5"/>
      <c r="K175" s="5"/>
      <c r="L175" s="25"/>
      <c r="M175" s="24"/>
      <c r="N175" s="5"/>
      <c r="O175" s="5"/>
      <c r="P175" s="5"/>
      <c r="Q175" s="5"/>
      <c r="R175" s="5">
        <v>1</v>
      </c>
      <c r="S175" s="5"/>
      <c r="T175" s="25"/>
      <c r="U175" s="5"/>
      <c r="V175" s="5"/>
      <c r="W175" s="5"/>
      <c r="X175" s="5"/>
      <c r="Y175" s="5"/>
      <c r="Z175" s="5"/>
      <c r="AA175" s="5"/>
      <c r="AB175" s="5"/>
      <c r="AC175" s="24"/>
      <c r="AD175" s="5"/>
      <c r="AE175" s="5"/>
      <c r="AF175" s="5"/>
      <c r="AG175" s="5"/>
      <c r="AH175" s="5"/>
      <c r="AI175" s="5"/>
      <c r="AJ175" s="25"/>
      <c r="AK175">
        <v>402</v>
      </c>
      <c r="AM175">
        <v>1</v>
      </c>
      <c r="AO175" s="67">
        <f t="shared" si="6"/>
        <v>1</v>
      </c>
      <c r="AP175">
        <v>32</v>
      </c>
      <c r="AQ175" s="76">
        <f t="shared" si="5"/>
        <v>3.125E-2</v>
      </c>
    </row>
    <row r="176" spans="1:43">
      <c r="A176" s="8">
        <v>412</v>
      </c>
      <c r="B176" s="8" t="s">
        <v>41</v>
      </c>
      <c r="C176" s="8" t="s">
        <v>42</v>
      </c>
      <c r="D176" s="8" t="s">
        <v>42</v>
      </c>
      <c r="E176" s="24"/>
      <c r="F176" s="5"/>
      <c r="G176" s="5"/>
      <c r="H176" s="5"/>
      <c r="I176" s="5"/>
      <c r="J176" s="5"/>
      <c r="K176" s="5"/>
      <c r="L176" s="25"/>
      <c r="M176" s="24"/>
      <c r="N176" s="5"/>
      <c r="O176" s="5"/>
      <c r="P176" s="5"/>
      <c r="Q176" s="5"/>
      <c r="R176" s="5"/>
      <c r="S176" s="5"/>
      <c r="T176" s="25"/>
      <c r="U176" s="5"/>
      <c r="V176" s="5">
        <v>1</v>
      </c>
      <c r="W176" s="5"/>
      <c r="X176" s="5"/>
      <c r="Y176" s="5"/>
      <c r="Z176" s="5"/>
      <c r="AA176" s="5"/>
      <c r="AB176" s="5"/>
      <c r="AC176" s="24"/>
      <c r="AD176" s="5"/>
      <c r="AE176" s="5"/>
      <c r="AF176" s="5"/>
      <c r="AG176" s="5"/>
      <c r="AH176" s="5">
        <v>1</v>
      </c>
      <c r="AI176" s="5"/>
      <c r="AJ176" s="25"/>
      <c r="AK176">
        <v>412</v>
      </c>
      <c r="AM176">
        <v>1</v>
      </c>
      <c r="AO176" s="67">
        <f t="shared" si="6"/>
        <v>2</v>
      </c>
      <c r="AP176">
        <v>29</v>
      </c>
      <c r="AQ176" s="76">
        <f t="shared" si="5"/>
        <v>6.8965517241379309E-2</v>
      </c>
    </row>
    <row r="177" spans="1:43">
      <c r="A177" s="8">
        <v>414</v>
      </c>
      <c r="B177" s="8" t="s">
        <v>62</v>
      </c>
      <c r="C177" s="8" t="s">
        <v>42</v>
      </c>
      <c r="D177" s="8" t="s">
        <v>42</v>
      </c>
      <c r="E177" s="24"/>
      <c r="F177" s="5"/>
      <c r="G177" s="5">
        <v>1</v>
      </c>
      <c r="H177" s="5">
        <v>1</v>
      </c>
      <c r="I177" s="5"/>
      <c r="J177" s="5"/>
      <c r="K177" s="5"/>
      <c r="L177" s="25"/>
      <c r="M177" s="24"/>
      <c r="N177" s="5"/>
      <c r="O177" s="5"/>
      <c r="P177" s="5"/>
      <c r="Q177" s="5"/>
      <c r="R177" s="5"/>
      <c r="S177" s="5"/>
      <c r="T177" s="25"/>
      <c r="U177" s="5"/>
      <c r="V177" s="5"/>
      <c r="W177" s="5">
        <v>1</v>
      </c>
      <c r="X177" s="5">
        <v>1</v>
      </c>
      <c r="Y177" s="5"/>
      <c r="Z177" s="5"/>
      <c r="AA177" s="5"/>
      <c r="AB177" s="5"/>
      <c r="AC177" s="24"/>
      <c r="AD177" s="5"/>
      <c r="AE177" s="5"/>
      <c r="AF177" s="5"/>
      <c r="AG177" s="5"/>
      <c r="AH177" s="5">
        <v>1</v>
      </c>
      <c r="AI177" s="5"/>
      <c r="AJ177" s="25"/>
      <c r="AK177">
        <v>414</v>
      </c>
      <c r="AM177">
        <v>1</v>
      </c>
      <c r="AO177" s="67">
        <f t="shared" si="6"/>
        <v>5</v>
      </c>
      <c r="AP177">
        <v>32</v>
      </c>
      <c r="AQ177" s="76">
        <f t="shared" si="5"/>
        <v>0.15625</v>
      </c>
    </row>
    <row r="178" spans="1:43">
      <c r="A178" s="8">
        <v>417</v>
      </c>
      <c r="B178" s="8" t="s">
        <v>78</v>
      </c>
      <c r="C178" s="8" t="s">
        <v>359</v>
      </c>
      <c r="D178" s="8" t="s">
        <v>15</v>
      </c>
      <c r="E178" s="24"/>
      <c r="F178" s="5"/>
      <c r="G178" s="5"/>
      <c r="H178" s="5"/>
      <c r="I178" s="5"/>
      <c r="J178" s="5"/>
      <c r="K178" s="5"/>
      <c r="L178" s="25"/>
      <c r="M178" s="24"/>
      <c r="N178" s="5"/>
      <c r="O178" s="5"/>
      <c r="P178" s="5"/>
      <c r="Q178" s="5"/>
      <c r="R178" s="5"/>
      <c r="S178" s="5"/>
      <c r="T178" s="25"/>
      <c r="U178" s="5"/>
      <c r="V178" s="5"/>
      <c r="W178" s="5"/>
      <c r="X178" s="5"/>
      <c r="Y178" s="5"/>
      <c r="Z178" s="5"/>
      <c r="AA178" s="5"/>
      <c r="AB178" s="5"/>
      <c r="AC178" s="24"/>
      <c r="AD178" s="5"/>
      <c r="AE178" s="5"/>
      <c r="AF178" s="5"/>
      <c r="AG178" s="5"/>
      <c r="AH178" s="5"/>
      <c r="AI178" s="5"/>
      <c r="AJ178" s="25"/>
      <c r="AK178">
        <v>417</v>
      </c>
      <c r="AL178">
        <v>1</v>
      </c>
      <c r="AO178" s="67"/>
      <c r="AP178">
        <v>23</v>
      </c>
      <c r="AQ178" s="76"/>
    </row>
    <row r="179" spans="1:43">
      <c r="A179" s="8">
        <v>418</v>
      </c>
      <c r="B179" s="8" t="s">
        <v>80</v>
      </c>
      <c r="C179" s="8" t="s">
        <v>346</v>
      </c>
      <c r="D179" s="8" t="s">
        <v>15</v>
      </c>
      <c r="E179" s="24"/>
      <c r="F179" s="5"/>
      <c r="G179" s="5"/>
      <c r="H179" s="5"/>
      <c r="I179" s="5">
        <v>1</v>
      </c>
      <c r="J179" s="5"/>
      <c r="K179" s="5"/>
      <c r="L179" s="25"/>
      <c r="M179" s="24"/>
      <c r="N179" s="5"/>
      <c r="O179" s="5"/>
      <c r="P179" s="5">
        <v>1</v>
      </c>
      <c r="Q179" s="5"/>
      <c r="R179" s="5"/>
      <c r="S179" s="5"/>
      <c r="T179" s="25"/>
      <c r="U179" s="5"/>
      <c r="V179" s="5"/>
      <c r="W179" s="5"/>
      <c r="X179" s="5"/>
      <c r="Y179" s="5"/>
      <c r="Z179" s="5"/>
      <c r="AA179" s="5"/>
      <c r="AB179" s="5"/>
      <c r="AC179" s="24"/>
      <c r="AD179" s="5"/>
      <c r="AE179" s="5"/>
      <c r="AF179" s="5"/>
      <c r="AG179" s="5"/>
      <c r="AH179" s="5"/>
      <c r="AI179" s="5"/>
      <c r="AJ179" s="25"/>
      <c r="AK179">
        <v>418</v>
      </c>
      <c r="AM179">
        <v>1</v>
      </c>
      <c r="AO179" s="67">
        <f t="shared" si="6"/>
        <v>2</v>
      </c>
      <c r="AP179">
        <v>19</v>
      </c>
      <c r="AQ179" s="76">
        <f t="shared" si="5"/>
        <v>0.10526315789473684</v>
      </c>
    </row>
    <row r="180" spans="1:43">
      <c r="A180" s="8">
        <v>419</v>
      </c>
      <c r="B180" s="8" t="s">
        <v>123</v>
      </c>
      <c r="C180" s="8" t="s">
        <v>366</v>
      </c>
      <c r="D180" s="8" t="s">
        <v>6</v>
      </c>
      <c r="E180" s="24"/>
      <c r="F180" s="5"/>
      <c r="G180" s="5"/>
      <c r="H180" s="5"/>
      <c r="I180" s="5"/>
      <c r="J180" s="5"/>
      <c r="K180" s="5"/>
      <c r="L180" s="25"/>
      <c r="M180" s="24"/>
      <c r="N180" s="5"/>
      <c r="O180" s="5"/>
      <c r="P180" s="5"/>
      <c r="Q180" s="5"/>
      <c r="R180" s="5"/>
      <c r="S180" s="5">
        <v>1</v>
      </c>
      <c r="T180" s="25"/>
      <c r="U180" s="5"/>
      <c r="V180" s="5"/>
      <c r="W180" s="5"/>
      <c r="X180" s="5"/>
      <c r="Y180" s="5"/>
      <c r="Z180" s="5"/>
      <c r="AA180" s="5"/>
      <c r="AB180" s="5"/>
      <c r="AC180" s="24"/>
      <c r="AD180" s="5"/>
      <c r="AE180" s="5"/>
      <c r="AF180" s="5"/>
      <c r="AG180" s="5"/>
      <c r="AH180" s="5">
        <v>1</v>
      </c>
      <c r="AI180" s="5"/>
      <c r="AJ180" s="25"/>
      <c r="AK180">
        <v>419</v>
      </c>
      <c r="AM180">
        <v>1</v>
      </c>
      <c r="AO180" s="67">
        <f t="shared" si="6"/>
        <v>2</v>
      </c>
      <c r="AP180">
        <v>27</v>
      </c>
      <c r="AQ180" s="76">
        <f t="shared" si="5"/>
        <v>7.407407407407407E-2</v>
      </c>
    </row>
    <row r="181" spans="1:43">
      <c r="A181" s="8">
        <v>421</v>
      </c>
      <c r="B181" s="8" t="s">
        <v>41</v>
      </c>
      <c r="C181" s="8" t="s">
        <v>42</v>
      </c>
      <c r="D181" s="8" t="s">
        <v>6</v>
      </c>
      <c r="E181" s="24"/>
      <c r="F181" s="5"/>
      <c r="G181" s="5"/>
      <c r="H181" s="5"/>
      <c r="I181" s="5"/>
      <c r="J181" s="5"/>
      <c r="K181" s="5"/>
      <c r="L181" s="25"/>
      <c r="M181" s="24"/>
      <c r="N181" s="5"/>
      <c r="O181" s="5"/>
      <c r="P181" s="5"/>
      <c r="Q181" s="5"/>
      <c r="R181" s="5"/>
      <c r="S181" s="5"/>
      <c r="T181" s="25"/>
      <c r="U181" s="5"/>
      <c r="V181" s="5"/>
      <c r="W181" s="5"/>
      <c r="X181" s="5"/>
      <c r="Y181" s="5"/>
      <c r="Z181" s="5"/>
      <c r="AA181" s="5"/>
      <c r="AB181" s="5"/>
      <c r="AC181" s="24"/>
      <c r="AD181" s="5"/>
      <c r="AE181" s="5"/>
      <c r="AF181" s="5"/>
      <c r="AG181" s="5"/>
      <c r="AH181" s="5"/>
      <c r="AI181" s="5"/>
      <c r="AJ181" s="25"/>
      <c r="AK181">
        <v>421</v>
      </c>
      <c r="AL181">
        <v>1</v>
      </c>
      <c r="AO181" s="67"/>
      <c r="AP181">
        <v>32</v>
      </c>
      <c r="AQ181" s="76"/>
    </row>
    <row r="182" spans="1:43">
      <c r="A182" s="8">
        <v>424</v>
      </c>
      <c r="B182" s="8" t="s">
        <v>63</v>
      </c>
      <c r="C182" s="8" t="s">
        <v>346</v>
      </c>
      <c r="D182" s="8" t="s">
        <v>15</v>
      </c>
      <c r="E182" s="24"/>
      <c r="F182" s="5"/>
      <c r="G182" s="5"/>
      <c r="H182" s="5"/>
      <c r="I182" s="5"/>
      <c r="J182" s="5"/>
      <c r="K182" s="5"/>
      <c r="L182" s="25"/>
      <c r="M182" s="24"/>
      <c r="N182" s="5"/>
      <c r="O182" s="5"/>
      <c r="P182" s="5"/>
      <c r="Q182" s="5"/>
      <c r="R182" s="5"/>
      <c r="S182" s="5"/>
      <c r="T182" s="25"/>
      <c r="U182" s="5"/>
      <c r="V182" s="5"/>
      <c r="W182" s="5"/>
      <c r="X182" s="5"/>
      <c r="Y182" s="5"/>
      <c r="Z182" s="5"/>
      <c r="AA182" s="5"/>
      <c r="AB182" s="5"/>
      <c r="AC182" s="24"/>
      <c r="AD182" s="5"/>
      <c r="AE182" s="5"/>
      <c r="AF182" s="5"/>
      <c r="AG182" s="5"/>
      <c r="AH182" s="5"/>
      <c r="AI182" s="5"/>
      <c r="AJ182" s="25"/>
      <c r="AK182">
        <v>424</v>
      </c>
      <c r="AL182">
        <v>1</v>
      </c>
      <c r="AO182" s="67"/>
      <c r="AP182">
        <v>8</v>
      </c>
      <c r="AQ182" s="76"/>
    </row>
    <row r="183" spans="1:43">
      <c r="A183" s="8">
        <v>425</v>
      </c>
      <c r="B183" s="8" t="s">
        <v>63</v>
      </c>
      <c r="C183" s="8" t="s">
        <v>346</v>
      </c>
      <c r="D183" s="8" t="s">
        <v>15</v>
      </c>
      <c r="E183" s="24"/>
      <c r="F183" s="5"/>
      <c r="G183" s="5"/>
      <c r="H183" s="5"/>
      <c r="I183" s="5"/>
      <c r="J183" s="5"/>
      <c r="K183" s="5"/>
      <c r="L183" s="25"/>
      <c r="M183" s="24"/>
      <c r="N183" s="5"/>
      <c r="O183" s="5"/>
      <c r="P183" s="5"/>
      <c r="Q183" s="5"/>
      <c r="R183" s="5"/>
      <c r="S183" s="5"/>
      <c r="T183" s="25"/>
      <c r="U183" s="5"/>
      <c r="V183" s="5"/>
      <c r="W183" s="5"/>
      <c r="X183" s="5"/>
      <c r="Y183" s="5"/>
      <c r="Z183" s="5"/>
      <c r="AA183" s="5"/>
      <c r="AB183" s="5"/>
      <c r="AC183" s="24"/>
      <c r="AD183" s="5"/>
      <c r="AE183" s="5"/>
      <c r="AF183" s="5"/>
      <c r="AG183" s="5"/>
      <c r="AH183" s="5"/>
      <c r="AI183" s="5"/>
      <c r="AJ183" s="25"/>
      <c r="AK183">
        <v>425</v>
      </c>
      <c r="AL183">
        <v>1</v>
      </c>
      <c r="AO183" s="67"/>
      <c r="AP183">
        <v>7</v>
      </c>
      <c r="AQ183" s="76"/>
    </row>
    <row r="184" spans="1:43">
      <c r="A184" s="8">
        <v>426</v>
      </c>
      <c r="B184" s="8" t="s">
        <v>44</v>
      </c>
      <c r="C184" s="8" t="s">
        <v>349</v>
      </c>
      <c r="D184" s="8" t="s">
        <v>6</v>
      </c>
      <c r="E184" s="24"/>
      <c r="F184" s="5"/>
      <c r="G184" s="5"/>
      <c r="H184" s="5"/>
      <c r="I184" s="5"/>
      <c r="J184" s="5"/>
      <c r="K184" s="5"/>
      <c r="L184" s="25"/>
      <c r="M184" s="24"/>
      <c r="N184" s="5">
        <v>1</v>
      </c>
      <c r="O184" s="5"/>
      <c r="P184" s="5"/>
      <c r="Q184" s="5"/>
      <c r="R184" s="5"/>
      <c r="S184" s="5"/>
      <c r="T184" s="25">
        <v>1</v>
      </c>
      <c r="U184" s="5"/>
      <c r="V184" s="5"/>
      <c r="W184" s="5"/>
      <c r="X184" s="5">
        <v>1</v>
      </c>
      <c r="Y184" s="5"/>
      <c r="Z184" s="5"/>
      <c r="AA184" s="5"/>
      <c r="AB184" s="5"/>
      <c r="AC184" s="24"/>
      <c r="AD184" s="5"/>
      <c r="AE184" s="5"/>
      <c r="AF184" s="5"/>
      <c r="AG184" s="5"/>
      <c r="AH184" s="5"/>
      <c r="AI184" s="5">
        <v>1</v>
      </c>
      <c r="AJ184" s="25">
        <v>1</v>
      </c>
      <c r="AK184">
        <v>426</v>
      </c>
      <c r="AM184">
        <v>1</v>
      </c>
      <c r="AO184" s="67">
        <f t="shared" si="6"/>
        <v>5</v>
      </c>
      <c r="AP184">
        <v>5</v>
      </c>
      <c r="AQ184" s="76">
        <f t="shared" si="5"/>
        <v>1</v>
      </c>
    </row>
    <row r="185" spans="1:43">
      <c r="A185" s="8">
        <v>429</v>
      </c>
      <c r="B185" s="8" t="s">
        <v>73</v>
      </c>
      <c r="C185" s="8" t="s">
        <v>165</v>
      </c>
      <c r="D185" s="8" t="s">
        <v>6</v>
      </c>
      <c r="E185" s="24"/>
      <c r="F185" s="5"/>
      <c r="G185" s="5"/>
      <c r="H185" s="5"/>
      <c r="I185" s="5"/>
      <c r="J185" s="5"/>
      <c r="K185" s="5"/>
      <c r="L185" s="25"/>
      <c r="M185" s="24"/>
      <c r="N185" s="5"/>
      <c r="O185" s="5"/>
      <c r="P185" s="5"/>
      <c r="Q185" s="5"/>
      <c r="R185" s="5"/>
      <c r="S185" s="5"/>
      <c r="T185" s="25"/>
      <c r="U185" s="5"/>
      <c r="V185" s="5"/>
      <c r="W185" s="5"/>
      <c r="X185" s="5"/>
      <c r="Y185" s="5"/>
      <c r="Z185" s="5"/>
      <c r="AA185" s="5"/>
      <c r="AB185" s="5"/>
      <c r="AC185" s="24"/>
      <c r="AD185" s="5"/>
      <c r="AE185" s="5"/>
      <c r="AF185" s="5"/>
      <c r="AG185" s="5"/>
      <c r="AH185" s="5"/>
      <c r="AI185" s="5"/>
      <c r="AJ185" s="25"/>
      <c r="AK185">
        <v>429</v>
      </c>
      <c r="AL185">
        <v>1</v>
      </c>
      <c r="AO185" s="67"/>
      <c r="AP185">
        <v>32</v>
      </c>
      <c r="AQ185" s="76"/>
    </row>
    <row r="186" spans="1:43">
      <c r="A186" s="8">
        <v>434</v>
      </c>
      <c r="B186" s="8" t="s">
        <v>56</v>
      </c>
      <c r="C186" s="8" t="s">
        <v>360</v>
      </c>
      <c r="D186" s="8" t="s">
        <v>15</v>
      </c>
      <c r="E186" s="24"/>
      <c r="F186" s="5"/>
      <c r="G186" s="5"/>
      <c r="H186" s="5"/>
      <c r="I186" s="5"/>
      <c r="J186" s="5"/>
      <c r="K186" s="5"/>
      <c r="L186" s="25"/>
      <c r="M186" s="24"/>
      <c r="N186" s="5"/>
      <c r="O186" s="5"/>
      <c r="P186" s="5"/>
      <c r="Q186" s="5"/>
      <c r="R186" s="5"/>
      <c r="S186" s="5"/>
      <c r="T186" s="25"/>
      <c r="U186" s="5"/>
      <c r="V186" s="5"/>
      <c r="W186" s="5"/>
      <c r="X186" s="5"/>
      <c r="Y186" s="5"/>
      <c r="Z186" s="5"/>
      <c r="AA186" s="5"/>
      <c r="AB186" s="5"/>
      <c r="AC186" s="24"/>
      <c r="AD186" s="5"/>
      <c r="AE186" s="5"/>
      <c r="AF186" s="5"/>
      <c r="AG186" s="5"/>
      <c r="AH186" s="5"/>
      <c r="AI186" s="5"/>
      <c r="AJ186" s="25"/>
      <c r="AK186">
        <v>434</v>
      </c>
      <c r="AL186">
        <v>1</v>
      </c>
      <c r="AO186" s="67"/>
      <c r="AP186">
        <v>4</v>
      </c>
      <c r="AQ186" s="76"/>
    </row>
    <row r="187" spans="1:43">
      <c r="A187" s="8">
        <v>435</v>
      </c>
      <c r="B187" s="8" t="s">
        <v>201</v>
      </c>
      <c r="C187" s="8" t="s">
        <v>357</v>
      </c>
      <c r="D187" s="8" t="s">
        <v>15</v>
      </c>
      <c r="E187" s="24"/>
      <c r="F187" s="5"/>
      <c r="G187" s="5"/>
      <c r="H187" s="5"/>
      <c r="I187" s="5"/>
      <c r="J187" s="5"/>
      <c r="K187" s="5"/>
      <c r="L187" s="25"/>
      <c r="M187" s="24"/>
      <c r="N187" s="5"/>
      <c r="O187" s="5"/>
      <c r="P187" s="5"/>
      <c r="Q187" s="5"/>
      <c r="R187" s="5">
        <v>1</v>
      </c>
      <c r="S187" s="5"/>
      <c r="T187" s="25"/>
      <c r="U187" s="5"/>
      <c r="V187" s="5"/>
      <c r="W187" s="5">
        <v>1</v>
      </c>
      <c r="X187" s="5"/>
      <c r="Y187" s="5"/>
      <c r="Z187" s="5"/>
      <c r="AA187" s="5"/>
      <c r="AB187" s="5"/>
      <c r="AC187" s="24"/>
      <c r="AD187" s="5"/>
      <c r="AE187" s="5"/>
      <c r="AF187" s="5"/>
      <c r="AG187" s="5"/>
      <c r="AH187" s="5">
        <v>1</v>
      </c>
      <c r="AI187" s="5"/>
      <c r="AJ187" s="25"/>
      <c r="AK187">
        <v>435</v>
      </c>
      <c r="AM187">
        <v>1</v>
      </c>
      <c r="AO187" s="67">
        <f t="shared" si="6"/>
        <v>3</v>
      </c>
      <c r="AP187">
        <v>27</v>
      </c>
      <c r="AQ187" s="76">
        <f t="shared" si="5"/>
        <v>0.1111111111111111</v>
      </c>
    </row>
    <row r="188" spans="1:43">
      <c r="A188" s="8">
        <v>436</v>
      </c>
      <c r="B188" s="8" t="s">
        <v>44</v>
      </c>
      <c r="C188" s="8" t="s">
        <v>349</v>
      </c>
      <c r="D188" s="8" t="s">
        <v>6</v>
      </c>
      <c r="E188" s="24"/>
      <c r="F188" s="5"/>
      <c r="G188" s="5">
        <v>1</v>
      </c>
      <c r="H188" s="5"/>
      <c r="I188" s="5">
        <v>1</v>
      </c>
      <c r="J188" s="5"/>
      <c r="K188" s="5"/>
      <c r="L188" s="25"/>
      <c r="M188" s="24"/>
      <c r="N188" s="5"/>
      <c r="O188" s="5"/>
      <c r="P188" s="5"/>
      <c r="Q188" s="5"/>
      <c r="R188" s="5"/>
      <c r="S188" s="5"/>
      <c r="T188" s="25"/>
      <c r="U188" s="5"/>
      <c r="V188" s="5"/>
      <c r="W188" s="5"/>
      <c r="X188" s="5">
        <v>1</v>
      </c>
      <c r="Y188" s="5"/>
      <c r="Z188" s="5"/>
      <c r="AA188" s="5"/>
      <c r="AB188" s="5"/>
      <c r="AC188" s="24"/>
      <c r="AD188" s="5"/>
      <c r="AE188" s="5"/>
      <c r="AF188" s="5"/>
      <c r="AG188" s="5"/>
      <c r="AH188" s="5"/>
      <c r="AI188" s="5">
        <v>1</v>
      </c>
      <c r="AJ188" s="25"/>
      <c r="AK188">
        <v>436</v>
      </c>
      <c r="AM188">
        <v>1</v>
      </c>
      <c r="AO188" s="67">
        <f t="shared" si="6"/>
        <v>4</v>
      </c>
      <c r="AP188">
        <v>20</v>
      </c>
      <c r="AQ188" s="76">
        <f t="shared" si="5"/>
        <v>0.2</v>
      </c>
    </row>
    <row r="189" spans="1:43">
      <c r="A189" s="8">
        <v>437</v>
      </c>
      <c r="B189" s="8" t="s">
        <v>68</v>
      </c>
      <c r="C189" s="8" t="s">
        <v>357</v>
      </c>
      <c r="D189" s="8" t="s">
        <v>15</v>
      </c>
      <c r="E189" s="24"/>
      <c r="F189" s="5"/>
      <c r="G189" s="5"/>
      <c r="H189" s="5">
        <v>1</v>
      </c>
      <c r="I189" s="5">
        <v>1</v>
      </c>
      <c r="J189" s="5"/>
      <c r="K189" s="5"/>
      <c r="L189" s="25"/>
      <c r="M189" s="24"/>
      <c r="N189" s="5"/>
      <c r="O189" s="5"/>
      <c r="P189" s="5">
        <v>1</v>
      </c>
      <c r="Q189" s="5">
        <v>1</v>
      </c>
      <c r="R189" s="5"/>
      <c r="S189" s="5"/>
      <c r="T189" s="25"/>
      <c r="U189" s="5"/>
      <c r="V189" s="5"/>
      <c r="W189" s="5"/>
      <c r="X189" s="5"/>
      <c r="Y189" s="5"/>
      <c r="Z189" s="5"/>
      <c r="AA189" s="5"/>
      <c r="AB189" s="5"/>
      <c r="AC189" s="24"/>
      <c r="AD189" s="5"/>
      <c r="AE189" s="5"/>
      <c r="AF189" s="5"/>
      <c r="AG189" s="5"/>
      <c r="AH189" s="5"/>
      <c r="AI189" s="5"/>
      <c r="AJ189" s="25"/>
      <c r="AK189">
        <v>437</v>
      </c>
      <c r="AM189">
        <v>1</v>
      </c>
      <c r="AO189" s="67">
        <f t="shared" si="6"/>
        <v>4</v>
      </c>
      <c r="AP189">
        <v>24</v>
      </c>
      <c r="AQ189" s="76">
        <f t="shared" si="5"/>
        <v>0.16666666666666666</v>
      </c>
    </row>
    <row r="190" spans="1:43">
      <c r="A190" s="8">
        <v>440</v>
      </c>
      <c r="B190" s="8" t="s">
        <v>5</v>
      </c>
      <c r="C190" s="8" t="s">
        <v>42</v>
      </c>
      <c r="D190" s="8" t="s">
        <v>42</v>
      </c>
      <c r="E190" s="24"/>
      <c r="F190" s="5"/>
      <c r="G190" s="5"/>
      <c r="H190" s="5"/>
      <c r="I190" s="5"/>
      <c r="J190" s="5"/>
      <c r="K190" s="5"/>
      <c r="L190" s="25"/>
      <c r="M190" s="24"/>
      <c r="N190" s="5"/>
      <c r="O190" s="5">
        <v>1</v>
      </c>
      <c r="P190" s="5">
        <v>1</v>
      </c>
      <c r="Q190" s="5"/>
      <c r="R190" s="5">
        <v>1</v>
      </c>
      <c r="S190" s="5"/>
      <c r="T190" s="25"/>
      <c r="U190" s="5"/>
      <c r="V190" s="5"/>
      <c r="W190" s="5"/>
      <c r="X190" s="5"/>
      <c r="Y190" s="5"/>
      <c r="Z190" s="5"/>
      <c r="AA190" s="5"/>
      <c r="AB190" s="5"/>
      <c r="AC190" s="24"/>
      <c r="AD190" s="5"/>
      <c r="AE190" s="5"/>
      <c r="AF190" s="5"/>
      <c r="AG190" s="5"/>
      <c r="AH190" s="5"/>
      <c r="AI190" s="5"/>
      <c r="AJ190" s="25"/>
      <c r="AK190">
        <v>440</v>
      </c>
      <c r="AM190">
        <v>1</v>
      </c>
      <c r="AO190" s="67">
        <f t="shared" si="6"/>
        <v>3</v>
      </c>
      <c r="AP190">
        <v>26</v>
      </c>
      <c r="AQ190" s="76">
        <f t="shared" si="5"/>
        <v>0.11538461538461539</v>
      </c>
    </row>
    <row r="191" spans="1:43">
      <c r="A191" s="8" t="s">
        <v>271</v>
      </c>
      <c r="B191" s="8" t="s">
        <v>55</v>
      </c>
      <c r="C191" s="8" t="s">
        <v>346</v>
      </c>
      <c r="D191" s="8" t="s">
        <v>15</v>
      </c>
      <c r="E191" s="24"/>
      <c r="F191" s="5"/>
      <c r="G191" s="5"/>
      <c r="H191" s="5"/>
      <c r="I191" s="5"/>
      <c r="J191" s="5"/>
      <c r="K191" s="5"/>
      <c r="L191" s="25"/>
      <c r="M191" s="24"/>
      <c r="N191" s="5"/>
      <c r="O191" s="5"/>
      <c r="P191" s="5"/>
      <c r="Q191" s="5"/>
      <c r="R191" s="5"/>
      <c r="S191" s="5"/>
      <c r="T191" s="25"/>
      <c r="U191" s="5"/>
      <c r="V191" s="5"/>
      <c r="W191" s="5"/>
      <c r="X191" s="5">
        <v>1</v>
      </c>
      <c r="Y191" s="5"/>
      <c r="Z191" s="5"/>
      <c r="AA191" s="5"/>
      <c r="AB191" s="5"/>
      <c r="AC191" s="24"/>
      <c r="AD191" s="5"/>
      <c r="AE191" s="5"/>
      <c r="AF191" s="5"/>
      <c r="AG191" s="5"/>
      <c r="AH191" s="5"/>
      <c r="AI191" s="5"/>
      <c r="AJ191" s="25"/>
      <c r="AK191" t="s">
        <v>271</v>
      </c>
      <c r="AM191">
        <v>1</v>
      </c>
      <c r="AO191" s="67">
        <f t="shared" si="6"/>
        <v>1</v>
      </c>
      <c r="AP191">
        <v>20</v>
      </c>
      <c r="AQ191" s="76">
        <f t="shared" si="5"/>
        <v>0.05</v>
      </c>
    </row>
    <row r="192" spans="1:43">
      <c r="A192" s="8">
        <v>444</v>
      </c>
      <c r="B192" s="8" t="s">
        <v>44</v>
      </c>
      <c r="C192" s="8" t="s">
        <v>349</v>
      </c>
      <c r="D192" s="8" t="s">
        <v>6</v>
      </c>
      <c r="E192" s="24"/>
      <c r="F192" s="5">
        <v>1</v>
      </c>
      <c r="G192" s="5">
        <v>1</v>
      </c>
      <c r="H192" s="5"/>
      <c r="I192" s="5">
        <v>1</v>
      </c>
      <c r="J192" s="5"/>
      <c r="K192" s="5"/>
      <c r="L192" s="25"/>
      <c r="M192" s="24"/>
      <c r="N192" s="5"/>
      <c r="O192" s="5"/>
      <c r="P192" s="5"/>
      <c r="Q192" s="5"/>
      <c r="R192" s="5"/>
      <c r="S192" s="5"/>
      <c r="T192" s="25"/>
      <c r="U192" s="5"/>
      <c r="V192" s="5"/>
      <c r="W192" s="5"/>
      <c r="X192" s="5"/>
      <c r="Y192" s="5"/>
      <c r="Z192" s="5"/>
      <c r="AA192" s="5"/>
      <c r="AB192" s="5"/>
      <c r="AC192" s="24"/>
      <c r="AD192" s="5"/>
      <c r="AE192" s="5"/>
      <c r="AF192" s="5">
        <v>1</v>
      </c>
      <c r="AG192" s="5"/>
      <c r="AH192" s="5"/>
      <c r="AI192" s="5"/>
      <c r="AJ192" s="25"/>
      <c r="AK192">
        <v>444</v>
      </c>
      <c r="AM192">
        <v>1</v>
      </c>
      <c r="AO192" s="67">
        <f t="shared" si="6"/>
        <v>4</v>
      </c>
      <c r="AP192">
        <v>12</v>
      </c>
      <c r="AQ192" s="76">
        <f t="shared" si="5"/>
        <v>0.33333333333333331</v>
      </c>
    </row>
    <row r="193" spans="1:43">
      <c r="A193" s="8">
        <v>445</v>
      </c>
      <c r="B193" s="8" t="s">
        <v>106</v>
      </c>
      <c r="C193" s="8" t="s">
        <v>349</v>
      </c>
      <c r="D193" s="8" t="s">
        <v>6</v>
      </c>
      <c r="E193" s="24"/>
      <c r="F193" s="5"/>
      <c r="G193" s="5"/>
      <c r="H193" s="5"/>
      <c r="I193" s="5"/>
      <c r="J193" s="5"/>
      <c r="K193" s="5"/>
      <c r="L193" s="25"/>
      <c r="M193" s="24"/>
      <c r="N193" s="5"/>
      <c r="O193" s="5"/>
      <c r="P193" s="5"/>
      <c r="Q193" s="5"/>
      <c r="R193" s="5"/>
      <c r="S193" s="5"/>
      <c r="T193" s="25"/>
      <c r="U193" s="5"/>
      <c r="V193" s="5"/>
      <c r="W193" s="5"/>
      <c r="X193" s="5"/>
      <c r="Y193" s="5"/>
      <c r="Z193" s="5"/>
      <c r="AA193" s="5"/>
      <c r="AB193" s="5"/>
      <c r="AC193" s="24"/>
      <c r="AD193" s="5"/>
      <c r="AE193" s="5">
        <v>1</v>
      </c>
      <c r="AF193" s="5"/>
      <c r="AG193" s="5"/>
      <c r="AH193" s="5"/>
      <c r="AI193" s="5"/>
      <c r="AJ193" s="25"/>
      <c r="AK193">
        <v>445</v>
      </c>
      <c r="AM193">
        <v>1</v>
      </c>
      <c r="AO193" s="67">
        <f t="shared" si="6"/>
        <v>1</v>
      </c>
      <c r="AP193">
        <v>28</v>
      </c>
      <c r="AQ193" s="76">
        <f t="shared" si="5"/>
        <v>3.5714285714285712E-2</v>
      </c>
    </row>
    <row r="194" spans="1:43">
      <c r="A194" s="8">
        <v>449</v>
      </c>
      <c r="B194" s="8" t="s">
        <v>62</v>
      </c>
      <c r="C194" s="8" t="s">
        <v>42</v>
      </c>
      <c r="D194" s="8" t="s">
        <v>42</v>
      </c>
      <c r="E194" s="24"/>
      <c r="F194" s="5">
        <v>1</v>
      </c>
      <c r="G194" s="5">
        <v>1</v>
      </c>
      <c r="H194" s="5"/>
      <c r="I194" s="5"/>
      <c r="J194" s="5"/>
      <c r="K194" s="5"/>
      <c r="L194" s="25"/>
      <c r="M194" s="24"/>
      <c r="N194" s="5"/>
      <c r="O194" s="5"/>
      <c r="P194" s="5"/>
      <c r="Q194" s="5"/>
      <c r="R194" s="5">
        <v>1</v>
      </c>
      <c r="S194" s="5">
        <v>1</v>
      </c>
      <c r="T194" s="25"/>
      <c r="U194" s="5"/>
      <c r="V194" s="5">
        <v>1</v>
      </c>
      <c r="W194" s="5"/>
      <c r="X194" s="5"/>
      <c r="Y194" s="5"/>
      <c r="Z194" s="5"/>
      <c r="AA194" s="5"/>
      <c r="AB194" s="5"/>
      <c r="AC194" s="24"/>
      <c r="AD194" s="5"/>
      <c r="AE194" s="5"/>
      <c r="AF194" s="5"/>
      <c r="AG194" s="5"/>
      <c r="AH194" s="5"/>
      <c r="AI194" s="5"/>
      <c r="AJ194" s="25"/>
      <c r="AK194">
        <v>449</v>
      </c>
      <c r="AM194">
        <v>1</v>
      </c>
      <c r="AO194" s="67">
        <f t="shared" si="6"/>
        <v>5</v>
      </c>
      <c r="AP194">
        <v>30</v>
      </c>
      <c r="AQ194" s="76">
        <f t="shared" si="5"/>
        <v>0.16666666666666666</v>
      </c>
    </row>
    <row r="195" spans="1:43">
      <c r="A195" s="8">
        <v>450</v>
      </c>
      <c r="B195" s="8" t="s">
        <v>73</v>
      </c>
      <c r="C195" s="8" t="s">
        <v>165</v>
      </c>
      <c r="D195" s="8" t="s">
        <v>6</v>
      </c>
      <c r="E195" s="24"/>
      <c r="F195" s="5"/>
      <c r="G195" s="5"/>
      <c r="H195" s="5"/>
      <c r="I195" s="5"/>
      <c r="J195" s="5"/>
      <c r="K195" s="5"/>
      <c r="L195" s="25"/>
      <c r="M195" s="24"/>
      <c r="N195" s="5"/>
      <c r="O195" s="5"/>
      <c r="P195" s="5"/>
      <c r="Q195" s="5"/>
      <c r="R195" s="5"/>
      <c r="S195" s="5"/>
      <c r="T195" s="25"/>
      <c r="U195" s="5"/>
      <c r="V195" s="5"/>
      <c r="W195" s="5"/>
      <c r="X195" s="5"/>
      <c r="Y195" s="5"/>
      <c r="Z195" s="5"/>
      <c r="AA195" s="5"/>
      <c r="AB195" s="5"/>
      <c r="AC195" s="24"/>
      <c r="AD195" s="5"/>
      <c r="AE195" s="5"/>
      <c r="AF195" s="5"/>
      <c r="AG195" s="5"/>
      <c r="AH195" s="5"/>
      <c r="AI195" s="5">
        <v>1</v>
      </c>
      <c r="AJ195" s="25"/>
      <c r="AK195">
        <v>450</v>
      </c>
      <c r="AM195">
        <v>1</v>
      </c>
      <c r="AO195" s="67">
        <f t="shared" si="6"/>
        <v>1</v>
      </c>
      <c r="AP195">
        <v>28</v>
      </c>
      <c r="AQ195" s="76">
        <f t="shared" si="5"/>
        <v>3.5714285714285712E-2</v>
      </c>
    </row>
    <row r="196" spans="1:43">
      <c r="A196" s="8">
        <v>452</v>
      </c>
      <c r="B196" s="8" t="s">
        <v>63</v>
      </c>
      <c r="C196" s="8" t="s">
        <v>346</v>
      </c>
      <c r="D196" s="8" t="s">
        <v>15</v>
      </c>
      <c r="E196" s="24"/>
      <c r="F196" s="5"/>
      <c r="G196" s="5"/>
      <c r="H196" s="5"/>
      <c r="I196" s="5"/>
      <c r="J196" s="5"/>
      <c r="K196" s="5"/>
      <c r="L196" s="25"/>
      <c r="M196" s="24"/>
      <c r="N196" s="5"/>
      <c r="O196" s="5"/>
      <c r="P196" s="5"/>
      <c r="Q196" s="5"/>
      <c r="R196" s="5"/>
      <c r="S196" s="5"/>
      <c r="T196" s="25"/>
      <c r="U196" s="5"/>
      <c r="V196" s="5"/>
      <c r="W196" s="5"/>
      <c r="X196" s="5"/>
      <c r="Y196" s="5"/>
      <c r="Z196" s="5"/>
      <c r="AA196" s="5"/>
      <c r="AB196" s="5"/>
      <c r="AC196" s="24"/>
      <c r="AD196" s="5"/>
      <c r="AE196" s="5"/>
      <c r="AF196" s="5"/>
      <c r="AG196" s="5"/>
      <c r="AH196" s="5"/>
      <c r="AI196" s="5"/>
      <c r="AJ196" s="25"/>
      <c r="AK196">
        <v>452</v>
      </c>
      <c r="AL196">
        <v>1</v>
      </c>
      <c r="AO196" s="67"/>
      <c r="AP196">
        <v>10</v>
      </c>
      <c r="AQ196" s="76"/>
    </row>
    <row r="197" spans="1:43">
      <c r="A197" s="8">
        <v>454</v>
      </c>
      <c r="B197" s="8" t="s">
        <v>88</v>
      </c>
      <c r="C197" s="8" t="s">
        <v>12</v>
      </c>
      <c r="D197" s="8" t="s">
        <v>42</v>
      </c>
      <c r="E197" s="24"/>
      <c r="F197" s="5"/>
      <c r="G197" s="5"/>
      <c r="H197" s="5"/>
      <c r="I197" s="5"/>
      <c r="J197" s="5"/>
      <c r="K197" s="5"/>
      <c r="L197" s="25"/>
      <c r="M197" s="24"/>
      <c r="N197" s="5"/>
      <c r="O197" s="5"/>
      <c r="P197" s="5"/>
      <c r="Q197" s="5">
        <v>1</v>
      </c>
      <c r="R197" s="5">
        <v>1</v>
      </c>
      <c r="S197" s="5"/>
      <c r="T197" s="25"/>
      <c r="U197" s="5"/>
      <c r="V197" s="5"/>
      <c r="W197" s="5">
        <v>1</v>
      </c>
      <c r="X197" s="5"/>
      <c r="Y197" s="5"/>
      <c r="Z197" s="5"/>
      <c r="AA197" s="5"/>
      <c r="AB197" s="5"/>
      <c r="AC197" s="24"/>
      <c r="AD197" s="5"/>
      <c r="AE197" s="5"/>
      <c r="AF197" s="5"/>
      <c r="AG197" s="5"/>
      <c r="AH197" s="5"/>
      <c r="AI197" s="5"/>
      <c r="AJ197" s="25"/>
      <c r="AK197">
        <v>454</v>
      </c>
      <c r="AM197">
        <v>1</v>
      </c>
      <c r="AO197" s="67">
        <f t="shared" si="6"/>
        <v>3</v>
      </c>
      <c r="AP197">
        <v>32</v>
      </c>
      <c r="AQ197" s="76">
        <f t="shared" ref="AQ197:AQ255" si="7">AO197/AP197</f>
        <v>9.375E-2</v>
      </c>
    </row>
    <row r="198" spans="1:43">
      <c r="A198" s="8">
        <v>459</v>
      </c>
      <c r="B198" s="8" t="s">
        <v>201</v>
      </c>
      <c r="C198" s="8" t="s">
        <v>357</v>
      </c>
      <c r="D198" s="8" t="s">
        <v>42</v>
      </c>
      <c r="E198" s="24"/>
      <c r="F198" s="5"/>
      <c r="G198" s="5"/>
      <c r="H198" s="5"/>
      <c r="I198" s="5"/>
      <c r="J198" s="5"/>
      <c r="K198" s="5"/>
      <c r="L198" s="25"/>
      <c r="M198" s="24"/>
      <c r="N198" s="5"/>
      <c r="O198" s="5"/>
      <c r="P198" s="5"/>
      <c r="Q198" s="5"/>
      <c r="R198" s="5"/>
      <c r="S198" s="5"/>
      <c r="T198" s="25"/>
      <c r="U198" s="5"/>
      <c r="V198" s="5"/>
      <c r="W198" s="5"/>
      <c r="X198" s="5"/>
      <c r="Y198" s="5"/>
      <c r="Z198" s="5"/>
      <c r="AA198" s="5"/>
      <c r="AB198" s="5"/>
      <c r="AC198" s="24"/>
      <c r="AD198" s="5"/>
      <c r="AE198" s="5"/>
      <c r="AF198" s="5"/>
      <c r="AG198" s="5"/>
      <c r="AH198" s="5"/>
      <c r="AI198" s="5"/>
      <c r="AJ198" s="25"/>
      <c r="AK198">
        <v>459</v>
      </c>
      <c r="AL198">
        <v>1</v>
      </c>
      <c r="AO198" s="67"/>
      <c r="AP198">
        <v>28</v>
      </c>
      <c r="AQ198" s="76"/>
    </row>
    <row r="199" spans="1:43">
      <c r="A199" s="8">
        <v>464</v>
      </c>
      <c r="B199" s="8" t="s">
        <v>99</v>
      </c>
      <c r="C199" s="8" t="s">
        <v>346</v>
      </c>
      <c r="D199" s="8" t="s">
        <v>15</v>
      </c>
      <c r="E199" s="24"/>
      <c r="F199" s="5"/>
      <c r="G199" s="5"/>
      <c r="H199" s="5"/>
      <c r="I199" s="5">
        <v>1</v>
      </c>
      <c r="J199" s="5"/>
      <c r="K199" s="5"/>
      <c r="L199" s="25"/>
      <c r="M199" s="24"/>
      <c r="N199" s="5"/>
      <c r="O199" s="5"/>
      <c r="P199" s="5"/>
      <c r="Q199" s="5"/>
      <c r="R199" s="5"/>
      <c r="S199" s="5"/>
      <c r="T199" s="25"/>
      <c r="U199" s="5"/>
      <c r="V199" s="5"/>
      <c r="W199" s="5"/>
      <c r="X199" s="5"/>
      <c r="Y199" s="5"/>
      <c r="Z199" s="5"/>
      <c r="AA199" s="5"/>
      <c r="AB199" s="5"/>
      <c r="AC199" s="24"/>
      <c r="AD199" s="5"/>
      <c r="AE199" s="5"/>
      <c r="AF199" s="5">
        <v>1</v>
      </c>
      <c r="AG199" s="5"/>
      <c r="AH199" s="5"/>
      <c r="AI199" s="5"/>
      <c r="AJ199" s="25"/>
      <c r="AK199">
        <v>464</v>
      </c>
      <c r="AM199">
        <v>1</v>
      </c>
      <c r="AO199" s="67">
        <f t="shared" si="6"/>
        <v>2</v>
      </c>
      <c r="AP199">
        <v>24</v>
      </c>
      <c r="AQ199" s="76">
        <f t="shared" si="7"/>
        <v>8.3333333333333329E-2</v>
      </c>
    </row>
    <row r="200" spans="1:43">
      <c r="A200" s="8">
        <v>466</v>
      </c>
      <c r="B200" s="8" t="s">
        <v>41</v>
      </c>
      <c r="C200" s="8" t="s">
        <v>42</v>
      </c>
      <c r="D200" s="8" t="s">
        <v>6</v>
      </c>
      <c r="E200" s="24">
        <v>1</v>
      </c>
      <c r="F200" s="5"/>
      <c r="G200" s="5"/>
      <c r="H200" s="5"/>
      <c r="I200" s="5"/>
      <c r="J200" s="5"/>
      <c r="K200" s="5"/>
      <c r="L200" s="25"/>
      <c r="M200" s="24"/>
      <c r="N200" s="5"/>
      <c r="O200" s="5"/>
      <c r="P200" s="5"/>
      <c r="Q200" s="5"/>
      <c r="R200" s="5"/>
      <c r="S200" s="5">
        <v>1</v>
      </c>
      <c r="T200" s="25"/>
      <c r="U200" s="5"/>
      <c r="V200" s="5">
        <v>1</v>
      </c>
      <c r="W200" s="5">
        <v>1</v>
      </c>
      <c r="X200" s="5"/>
      <c r="Y200" s="5"/>
      <c r="Z200" s="5"/>
      <c r="AA200" s="5"/>
      <c r="AB200" s="5"/>
      <c r="AC200" s="24"/>
      <c r="AD200" s="5"/>
      <c r="AE200" s="5"/>
      <c r="AF200" s="5"/>
      <c r="AG200" s="5">
        <v>1</v>
      </c>
      <c r="AH200" s="5">
        <v>1</v>
      </c>
      <c r="AI200" s="5"/>
      <c r="AJ200" s="25"/>
      <c r="AK200">
        <v>466</v>
      </c>
      <c r="AM200">
        <v>1</v>
      </c>
      <c r="AO200" s="67">
        <f t="shared" si="6"/>
        <v>6</v>
      </c>
      <c r="AP200">
        <v>29</v>
      </c>
      <c r="AQ200" s="76">
        <f t="shared" si="7"/>
        <v>0.20689655172413793</v>
      </c>
    </row>
    <row r="201" spans="1:43">
      <c r="A201" s="8">
        <v>467</v>
      </c>
      <c r="B201" s="8" t="s">
        <v>41</v>
      </c>
      <c r="C201" s="8" t="s">
        <v>42</v>
      </c>
      <c r="D201" s="8" t="s">
        <v>6</v>
      </c>
      <c r="E201" s="24"/>
      <c r="F201" s="5"/>
      <c r="G201" s="5"/>
      <c r="H201" s="5">
        <v>1</v>
      </c>
      <c r="I201" s="5"/>
      <c r="J201" s="5"/>
      <c r="K201" s="5"/>
      <c r="L201" s="25"/>
      <c r="M201" s="24"/>
      <c r="N201" s="5"/>
      <c r="O201" s="5"/>
      <c r="P201" s="5"/>
      <c r="Q201" s="5">
        <v>1</v>
      </c>
      <c r="R201" s="5"/>
      <c r="S201" s="5">
        <v>1</v>
      </c>
      <c r="T201" s="25">
        <v>1</v>
      </c>
      <c r="U201" s="5">
        <v>1</v>
      </c>
      <c r="V201" s="5">
        <v>1</v>
      </c>
      <c r="W201" s="5">
        <v>1</v>
      </c>
      <c r="X201" s="5"/>
      <c r="Y201" s="5"/>
      <c r="Z201" s="5"/>
      <c r="AA201" s="5"/>
      <c r="AB201" s="5"/>
      <c r="AC201" s="24"/>
      <c r="AD201" s="5"/>
      <c r="AE201" s="5"/>
      <c r="AF201" s="5"/>
      <c r="AG201" s="5"/>
      <c r="AH201" s="5"/>
      <c r="AI201" s="5"/>
      <c r="AJ201" s="25">
        <v>1</v>
      </c>
      <c r="AK201">
        <v>467</v>
      </c>
      <c r="AM201">
        <v>1</v>
      </c>
      <c r="AO201" s="67">
        <f t="shared" si="6"/>
        <v>8</v>
      </c>
      <c r="AP201">
        <v>32</v>
      </c>
      <c r="AQ201" s="76">
        <f t="shared" si="7"/>
        <v>0.25</v>
      </c>
    </row>
    <row r="202" spans="1:43">
      <c r="A202" s="8">
        <v>468</v>
      </c>
      <c r="B202" s="8" t="s">
        <v>282</v>
      </c>
      <c r="C202" s="8" t="s">
        <v>358</v>
      </c>
      <c r="D202" s="8" t="s">
        <v>6</v>
      </c>
      <c r="E202" s="24"/>
      <c r="F202" s="5"/>
      <c r="G202" s="5"/>
      <c r="H202" s="5"/>
      <c r="I202" s="5"/>
      <c r="J202" s="5"/>
      <c r="K202" s="5"/>
      <c r="L202" s="25"/>
      <c r="M202" s="24"/>
      <c r="N202" s="5"/>
      <c r="O202" s="5"/>
      <c r="P202" s="5"/>
      <c r="Q202" s="5"/>
      <c r="R202" s="5"/>
      <c r="S202" s="5"/>
      <c r="T202" s="25"/>
      <c r="U202" s="5"/>
      <c r="V202" s="5"/>
      <c r="W202" s="5"/>
      <c r="X202" s="5"/>
      <c r="Y202" s="5"/>
      <c r="Z202" s="5"/>
      <c r="AA202" s="5"/>
      <c r="AB202" s="5"/>
      <c r="AC202" s="24"/>
      <c r="AD202" s="5"/>
      <c r="AE202" s="5"/>
      <c r="AF202" s="5"/>
      <c r="AG202" s="5"/>
      <c r="AH202" s="5"/>
      <c r="AI202" s="5"/>
      <c r="AJ202" s="25"/>
      <c r="AK202">
        <v>468</v>
      </c>
      <c r="AL202">
        <v>1</v>
      </c>
      <c r="AO202" s="67"/>
      <c r="AP202">
        <v>28</v>
      </c>
      <c r="AQ202" s="76"/>
    </row>
    <row r="203" spans="1:43">
      <c r="A203" s="8">
        <v>469</v>
      </c>
      <c r="B203" s="8" t="s">
        <v>44</v>
      </c>
      <c r="C203" s="8" t="s">
        <v>349</v>
      </c>
      <c r="D203" s="8" t="s">
        <v>42</v>
      </c>
      <c r="E203" s="24"/>
      <c r="F203" s="5"/>
      <c r="G203" s="5"/>
      <c r="H203" s="5"/>
      <c r="I203" s="5"/>
      <c r="J203" s="5">
        <v>1</v>
      </c>
      <c r="K203" s="5"/>
      <c r="L203" s="25"/>
      <c r="M203" s="24">
        <v>1</v>
      </c>
      <c r="N203" s="5"/>
      <c r="O203" s="5">
        <v>1</v>
      </c>
      <c r="P203" s="5">
        <v>1</v>
      </c>
      <c r="Q203" s="5">
        <v>1</v>
      </c>
      <c r="R203" s="5"/>
      <c r="S203" s="5"/>
      <c r="T203" s="25"/>
      <c r="U203" s="5"/>
      <c r="V203" s="5"/>
      <c r="W203" s="5"/>
      <c r="X203" s="5"/>
      <c r="Y203" s="5"/>
      <c r="Z203" s="5"/>
      <c r="AA203" s="5"/>
      <c r="AB203" s="5"/>
      <c r="AC203" s="24"/>
      <c r="AD203" s="5"/>
      <c r="AE203" s="5"/>
      <c r="AF203" s="5"/>
      <c r="AG203" s="5"/>
      <c r="AH203" s="5"/>
      <c r="AI203" s="5"/>
      <c r="AJ203" s="25"/>
      <c r="AK203">
        <v>469</v>
      </c>
      <c r="AM203">
        <v>1</v>
      </c>
      <c r="AO203" s="67">
        <f t="shared" si="6"/>
        <v>5</v>
      </c>
      <c r="AP203">
        <v>19</v>
      </c>
      <c r="AQ203" s="76">
        <f t="shared" si="7"/>
        <v>0.26315789473684209</v>
      </c>
    </row>
    <row r="204" spans="1:43">
      <c r="A204" s="8">
        <v>471</v>
      </c>
      <c r="B204" s="8" t="s">
        <v>71</v>
      </c>
      <c r="C204" s="8" t="s">
        <v>366</v>
      </c>
      <c r="D204" s="8" t="s">
        <v>6</v>
      </c>
      <c r="E204" s="24"/>
      <c r="F204" s="5"/>
      <c r="G204" s="5"/>
      <c r="H204" s="5"/>
      <c r="I204" s="5"/>
      <c r="J204" s="5"/>
      <c r="K204" s="5"/>
      <c r="L204" s="25"/>
      <c r="M204" s="24"/>
      <c r="N204" s="5"/>
      <c r="O204" s="5"/>
      <c r="P204" s="5">
        <v>1</v>
      </c>
      <c r="Q204" s="5"/>
      <c r="R204" s="5"/>
      <c r="S204" s="5"/>
      <c r="T204" s="25">
        <v>1</v>
      </c>
      <c r="U204" s="5"/>
      <c r="V204" s="5"/>
      <c r="W204" s="5">
        <v>1</v>
      </c>
      <c r="X204" s="5"/>
      <c r="Y204" s="5"/>
      <c r="Z204" s="5"/>
      <c r="AA204" s="5"/>
      <c r="AB204" s="5"/>
      <c r="AC204" s="24"/>
      <c r="AD204" s="5"/>
      <c r="AE204" s="5"/>
      <c r="AF204" s="5"/>
      <c r="AG204" s="5">
        <v>1</v>
      </c>
      <c r="AH204" s="5">
        <v>1</v>
      </c>
      <c r="AI204" s="5"/>
      <c r="AJ204" s="25"/>
      <c r="AK204">
        <v>471</v>
      </c>
      <c r="AM204">
        <v>1</v>
      </c>
      <c r="AO204" s="67">
        <f t="shared" si="6"/>
        <v>5</v>
      </c>
      <c r="AP204">
        <v>32</v>
      </c>
      <c r="AQ204" s="76">
        <f t="shared" si="7"/>
        <v>0.15625</v>
      </c>
    </row>
    <row r="205" spans="1:43">
      <c r="A205" s="8">
        <v>474</v>
      </c>
      <c r="B205" s="8" t="s">
        <v>106</v>
      </c>
      <c r="C205" s="8" t="s">
        <v>349</v>
      </c>
      <c r="D205" s="8" t="s">
        <v>6</v>
      </c>
      <c r="E205" s="24"/>
      <c r="F205" s="5"/>
      <c r="G205" s="5"/>
      <c r="H205" s="5"/>
      <c r="I205" s="5"/>
      <c r="J205" s="5"/>
      <c r="K205" s="5"/>
      <c r="L205" s="25"/>
      <c r="M205" s="24"/>
      <c r="N205" s="5"/>
      <c r="O205" s="5"/>
      <c r="P205" s="5"/>
      <c r="Q205" s="5"/>
      <c r="R205" s="5"/>
      <c r="S205" s="5"/>
      <c r="T205" s="25"/>
      <c r="U205" s="5"/>
      <c r="V205" s="5"/>
      <c r="W205" s="5"/>
      <c r="X205" s="5"/>
      <c r="Y205" s="5">
        <v>1</v>
      </c>
      <c r="Z205" s="5"/>
      <c r="AA205" s="5"/>
      <c r="AB205" s="5"/>
      <c r="AC205" s="24"/>
      <c r="AD205" s="5"/>
      <c r="AE205" s="5"/>
      <c r="AF205" s="5">
        <v>1</v>
      </c>
      <c r="AG205" s="5"/>
      <c r="AH205" s="5"/>
      <c r="AI205" s="5"/>
      <c r="AJ205" s="25"/>
      <c r="AK205">
        <v>474</v>
      </c>
      <c r="AM205">
        <v>1</v>
      </c>
      <c r="AO205" s="67">
        <f t="shared" si="6"/>
        <v>2</v>
      </c>
      <c r="AP205">
        <v>7</v>
      </c>
      <c r="AQ205" s="76">
        <f t="shared" si="7"/>
        <v>0.2857142857142857</v>
      </c>
    </row>
    <row r="206" spans="1:43">
      <c r="A206" s="8">
        <v>476</v>
      </c>
      <c r="B206" s="8" t="s">
        <v>44</v>
      </c>
      <c r="C206" s="8" t="s">
        <v>349</v>
      </c>
      <c r="D206" s="8" t="s">
        <v>42</v>
      </c>
      <c r="E206" s="24"/>
      <c r="F206" s="5"/>
      <c r="G206" s="5"/>
      <c r="H206" s="5"/>
      <c r="I206" s="5"/>
      <c r="J206" s="5"/>
      <c r="K206" s="5"/>
      <c r="L206" s="25"/>
      <c r="M206" s="24"/>
      <c r="N206" s="5"/>
      <c r="O206" s="5"/>
      <c r="P206" s="5"/>
      <c r="Q206" s="5"/>
      <c r="R206" s="5"/>
      <c r="S206" s="5"/>
      <c r="T206" s="25"/>
      <c r="U206" s="5"/>
      <c r="V206" s="5"/>
      <c r="W206" s="5"/>
      <c r="X206" s="5"/>
      <c r="Y206" s="5"/>
      <c r="Z206" s="5"/>
      <c r="AA206" s="5"/>
      <c r="AB206" s="5"/>
      <c r="AC206" s="24"/>
      <c r="AD206" s="5"/>
      <c r="AE206" s="5"/>
      <c r="AF206" s="5"/>
      <c r="AG206" s="5"/>
      <c r="AH206" s="5"/>
      <c r="AI206" s="5"/>
      <c r="AJ206" s="25"/>
      <c r="AK206">
        <v>476</v>
      </c>
      <c r="AL206">
        <v>1</v>
      </c>
      <c r="AO206" s="67"/>
      <c r="AP206">
        <v>23</v>
      </c>
      <c r="AQ206" s="76"/>
    </row>
    <row r="207" spans="1:43">
      <c r="A207" s="8">
        <v>478</v>
      </c>
      <c r="B207" s="8" t="s">
        <v>62</v>
      </c>
      <c r="C207" s="8" t="s">
        <v>42</v>
      </c>
      <c r="D207" s="8" t="s">
        <v>42</v>
      </c>
      <c r="E207" s="24"/>
      <c r="F207" s="5"/>
      <c r="G207" s="5"/>
      <c r="H207" s="5"/>
      <c r="I207" s="5"/>
      <c r="J207" s="5"/>
      <c r="K207" s="5"/>
      <c r="L207" s="25"/>
      <c r="M207" s="24"/>
      <c r="N207" s="5"/>
      <c r="O207" s="5"/>
      <c r="P207" s="5">
        <v>1</v>
      </c>
      <c r="Q207" s="5"/>
      <c r="R207" s="5"/>
      <c r="S207" s="5"/>
      <c r="T207" s="25"/>
      <c r="U207" s="5">
        <v>1</v>
      </c>
      <c r="V207" s="5"/>
      <c r="W207" s="5">
        <v>1</v>
      </c>
      <c r="X207" s="5">
        <v>1</v>
      </c>
      <c r="Y207" s="5">
        <v>1</v>
      </c>
      <c r="Z207" s="5">
        <v>1</v>
      </c>
      <c r="AA207" s="5"/>
      <c r="AB207" s="5"/>
      <c r="AC207" s="24"/>
      <c r="AD207" s="5"/>
      <c r="AE207" s="5"/>
      <c r="AF207" s="5"/>
      <c r="AG207" s="5"/>
      <c r="AH207" s="5">
        <v>1</v>
      </c>
      <c r="AI207" s="5">
        <v>1</v>
      </c>
      <c r="AJ207" s="25">
        <v>1</v>
      </c>
      <c r="AK207">
        <v>478</v>
      </c>
      <c r="AM207">
        <v>1</v>
      </c>
      <c r="AO207" s="67">
        <f t="shared" si="6"/>
        <v>9</v>
      </c>
      <c r="AP207">
        <v>26</v>
      </c>
      <c r="AQ207" s="76">
        <f t="shared" si="7"/>
        <v>0.34615384615384615</v>
      </c>
    </row>
    <row r="208" spans="1:43">
      <c r="A208" s="8">
        <v>480</v>
      </c>
      <c r="B208" s="8" t="s">
        <v>55</v>
      </c>
      <c r="C208" s="8" t="s">
        <v>346</v>
      </c>
      <c r="D208" s="8" t="s">
        <v>15</v>
      </c>
      <c r="E208" s="24"/>
      <c r="F208" s="5"/>
      <c r="G208" s="5"/>
      <c r="H208" s="5"/>
      <c r="I208" s="5"/>
      <c r="J208" s="5"/>
      <c r="K208" s="5"/>
      <c r="L208" s="25"/>
      <c r="M208" s="24"/>
      <c r="N208" s="5"/>
      <c r="O208" s="5"/>
      <c r="P208" s="5"/>
      <c r="Q208" s="5"/>
      <c r="R208" s="5"/>
      <c r="S208" s="5"/>
      <c r="T208" s="25"/>
      <c r="U208" s="5"/>
      <c r="V208" s="5"/>
      <c r="W208" s="5"/>
      <c r="X208" s="5"/>
      <c r="Y208" s="5"/>
      <c r="Z208" s="5"/>
      <c r="AA208" s="5"/>
      <c r="AB208" s="5"/>
      <c r="AC208" s="24"/>
      <c r="AD208" s="5"/>
      <c r="AE208" s="5"/>
      <c r="AF208" s="5"/>
      <c r="AG208" s="5"/>
      <c r="AH208" s="5"/>
      <c r="AI208" s="5"/>
      <c r="AJ208" s="25"/>
      <c r="AK208">
        <v>480</v>
      </c>
      <c r="AL208">
        <v>1</v>
      </c>
      <c r="AO208" s="67"/>
      <c r="AP208">
        <v>19</v>
      </c>
      <c r="AQ208" s="76"/>
    </row>
    <row r="209" spans="1:43">
      <c r="A209" s="8" t="s">
        <v>287</v>
      </c>
      <c r="B209" s="8" t="s">
        <v>41</v>
      </c>
      <c r="C209" s="8" t="s">
        <v>42</v>
      </c>
      <c r="D209" s="8" t="s">
        <v>6</v>
      </c>
      <c r="E209" s="24"/>
      <c r="F209" s="5"/>
      <c r="G209" s="5"/>
      <c r="H209" s="5"/>
      <c r="I209" s="5"/>
      <c r="J209" s="5"/>
      <c r="K209" s="5"/>
      <c r="L209" s="25"/>
      <c r="M209" s="24"/>
      <c r="N209" s="5"/>
      <c r="O209" s="5"/>
      <c r="P209" s="5"/>
      <c r="Q209" s="5"/>
      <c r="R209" s="5"/>
      <c r="S209" s="5"/>
      <c r="T209" s="25"/>
      <c r="U209" s="5"/>
      <c r="V209" s="5"/>
      <c r="W209" s="5"/>
      <c r="X209" s="5"/>
      <c r="Y209" s="5"/>
      <c r="Z209" s="5"/>
      <c r="AA209" s="5"/>
      <c r="AB209" s="5"/>
      <c r="AC209" s="24"/>
      <c r="AD209" s="5"/>
      <c r="AE209" s="5"/>
      <c r="AF209" s="5"/>
      <c r="AG209" s="5"/>
      <c r="AH209" s="5">
        <v>1</v>
      </c>
      <c r="AI209" s="5"/>
      <c r="AJ209" s="25"/>
      <c r="AK209" t="s">
        <v>287</v>
      </c>
      <c r="AM209">
        <v>1</v>
      </c>
      <c r="AO209" s="67">
        <f t="shared" si="6"/>
        <v>1</v>
      </c>
      <c r="AP209">
        <v>30</v>
      </c>
      <c r="AQ209" s="76">
        <f t="shared" si="7"/>
        <v>3.3333333333333333E-2</v>
      </c>
    </row>
    <row r="210" spans="1:43">
      <c r="A210" s="8" t="s">
        <v>290</v>
      </c>
      <c r="B210" s="8" t="s">
        <v>5</v>
      </c>
      <c r="C210" s="8" t="s">
        <v>42</v>
      </c>
      <c r="D210" s="8" t="s">
        <v>42</v>
      </c>
      <c r="E210" s="24">
        <v>1</v>
      </c>
      <c r="F210" s="5"/>
      <c r="G210" s="5"/>
      <c r="H210" s="5"/>
      <c r="I210" s="5"/>
      <c r="J210" s="5"/>
      <c r="K210" s="5"/>
      <c r="L210" s="25"/>
      <c r="M210" s="24"/>
      <c r="N210" s="5"/>
      <c r="O210" s="5"/>
      <c r="P210" s="5"/>
      <c r="Q210" s="5"/>
      <c r="R210" s="5"/>
      <c r="S210" s="5"/>
      <c r="T210" s="25">
        <v>1</v>
      </c>
      <c r="U210" s="5"/>
      <c r="V210" s="5"/>
      <c r="W210" s="5">
        <v>1</v>
      </c>
      <c r="X210" s="5"/>
      <c r="Y210" s="5"/>
      <c r="Z210" s="5"/>
      <c r="AA210" s="5"/>
      <c r="AB210" s="5"/>
      <c r="AC210" s="24"/>
      <c r="AD210" s="5"/>
      <c r="AE210" s="5"/>
      <c r="AF210" s="5"/>
      <c r="AG210" s="5"/>
      <c r="AH210" s="5"/>
      <c r="AI210" s="5"/>
      <c r="AJ210" s="25"/>
      <c r="AK210" t="s">
        <v>290</v>
      </c>
      <c r="AM210">
        <v>1</v>
      </c>
      <c r="AO210" s="67">
        <f t="shared" si="6"/>
        <v>3</v>
      </c>
      <c r="AP210">
        <v>29</v>
      </c>
      <c r="AQ210" s="76">
        <f t="shared" si="7"/>
        <v>0.10344827586206896</v>
      </c>
    </row>
    <row r="211" spans="1:43">
      <c r="A211" s="8">
        <v>489</v>
      </c>
      <c r="B211" s="8" t="s">
        <v>99</v>
      </c>
      <c r="C211" s="8" t="s">
        <v>346</v>
      </c>
      <c r="D211" s="8" t="s">
        <v>15</v>
      </c>
      <c r="E211" s="24"/>
      <c r="F211" s="5"/>
      <c r="G211" s="5"/>
      <c r="H211" s="5"/>
      <c r="I211" s="5"/>
      <c r="J211" s="5"/>
      <c r="K211" s="5"/>
      <c r="L211" s="25"/>
      <c r="M211" s="24"/>
      <c r="N211" s="5"/>
      <c r="O211" s="5"/>
      <c r="P211" s="5">
        <v>1</v>
      </c>
      <c r="Q211" s="5"/>
      <c r="R211" s="5"/>
      <c r="S211" s="5"/>
      <c r="T211" s="25"/>
      <c r="U211" s="5"/>
      <c r="V211" s="5"/>
      <c r="W211" s="5"/>
      <c r="X211" s="5"/>
      <c r="Y211" s="5"/>
      <c r="Z211" s="5"/>
      <c r="AA211" s="5"/>
      <c r="AB211" s="5"/>
      <c r="AC211" s="24"/>
      <c r="AD211" s="5"/>
      <c r="AE211" s="5"/>
      <c r="AF211" s="5"/>
      <c r="AG211" s="5"/>
      <c r="AH211" s="5"/>
      <c r="AI211" s="5"/>
      <c r="AJ211" s="25"/>
      <c r="AK211">
        <v>489</v>
      </c>
      <c r="AM211">
        <v>1</v>
      </c>
      <c r="AO211" s="67">
        <f t="shared" si="6"/>
        <v>1</v>
      </c>
      <c r="AP211">
        <v>24</v>
      </c>
      <c r="AQ211" s="76">
        <f t="shared" si="7"/>
        <v>4.1666666666666664E-2</v>
      </c>
    </row>
    <row r="212" spans="1:43">
      <c r="A212" s="8">
        <v>490</v>
      </c>
      <c r="B212" s="8" t="s">
        <v>74</v>
      </c>
      <c r="C212" s="8" t="s">
        <v>346</v>
      </c>
      <c r="D212" s="8" t="s">
        <v>15</v>
      </c>
      <c r="E212" s="24"/>
      <c r="F212" s="5"/>
      <c r="G212" s="5"/>
      <c r="H212" s="5"/>
      <c r="I212" s="5"/>
      <c r="J212" s="5"/>
      <c r="K212" s="5"/>
      <c r="L212" s="25"/>
      <c r="M212" s="24"/>
      <c r="N212" s="5"/>
      <c r="O212" s="5"/>
      <c r="P212" s="5"/>
      <c r="Q212" s="5"/>
      <c r="R212" s="5"/>
      <c r="S212" s="5"/>
      <c r="T212" s="25"/>
      <c r="U212" s="5"/>
      <c r="V212" s="5"/>
      <c r="W212" s="5"/>
      <c r="X212" s="5"/>
      <c r="Y212" s="5"/>
      <c r="Z212" s="5"/>
      <c r="AA212" s="5"/>
      <c r="AB212" s="5"/>
      <c r="AC212" s="24"/>
      <c r="AD212" s="5"/>
      <c r="AE212" s="5"/>
      <c r="AF212" s="5"/>
      <c r="AG212" s="5"/>
      <c r="AH212" s="5"/>
      <c r="AI212" s="5"/>
      <c r="AJ212" s="25"/>
      <c r="AK212">
        <v>490</v>
      </c>
      <c r="AL212">
        <v>1</v>
      </c>
      <c r="AO212" s="67"/>
      <c r="AP212">
        <v>16</v>
      </c>
      <c r="AQ212" s="76"/>
    </row>
    <row r="213" spans="1:43">
      <c r="A213" s="8">
        <v>492</v>
      </c>
      <c r="B213" s="8" t="s">
        <v>63</v>
      </c>
      <c r="C213" s="8" t="s">
        <v>346</v>
      </c>
      <c r="D213" s="8" t="s">
        <v>15</v>
      </c>
      <c r="E213" s="24"/>
      <c r="F213" s="5"/>
      <c r="G213" s="5"/>
      <c r="H213" s="5"/>
      <c r="I213" s="5"/>
      <c r="J213" s="5"/>
      <c r="K213" s="5"/>
      <c r="L213" s="25"/>
      <c r="M213" s="24"/>
      <c r="N213" s="5"/>
      <c r="O213" s="5"/>
      <c r="P213" s="5"/>
      <c r="Q213" s="5"/>
      <c r="R213" s="5"/>
      <c r="S213" s="5"/>
      <c r="T213" s="25"/>
      <c r="U213" s="5"/>
      <c r="V213" s="5"/>
      <c r="W213" s="5"/>
      <c r="X213" s="5"/>
      <c r="Y213" s="5"/>
      <c r="Z213" s="5"/>
      <c r="AA213" s="5"/>
      <c r="AB213" s="5"/>
      <c r="AC213" s="24"/>
      <c r="AD213" s="5"/>
      <c r="AE213" s="5"/>
      <c r="AF213" s="5"/>
      <c r="AG213" s="5"/>
      <c r="AH213" s="5"/>
      <c r="AI213" s="5"/>
      <c r="AJ213" s="25"/>
      <c r="AK213">
        <v>492</v>
      </c>
      <c r="AL213">
        <v>1</v>
      </c>
      <c r="AO213" s="67"/>
      <c r="AP213">
        <v>12</v>
      </c>
      <c r="AQ213" s="76"/>
    </row>
    <row r="214" spans="1:43">
      <c r="A214" s="8">
        <v>495</v>
      </c>
      <c r="B214" s="8" t="s">
        <v>63</v>
      </c>
      <c r="C214" s="8" t="s">
        <v>346</v>
      </c>
      <c r="D214" s="8" t="s">
        <v>15</v>
      </c>
      <c r="E214" s="24"/>
      <c r="F214" s="5"/>
      <c r="G214" s="5"/>
      <c r="H214" s="5"/>
      <c r="I214" s="5"/>
      <c r="J214" s="5"/>
      <c r="K214" s="5"/>
      <c r="L214" s="25"/>
      <c r="M214" s="24"/>
      <c r="N214" s="5"/>
      <c r="O214" s="5"/>
      <c r="P214" s="5"/>
      <c r="Q214" s="5"/>
      <c r="R214" s="5"/>
      <c r="S214" s="5"/>
      <c r="T214" s="25"/>
      <c r="U214" s="5"/>
      <c r="V214" s="5"/>
      <c r="W214" s="5"/>
      <c r="X214" s="5"/>
      <c r="Y214" s="5"/>
      <c r="Z214" s="5"/>
      <c r="AA214" s="5"/>
      <c r="AB214" s="5"/>
      <c r="AC214" s="24"/>
      <c r="AD214" s="5"/>
      <c r="AE214" s="5"/>
      <c r="AF214" s="5"/>
      <c r="AG214" s="5"/>
      <c r="AH214" s="5"/>
      <c r="AI214" s="5"/>
      <c r="AJ214" s="25"/>
      <c r="AK214">
        <v>495</v>
      </c>
      <c r="AL214">
        <v>1</v>
      </c>
      <c r="AO214" s="67"/>
      <c r="AP214">
        <v>9</v>
      </c>
      <c r="AQ214" s="76"/>
    </row>
    <row r="215" spans="1:43">
      <c r="A215" s="8">
        <v>498</v>
      </c>
      <c r="B215" s="8" t="s">
        <v>62</v>
      </c>
      <c r="C215" s="8" t="s">
        <v>42</v>
      </c>
      <c r="D215" s="8" t="s">
        <v>42</v>
      </c>
      <c r="E215" s="24"/>
      <c r="F215" s="5">
        <v>1</v>
      </c>
      <c r="G215" s="5"/>
      <c r="H215" s="5"/>
      <c r="I215" s="5"/>
      <c r="J215" s="5"/>
      <c r="K215" s="5"/>
      <c r="L215" s="25"/>
      <c r="M215" s="24"/>
      <c r="N215" s="5"/>
      <c r="O215" s="5"/>
      <c r="P215" s="5"/>
      <c r="Q215" s="5"/>
      <c r="R215" s="5"/>
      <c r="S215" s="5"/>
      <c r="T215" s="25"/>
      <c r="U215" s="5"/>
      <c r="V215" s="5"/>
      <c r="W215" s="5"/>
      <c r="X215" s="5"/>
      <c r="Y215" s="5"/>
      <c r="Z215" s="5"/>
      <c r="AA215" s="5"/>
      <c r="AB215" s="5"/>
      <c r="AC215" s="24"/>
      <c r="AD215" s="5"/>
      <c r="AE215" s="5"/>
      <c r="AF215" s="5"/>
      <c r="AG215" s="5"/>
      <c r="AH215" s="5"/>
      <c r="AI215" s="5"/>
      <c r="AJ215" s="25"/>
      <c r="AK215">
        <v>498</v>
      </c>
      <c r="AM215">
        <v>1</v>
      </c>
      <c r="AO215" s="67">
        <f t="shared" ref="AO215:AO253" si="8">SUM(E215:AJ215)</f>
        <v>1</v>
      </c>
      <c r="AP215">
        <v>24</v>
      </c>
      <c r="AQ215" s="76">
        <f t="shared" si="7"/>
        <v>4.1666666666666664E-2</v>
      </c>
    </row>
    <row r="216" spans="1:43">
      <c r="A216" s="8">
        <v>499</v>
      </c>
      <c r="B216" s="8" t="s">
        <v>123</v>
      </c>
      <c r="C216" s="8" t="s">
        <v>366</v>
      </c>
      <c r="D216" s="8" t="s">
        <v>6</v>
      </c>
      <c r="E216" s="24"/>
      <c r="F216" s="5"/>
      <c r="G216" s="5"/>
      <c r="H216" s="5"/>
      <c r="I216" s="5">
        <v>1</v>
      </c>
      <c r="J216" s="5">
        <v>1</v>
      </c>
      <c r="K216" s="5">
        <v>1</v>
      </c>
      <c r="L216" s="25">
        <v>1</v>
      </c>
      <c r="M216" s="24"/>
      <c r="N216" s="5">
        <v>1</v>
      </c>
      <c r="O216" s="5">
        <v>1</v>
      </c>
      <c r="P216" s="5">
        <v>1</v>
      </c>
      <c r="Q216" s="5"/>
      <c r="R216" s="5"/>
      <c r="S216" s="5"/>
      <c r="T216" s="25"/>
      <c r="U216" s="5">
        <v>1</v>
      </c>
      <c r="V216" s="5">
        <v>1</v>
      </c>
      <c r="W216" s="5"/>
      <c r="X216" s="5"/>
      <c r="Y216" s="5">
        <v>1</v>
      </c>
      <c r="Z216" s="5"/>
      <c r="AA216" s="5"/>
      <c r="AB216" s="5"/>
      <c r="AC216" s="24">
        <v>1</v>
      </c>
      <c r="AD216" s="5">
        <v>1</v>
      </c>
      <c r="AE216" s="5">
        <v>1</v>
      </c>
      <c r="AF216" s="5">
        <v>1</v>
      </c>
      <c r="AG216" s="5">
        <v>1</v>
      </c>
      <c r="AH216" s="5"/>
      <c r="AI216" s="5"/>
      <c r="AJ216" s="25">
        <v>1</v>
      </c>
      <c r="AK216">
        <v>499</v>
      </c>
      <c r="AM216">
        <v>1</v>
      </c>
      <c r="AO216" s="67">
        <f t="shared" si="8"/>
        <v>16</v>
      </c>
      <c r="AP216">
        <v>21</v>
      </c>
      <c r="AQ216" s="76">
        <f t="shared" si="7"/>
        <v>0.76190476190476186</v>
      </c>
    </row>
    <row r="217" spans="1:43">
      <c r="A217" s="8">
        <v>503</v>
      </c>
      <c r="B217" s="8" t="s">
        <v>80</v>
      </c>
      <c r="C217" s="8" t="s">
        <v>346</v>
      </c>
      <c r="D217" s="8" t="s">
        <v>15</v>
      </c>
      <c r="E217" s="24"/>
      <c r="F217" s="5"/>
      <c r="G217" s="5"/>
      <c r="H217" s="5"/>
      <c r="I217" s="5"/>
      <c r="J217" s="5"/>
      <c r="K217" s="5"/>
      <c r="L217" s="25"/>
      <c r="M217" s="24"/>
      <c r="N217" s="5"/>
      <c r="O217" s="5"/>
      <c r="P217" s="5"/>
      <c r="Q217" s="5"/>
      <c r="R217" s="5"/>
      <c r="S217" s="5"/>
      <c r="T217" s="25"/>
      <c r="U217" s="5"/>
      <c r="V217" s="5"/>
      <c r="W217" s="5"/>
      <c r="X217" s="5"/>
      <c r="Y217" s="5"/>
      <c r="Z217" s="5"/>
      <c r="AA217" s="5"/>
      <c r="AB217" s="5"/>
      <c r="AC217" s="24"/>
      <c r="AD217" s="5"/>
      <c r="AE217" s="5"/>
      <c r="AF217" s="5"/>
      <c r="AG217" s="5"/>
      <c r="AH217" s="5"/>
      <c r="AI217" s="5"/>
      <c r="AJ217" s="25"/>
      <c r="AK217">
        <v>503</v>
      </c>
      <c r="AL217">
        <v>1</v>
      </c>
      <c r="AO217" s="67"/>
      <c r="AP217">
        <v>19</v>
      </c>
      <c r="AQ217" s="76"/>
    </row>
    <row r="218" spans="1:43">
      <c r="A218" s="8">
        <v>505</v>
      </c>
      <c r="B218" s="8" t="s">
        <v>73</v>
      </c>
      <c r="C218" s="8" t="s">
        <v>165</v>
      </c>
      <c r="D218" s="8" t="s">
        <v>42</v>
      </c>
      <c r="E218" s="24"/>
      <c r="F218" s="5"/>
      <c r="G218" s="5"/>
      <c r="H218" s="5"/>
      <c r="I218" s="5"/>
      <c r="J218" s="5"/>
      <c r="K218" s="5"/>
      <c r="L218" s="25"/>
      <c r="M218" s="24"/>
      <c r="N218" s="5"/>
      <c r="O218" s="5"/>
      <c r="P218" s="5"/>
      <c r="Q218" s="5">
        <v>1</v>
      </c>
      <c r="R218" s="5"/>
      <c r="S218" s="5"/>
      <c r="T218" s="25"/>
      <c r="U218" s="5"/>
      <c r="V218" s="5"/>
      <c r="W218" s="5"/>
      <c r="X218" s="5"/>
      <c r="Y218" s="5"/>
      <c r="Z218" s="5"/>
      <c r="AA218" s="5"/>
      <c r="AB218" s="5"/>
      <c r="AC218" s="24"/>
      <c r="AD218" s="5"/>
      <c r="AE218" s="5"/>
      <c r="AF218" s="5"/>
      <c r="AG218" s="5"/>
      <c r="AH218" s="5"/>
      <c r="AI218" s="5"/>
      <c r="AJ218" s="25"/>
      <c r="AK218">
        <v>505</v>
      </c>
      <c r="AM218">
        <v>1</v>
      </c>
      <c r="AO218" s="67">
        <f t="shared" si="8"/>
        <v>1</v>
      </c>
      <c r="AP218">
        <v>31</v>
      </c>
      <c r="AQ218" s="76">
        <f t="shared" si="7"/>
        <v>3.2258064516129031E-2</v>
      </c>
    </row>
    <row r="219" spans="1:43">
      <c r="A219" s="8">
        <v>506</v>
      </c>
      <c r="B219" s="8" t="s">
        <v>240</v>
      </c>
      <c r="C219" s="8" t="s">
        <v>42</v>
      </c>
      <c r="D219" s="8" t="s">
        <v>6</v>
      </c>
      <c r="E219" s="24"/>
      <c r="F219" s="5"/>
      <c r="G219" s="5"/>
      <c r="H219" s="5"/>
      <c r="I219" s="5"/>
      <c r="J219" s="5"/>
      <c r="K219" s="5"/>
      <c r="L219" s="25"/>
      <c r="M219" s="24"/>
      <c r="N219" s="5"/>
      <c r="O219" s="5"/>
      <c r="P219" s="5"/>
      <c r="Q219" s="5">
        <v>1</v>
      </c>
      <c r="R219" s="5">
        <v>1</v>
      </c>
      <c r="S219" s="5">
        <v>1</v>
      </c>
      <c r="T219" s="25">
        <v>1</v>
      </c>
      <c r="U219" s="5"/>
      <c r="V219" s="5"/>
      <c r="W219" s="5"/>
      <c r="X219" s="5"/>
      <c r="Y219" s="5"/>
      <c r="Z219" s="5"/>
      <c r="AA219" s="5"/>
      <c r="AB219" s="5"/>
      <c r="AC219" s="24"/>
      <c r="AD219" s="5"/>
      <c r="AE219" s="5">
        <v>1</v>
      </c>
      <c r="AF219" s="5">
        <v>1</v>
      </c>
      <c r="AG219" s="5">
        <v>1</v>
      </c>
      <c r="AH219" s="5"/>
      <c r="AI219" s="5"/>
      <c r="AJ219" s="25">
        <v>1</v>
      </c>
      <c r="AK219">
        <v>506</v>
      </c>
      <c r="AM219">
        <v>1</v>
      </c>
      <c r="AO219" s="67">
        <f t="shared" si="8"/>
        <v>8</v>
      </c>
      <c r="AP219">
        <v>26</v>
      </c>
      <c r="AQ219" s="76">
        <f t="shared" si="7"/>
        <v>0.30769230769230771</v>
      </c>
    </row>
    <row r="220" spans="1:43">
      <c r="A220" s="8">
        <v>507</v>
      </c>
      <c r="B220" s="8" t="s">
        <v>63</v>
      </c>
      <c r="C220" s="8" t="s">
        <v>346</v>
      </c>
      <c r="D220" s="8" t="s">
        <v>15</v>
      </c>
      <c r="E220" s="24"/>
      <c r="F220" s="5"/>
      <c r="G220" s="5"/>
      <c r="H220" s="5"/>
      <c r="I220" s="5"/>
      <c r="J220" s="5"/>
      <c r="K220" s="5"/>
      <c r="L220" s="25"/>
      <c r="M220" s="24"/>
      <c r="N220" s="5"/>
      <c r="O220" s="5"/>
      <c r="P220" s="5"/>
      <c r="Q220" s="5"/>
      <c r="R220" s="5"/>
      <c r="S220" s="5"/>
      <c r="T220" s="25"/>
      <c r="U220" s="5"/>
      <c r="V220" s="5"/>
      <c r="W220" s="5"/>
      <c r="X220" s="5"/>
      <c r="Y220" s="5"/>
      <c r="Z220" s="5"/>
      <c r="AA220" s="5"/>
      <c r="AB220" s="5"/>
      <c r="AC220" s="24"/>
      <c r="AD220" s="5"/>
      <c r="AE220" s="5"/>
      <c r="AF220" s="5"/>
      <c r="AG220" s="5"/>
      <c r="AH220" s="5"/>
      <c r="AI220" s="5"/>
      <c r="AJ220" s="25"/>
      <c r="AK220">
        <v>507</v>
      </c>
      <c r="AL220">
        <v>1</v>
      </c>
      <c r="AO220" s="67"/>
      <c r="AP220">
        <v>8</v>
      </c>
      <c r="AQ220" s="76"/>
    </row>
    <row r="221" spans="1:43">
      <c r="A221" s="8">
        <v>508</v>
      </c>
      <c r="B221" s="8" t="s">
        <v>88</v>
      </c>
      <c r="C221" s="8" t="s">
        <v>12</v>
      </c>
      <c r="D221" s="8" t="s">
        <v>42</v>
      </c>
      <c r="E221" s="24"/>
      <c r="F221" s="5"/>
      <c r="G221" s="5"/>
      <c r="H221" s="5"/>
      <c r="I221" s="5"/>
      <c r="J221" s="5"/>
      <c r="K221" s="5"/>
      <c r="L221" s="25"/>
      <c r="M221" s="24"/>
      <c r="N221" s="5"/>
      <c r="O221" s="5"/>
      <c r="P221" s="5"/>
      <c r="Q221" s="5"/>
      <c r="R221" s="5"/>
      <c r="S221" s="5"/>
      <c r="T221" s="25"/>
      <c r="U221" s="5"/>
      <c r="V221" s="5"/>
      <c r="W221" s="5"/>
      <c r="X221" s="5"/>
      <c r="Y221" s="5"/>
      <c r="Z221" s="5"/>
      <c r="AA221" s="5"/>
      <c r="AB221" s="5"/>
      <c r="AC221" s="24"/>
      <c r="AD221" s="5"/>
      <c r="AE221" s="5"/>
      <c r="AF221" s="5"/>
      <c r="AG221" s="5"/>
      <c r="AH221" s="5"/>
      <c r="AI221" s="5"/>
      <c r="AJ221" s="25"/>
      <c r="AK221">
        <v>508</v>
      </c>
      <c r="AL221">
        <v>1</v>
      </c>
      <c r="AO221" s="67"/>
      <c r="AP221">
        <v>32</v>
      </c>
      <c r="AQ221" s="76"/>
    </row>
    <row r="222" spans="1:43">
      <c r="A222" s="8">
        <v>513</v>
      </c>
      <c r="B222" s="8" t="s">
        <v>73</v>
      </c>
      <c r="C222" s="8" t="s">
        <v>165</v>
      </c>
      <c r="D222" s="8" t="s">
        <v>6</v>
      </c>
      <c r="E222" s="24"/>
      <c r="F222" s="5"/>
      <c r="G222" s="5">
        <v>1</v>
      </c>
      <c r="H222" s="5"/>
      <c r="I222" s="5"/>
      <c r="J222" s="5"/>
      <c r="K222" s="5"/>
      <c r="L222" s="25"/>
      <c r="M222" s="24"/>
      <c r="N222" s="5"/>
      <c r="O222" s="5"/>
      <c r="P222" s="5"/>
      <c r="Q222" s="5"/>
      <c r="R222" s="5"/>
      <c r="S222" s="5">
        <v>1</v>
      </c>
      <c r="T222" s="25"/>
      <c r="U222" s="5"/>
      <c r="V222" s="5"/>
      <c r="W222" s="5">
        <v>1</v>
      </c>
      <c r="X222" s="5"/>
      <c r="Y222" s="5"/>
      <c r="Z222" s="5"/>
      <c r="AA222" s="5"/>
      <c r="AB222" s="5"/>
      <c r="AC222" s="24"/>
      <c r="AD222" s="5"/>
      <c r="AE222" s="5"/>
      <c r="AF222" s="5"/>
      <c r="AG222" s="5"/>
      <c r="AH222" s="5"/>
      <c r="AI222" s="5">
        <v>1</v>
      </c>
      <c r="AJ222" s="25"/>
      <c r="AK222">
        <v>513</v>
      </c>
      <c r="AM222">
        <v>1</v>
      </c>
      <c r="AO222" s="67">
        <f t="shared" si="8"/>
        <v>4</v>
      </c>
      <c r="AP222">
        <v>28</v>
      </c>
      <c r="AQ222" s="76">
        <f t="shared" si="7"/>
        <v>0.14285714285714285</v>
      </c>
    </row>
    <row r="223" spans="1:43">
      <c r="A223" s="8">
        <v>514</v>
      </c>
      <c r="B223" s="8" t="s">
        <v>99</v>
      </c>
      <c r="C223" s="8" t="s">
        <v>346</v>
      </c>
      <c r="D223" s="8" t="s">
        <v>15</v>
      </c>
      <c r="E223" s="24"/>
      <c r="F223" s="5"/>
      <c r="G223" s="5"/>
      <c r="H223" s="5"/>
      <c r="I223" s="5"/>
      <c r="J223" s="5"/>
      <c r="K223" s="5"/>
      <c r="L223" s="25"/>
      <c r="M223" s="24"/>
      <c r="N223" s="5"/>
      <c r="O223" s="5"/>
      <c r="P223" s="5"/>
      <c r="Q223" s="5"/>
      <c r="R223" s="5"/>
      <c r="S223" s="5"/>
      <c r="T223" s="25"/>
      <c r="U223" s="5"/>
      <c r="V223" s="5"/>
      <c r="W223" s="5"/>
      <c r="X223" s="5"/>
      <c r="Y223" s="5"/>
      <c r="Z223" s="5"/>
      <c r="AA223" s="5"/>
      <c r="AB223" s="5"/>
      <c r="AC223" s="24"/>
      <c r="AD223" s="5"/>
      <c r="AE223" s="5"/>
      <c r="AF223" s="5"/>
      <c r="AG223" s="5"/>
      <c r="AH223" s="5"/>
      <c r="AI223" s="5"/>
      <c r="AJ223" s="25"/>
      <c r="AK223">
        <v>514</v>
      </c>
      <c r="AL223">
        <v>1</v>
      </c>
      <c r="AO223" s="67"/>
      <c r="AP223">
        <v>16</v>
      </c>
      <c r="AQ223" s="76"/>
    </row>
    <row r="224" spans="1:43">
      <c r="A224" s="8">
        <v>516</v>
      </c>
      <c r="B224" s="8" t="s">
        <v>99</v>
      </c>
      <c r="C224" s="8" t="s">
        <v>346</v>
      </c>
      <c r="D224" s="8" t="s">
        <v>15</v>
      </c>
      <c r="E224" s="24"/>
      <c r="F224" s="5"/>
      <c r="G224" s="5"/>
      <c r="H224" s="5"/>
      <c r="I224" s="5"/>
      <c r="J224" s="5"/>
      <c r="K224" s="5"/>
      <c r="L224" s="25"/>
      <c r="M224" s="24"/>
      <c r="N224" s="5"/>
      <c r="O224" s="5"/>
      <c r="P224" s="5"/>
      <c r="Q224" s="5"/>
      <c r="R224" s="5"/>
      <c r="S224" s="5"/>
      <c r="T224" s="25"/>
      <c r="U224" s="5"/>
      <c r="V224" s="5"/>
      <c r="W224" s="5"/>
      <c r="X224" s="5"/>
      <c r="Y224" s="5"/>
      <c r="Z224" s="5"/>
      <c r="AA224" s="5"/>
      <c r="AB224" s="5"/>
      <c r="AC224" s="24"/>
      <c r="AD224" s="5"/>
      <c r="AE224" s="5"/>
      <c r="AF224" s="5"/>
      <c r="AG224" s="5"/>
      <c r="AH224" s="5"/>
      <c r="AI224" s="5"/>
      <c r="AJ224" s="25"/>
      <c r="AK224">
        <v>516</v>
      </c>
      <c r="AL224">
        <v>1</v>
      </c>
      <c r="AO224" s="67"/>
      <c r="AP224">
        <v>24</v>
      </c>
      <c r="AQ224" s="76"/>
    </row>
    <row r="225" spans="1:43">
      <c r="A225" s="8">
        <v>518</v>
      </c>
      <c r="B225" s="8" t="s">
        <v>99</v>
      </c>
      <c r="C225" s="8" t="s">
        <v>346</v>
      </c>
      <c r="D225" s="8" t="s">
        <v>15</v>
      </c>
      <c r="E225" s="24"/>
      <c r="F225" s="5"/>
      <c r="G225" s="5"/>
      <c r="H225" s="5"/>
      <c r="I225" s="5"/>
      <c r="J225" s="5"/>
      <c r="K225" s="5"/>
      <c r="L225" s="25"/>
      <c r="M225" s="24"/>
      <c r="N225" s="5"/>
      <c r="O225" s="5"/>
      <c r="P225" s="5"/>
      <c r="Q225" s="5"/>
      <c r="R225" s="5"/>
      <c r="S225" s="5"/>
      <c r="T225" s="25"/>
      <c r="U225" s="5"/>
      <c r="V225" s="5"/>
      <c r="W225" s="5"/>
      <c r="X225" s="5"/>
      <c r="Y225" s="5"/>
      <c r="Z225" s="5"/>
      <c r="AA225" s="5"/>
      <c r="AB225" s="5"/>
      <c r="AC225" s="24"/>
      <c r="AD225" s="5"/>
      <c r="AE225" s="5"/>
      <c r="AF225" s="5"/>
      <c r="AG225" s="5"/>
      <c r="AH225" s="5"/>
      <c r="AI225" s="5"/>
      <c r="AJ225" s="25"/>
      <c r="AK225">
        <v>518</v>
      </c>
      <c r="AL225">
        <v>1</v>
      </c>
      <c r="AO225" s="67"/>
      <c r="AP225">
        <v>19</v>
      </c>
      <c r="AQ225" s="76"/>
    </row>
    <row r="226" spans="1:43">
      <c r="A226" s="8">
        <v>519</v>
      </c>
      <c r="B226" s="8" t="s">
        <v>62</v>
      </c>
      <c r="C226" s="8" t="s">
        <v>42</v>
      </c>
      <c r="D226" s="8" t="s">
        <v>42</v>
      </c>
      <c r="E226" s="24">
        <v>1</v>
      </c>
      <c r="F226" s="5">
        <v>1</v>
      </c>
      <c r="G226" s="5"/>
      <c r="H226" s="5">
        <v>1</v>
      </c>
      <c r="I226" s="5"/>
      <c r="J226" s="5"/>
      <c r="K226" s="5"/>
      <c r="L226" s="25"/>
      <c r="M226" s="24"/>
      <c r="N226" s="5"/>
      <c r="O226" s="5"/>
      <c r="P226" s="5"/>
      <c r="Q226" s="5"/>
      <c r="R226" s="5"/>
      <c r="S226" s="5">
        <v>1</v>
      </c>
      <c r="T226" s="25">
        <v>1</v>
      </c>
      <c r="U226" s="5">
        <v>1</v>
      </c>
      <c r="V226" s="5">
        <v>1</v>
      </c>
      <c r="W226" s="5">
        <v>1</v>
      </c>
      <c r="X226" s="5">
        <v>1</v>
      </c>
      <c r="Y226" s="5"/>
      <c r="Z226" s="5"/>
      <c r="AA226" s="5"/>
      <c r="AB226" s="5"/>
      <c r="AC226" s="24"/>
      <c r="AD226" s="5"/>
      <c r="AE226" s="5"/>
      <c r="AF226" s="5"/>
      <c r="AG226" s="5"/>
      <c r="AH226" s="5">
        <v>1</v>
      </c>
      <c r="AI226" s="5">
        <v>1</v>
      </c>
      <c r="AJ226" s="25"/>
      <c r="AK226">
        <v>519</v>
      </c>
      <c r="AM226">
        <v>1</v>
      </c>
      <c r="AO226" s="67">
        <f t="shared" si="8"/>
        <v>11</v>
      </c>
      <c r="AP226">
        <v>31</v>
      </c>
      <c r="AQ226" s="76">
        <f t="shared" si="7"/>
        <v>0.35483870967741937</v>
      </c>
    </row>
    <row r="227" spans="1:43">
      <c r="A227" s="8">
        <v>521</v>
      </c>
      <c r="B227" s="8" t="s">
        <v>41</v>
      </c>
      <c r="C227" s="8" t="s">
        <v>42</v>
      </c>
      <c r="D227" s="8" t="s">
        <v>42</v>
      </c>
      <c r="E227" s="24"/>
      <c r="F227" s="5"/>
      <c r="G227" s="5">
        <v>1</v>
      </c>
      <c r="H227" s="5"/>
      <c r="I227" s="5"/>
      <c r="J227" s="5"/>
      <c r="K227" s="5"/>
      <c r="L227" s="25"/>
      <c r="M227" s="24"/>
      <c r="N227" s="5"/>
      <c r="O227" s="5"/>
      <c r="P227" s="5">
        <v>1</v>
      </c>
      <c r="Q227" s="5"/>
      <c r="R227" s="5"/>
      <c r="S227" s="5">
        <v>1</v>
      </c>
      <c r="T227" s="25">
        <v>1</v>
      </c>
      <c r="U227" s="5"/>
      <c r="V227" s="5"/>
      <c r="W227" s="5">
        <v>1</v>
      </c>
      <c r="X227" s="5">
        <v>1</v>
      </c>
      <c r="Y227" s="5"/>
      <c r="Z227" s="5"/>
      <c r="AA227" s="5"/>
      <c r="AB227" s="5"/>
      <c r="AC227" s="24"/>
      <c r="AD227" s="5"/>
      <c r="AE227" s="5"/>
      <c r="AF227" s="5"/>
      <c r="AG227" s="5">
        <v>1</v>
      </c>
      <c r="AH227" s="5"/>
      <c r="AI227" s="5">
        <v>1</v>
      </c>
      <c r="AJ227" s="25"/>
      <c r="AK227">
        <v>521</v>
      </c>
      <c r="AM227">
        <v>1</v>
      </c>
      <c r="AO227" s="67">
        <f t="shared" si="8"/>
        <v>8</v>
      </c>
      <c r="AP227">
        <v>29</v>
      </c>
      <c r="AQ227" s="76">
        <f t="shared" si="7"/>
        <v>0.27586206896551724</v>
      </c>
    </row>
    <row r="228" spans="1:43">
      <c r="A228" s="8">
        <v>522</v>
      </c>
      <c r="B228" s="8" t="s">
        <v>55</v>
      </c>
      <c r="C228" s="8" t="s">
        <v>346</v>
      </c>
      <c r="D228" s="8" t="s">
        <v>15</v>
      </c>
      <c r="E228" s="24"/>
      <c r="F228" s="5"/>
      <c r="G228" s="5"/>
      <c r="H228" s="5"/>
      <c r="I228" s="5"/>
      <c r="J228" s="5"/>
      <c r="K228" s="5"/>
      <c r="L228" s="25"/>
      <c r="M228" s="24"/>
      <c r="N228" s="5"/>
      <c r="O228" s="5"/>
      <c r="P228" s="5"/>
      <c r="Q228" s="5"/>
      <c r="R228" s="5"/>
      <c r="S228" s="5"/>
      <c r="T228" s="25"/>
      <c r="U228" s="5"/>
      <c r="V228" s="5"/>
      <c r="W228" s="5"/>
      <c r="X228" s="5"/>
      <c r="Y228" s="5"/>
      <c r="Z228" s="5"/>
      <c r="AA228" s="5"/>
      <c r="AB228" s="5"/>
      <c r="AC228" s="24"/>
      <c r="AD228" s="5"/>
      <c r="AE228" s="5"/>
      <c r="AF228" s="5"/>
      <c r="AG228" s="5"/>
      <c r="AH228" s="5"/>
      <c r="AI228" s="5"/>
      <c r="AJ228" s="25"/>
      <c r="AK228">
        <v>522</v>
      </c>
      <c r="AL228">
        <v>1</v>
      </c>
      <c r="AO228" s="67"/>
      <c r="AP228">
        <v>13</v>
      </c>
      <c r="AQ228" s="76"/>
    </row>
    <row r="229" spans="1:43">
      <c r="A229" s="8">
        <v>523</v>
      </c>
      <c r="B229" s="8" t="s">
        <v>55</v>
      </c>
      <c r="C229" s="8" t="s">
        <v>346</v>
      </c>
      <c r="D229" s="8" t="s">
        <v>15</v>
      </c>
      <c r="E229" s="24"/>
      <c r="F229" s="5"/>
      <c r="G229" s="5"/>
      <c r="H229" s="5"/>
      <c r="I229" s="5"/>
      <c r="J229" s="5"/>
      <c r="K229" s="5"/>
      <c r="L229" s="25"/>
      <c r="M229" s="24"/>
      <c r="N229" s="5"/>
      <c r="O229" s="5"/>
      <c r="P229" s="5"/>
      <c r="Q229" s="5"/>
      <c r="R229" s="5"/>
      <c r="S229" s="5"/>
      <c r="T229" s="25"/>
      <c r="U229" s="5"/>
      <c r="V229" s="5"/>
      <c r="W229" s="5"/>
      <c r="X229" s="5"/>
      <c r="Y229" s="5"/>
      <c r="Z229" s="5"/>
      <c r="AA229" s="5"/>
      <c r="AB229" s="5"/>
      <c r="AC229" s="24"/>
      <c r="AD229" s="5"/>
      <c r="AE229" s="5"/>
      <c r="AF229" s="5"/>
      <c r="AG229" s="5"/>
      <c r="AH229" s="5"/>
      <c r="AI229" s="5"/>
      <c r="AJ229" s="25"/>
      <c r="AK229">
        <v>523</v>
      </c>
      <c r="AL229">
        <v>1</v>
      </c>
      <c r="AO229" s="67"/>
      <c r="AP229">
        <v>9</v>
      </c>
      <c r="AQ229" s="76"/>
    </row>
    <row r="230" spans="1:43">
      <c r="A230" s="8">
        <v>524</v>
      </c>
      <c r="B230" s="8" t="s">
        <v>41</v>
      </c>
      <c r="C230" s="8" t="s">
        <v>42</v>
      </c>
      <c r="D230" s="8" t="s">
        <v>6</v>
      </c>
      <c r="E230" s="24">
        <v>1</v>
      </c>
      <c r="F230" s="5">
        <v>1</v>
      </c>
      <c r="G230" s="5"/>
      <c r="H230" s="5"/>
      <c r="I230" s="5"/>
      <c r="J230" s="5"/>
      <c r="K230" s="5"/>
      <c r="L230" s="25"/>
      <c r="M230" s="24"/>
      <c r="N230" s="5"/>
      <c r="O230" s="5"/>
      <c r="P230" s="5"/>
      <c r="Q230" s="5"/>
      <c r="R230" s="5"/>
      <c r="S230" s="5"/>
      <c r="T230" s="25">
        <v>1</v>
      </c>
      <c r="U230" s="5">
        <v>1</v>
      </c>
      <c r="V230" s="5"/>
      <c r="W230" s="5"/>
      <c r="X230" s="5"/>
      <c r="Y230" s="5"/>
      <c r="Z230" s="5"/>
      <c r="AA230" s="5"/>
      <c r="AB230" s="5"/>
      <c r="AC230" s="24"/>
      <c r="AD230" s="5"/>
      <c r="AE230" s="5"/>
      <c r="AF230" s="5"/>
      <c r="AG230" s="5"/>
      <c r="AH230" s="5"/>
      <c r="AI230" s="5"/>
      <c r="AJ230" s="25"/>
      <c r="AK230">
        <v>524</v>
      </c>
      <c r="AM230">
        <v>1</v>
      </c>
      <c r="AO230" s="67">
        <f t="shared" si="8"/>
        <v>4</v>
      </c>
      <c r="AP230">
        <v>29</v>
      </c>
      <c r="AQ230" s="76">
        <f t="shared" si="7"/>
        <v>0.13793103448275862</v>
      </c>
    </row>
    <row r="231" spans="1:43">
      <c r="A231" s="8">
        <v>525</v>
      </c>
      <c r="B231" s="8" t="s">
        <v>93</v>
      </c>
      <c r="C231" s="8" t="s">
        <v>12</v>
      </c>
      <c r="D231" s="8" t="s">
        <v>6</v>
      </c>
      <c r="E231" s="24"/>
      <c r="F231" s="5"/>
      <c r="G231" s="5"/>
      <c r="H231" s="5"/>
      <c r="I231" s="5"/>
      <c r="J231" s="5"/>
      <c r="K231" s="5"/>
      <c r="L231" s="25"/>
      <c r="M231" s="24"/>
      <c r="N231" s="5"/>
      <c r="O231" s="5"/>
      <c r="P231" s="5"/>
      <c r="Q231" s="5"/>
      <c r="R231" s="5"/>
      <c r="S231" s="5"/>
      <c r="T231" s="25"/>
      <c r="U231" s="5"/>
      <c r="V231" s="5"/>
      <c r="W231" s="5"/>
      <c r="X231" s="5"/>
      <c r="Y231" s="5"/>
      <c r="Z231" s="5"/>
      <c r="AA231" s="5"/>
      <c r="AB231" s="5"/>
      <c r="AC231" s="24"/>
      <c r="AD231" s="5"/>
      <c r="AE231" s="5"/>
      <c r="AF231" s="5"/>
      <c r="AG231" s="5"/>
      <c r="AH231" s="5"/>
      <c r="AI231" s="5">
        <v>1</v>
      </c>
      <c r="AJ231" s="25"/>
      <c r="AK231">
        <v>525</v>
      </c>
      <c r="AM231">
        <v>1</v>
      </c>
      <c r="AO231" s="67">
        <f t="shared" si="8"/>
        <v>1</v>
      </c>
      <c r="AP231">
        <v>28</v>
      </c>
      <c r="AQ231" s="76">
        <f t="shared" si="7"/>
        <v>3.5714285714285712E-2</v>
      </c>
    </row>
    <row r="232" spans="1:43">
      <c r="A232" s="8">
        <v>526</v>
      </c>
      <c r="B232" s="8" t="s">
        <v>240</v>
      </c>
      <c r="C232" s="8" t="s">
        <v>42</v>
      </c>
      <c r="D232" s="8" t="s">
        <v>42</v>
      </c>
      <c r="E232" s="24"/>
      <c r="F232" s="5">
        <v>1</v>
      </c>
      <c r="G232" s="5">
        <v>1</v>
      </c>
      <c r="H232" s="5"/>
      <c r="I232" s="5"/>
      <c r="J232" s="5"/>
      <c r="K232" s="5"/>
      <c r="L232" s="25"/>
      <c r="M232" s="24"/>
      <c r="N232" s="5"/>
      <c r="O232" s="5"/>
      <c r="P232" s="5"/>
      <c r="Q232" s="5"/>
      <c r="R232" s="5">
        <v>1</v>
      </c>
      <c r="S232" s="5">
        <v>1</v>
      </c>
      <c r="T232" s="25"/>
      <c r="U232" s="5"/>
      <c r="V232" s="5"/>
      <c r="W232" s="5">
        <v>1</v>
      </c>
      <c r="X232" s="5">
        <v>1</v>
      </c>
      <c r="Y232" s="5"/>
      <c r="Z232" s="5"/>
      <c r="AA232" s="5"/>
      <c r="AB232" s="5"/>
      <c r="AC232" s="24"/>
      <c r="AD232" s="5"/>
      <c r="AE232" s="5"/>
      <c r="AF232" s="5"/>
      <c r="AG232" s="5"/>
      <c r="AH232" s="5">
        <v>1</v>
      </c>
      <c r="AI232" s="5">
        <v>1</v>
      </c>
      <c r="AJ232" s="25"/>
      <c r="AK232">
        <v>526</v>
      </c>
      <c r="AM232">
        <v>1</v>
      </c>
      <c r="AO232" s="67">
        <f t="shared" si="8"/>
        <v>8</v>
      </c>
      <c r="AP232">
        <v>28</v>
      </c>
      <c r="AQ232" s="76">
        <f t="shared" si="7"/>
        <v>0.2857142857142857</v>
      </c>
    </row>
    <row r="233" spans="1:43">
      <c r="A233" s="8">
        <v>527</v>
      </c>
      <c r="B233" s="8" t="s">
        <v>65</v>
      </c>
      <c r="C233" s="8" t="s">
        <v>12</v>
      </c>
      <c r="D233" s="8" t="s">
        <v>6</v>
      </c>
      <c r="E233" s="24"/>
      <c r="F233" s="5"/>
      <c r="G233" s="5"/>
      <c r="H233" s="5"/>
      <c r="I233" s="5"/>
      <c r="J233" s="5"/>
      <c r="K233" s="5"/>
      <c r="L233" s="25"/>
      <c r="M233" s="24"/>
      <c r="N233" s="5"/>
      <c r="O233" s="5"/>
      <c r="P233" s="5"/>
      <c r="Q233" s="5"/>
      <c r="R233" s="5"/>
      <c r="S233" s="5"/>
      <c r="T233" s="25"/>
      <c r="U233" s="5"/>
      <c r="V233" s="5"/>
      <c r="W233" s="5">
        <v>1</v>
      </c>
      <c r="X233" s="5"/>
      <c r="Y233" s="5"/>
      <c r="Z233" s="5"/>
      <c r="AA233" s="5"/>
      <c r="AB233" s="5"/>
      <c r="AC233" s="24"/>
      <c r="AD233" s="5"/>
      <c r="AE233" s="5"/>
      <c r="AF233" s="5"/>
      <c r="AG233" s="5"/>
      <c r="AH233" s="5"/>
      <c r="AI233" s="5"/>
      <c r="AJ233" s="25"/>
      <c r="AK233">
        <v>527</v>
      </c>
      <c r="AM233">
        <v>1</v>
      </c>
      <c r="AO233" s="67">
        <f t="shared" si="8"/>
        <v>1</v>
      </c>
      <c r="AP233">
        <v>23</v>
      </c>
      <c r="AQ233" s="76">
        <f t="shared" si="7"/>
        <v>4.3478260869565216E-2</v>
      </c>
    </row>
    <row r="234" spans="1:43">
      <c r="A234" s="8">
        <v>528</v>
      </c>
      <c r="B234" s="8" t="s">
        <v>75</v>
      </c>
      <c r="C234" s="8" t="s">
        <v>12</v>
      </c>
      <c r="D234" s="8" t="s">
        <v>6</v>
      </c>
      <c r="E234" s="24"/>
      <c r="F234" s="5"/>
      <c r="G234" s="5"/>
      <c r="H234" s="5"/>
      <c r="I234" s="5"/>
      <c r="J234" s="5"/>
      <c r="K234" s="5"/>
      <c r="L234" s="25"/>
      <c r="M234" s="24"/>
      <c r="N234" s="5"/>
      <c r="O234" s="5">
        <v>1</v>
      </c>
      <c r="P234" s="5">
        <v>1</v>
      </c>
      <c r="Q234" s="5">
        <v>1</v>
      </c>
      <c r="R234" s="5">
        <v>1</v>
      </c>
      <c r="S234" s="5">
        <v>1</v>
      </c>
      <c r="T234" s="25"/>
      <c r="U234" s="5"/>
      <c r="V234" s="5">
        <v>1</v>
      </c>
      <c r="W234" s="5"/>
      <c r="X234" s="5"/>
      <c r="Y234" s="5"/>
      <c r="Z234" s="5"/>
      <c r="AA234" s="5"/>
      <c r="AB234" s="5">
        <v>1</v>
      </c>
      <c r="AC234" s="24"/>
      <c r="AD234" s="5"/>
      <c r="AE234" s="5"/>
      <c r="AF234" s="5">
        <v>1</v>
      </c>
      <c r="AG234" s="5">
        <v>1</v>
      </c>
      <c r="AH234" s="5"/>
      <c r="AI234" s="5">
        <v>1</v>
      </c>
      <c r="AJ234" s="25"/>
      <c r="AK234">
        <v>528</v>
      </c>
      <c r="AM234">
        <v>1</v>
      </c>
      <c r="AO234" s="67">
        <f t="shared" si="8"/>
        <v>10</v>
      </c>
      <c r="AP234">
        <v>29</v>
      </c>
      <c r="AQ234" s="76">
        <f t="shared" si="7"/>
        <v>0.34482758620689657</v>
      </c>
    </row>
    <row r="235" spans="1:43">
      <c r="A235" s="8">
        <v>529</v>
      </c>
      <c r="B235" s="8" t="s">
        <v>62</v>
      </c>
      <c r="C235" s="8" t="s">
        <v>42</v>
      </c>
      <c r="D235" s="8" t="s">
        <v>42</v>
      </c>
      <c r="E235" s="24"/>
      <c r="F235" s="5"/>
      <c r="G235" s="5"/>
      <c r="H235" s="5"/>
      <c r="I235" s="5"/>
      <c r="J235" s="5"/>
      <c r="K235" s="5"/>
      <c r="L235" s="25"/>
      <c r="M235" s="24"/>
      <c r="N235" s="5"/>
      <c r="O235" s="5"/>
      <c r="P235" s="5"/>
      <c r="Q235" s="5"/>
      <c r="R235" s="5"/>
      <c r="S235" s="5"/>
      <c r="T235" s="25"/>
      <c r="U235" s="5"/>
      <c r="V235" s="5"/>
      <c r="W235" s="5"/>
      <c r="X235" s="5"/>
      <c r="Y235" s="5"/>
      <c r="Z235" s="5"/>
      <c r="AA235" s="5"/>
      <c r="AB235" s="5"/>
      <c r="AC235" s="24"/>
      <c r="AD235" s="5"/>
      <c r="AE235" s="5"/>
      <c r="AF235" s="5"/>
      <c r="AG235" s="5"/>
      <c r="AH235" s="5"/>
      <c r="AI235" s="5"/>
      <c r="AJ235" s="25"/>
      <c r="AK235">
        <v>529</v>
      </c>
      <c r="AL235">
        <v>1</v>
      </c>
      <c r="AO235" s="67"/>
      <c r="AP235">
        <v>25</v>
      </c>
      <c r="AQ235" s="76"/>
    </row>
    <row r="236" spans="1:43">
      <c r="A236" s="8">
        <v>530</v>
      </c>
      <c r="B236" s="8" t="s">
        <v>63</v>
      </c>
      <c r="C236" s="8" t="s">
        <v>346</v>
      </c>
      <c r="D236" s="8" t="s">
        <v>15</v>
      </c>
      <c r="E236" s="24"/>
      <c r="F236" s="5"/>
      <c r="G236" s="5"/>
      <c r="H236" s="5"/>
      <c r="I236" s="5"/>
      <c r="J236" s="5"/>
      <c r="K236" s="5"/>
      <c r="L236" s="25"/>
      <c r="M236" s="24"/>
      <c r="N236" s="5"/>
      <c r="O236" s="5"/>
      <c r="P236" s="5"/>
      <c r="Q236" s="5"/>
      <c r="R236" s="5"/>
      <c r="S236" s="5"/>
      <c r="T236" s="25"/>
      <c r="U236" s="5"/>
      <c r="V236" s="5"/>
      <c r="W236" s="5"/>
      <c r="X236" s="5"/>
      <c r="Y236" s="5"/>
      <c r="Z236" s="5"/>
      <c r="AA236" s="5"/>
      <c r="AB236" s="5"/>
      <c r="AC236" s="24"/>
      <c r="AD236" s="5"/>
      <c r="AE236" s="5"/>
      <c r="AF236" s="5"/>
      <c r="AG236" s="5"/>
      <c r="AH236" s="5"/>
      <c r="AI236" s="5"/>
      <c r="AJ236" s="25"/>
      <c r="AK236">
        <v>530</v>
      </c>
      <c r="AL236">
        <v>1</v>
      </c>
      <c r="AO236" s="67"/>
      <c r="AP236">
        <v>3</v>
      </c>
      <c r="AQ236" s="76"/>
    </row>
    <row r="237" spans="1:43">
      <c r="A237" s="8">
        <v>531</v>
      </c>
      <c r="B237" s="8" t="s">
        <v>54</v>
      </c>
      <c r="C237" s="8" t="s">
        <v>345</v>
      </c>
      <c r="D237" s="8" t="s">
        <v>15</v>
      </c>
      <c r="E237" s="24"/>
      <c r="F237" s="5"/>
      <c r="G237" s="5"/>
      <c r="H237" s="5"/>
      <c r="I237" s="5"/>
      <c r="J237" s="5"/>
      <c r="K237" s="5"/>
      <c r="L237" s="25"/>
      <c r="M237" s="24"/>
      <c r="N237" s="5"/>
      <c r="O237" s="5"/>
      <c r="P237" s="5"/>
      <c r="Q237" s="5"/>
      <c r="R237" s="5"/>
      <c r="S237" s="5"/>
      <c r="T237" s="25"/>
      <c r="U237" s="5"/>
      <c r="V237" s="5"/>
      <c r="W237" s="5"/>
      <c r="X237" s="5"/>
      <c r="Y237" s="5"/>
      <c r="Z237" s="5"/>
      <c r="AA237" s="5"/>
      <c r="AB237" s="5"/>
      <c r="AC237" s="24"/>
      <c r="AD237" s="5"/>
      <c r="AE237" s="5"/>
      <c r="AF237" s="5"/>
      <c r="AG237" s="5"/>
      <c r="AH237" s="5"/>
      <c r="AI237" s="5"/>
      <c r="AJ237" s="25"/>
      <c r="AK237">
        <v>531</v>
      </c>
      <c r="AL237">
        <v>1</v>
      </c>
      <c r="AO237" s="67"/>
      <c r="AP237">
        <v>8</v>
      </c>
      <c r="AQ237" s="76"/>
    </row>
    <row r="238" spans="1:43">
      <c r="A238" s="8">
        <v>539</v>
      </c>
      <c r="B238" s="8" t="s">
        <v>240</v>
      </c>
      <c r="C238" s="8" t="s">
        <v>42</v>
      </c>
      <c r="D238" s="8" t="s">
        <v>42</v>
      </c>
      <c r="E238" s="24">
        <v>1</v>
      </c>
      <c r="F238" s="5"/>
      <c r="G238" s="5"/>
      <c r="H238" s="5"/>
      <c r="I238" s="5"/>
      <c r="J238" s="5"/>
      <c r="K238" s="5"/>
      <c r="L238" s="25"/>
      <c r="M238" s="24"/>
      <c r="N238" s="5"/>
      <c r="O238" s="5"/>
      <c r="P238" s="5"/>
      <c r="Q238" s="5"/>
      <c r="R238" s="5"/>
      <c r="S238" s="5">
        <v>1</v>
      </c>
      <c r="T238" s="25">
        <v>1</v>
      </c>
      <c r="U238" s="5">
        <v>1</v>
      </c>
      <c r="V238" s="5"/>
      <c r="W238" s="5"/>
      <c r="X238" s="5"/>
      <c r="Y238" s="5"/>
      <c r="Z238" s="5"/>
      <c r="AA238" s="5"/>
      <c r="AB238" s="5"/>
      <c r="AC238" s="24"/>
      <c r="AD238" s="5"/>
      <c r="AE238" s="5"/>
      <c r="AF238" s="5"/>
      <c r="AG238" s="5"/>
      <c r="AH238" s="5">
        <v>1</v>
      </c>
      <c r="AI238" s="5">
        <v>1</v>
      </c>
      <c r="AJ238" s="25"/>
      <c r="AK238">
        <v>539</v>
      </c>
      <c r="AM238">
        <v>1</v>
      </c>
      <c r="AO238" s="67">
        <f t="shared" si="8"/>
        <v>6</v>
      </c>
      <c r="AP238">
        <v>30</v>
      </c>
      <c r="AQ238" s="76">
        <f t="shared" si="7"/>
        <v>0.2</v>
      </c>
    </row>
    <row r="239" spans="1:43">
      <c r="A239" s="8">
        <v>540</v>
      </c>
      <c r="B239" s="8" t="s">
        <v>240</v>
      </c>
      <c r="C239" s="8" t="s">
        <v>42</v>
      </c>
      <c r="D239" s="8" t="s">
        <v>42</v>
      </c>
      <c r="E239" s="24">
        <v>1</v>
      </c>
      <c r="F239" s="5">
        <v>1</v>
      </c>
      <c r="G239" s="5">
        <v>1</v>
      </c>
      <c r="H239" s="5">
        <v>1</v>
      </c>
      <c r="I239" s="5"/>
      <c r="J239" s="5"/>
      <c r="K239" s="5"/>
      <c r="L239" s="25"/>
      <c r="M239" s="24"/>
      <c r="N239" s="5"/>
      <c r="O239" s="5"/>
      <c r="P239" s="5"/>
      <c r="Q239" s="5"/>
      <c r="R239" s="5"/>
      <c r="S239" s="5">
        <v>1</v>
      </c>
      <c r="T239" s="25">
        <v>1</v>
      </c>
      <c r="U239" s="5"/>
      <c r="V239" s="5">
        <v>1</v>
      </c>
      <c r="W239" s="5">
        <v>1</v>
      </c>
      <c r="X239" s="5">
        <v>1</v>
      </c>
      <c r="Y239" s="5"/>
      <c r="Z239" s="5"/>
      <c r="AA239" s="5"/>
      <c r="AB239" s="5"/>
      <c r="AC239" s="24"/>
      <c r="AD239" s="5"/>
      <c r="AE239" s="5"/>
      <c r="AF239" s="5"/>
      <c r="AG239" s="5"/>
      <c r="AH239" s="5">
        <v>1</v>
      </c>
      <c r="AI239" s="5"/>
      <c r="AJ239" s="25">
        <v>1</v>
      </c>
      <c r="AK239">
        <v>540</v>
      </c>
      <c r="AM239">
        <v>1</v>
      </c>
      <c r="AO239" s="67">
        <f t="shared" si="8"/>
        <v>11</v>
      </c>
      <c r="AP239">
        <v>31</v>
      </c>
      <c r="AQ239" s="76">
        <f t="shared" si="7"/>
        <v>0.35483870967741937</v>
      </c>
    </row>
    <row r="240" spans="1:43">
      <c r="A240" s="8">
        <v>544</v>
      </c>
      <c r="B240" s="8" t="s">
        <v>54</v>
      </c>
      <c r="C240" s="8" t="s">
        <v>345</v>
      </c>
      <c r="D240" s="8" t="s">
        <v>15</v>
      </c>
      <c r="E240" s="24"/>
      <c r="F240" s="5"/>
      <c r="G240" s="5"/>
      <c r="H240" s="5"/>
      <c r="I240" s="5"/>
      <c r="J240" s="5"/>
      <c r="K240" s="5"/>
      <c r="L240" s="25"/>
      <c r="M240" s="24"/>
      <c r="N240" s="5"/>
      <c r="O240" s="5"/>
      <c r="P240" s="5"/>
      <c r="Q240" s="5"/>
      <c r="R240" s="5"/>
      <c r="S240" s="5"/>
      <c r="T240" s="25"/>
      <c r="U240" s="5"/>
      <c r="V240" s="5"/>
      <c r="W240" s="5"/>
      <c r="X240" s="5"/>
      <c r="Y240" s="5"/>
      <c r="Z240" s="5"/>
      <c r="AA240" s="5"/>
      <c r="AB240" s="5"/>
      <c r="AC240" s="24"/>
      <c r="AD240" s="5"/>
      <c r="AE240" s="5"/>
      <c r="AF240" s="5"/>
      <c r="AG240" s="5"/>
      <c r="AH240" s="5"/>
      <c r="AI240" s="5"/>
      <c r="AJ240" s="25"/>
      <c r="AK240">
        <v>544</v>
      </c>
      <c r="AL240">
        <v>1</v>
      </c>
      <c r="AO240" s="67"/>
      <c r="AP240">
        <v>1</v>
      </c>
      <c r="AQ240" s="76"/>
    </row>
    <row r="241" spans="1:43">
      <c r="A241" s="8">
        <v>547</v>
      </c>
      <c r="B241" s="8" t="s">
        <v>201</v>
      </c>
      <c r="C241" s="8" t="s">
        <v>357</v>
      </c>
      <c r="D241" s="8" t="s">
        <v>15</v>
      </c>
      <c r="E241" s="24"/>
      <c r="F241" s="5"/>
      <c r="G241" s="5"/>
      <c r="H241" s="5"/>
      <c r="I241" s="5"/>
      <c r="J241" s="5"/>
      <c r="K241" s="5"/>
      <c r="L241" s="25"/>
      <c r="M241" s="24"/>
      <c r="N241" s="5"/>
      <c r="O241" s="5"/>
      <c r="P241" s="5"/>
      <c r="Q241" s="5"/>
      <c r="R241" s="5"/>
      <c r="S241" s="5"/>
      <c r="T241" s="25"/>
      <c r="U241" s="5"/>
      <c r="V241" s="5"/>
      <c r="W241" s="5"/>
      <c r="X241" s="5"/>
      <c r="Y241" s="5"/>
      <c r="Z241" s="5"/>
      <c r="AA241" s="5"/>
      <c r="AB241" s="5"/>
      <c r="AC241" s="24"/>
      <c r="AD241" s="5"/>
      <c r="AE241" s="5"/>
      <c r="AF241" s="5"/>
      <c r="AG241" s="5"/>
      <c r="AH241" s="5"/>
      <c r="AI241" s="5"/>
      <c r="AJ241" s="25"/>
      <c r="AK241">
        <v>547</v>
      </c>
      <c r="AL241">
        <v>1</v>
      </c>
      <c r="AO241" s="67"/>
      <c r="AP241">
        <v>28</v>
      </c>
      <c r="AQ241" s="76"/>
    </row>
    <row r="242" spans="1:43">
      <c r="A242" s="8">
        <v>548</v>
      </c>
      <c r="B242" s="8" t="s">
        <v>56</v>
      </c>
      <c r="C242" s="8" t="s">
        <v>360</v>
      </c>
      <c r="D242" s="8" t="s">
        <v>15</v>
      </c>
      <c r="E242" s="24"/>
      <c r="F242" s="5"/>
      <c r="G242" s="5"/>
      <c r="H242" s="5"/>
      <c r="I242" s="5"/>
      <c r="J242" s="5"/>
      <c r="K242" s="5"/>
      <c r="L242" s="25"/>
      <c r="M242" s="24"/>
      <c r="N242" s="5"/>
      <c r="O242" s="5"/>
      <c r="P242" s="5"/>
      <c r="Q242" s="5"/>
      <c r="R242" s="5"/>
      <c r="S242" s="5"/>
      <c r="T242" s="25"/>
      <c r="U242" s="5"/>
      <c r="V242" s="5"/>
      <c r="W242" s="5"/>
      <c r="X242" s="5"/>
      <c r="Y242" s="5"/>
      <c r="Z242" s="5"/>
      <c r="AA242" s="5"/>
      <c r="AB242" s="5"/>
      <c r="AC242" s="24"/>
      <c r="AD242" s="5"/>
      <c r="AE242" s="5"/>
      <c r="AF242" s="5"/>
      <c r="AG242" s="5"/>
      <c r="AH242" s="5"/>
      <c r="AI242" s="5"/>
      <c r="AJ242" s="25"/>
      <c r="AK242">
        <v>548</v>
      </c>
      <c r="AL242">
        <v>1</v>
      </c>
      <c r="AO242" s="67"/>
      <c r="AP242">
        <v>3</v>
      </c>
      <c r="AQ242" s="76"/>
    </row>
    <row r="243" spans="1:43">
      <c r="A243" s="8">
        <v>551</v>
      </c>
      <c r="B243" s="8" t="s">
        <v>78</v>
      </c>
      <c r="C243" s="8" t="s">
        <v>359</v>
      </c>
      <c r="D243" s="8" t="s">
        <v>15</v>
      </c>
      <c r="E243" s="24"/>
      <c r="F243" s="5"/>
      <c r="G243" s="5"/>
      <c r="H243" s="5"/>
      <c r="I243" s="5"/>
      <c r="J243" s="5"/>
      <c r="K243" s="5"/>
      <c r="L243" s="25"/>
      <c r="M243" s="24"/>
      <c r="N243" s="5"/>
      <c r="O243" s="5">
        <v>1</v>
      </c>
      <c r="P243" s="5">
        <v>1</v>
      </c>
      <c r="Q243" s="5"/>
      <c r="R243" s="5"/>
      <c r="S243" s="5"/>
      <c r="T243" s="25"/>
      <c r="U243" s="5"/>
      <c r="V243" s="5"/>
      <c r="W243" s="5"/>
      <c r="X243" s="5"/>
      <c r="Y243" s="5"/>
      <c r="Z243" s="5"/>
      <c r="AA243" s="5"/>
      <c r="AB243" s="5"/>
      <c r="AC243" s="24"/>
      <c r="AD243" s="5"/>
      <c r="AE243" s="5"/>
      <c r="AF243" s="5"/>
      <c r="AG243" s="5"/>
      <c r="AH243" s="5"/>
      <c r="AI243" s="5"/>
      <c r="AJ243" s="25"/>
      <c r="AK243">
        <v>551</v>
      </c>
      <c r="AM243">
        <v>1</v>
      </c>
      <c r="AO243" s="67">
        <f t="shared" si="8"/>
        <v>2</v>
      </c>
      <c r="AP243">
        <v>21</v>
      </c>
      <c r="AQ243" s="76">
        <f t="shared" si="7"/>
        <v>9.5238095238095233E-2</v>
      </c>
    </row>
    <row r="244" spans="1:43">
      <c r="A244" s="8">
        <v>553</v>
      </c>
      <c r="B244" s="8" t="s">
        <v>106</v>
      </c>
      <c r="C244" s="8" t="s">
        <v>349</v>
      </c>
      <c r="D244" s="8" t="s">
        <v>6</v>
      </c>
      <c r="E244" s="24"/>
      <c r="F244" s="5"/>
      <c r="G244" s="5"/>
      <c r="H244" s="5"/>
      <c r="I244" s="5"/>
      <c r="J244" s="5"/>
      <c r="K244" s="5"/>
      <c r="L244" s="25"/>
      <c r="M244" s="24"/>
      <c r="N244" s="5"/>
      <c r="O244" s="5"/>
      <c r="P244" s="5"/>
      <c r="Q244" s="5"/>
      <c r="R244" s="5"/>
      <c r="S244" s="5"/>
      <c r="T244" s="25"/>
      <c r="U244" s="5"/>
      <c r="V244" s="5"/>
      <c r="W244" s="5"/>
      <c r="X244" s="5"/>
      <c r="Y244" s="5"/>
      <c r="Z244" s="5"/>
      <c r="AA244" s="5"/>
      <c r="AB244" s="5"/>
      <c r="AC244" s="24"/>
      <c r="AD244" s="5"/>
      <c r="AE244" s="5"/>
      <c r="AF244" s="5"/>
      <c r="AG244" s="5"/>
      <c r="AH244" s="5"/>
      <c r="AI244" s="5"/>
      <c r="AJ244" s="25"/>
      <c r="AK244">
        <v>553</v>
      </c>
      <c r="AL244">
        <v>1</v>
      </c>
      <c r="AO244" s="67"/>
      <c r="AP244">
        <v>6</v>
      </c>
      <c r="AQ244" s="76"/>
    </row>
    <row r="245" spans="1:43" s="8" customFormat="1">
      <c r="A245" s="8">
        <v>555</v>
      </c>
      <c r="B245" s="8" t="s">
        <v>73</v>
      </c>
      <c r="C245" s="8" t="s">
        <v>165</v>
      </c>
      <c r="D245" s="8" t="s">
        <v>42</v>
      </c>
      <c r="E245" s="24"/>
      <c r="F245" s="5">
        <v>1</v>
      </c>
      <c r="G245" s="5">
        <v>1</v>
      </c>
      <c r="H245" s="5"/>
      <c r="I245" s="5"/>
      <c r="J245" s="5"/>
      <c r="K245" s="5"/>
      <c r="L245" s="25"/>
      <c r="M245" s="24"/>
      <c r="N245" s="5"/>
      <c r="O245" s="5"/>
      <c r="P245" s="5"/>
      <c r="Q245" s="5"/>
      <c r="R245" s="5"/>
      <c r="S245" s="5"/>
      <c r="T245" s="25"/>
      <c r="U245" s="5"/>
      <c r="V245" s="5"/>
      <c r="W245" s="5"/>
      <c r="X245" s="5"/>
      <c r="Y245" s="5"/>
      <c r="Z245" s="5"/>
      <c r="AA245" s="5"/>
      <c r="AB245" s="5"/>
      <c r="AC245" s="24"/>
      <c r="AD245" s="5"/>
      <c r="AE245" s="5"/>
      <c r="AF245" s="5"/>
      <c r="AG245" s="5"/>
      <c r="AH245" s="5"/>
      <c r="AI245" s="5"/>
      <c r="AJ245" s="25"/>
      <c r="AK245" s="8">
        <v>555</v>
      </c>
      <c r="AM245" s="8">
        <v>1</v>
      </c>
      <c r="AO245" s="67">
        <f t="shared" si="8"/>
        <v>2</v>
      </c>
      <c r="AP245" s="8">
        <v>23</v>
      </c>
      <c r="AQ245" s="76">
        <f t="shared" si="7"/>
        <v>8.6956521739130432E-2</v>
      </c>
    </row>
    <row r="246" spans="1:43">
      <c r="A246" s="8">
        <v>559</v>
      </c>
      <c r="B246" s="8" t="s">
        <v>74</v>
      </c>
      <c r="C246" s="8" t="s">
        <v>346</v>
      </c>
      <c r="D246" s="8" t="s">
        <v>15</v>
      </c>
      <c r="E246" s="24"/>
      <c r="F246" s="5"/>
      <c r="G246" s="5"/>
      <c r="H246" s="5"/>
      <c r="I246" s="5"/>
      <c r="J246" s="5"/>
      <c r="K246" s="5"/>
      <c r="L246" s="25"/>
      <c r="M246" s="24"/>
      <c r="N246" s="5"/>
      <c r="O246" s="5"/>
      <c r="P246" s="5"/>
      <c r="Q246" s="5"/>
      <c r="R246" s="5"/>
      <c r="S246" s="5"/>
      <c r="T246" s="25"/>
      <c r="U246" s="5"/>
      <c r="V246" s="5"/>
      <c r="W246" s="5"/>
      <c r="X246" s="5"/>
      <c r="Y246" s="5"/>
      <c r="Z246" s="5"/>
      <c r="AA246" s="5"/>
      <c r="AB246" s="5"/>
      <c r="AC246" s="24"/>
      <c r="AD246" s="5"/>
      <c r="AE246" s="5"/>
      <c r="AF246" s="5"/>
      <c r="AG246" s="5"/>
      <c r="AH246" s="5"/>
      <c r="AI246" s="5"/>
      <c r="AJ246" s="25"/>
      <c r="AK246">
        <v>559</v>
      </c>
      <c r="AL246">
        <v>1</v>
      </c>
      <c r="AO246" s="67"/>
      <c r="AP246">
        <v>14</v>
      </c>
      <c r="AQ246" s="76"/>
    </row>
    <row r="247" spans="1:43">
      <c r="A247" s="8">
        <v>563</v>
      </c>
      <c r="B247" s="8" t="s">
        <v>80</v>
      </c>
      <c r="C247" s="8" t="s">
        <v>346</v>
      </c>
      <c r="D247" s="8" t="s">
        <v>15</v>
      </c>
      <c r="E247" s="24"/>
      <c r="F247" s="5"/>
      <c r="G247" s="5"/>
      <c r="H247" s="5"/>
      <c r="I247" s="5"/>
      <c r="J247" s="5"/>
      <c r="K247" s="5"/>
      <c r="L247" s="25"/>
      <c r="M247" s="24"/>
      <c r="N247" s="5"/>
      <c r="O247" s="5"/>
      <c r="P247" s="5"/>
      <c r="Q247" s="5"/>
      <c r="R247" s="5"/>
      <c r="S247" s="5"/>
      <c r="T247" s="25"/>
      <c r="U247" s="5"/>
      <c r="V247" s="5"/>
      <c r="W247" s="5"/>
      <c r="X247" s="5"/>
      <c r="Y247" s="5"/>
      <c r="Z247" s="5"/>
      <c r="AA247" s="5"/>
      <c r="AB247" s="5"/>
      <c r="AC247" s="24"/>
      <c r="AD247" s="5"/>
      <c r="AE247" s="5"/>
      <c r="AF247" s="5"/>
      <c r="AG247" s="5"/>
      <c r="AH247" s="5"/>
      <c r="AI247" s="5"/>
      <c r="AJ247" s="25"/>
      <c r="AK247">
        <v>563</v>
      </c>
      <c r="AL247">
        <v>1</v>
      </c>
      <c r="AO247" s="67"/>
      <c r="AP247">
        <v>17</v>
      </c>
      <c r="AQ247" s="76"/>
    </row>
    <row r="248" spans="1:43">
      <c r="A248" s="8">
        <v>564</v>
      </c>
      <c r="B248" s="8" t="s">
        <v>62</v>
      </c>
      <c r="C248" s="8" t="s">
        <v>42</v>
      </c>
      <c r="D248" s="8" t="s">
        <v>6</v>
      </c>
      <c r="E248" s="24"/>
      <c r="F248" s="5"/>
      <c r="G248" s="5"/>
      <c r="H248" s="5"/>
      <c r="I248" s="5"/>
      <c r="J248" s="5">
        <v>1</v>
      </c>
      <c r="K248" s="5">
        <v>1</v>
      </c>
      <c r="L248" s="25"/>
      <c r="M248" s="24"/>
      <c r="N248" s="5"/>
      <c r="O248" s="5">
        <v>1</v>
      </c>
      <c r="P248" s="5">
        <v>1</v>
      </c>
      <c r="Q248" s="5">
        <v>1</v>
      </c>
      <c r="R248" s="5">
        <v>1</v>
      </c>
      <c r="S248" s="5"/>
      <c r="T248" s="25"/>
      <c r="U248" s="5"/>
      <c r="V248" s="5"/>
      <c r="W248" s="5"/>
      <c r="X248" s="5"/>
      <c r="Y248" s="5"/>
      <c r="Z248" s="5"/>
      <c r="AA248" s="5"/>
      <c r="AB248" s="5">
        <v>1</v>
      </c>
      <c r="AC248" s="24"/>
      <c r="AD248" s="5"/>
      <c r="AE248" s="5"/>
      <c r="AF248" s="5"/>
      <c r="AG248" s="5">
        <v>1</v>
      </c>
      <c r="AH248" s="5">
        <v>1</v>
      </c>
      <c r="AI248" s="5"/>
      <c r="AJ248" s="25"/>
      <c r="AK248">
        <v>564</v>
      </c>
      <c r="AM248">
        <v>1</v>
      </c>
      <c r="AO248" s="67">
        <f t="shared" si="8"/>
        <v>9</v>
      </c>
      <c r="AP248">
        <v>29</v>
      </c>
      <c r="AQ248" s="76">
        <f t="shared" si="7"/>
        <v>0.31034482758620691</v>
      </c>
    </row>
    <row r="249" spans="1:43">
      <c r="A249" s="8">
        <v>567</v>
      </c>
      <c r="B249" s="8" t="s">
        <v>56</v>
      </c>
      <c r="C249" s="8" t="s">
        <v>360</v>
      </c>
      <c r="D249" s="8" t="s">
        <v>15</v>
      </c>
      <c r="E249" s="24"/>
      <c r="F249" s="5"/>
      <c r="G249" s="5"/>
      <c r="H249" s="5"/>
      <c r="I249" s="5"/>
      <c r="J249" s="5"/>
      <c r="K249" s="5"/>
      <c r="L249" s="25"/>
      <c r="M249" s="24"/>
      <c r="N249" s="5"/>
      <c r="O249" s="5"/>
      <c r="P249" s="5"/>
      <c r="Q249" s="5"/>
      <c r="R249" s="5"/>
      <c r="S249" s="5"/>
      <c r="T249" s="25"/>
      <c r="U249" s="5"/>
      <c r="V249" s="5"/>
      <c r="W249" s="5"/>
      <c r="X249" s="5"/>
      <c r="Y249" s="5"/>
      <c r="Z249" s="5"/>
      <c r="AA249" s="5"/>
      <c r="AB249" s="5"/>
      <c r="AC249" s="24"/>
      <c r="AD249" s="5"/>
      <c r="AE249" s="5"/>
      <c r="AF249" s="5"/>
      <c r="AG249" s="5"/>
      <c r="AH249" s="5"/>
      <c r="AI249" s="5"/>
      <c r="AJ249" s="25"/>
      <c r="AK249">
        <v>567</v>
      </c>
      <c r="AL249">
        <v>1</v>
      </c>
      <c r="AO249" s="67"/>
      <c r="AP249">
        <v>3</v>
      </c>
      <c r="AQ249" s="76"/>
    </row>
    <row r="250" spans="1:43">
      <c r="A250" s="8">
        <v>568</v>
      </c>
      <c r="B250" s="8" t="s">
        <v>65</v>
      </c>
      <c r="C250" s="8" t="s">
        <v>12</v>
      </c>
      <c r="D250" s="8" t="s">
        <v>42</v>
      </c>
      <c r="E250" s="24"/>
      <c r="F250" s="5"/>
      <c r="G250" s="5"/>
      <c r="H250" s="5"/>
      <c r="I250" s="5"/>
      <c r="J250" s="5"/>
      <c r="K250" s="5"/>
      <c r="L250" s="25"/>
      <c r="M250" s="24"/>
      <c r="N250" s="5"/>
      <c r="O250" s="5"/>
      <c r="P250" s="5"/>
      <c r="Q250" s="5"/>
      <c r="R250" s="5"/>
      <c r="S250" s="5"/>
      <c r="T250" s="25"/>
      <c r="U250" s="5"/>
      <c r="V250" s="5"/>
      <c r="W250" s="5"/>
      <c r="X250" s="5"/>
      <c r="Y250" s="5"/>
      <c r="Z250" s="5"/>
      <c r="AA250" s="5"/>
      <c r="AB250" s="5"/>
      <c r="AC250" s="24"/>
      <c r="AD250" s="5"/>
      <c r="AE250" s="5"/>
      <c r="AF250" s="5"/>
      <c r="AG250" s="5"/>
      <c r="AH250" s="5"/>
      <c r="AI250" s="5"/>
      <c r="AJ250" s="25"/>
      <c r="AK250">
        <v>568</v>
      </c>
      <c r="AL250">
        <v>1</v>
      </c>
      <c r="AO250" s="67"/>
      <c r="AP250">
        <v>28</v>
      </c>
      <c r="AQ250" s="76"/>
    </row>
    <row r="251" spans="1:43">
      <c r="A251" s="8">
        <v>569</v>
      </c>
      <c r="B251" s="8" t="s">
        <v>59</v>
      </c>
      <c r="C251" s="8" t="s">
        <v>346</v>
      </c>
      <c r="D251" s="8" t="s">
        <v>15</v>
      </c>
      <c r="E251" s="24"/>
      <c r="F251" s="5"/>
      <c r="G251" s="5"/>
      <c r="H251" s="5"/>
      <c r="I251" s="5"/>
      <c r="J251" s="5"/>
      <c r="K251" s="5"/>
      <c r="L251" s="25"/>
      <c r="M251" s="24"/>
      <c r="N251" s="5"/>
      <c r="O251" s="5"/>
      <c r="P251" s="5"/>
      <c r="Q251" s="5"/>
      <c r="R251" s="5"/>
      <c r="S251" s="5"/>
      <c r="T251" s="25"/>
      <c r="U251" s="5"/>
      <c r="V251" s="5"/>
      <c r="W251" s="5"/>
      <c r="X251" s="5"/>
      <c r="Y251" s="5"/>
      <c r="Z251" s="5"/>
      <c r="AA251" s="5"/>
      <c r="AB251" s="5"/>
      <c r="AC251" s="24"/>
      <c r="AD251" s="5"/>
      <c r="AE251" s="5"/>
      <c r="AF251" s="5"/>
      <c r="AG251" s="5"/>
      <c r="AH251" s="5"/>
      <c r="AI251" s="5"/>
      <c r="AJ251" s="25"/>
      <c r="AK251">
        <v>569</v>
      </c>
      <c r="AL251">
        <v>1</v>
      </c>
      <c r="AO251" s="67"/>
      <c r="AP251">
        <v>18</v>
      </c>
      <c r="AQ251" s="76"/>
    </row>
    <row r="252" spans="1:43">
      <c r="A252" s="8">
        <v>570</v>
      </c>
      <c r="B252" s="8" t="s">
        <v>73</v>
      </c>
      <c r="C252" s="8" t="s">
        <v>165</v>
      </c>
      <c r="D252" s="8" t="s">
        <v>6</v>
      </c>
      <c r="E252" s="24"/>
      <c r="F252" s="5"/>
      <c r="G252" s="5"/>
      <c r="H252" s="5"/>
      <c r="I252" s="5"/>
      <c r="J252" s="5"/>
      <c r="K252" s="5"/>
      <c r="L252" s="25"/>
      <c r="M252" s="24"/>
      <c r="N252" s="5"/>
      <c r="O252" s="5"/>
      <c r="P252" s="5"/>
      <c r="Q252" s="5"/>
      <c r="R252" s="5">
        <v>1</v>
      </c>
      <c r="S252" s="5"/>
      <c r="T252" s="25"/>
      <c r="U252" s="5"/>
      <c r="V252" s="5">
        <v>1</v>
      </c>
      <c r="W252" s="5"/>
      <c r="X252" s="5"/>
      <c r="Y252" s="5"/>
      <c r="Z252" s="5"/>
      <c r="AA252" s="5"/>
      <c r="AB252" s="5"/>
      <c r="AC252" s="24"/>
      <c r="AD252" s="5"/>
      <c r="AE252" s="5"/>
      <c r="AF252" s="5"/>
      <c r="AG252" s="5"/>
      <c r="AH252" s="5"/>
      <c r="AI252" s="5">
        <v>1</v>
      </c>
      <c r="AJ252" s="25"/>
      <c r="AK252">
        <v>570</v>
      </c>
      <c r="AM252">
        <v>1</v>
      </c>
      <c r="AO252" s="67">
        <f t="shared" si="8"/>
        <v>3</v>
      </c>
      <c r="AP252">
        <v>27</v>
      </c>
      <c r="AQ252" s="76">
        <f t="shared" si="7"/>
        <v>0.1111111111111111</v>
      </c>
    </row>
    <row r="253" spans="1:43">
      <c r="A253" s="8">
        <v>571</v>
      </c>
      <c r="B253" s="8" t="s">
        <v>62</v>
      </c>
      <c r="C253" s="8" t="s">
        <v>42</v>
      </c>
      <c r="D253" s="8" t="s">
        <v>6</v>
      </c>
      <c r="E253" s="24"/>
      <c r="F253" s="5"/>
      <c r="G253" s="5"/>
      <c r="H253" s="5"/>
      <c r="I253" s="5"/>
      <c r="J253" s="5"/>
      <c r="K253" s="5"/>
      <c r="L253" s="25"/>
      <c r="M253" s="24"/>
      <c r="N253" s="5"/>
      <c r="O253" s="5"/>
      <c r="P253" s="5"/>
      <c r="Q253" s="5"/>
      <c r="R253" s="5"/>
      <c r="S253" s="5"/>
      <c r="T253" s="25"/>
      <c r="U253" s="5"/>
      <c r="V253" s="5"/>
      <c r="W253" s="5"/>
      <c r="X253" s="5"/>
      <c r="Y253" s="5"/>
      <c r="Z253" s="5"/>
      <c r="AA253" s="5"/>
      <c r="AB253" s="5"/>
      <c r="AC253" s="24"/>
      <c r="AD253" s="5"/>
      <c r="AE253" s="5"/>
      <c r="AF253" s="5"/>
      <c r="AG253" s="5"/>
      <c r="AH253" s="5">
        <v>1</v>
      </c>
      <c r="AI253" s="5"/>
      <c r="AJ253" s="25">
        <v>1</v>
      </c>
      <c r="AK253">
        <v>571</v>
      </c>
      <c r="AM253">
        <v>1</v>
      </c>
      <c r="AO253" s="67">
        <f t="shared" si="8"/>
        <v>2</v>
      </c>
      <c r="AP253">
        <v>31</v>
      </c>
      <c r="AQ253" s="76">
        <f t="shared" si="7"/>
        <v>6.4516129032258063E-2</v>
      </c>
    </row>
    <row r="254" spans="1:43">
      <c r="A254" s="8">
        <v>572</v>
      </c>
      <c r="B254" s="8" t="s">
        <v>74</v>
      </c>
      <c r="C254" s="8" t="s">
        <v>346</v>
      </c>
      <c r="D254" s="8" t="s">
        <v>15</v>
      </c>
      <c r="E254" s="24"/>
      <c r="F254" s="5"/>
      <c r="G254" s="5"/>
      <c r="H254" s="5"/>
      <c r="I254" s="5"/>
      <c r="J254" s="5"/>
      <c r="K254" s="5"/>
      <c r="L254" s="25"/>
      <c r="M254" s="24"/>
      <c r="N254" s="5"/>
      <c r="O254" s="5"/>
      <c r="P254" s="5"/>
      <c r="Q254" s="5"/>
      <c r="R254" s="5"/>
      <c r="S254" s="5"/>
      <c r="T254" s="25"/>
      <c r="U254" s="5"/>
      <c r="V254" s="5"/>
      <c r="W254" s="5"/>
      <c r="X254" s="5"/>
      <c r="Y254" s="5"/>
      <c r="Z254" s="5"/>
      <c r="AA254" s="5"/>
      <c r="AB254" s="5"/>
      <c r="AC254" s="24"/>
      <c r="AD254" s="5"/>
      <c r="AE254" s="5"/>
      <c r="AF254" s="5"/>
      <c r="AG254" s="5"/>
      <c r="AH254" s="5"/>
      <c r="AI254" s="5"/>
      <c r="AJ254" s="25"/>
      <c r="AK254">
        <v>572</v>
      </c>
      <c r="AL254">
        <v>1</v>
      </c>
      <c r="AO254" s="67"/>
      <c r="AP254">
        <v>18</v>
      </c>
      <c r="AQ254" s="76"/>
    </row>
    <row r="255" spans="1:43">
      <c r="A255" s="60" t="s">
        <v>342</v>
      </c>
      <c r="B255" s="60"/>
      <c r="C255" s="60"/>
      <c r="D255" s="60"/>
      <c r="E255" s="151">
        <f t="shared" ref="E255:AJ255" si="9">COUNT(E4:E254)</f>
        <v>19</v>
      </c>
      <c r="F255" s="152">
        <f t="shared" si="9"/>
        <v>30</v>
      </c>
      <c r="G255" s="152">
        <f t="shared" si="9"/>
        <v>23</v>
      </c>
      <c r="H255" s="152">
        <f t="shared" si="9"/>
        <v>16</v>
      </c>
      <c r="I255" s="152">
        <f t="shared" si="9"/>
        <v>24</v>
      </c>
      <c r="J255" s="152">
        <f t="shared" si="9"/>
        <v>13</v>
      </c>
      <c r="K255" s="152">
        <f t="shared" si="9"/>
        <v>8</v>
      </c>
      <c r="L255" s="153">
        <f t="shared" si="9"/>
        <v>3</v>
      </c>
      <c r="M255" s="151">
        <f t="shared" si="9"/>
        <v>2</v>
      </c>
      <c r="N255" s="152">
        <f t="shared" si="9"/>
        <v>9</v>
      </c>
      <c r="O255" s="152">
        <f t="shared" si="9"/>
        <v>13</v>
      </c>
      <c r="P255" s="152">
        <f t="shared" si="9"/>
        <v>28</v>
      </c>
      <c r="Q255" s="152">
        <f t="shared" si="9"/>
        <v>25</v>
      </c>
      <c r="R255" s="152">
        <f t="shared" si="9"/>
        <v>32</v>
      </c>
      <c r="S255" s="152">
        <f t="shared" si="9"/>
        <v>35</v>
      </c>
      <c r="T255" s="153">
        <f t="shared" si="9"/>
        <v>26</v>
      </c>
      <c r="U255" s="152">
        <f t="shared" si="9"/>
        <v>20</v>
      </c>
      <c r="V255" s="152">
        <f t="shared" si="9"/>
        <v>28</v>
      </c>
      <c r="W255" s="152">
        <f t="shared" si="9"/>
        <v>32</v>
      </c>
      <c r="X255" s="152">
        <f t="shared" si="9"/>
        <v>15</v>
      </c>
      <c r="Y255" s="152">
        <f t="shared" si="9"/>
        <v>11</v>
      </c>
      <c r="Z255" s="152">
        <f t="shared" si="9"/>
        <v>9</v>
      </c>
      <c r="AA255" s="152">
        <f t="shared" si="9"/>
        <v>2</v>
      </c>
      <c r="AB255" s="152">
        <f t="shared" si="9"/>
        <v>4</v>
      </c>
      <c r="AC255" s="151">
        <f t="shared" si="9"/>
        <v>1</v>
      </c>
      <c r="AD255" s="152">
        <f t="shared" si="9"/>
        <v>3</v>
      </c>
      <c r="AE255" s="152">
        <f t="shared" si="9"/>
        <v>8</v>
      </c>
      <c r="AF255" s="152">
        <f t="shared" si="9"/>
        <v>16</v>
      </c>
      <c r="AG255" s="152">
        <f t="shared" si="9"/>
        <v>20</v>
      </c>
      <c r="AH255" s="152">
        <f t="shared" si="9"/>
        <v>36</v>
      </c>
      <c r="AI255" s="152">
        <f t="shared" si="9"/>
        <v>31</v>
      </c>
      <c r="AJ255" s="153">
        <f t="shared" si="9"/>
        <v>18</v>
      </c>
      <c r="AK255" s="60" t="s">
        <v>342</v>
      </c>
      <c r="AL255" s="60">
        <f>COUNT(AL4:AL254)</f>
        <v>125</v>
      </c>
      <c r="AM255" s="60">
        <f>SUM(AM4:AM254)</f>
        <v>126</v>
      </c>
      <c r="AN255" s="60"/>
      <c r="AO255" s="60">
        <f>SUM(AO4:AO254)</f>
        <v>560</v>
      </c>
      <c r="AP255" s="60">
        <f>SUM(AP4:AP254)</f>
        <v>5188</v>
      </c>
      <c r="AQ255" s="156">
        <f t="shared" si="7"/>
        <v>0.1079414032382421</v>
      </c>
    </row>
    <row r="256" spans="1:43" s="67" customFormat="1">
      <c r="A256" s="8"/>
      <c r="B256" s="8"/>
      <c r="C256" s="8"/>
      <c r="D256" s="8"/>
      <c r="E256" s="439">
        <f>SUM(E255:G255)</f>
        <v>72</v>
      </c>
      <c r="F256" s="425"/>
      <c r="G256" s="425"/>
      <c r="H256" s="426">
        <f>SUM(H255:I255)</f>
        <v>40</v>
      </c>
      <c r="I256" s="426"/>
      <c r="J256" s="78">
        <f>J255</f>
        <v>13</v>
      </c>
      <c r="K256" s="427">
        <f>SUM(K255:L255)</f>
        <v>11</v>
      </c>
      <c r="L256" s="440"/>
      <c r="M256" s="441">
        <f>SUM(M255:N255)</f>
        <v>11</v>
      </c>
      <c r="N256" s="427"/>
      <c r="O256" s="78">
        <f>O255</f>
        <v>13</v>
      </c>
      <c r="P256" s="426">
        <f>SUM(P255:Q255)</f>
        <v>53</v>
      </c>
      <c r="Q256" s="426"/>
      <c r="R256" s="425">
        <f>SUM(R255:T255)</f>
        <v>93</v>
      </c>
      <c r="S256" s="425"/>
      <c r="T256" s="438"/>
      <c r="U256" s="425">
        <f>SUM(U255:W255)</f>
        <v>80</v>
      </c>
      <c r="V256" s="425"/>
      <c r="W256" s="425"/>
      <c r="X256" s="426">
        <f>SUM(X255:Y255)</f>
        <v>26</v>
      </c>
      <c r="Y256" s="426"/>
      <c r="Z256" s="78">
        <f>Z255</f>
        <v>9</v>
      </c>
      <c r="AA256" s="427">
        <f>SUM(AA255:AB255)</f>
        <v>6</v>
      </c>
      <c r="AB256" s="427"/>
      <c r="AC256" s="441">
        <f>SUM(AC255:AD255)</f>
        <v>4</v>
      </c>
      <c r="AD256" s="427"/>
      <c r="AE256" s="78">
        <f>AE255</f>
        <v>8</v>
      </c>
      <c r="AF256" s="426">
        <f>SUM(AF255:AG255)</f>
        <v>36</v>
      </c>
      <c r="AG256" s="426"/>
      <c r="AH256" s="425">
        <f>SUM(AH255:AJ255)</f>
        <v>85</v>
      </c>
      <c r="AI256" s="425"/>
      <c r="AJ256" s="438"/>
      <c r="AK256" s="8"/>
      <c r="AL256" s="8"/>
      <c r="AM256" s="8"/>
      <c r="AN256" s="8"/>
      <c r="AO256" s="8"/>
      <c r="AP256" s="8"/>
      <c r="AQ256" s="77"/>
    </row>
    <row r="257" spans="5:43">
      <c r="E257" s="434">
        <f>SUM(E255:L255)</f>
        <v>136</v>
      </c>
      <c r="F257" s="435"/>
      <c r="G257" s="435"/>
      <c r="H257" s="435"/>
      <c r="I257" s="435"/>
      <c r="J257" s="435"/>
      <c r="K257" s="435"/>
      <c r="L257" s="436"/>
      <c r="M257" s="434">
        <f>SUM(M255:T255)</f>
        <v>170</v>
      </c>
      <c r="N257" s="435"/>
      <c r="O257" s="435"/>
      <c r="P257" s="435"/>
      <c r="Q257" s="435"/>
      <c r="R257" s="435"/>
      <c r="S257" s="435"/>
      <c r="T257" s="436"/>
      <c r="U257" s="437">
        <f>SUM(U255:AB255)</f>
        <v>121</v>
      </c>
      <c r="V257" s="437"/>
      <c r="W257" s="437"/>
      <c r="X257" s="437"/>
      <c r="Y257" s="437"/>
      <c r="Z257" s="437"/>
      <c r="AA257" s="437"/>
      <c r="AB257" s="437"/>
      <c r="AC257" s="434">
        <f>SUM(AC255:AJ255)</f>
        <v>133</v>
      </c>
      <c r="AD257" s="435"/>
      <c r="AE257" s="435"/>
      <c r="AF257" s="435"/>
      <c r="AG257" s="435"/>
      <c r="AH257" s="435"/>
      <c r="AI257" s="435"/>
      <c r="AJ257" s="436"/>
      <c r="AN257" s="8"/>
      <c r="AO257" s="90"/>
      <c r="AP257" s="8"/>
      <c r="AQ257" s="77"/>
    </row>
    <row r="258" spans="5:43">
      <c r="E258" s="424">
        <f>SUM(E257,M257)</f>
        <v>306</v>
      </c>
      <c r="F258" s="424"/>
      <c r="G258" s="424"/>
      <c r="H258" s="424"/>
      <c r="I258" s="424"/>
      <c r="J258" s="424"/>
      <c r="K258" s="424"/>
      <c r="L258" s="424"/>
      <c r="M258" s="424"/>
      <c r="N258" s="424"/>
      <c r="O258" s="424"/>
      <c r="P258" s="424"/>
      <c r="Q258" s="424"/>
      <c r="R258" s="424"/>
      <c r="S258" s="424"/>
      <c r="T258" s="424"/>
      <c r="U258" s="424">
        <f>SUM(U257,AC257)</f>
        <v>254</v>
      </c>
      <c r="V258" s="424"/>
      <c r="W258" s="424"/>
      <c r="X258" s="424"/>
      <c r="Y258" s="424"/>
      <c r="Z258" s="424"/>
      <c r="AA258" s="424"/>
      <c r="AB258" s="424"/>
      <c r="AC258" s="424"/>
      <c r="AD258" s="424"/>
      <c r="AE258" s="424"/>
      <c r="AF258" s="424"/>
      <c r="AG258" s="424"/>
      <c r="AH258" s="424"/>
      <c r="AI258" s="424"/>
      <c r="AJ258" s="424"/>
    </row>
    <row r="259" spans="5:43">
      <c r="E259" s="424">
        <f>SUM(E258,U258)</f>
        <v>560</v>
      </c>
      <c r="F259" s="424"/>
      <c r="G259" s="424"/>
      <c r="H259" s="424"/>
      <c r="I259" s="424"/>
      <c r="J259" s="424"/>
      <c r="K259" s="424"/>
      <c r="L259" s="424"/>
      <c r="M259" s="424"/>
      <c r="N259" s="424"/>
      <c r="O259" s="424"/>
      <c r="P259" s="424"/>
      <c r="Q259" s="424"/>
      <c r="R259" s="424"/>
      <c r="S259" s="424"/>
      <c r="T259" s="424"/>
      <c r="U259" s="424"/>
      <c r="V259" s="424"/>
      <c r="W259" s="424"/>
      <c r="X259" s="424"/>
      <c r="Y259" s="424"/>
      <c r="Z259" s="424"/>
      <c r="AA259" s="424"/>
      <c r="AB259" s="424"/>
      <c r="AC259" s="424"/>
      <c r="AD259" s="424"/>
      <c r="AE259" s="424"/>
      <c r="AF259" s="424"/>
      <c r="AG259" s="424"/>
      <c r="AH259" s="424"/>
      <c r="AI259" s="424"/>
      <c r="AJ259" s="424"/>
    </row>
    <row r="260" spans="5:43">
      <c r="E260" s="425">
        <f>SUM(E255:G255,R255:W255,AH255:AJ255)</f>
        <v>330</v>
      </c>
      <c r="F260" s="425"/>
      <c r="G260" s="425"/>
      <c r="H260" s="426">
        <f>SUM(H255:I255,P255:Q255,X255:Y255,AF255:AG255)</f>
        <v>155</v>
      </c>
      <c r="I260" s="426"/>
      <c r="J260" s="78">
        <f>SUM(J255,O255,Z255,AE255)</f>
        <v>43</v>
      </c>
      <c r="K260" s="427">
        <f>SUM(K255:N255,AA255:AD255)</f>
        <v>32</v>
      </c>
      <c r="L260" s="427"/>
    </row>
    <row r="261" spans="5:43">
      <c r="F261" s="145"/>
      <c r="G261" s="145"/>
    </row>
    <row r="262" spans="5:43">
      <c r="F262" s="145"/>
      <c r="G262" s="145"/>
    </row>
    <row r="263" spans="5:43">
      <c r="F263" s="145"/>
      <c r="G263" s="145"/>
    </row>
    <row r="264" spans="5:43">
      <c r="F264" s="137"/>
      <c r="G264" s="137"/>
    </row>
    <row r="265" spans="5:43">
      <c r="F265" s="137"/>
      <c r="G265" s="137"/>
    </row>
  </sheetData>
  <mergeCells count="26">
    <mergeCell ref="K256:L256"/>
    <mergeCell ref="M256:N256"/>
    <mergeCell ref="AA256:AB256"/>
    <mergeCell ref="AC256:AD256"/>
    <mergeCell ref="E258:T258"/>
    <mergeCell ref="U258:AJ258"/>
    <mergeCell ref="AF256:AG256"/>
    <mergeCell ref="X256:Y256"/>
    <mergeCell ref="P256:Q256"/>
    <mergeCell ref="H256:I256"/>
    <mergeCell ref="E259:AJ259"/>
    <mergeCell ref="E260:G260"/>
    <mergeCell ref="H260:I260"/>
    <mergeCell ref="K260:L260"/>
    <mergeCell ref="M1:T1"/>
    <mergeCell ref="U1:AB1"/>
    <mergeCell ref="AC1:AJ1"/>
    <mergeCell ref="E1:L1"/>
    <mergeCell ref="E257:L257"/>
    <mergeCell ref="M257:T257"/>
    <mergeCell ref="U257:AB257"/>
    <mergeCell ref="AC257:AJ257"/>
    <mergeCell ref="AH256:AJ256"/>
    <mergeCell ref="U256:W256"/>
    <mergeCell ref="R256:T256"/>
    <mergeCell ref="E256:G256"/>
  </mergeCells>
  <conditionalFormatting sqref="B40:C40">
    <cfRule type="duplicateValues" dxfId="8" priority="1" stopIfTrue="1"/>
  </conditionalFormatting>
  <pageMargins left="0.7" right="0.7" top="0.75" bottom="0.75" header="0.3" footer="0.3"/>
  <pageSetup paperSize="9" orientation="portrait" r:id="rId1"/>
  <ignoredErrors>
    <ignoredError sqref="AO4:AO254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27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T12" sqref="AT12"/>
    </sheetView>
  </sheetViews>
  <sheetFormatPr defaultRowHeight="15"/>
  <cols>
    <col min="1" max="1" width="6.42578125" bestFit="1" customWidth="1"/>
    <col min="2" max="2" width="10.140625" bestFit="1" customWidth="1"/>
    <col min="3" max="4" width="5.28515625" bestFit="1" customWidth="1"/>
    <col min="5" max="5" width="6.42578125" bestFit="1" customWidth="1"/>
    <col min="6" max="7" width="3.28515625" style="20" bestFit="1" customWidth="1"/>
    <col min="8" max="8" width="5.42578125" style="20" bestFit="1" customWidth="1"/>
    <col min="9" max="10" width="3.28515625" style="20" bestFit="1" customWidth="1"/>
    <col min="11" max="11" width="4" style="20" bestFit="1" customWidth="1"/>
    <col min="12" max="14" width="3.28515625" style="20" bestFit="1" customWidth="1"/>
    <col min="15" max="16" width="4.28515625" style="20" bestFit="1" customWidth="1"/>
    <col min="17" max="24" width="3.28515625" style="20" bestFit="1" customWidth="1"/>
    <col min="25" max="34" width="4.28515625" style="20" bestFit="1" customWidth="1"/>
    <col min="35" max="37" width="3.28515625" style="20" bestFit="1" customWidth="1"/>
    <col min="38" max="38" width="6.42578125" bestFit="1" customWidth="1"/>
    <col min="39" max="39" width="7.85546875" customWidth="1"/>
    <col min="40" max="40" width="7.7109375" customWidth="1"/>
    <col min="41" max="41" width="5" bestFit="1" customWidth="1"/>
    <col min="44" max="44" width="12.28515625" customWidth="1"/>
  </cols>
  <sheetData>
    <row r="1" spans="1:44">
      <c r="F1" s="433" t="s">
        <v>336</v>
      </c>
      <c r="G1" s="433"/>
      <c r="H1" s="433"/>
      <c r="I1" s="433"/>
      <c r="J1" s="433"/>
      <c r="K1" s="433"/>
      <c r="L1" s="433"/>
      <c r="M1" s="445"/>
      <c r="N1" s="428" t="s">
        <v>337</v>
      </c>
      <c r="O1" s="428"/>
      <c r="P1" s="428"/>
      <c r="Q1" s="428"/>
      <c r="R1" s="428"/>
      <c r="S1" s="428"/>
      <c r="T1" s="428"/>
      <c r="U1" s="428"/>
      <c r="V1" s="430" t="s">
        <v>339</v>
      </c>
      <c r="W1" s="430"/>
      <c r="X1" s="430"/>
      <c r="Y1" s="430"/>
      <c r="Z1" s="430"/>
      <c r="AA1" s="430"/>
      <c r="AB1" s="430"/>
      <c r="AC1" s="430"/>
      <c r="AD1" s="432" t="s">
        <v>338</v>
      </c>
      <c r="AE1" s="432"/>
      <c r="AF1" s="432"/>
      <c r="AG1" s="432"/>
      <c r="AH1" s="432"/>
      <c r="AI1" s="432"/>
      <c r="AJ1" s="432"/>
      <c r="AK1" s="432"/>
    </row>
    <row r="2" spans="1:44">
      <c r="F2" s="27" t="s">
        <v>42</v>
      </c>
      <c r="G2" s="27" t="s">
        <v>42</v>
      </c>
      <c r="H2" s="27" t="s">
        <v>42</v>
      </c>
      <c r="I2" s="27" t="s">
        <v>340</v>
      </c>
      <c r="J2" s="27" t="s">
        <v>341</v>
      </c>
      <c r="K2" s="27" t="s">
        <v>334</v>
      </c>
      <c r="L2" s="27" t="s">
        <v>335</v>
      </c>
      <c r="M2" s="28" t="s">
        <v>335</v>
      </c>
      <c r="N2" s="33" t="s">
        <v>335</v>
      </c>
      <c r="O2" s="33" t="s">
        <v>335</v>
      </c>
      <c r="P2" s="33" t="s">
        <v>334</v>
      </c>
      <c r="Q2" s="33" t="s">
        <v>341</v>
      </c>
      <c r="R2" s="33" t="s">
        <v>341</v>
      </c>
      <c r="S2" s="33" t="s">
        <v>42</v>
      </c>
      <c r="T2" s="33" t="s">
        <v>42</v>
      </c>
      <c r="U2" s="33" t="s">
        <v>42</v>
      </c>
      <c r="V2" s="39" t="s">
        <v>42</v>
      </c>
      <c r="W2" s="39" t="s">
        <v>42</v>
      </c>
      <c r="X2" s="39" t="s">
        <v>42</v>
      </c>
      <c r="Y2" s="39" t="s">
        <v>341</v>
      </c>
      <c r="Z2" s="39" t="s">
        <v>341</v>
      </c>
      <c r="AA2" s="39" t="s">
        <v>334</v>
      </c>
      <c r="AB2" s="39" t="s">
        <v>335</v>
      </c>
      <c r="AC2" s="39" t="s">
        <v>335</v>
      </c>
      <c r="AD2" s="45" t="s">
        <v>335</v>
      </c>
      <c r="AE2" s="45" t="s">
        <v>335</v>
      </c>
      <c r="AF2" s="45" t="s">
        <v>334</v>
      </c>
      <c r="AG2" s="45" t="s">
        <v>341</v>
      </c>
      <c r="AH2" s="45" t="s">
        <v>341</v>
      </c>
      <c r="AI2" s="45" t="s">
        <v>42</v>
      </c>
      <c r="AJ2" s="45" t="s">
        <v>42</v>
      </c>
      <c r="AK2" s="45" t="s">
        <v>42</v>
      </c>
    </row>
    <row r="3" spans="1:44" ht="30">
      <c r="B3" t="s">
        <v>1</v>
      </c>
      <c r="C3" t="s">
        <v>363</v>
      </c>
      <c r="D3" t="s">
        <v>2</v>
      </c>
      <c r="F3" s="27">
        <v>8</v>
      </c>
      <c r="G3" s="27">
        <v>7</v>
      </c>
      <c r="H3" s="27">
        <v>6</v>
      </c>
      <c r="I3" s="27">
        <v>5</v>
      </c>
      <c r="J3" s="27">
        <v>4</v>
      </c>
      <c r="K3" s="27">
        <v>3</v>
      </c>
      <c r="L3" s="27">
        <v>2</v>
      </c>
      <c r="M3" s="28">
        <v>1</v>
      </c>
      <c r="N3" s="33">
        <v>1</v>
      </c>
      <c r="O3" s="33">
        <v>2</v>
      </c>
      <c r="P3" s="33">
        <v>3</v>
      </c>
      <c r="Q3" s="33">
        <v>4</v>
      </c>
      <c r="R3" s="33">
        <v>5</v>
      </c>
      <c r="S3" s="33">
        <v>6</v>
      </c>
      <c r="T3" s="33">
        <v>7</v>
      </c>
      <c r="U3" s="33">
        <v>8</v>
      </c>
      <c r="V3" s="39">
        <v>8</v>
      </c>
      <c r="W3" s="39">
        <v>7</v>
      </c>
      <c r="X3" s="39">
        <v>6</v>
      </c>
      <c r="Y3" s="39">
        <v>5</v>
      </c>
      <c r="Z3" s="39">
        <v>4</v>
      </c>
      <c r="AA3" s="39">
        <v>3</v>
      </c>
      <c r="AB3" s="39">
        <v>2</v>
      </c>
      <c r="AC3" s="39">
        <v>1</v>
      </c>
      <c r="AD3" s="45">
        <v>1</v>
      </c>
      <c r="AE3" s="45">
        <v>2</v>
      </c>
      <c r="AF3" s="45">
        <v>3</v>
      </c>
      <c r="AG3" s="45">
        <v>4</v>
      </c>
      <c r="AH3" s="45">
        <v>5</v>
      </c>
      <c r="AI3" s="45">
        <v>6</v>
      </c>
      <c r="AJ3" s="45">
        <v>7</v>
      </c>
      <c r="AK3" s="45">
        <v>8</v>
      </c>
      <c r="AL3" t="s">
        <v>0</v>
      </c>
      <c r="AM3" t="s">
        <v>343</v>
      </c>
      <c r="AN3" t="s">
        <v>7</v>
      </c>
      <c r="AO3" t="s">
        <v>367</v>
      </c>
      <c r="AP3" t="s">
        <v>370</v>
      </c>
      <c r="AQ3" s="100" t="s">
        <v>379</v>
      </c>
      <c r="AR3" s="100" t="s">
        <v>380</v>
      </c>
    </row>
    <row r="4" spans="1:44">
      <c r="A4" s="8">
        <v>1</v>
      </c>
      <c r="B4" s="8" t="s">
        <v>5</v>
      </c>
      <c r="C4" s="8" t="s">
        <v>42</v>
      </c>
      <c r="D4" s="8" t="s">
        <v>6</v>
      </c>
      <c r="E4" s="8">
        <v>1</v>
      </c>
      <c r="F4" s="373">
        <v>1</v>
      </c>
      <c r="G4" s="374">
        <v>1</v>
      </c>
      <c r="H4" s="374"/>
      <c r="I4" s="374">
        <v>1</v>
      </c>
      <c r="J4" s="374"/>
      <c r="K4" s="374">
        <v>1</v>
      </c>
      <c r="L4" s="374"/>
      <c r="M4" s="375">
        <v>1</v>
      </c>
      <c r="N4" s="373">
        <v>1</v>
      </c>
      <c r="O4" s="374">
        <v>1</v>
      </c>
      <c r="P4" s="374">
        <v>1</v>
      </c>
      <c r="Q4" s="374">
        <v>1</v>
      </c>
      <c r="R4" s="374">
        <v>1</v>
      </c>
      <c r="S4" s="374">
        <v>1</v>
      </c>
      <c r="T4" s="374">
        <v>1</v>
      </c>
      <c r="U4" s="375">
        <v>1</v>
      </c>
      <c r="V4" s="373">
        <v>1</v>
      </c>
      <c r="W4" s="374"/>
      <c r="X4" s="374"/>
      <c r="Y4" s="374"/>
      <c r="Z4" s="374">
        <v>1</v>
      </c>
      <c r="AA4" s="374">
        <v>1</v>
      </c>
      <c r="AB4" s="374">
        <v>1</v>
      </c>
      <c r="AC4" s="375"/>
      <c r="AD4" s="373">
        <v>1</v>
      </c>
      <c r="AE4" s="374">
        <v>1</v>
      </c>
      <c r="AF4" s="374">
        <v>1</v>
      </c>
      <c r="AG4" s="374">
        <v>1</v>
      </c>
      <c r="AH4" s="374">
        <v>1</v>
      </c>
      <c r="AI4" s="374"/>
      <c r="AJ4" s="374">
        <v>1</v>
      </c>
      <c r="AK4" s="375">
        <v>1</v>
      </c>
      <c r="AL4" s="5">
        <v>1</v>
      </c>
      <c r="AM4" s="8"/>
      <c r="AN4" s="8">
        <v>1</v>
      </c>
      <c r="AO4" s="8">
        <v>2</v>
      </c>
      <c r="AP4" s="8">
        <f>SUM(F4:AK4)</f>
        <v>24</v>
      </c>
      <c r="AQ4">
        <v>26</v>
      </c>
      <c r="AR4" s="76">
        <f>AP4/AQ4</f>
        <v>0.92307692307692313</v>
      </c>
    </row>
    <row r="5" spans="1:44">
      <c r="A5" s="8">
        <v>30</v>
      </c>
      <c r="B5" s="8" t="s">
        <v>41</v>
      </c>
      <c r="C5" s="8" t="s">
        <v>42</v>
      </c>
      <c r="D5" s="8" t="s">
        <v>42</v>
      </c>
      <c r="E5" s="8">
        <v>30</v>
      </c>
      <c r="F5" s="24"/>
      <c r="G5" s="5"/>
      <c r="H5" s="5"/>
      <c r="I5" s="5"/>
      <c r="J5" s="5"/>
      <c r="K5" s="5">
        <v>1</v>
      </c>
      <c r="L5" s="5">
        <v>1</v>
      </c>
      <c r="M5" s="25"/>
      <c r="N5" s="24">
        <v>1</v>
      </c>
      <c r="O5" s="5"/>
      <c r="P5" s="5"/>
      <c r="Q5" s="5"/>
      <c r="R5" s="5"/>
      <c r="S5" s="5"/>
      <c r="T5" s="5"/>
      <c r="U5" s="25"/>
      <c r="V5" s="24"/>
      <c r="W5" s="5">
        <v>1</v>
      </c>
      <c r="X5" s="5">
        <v>1</v>
      </c>
      <c r="Y5" s="5"/>
      <c r="Z5" s="5">
        <v>1</v>
      </c>
      <c r="AA5" s="5"/>
      <c r="AB5" s="5"/>
      <c r="AC5" s="25">
        <v>1</v>
      </c>
      <c r="AD5" s="24"/>
      <c r="AE5" s="5">
        <v>1</v>
      </c>
      <c r="AF5" s="5"/>
      <c r="AG5" s="5">
        <v>1</v>
      </c>
      <c r="AH5" s="5">
        <v>1</v>
      </c>
      <c r="AI5" s="5">
        <v>1</v>
      </c>
      <c r="AJ5" s="5"/>
      <c r="AK5" s="25">
        <v>1</v>
      </c>
      <c r="AL5" s="5">
        <v>30</v>
      </c>
      <c r="AM5" s="8"/>
      <c r="AN5" s="8">
        <v>1</v>
      </c>
      <c r="AO5" s="8">
        <v>1</v>
      </c>
      <c r="AP5" s="8">
        <f t="shared" ref="AP5:AP68" si="0">SUM(F5:AK5)</f>
        <v>12</v>
      </c>
      <c r="AQ5">
        <v>26</v>
      </c>
      <c r="AR5" s="76">
        <f t="shared" ref="AR5:AR68" si="1">AP5/AQ5</f>
        <v>0.46153846153846156</v>
      </c>
    </row>
    <row r="6" spans="1:44">
      <c r="A6" s="8">
        <v>34</v>
      </c>
      <c r="B6" s="8" t="s">
        <v>44</v>
      </c>
      <c r="C6" s="8" t="s">
        <v>349</v>
      </c>
      <c r="D6" s="8" t="s">
        <v>6</v>
      </c>
      <c r="E6" s="8">
        <v>34</v>
      </c>
      <c r="F6" s="24"/>
      <c r="G6" s="5"/>
      <c r="H6" s="5"/>
      <c r="I6" s="5"/>
      <c r="J6" s="5"/>
      <c r="K6" s="5"/>
      <c r="L6" s="5"/>
      <c r="M6" s="25"/>
      <c r="N6" s="24"/>
      <c r="O6" s="5"/>
      <c r="P6" s="5"/>
      <c r="Q6" s="5"/>
      <c r="R6" s="5"/>
      <c r="S6" s="5"/>
      <c r="T6" s="5"/>
      <c r="U6" s="25"/>
      <c r="V6" s="24"/>
      <c r="W6" s="5"/>
      <c r="X6" s="5"/>
      <c r="Y6" s="5"/>
      <c r="Z6" s="5"/>
      <c r="AA6" s="5"/>
      <c r="AB6" s="5"/>
      <c r="AC6" s="25"/>
      <c r="AD6" s="24"/>
      <c r="AE6" s="5"/>
      <c r="AF6" s="5"/>
      <c r="AG6" s="5"/>
      <c r="AH6" s="5"/>
      <c r="AI6" s="5"/>
      <c r="AJ6" s="5"/>
      <c r="AK6" s="25"/>
      <c r="AL6" s="5">
        <v>34</v>
      </c>
      <c r="AM6" s="8">
        <v>1</v>
      </c>
      <c r="AN6" s="8"/>
      <c r="AO6" s="8"/>
      <c r="AP6" s="8">
        <f t="shared" si="0"/>
        <v>0</v>
      </c>
      <c r="AQ6">
        <v>2</v>
      </c>
      <c r="AR6" s="76">
        <f t="shared" si="1"/>
        <v>0</v>
      </c>
    </row>
    <row r="7" spans="1:44">
      <c r="A7" s="8">
        <v>38</v>
      </c>
      <c r="B7" s="8" t="s">
        <v>48</v>
      </c>
      <c r="C7" s="8" t="s">
        <v>357</v>
      </c>
      <c r="D7" s="8"/>
      <c r="E7" s="8">
        <v>38</v>
      </c>
      <c r="F7" s="24"/>
      <c r="G7" s="5"/>
      <c r="H7" s="5"/>
      <c r="I7" s="5"/>
      <c r="J7" s="5"/>
      <c r="K7" s="5"/>
      <c r="L7" s="5"/>
      <c r="M7" s="25"/>
      <c r="N7" s="24"/>
      <c r="O7" s="5"/>
      <c r="P7" s="5"/>
      <c r="Q7" s="5"/>
      <c r="R7" s="5"/>
      <c r="S7" s="5"/>
      <c r="T7" s="5"/>
      <c r="U7" s="25"/>
      <c r="V7" s="24"/>
      <c r="W7" s="5"/>
      <c r="X7" s="5">
        <v>1</v>
      </c>
      <c r="Y7" s="5">
        <v>1</v>
      </c>
      <c r="Z7" s="5"/>
      <c r="AA7" s="5"/>
      <c r="AB7" s="5">
        <v>1</v>
      </c>
      <c r="AC7" s="25">
        <v>1</v>
      </c>
      <c r="AD7" s="24">
        <v>1</v>
      </c>
      <c r="AE7" s="5">
        <v>1</v>
      </c>
      <c r="AF7" s="5"/>
      <c r="AG7" s="5">
        <v>1</v>
      </c>
      <c r="AH7" s="5">
        <v>1</v>
      </c>
      <c r="AI7" s="5"/>
      <c r="AJ7" s="5"/>
      <c r="AK7" s="25"/>
      <c r="AL7" s="5">
        <v>38</v>
      </c>
      <c r="AM7" s="8"/>
      <c r="AN7" s="8">
        <v>1</v>
      </c>
      <c r="AO7" s="8">
        <v>1</v>
      </c>
      <c r="AP7" s="8">
        <f t="shared" si="0"/>
        <v>8</v>
      </c>
      <c r="AQ7">
        <v>10</v>
      </c>
      <c r="AR7" s="76">
        <f t="shared" si="1"/>
        <v>0.8</v>
      </c>
    </row>
    <row r="8" spans="1:44">
      <c r="A8" s="8">
        <v>41</v>
      </c>
      <c r="B8" s="8" t="s">
        <v>5</v>
      </c>
      <c r="C8" s="8" t="s">
        <v>42</v>
      </c>
      <c r="D8" s="8" t="s">
        <v>6</v>
      </c>
      <c r="E8" s="8">
        <v>41</v>
      </c>
      <c r="F8" s="24"/>
      <c r="G8" s="5"/>
      <c r="H8" s="5"/>
      <c r="I8" s="5"/>
      <c r="J8" s="5"/>
      <c r="K8" s="5"/>
      <c r="L8" s="5"/>
      <c r="M8" s="25">
        <v>1</v>
      </c>
      <c r="N8" s="24"/>
      <c r="O8" s="5">
        <v>1</v>
      </c>
      <c r="P8" s="5">
        <v>1</v>
      </c>
      <c r="Q8" s="5"/>
      <c r="R8" s="5"/>
      <c r="S8" s="5"/>
      <c r="T8" s="5">
        <v>1</v>
      </c>
      <c r="U8" s="25">
        <v>1</v>
      </c>
      <c r="V8" s="24"/>
      <c r="W8" s="5"/>
      <c r="X8" s="5"/>
      <c r="Y8" s="5"/>
      <c r="Z8" s="5">
        <v>1</v>
      </c>
      <c r="AA8" s="5">
        <v>1</v>
      </c>
      <c r="AB8" s="5">
        <v>1</v>
      </c>
      <c r="AC8" s="25">
        <v>1</v>
      </c>
      <c r="AD8" s="24">
        <v>1</v>
      </c>
      <c r="AE8" s="5">
        <v>1</v>
      </c>
      <c r="AF8" s="5">
        <v>1</v>
      </c>
      <c r="AG8" s="5">
        <v>1</v>
      </c>
      <c r="AH8" s="5">
        <v>1</v>
      </c>
      <c r="AI8" s="5"/>
      <c r="AJ8" s="5"/>
      <c r="AK8" s="25"/>
      <c r="AL8" s="5">
        <v>41</v>
      </c>
      <c r="AM8" s="8"/>
      <c r="AN8" s="8">
        <v>1</v>
      </c>
      <c r="AO8" s="8">
        <v>1</v>
      </c>
      <c r="AP8" s="8">
        <f t="shared" si="0"/>
        <v>14</v>
      </c>
      <c r="AQ8">
        <v>25</v>
      </c>
      <c r="AR8" s="76">
        <f t="shared" si="1"/>
        <v>0.56000000000000005</v>
      </c>
    </row>
    <row r="9" spans="1:44">
      <c r="A9" s="8">
        <v>42</v>
      </c>
      <c r="B9" s="8" t="s">
        <v>53</v>
      </c>
      <c r="C9" s="8" t="s">
        <v>346</v>
      </c>
      <c r="D9" s="8"/>
      <c r="E9" s="8">
        <v>42</v>
      </c>
      <c r="F9" s="24"/>
      <c r="G9" s="5"/>
      <c r="H9" s="5"/>
      <c r="I9" s="5">
        <v>1</v>
      </c>
      <c r="J9" s="5"/>
      <c r="K9" s="5"/>
      <c r="L9" s="5"/>
      <c r="M9" s="25"/>
      <c r="N9" s="24"/>
      <c r="O9" s="5">
        <v>1</v>
      </c>
      <c r="P9" s="5"/>
      <c r="Q9" s="5">
        <v>1</v>
      </c>
      <c r="R9" s="5">
        <v>1</v>
      </c>
      <c r="S9" s="5"/>
      <c r="T9" s="5"/>
      <c r="U9" s="25"/>
      <c r="V9" s="24"/>
      <c r="W9" s="5"/>
      <c r="X9" s="5"/>
      <c r="Y9" s="5">
        <v>1</v>
      </c>
      <c r="Z9" s="5">
        <v>1</v>
      </c>
      <c r="AA9" s="5">
        <v>1</v>
      </c>
      <c r="AB9" s="5">
        <v>1</v>
      </c>
      <c r="AC9" s="25">
        <v>1</v>
      </c>
      <c r="AD9" s="24">
        <v>1</v>
      </c>
      <c r="AE9" s="5">
        <v>1</v>
      </c>
      <c r="AF9" s="5">
        <v>1</v>
      </c>
      <c r="AG9" s="5">
        <v>1</v>
      </c>
      <c r="AH9" s="5">
        <v>1</v>
      </c>
      <c r="AI9" s="5"/>
      <c r="AJ9" s="5"/>
      <c r="AK9" s="25"/>
      <c r="AL9" s="5">
        <v>42</v>
      </c>
      <c r="AM9" s="8"/>
      <c r="AN9" s="8">
        <v>1</v>
      </c>
      <c r="AO9" s="8">
        <v>1</v>
      </c>
      <c r="AP9" s="8">
        <f t="shared" si="0"/>
        <v>14</v>
      </c>
      <c r="AQ9">
        <v>17</v>
      </c>
      <c r="AR9" s="76">
        <f t="shared" si="1"/>
        <v>0.82352941176470584</v>
      </c>
    </row>
    <row r="10" spans="1:44">
      <c r="A10" s="8">
        <v>45</v>
      </c>
      <c r="B10" s="8" t="s">
        <v>55</v>
      </c>
      <c r="C10" s="8" t="s">
        <v>346</v>
      </c>
      <c r="D10" s="8"/>
      <c r="E10" s="8">
        <v>45</v>
      </c>
      <c r="F10" s="24"/>
      <c r="G10" s="5"/>
      <c r="H10" s="5"/>
      <c r="I10" s="5"/>
      <c r="J10" s="5"/>
      <c r="K10" s="5"/>
      <c r="L10" s="5"/>
      <c r="M10" s="25"/>
      <c r="N10" s="24"/>
      <c r="O10" s="5"/>
      <c r="P10" s="5"/>
      <c r="Q10" s="5"/>
      <c r="R10" s="5"/>
      <c r="S10" s="5"/>
      <c r="T10" s="5"/>
      <c r="U10" s="25"/>
      <c r="V10" s="24"/>
      <c r="W10" s="5"/>
      <c r="X10" s="5"/>
      <c r="Y10" s="5"/>
      <c r="Z10" s="5"/>
      <c r="AA10" s="5"/>
      <c r="AB10" s="5"/>
      <c r="AC10" s="25"/>
      <c r="AD10" s="24"/>
      <c r="AE10" s="5"/>
      <c r="AF10" s="5"/>
      <c r="AG10" s="5"/>
      <c r="AH10" s="5"/>
      <c r="AI10" s="5"/>
      <c r="AJ10" s="5"/>
      <c r="AK10" s="25"/>
      <c r="AL10" s="5">
        <v>45</v>
      </c>
      <c r="AM10" s="8">
        <v>1</v>
      </c>
      <c r="AN10" s="8"/>
      <c r="AO10" s="8"/>
      <c r="AP10" s="8">
        <f t="shared" si="0"/>
        <v>0</v>
      </c>
      <c r="AQ10">
        <v>9</v>
      </c>
      <c r="AR10" s="76">
        <f t="shared" si="1"/>
        <v>0</v>
      </c>
    </row>
    <row r="11" spans="1:44">
      <c r="A11" s="8">
        <v>46</v>
      </c>
      <c r="B11" s="55" t="s">
        <v>56</v>
      </c>
      <c r="C11" s="8" t="s">
        <v>360</v>
      </c>
      <c r="D11" s="8"/>
      <c r="E11" s="8">
        <v>46</v>
      </c>
      <c r="F11" s="24"/>
      <c r="G11" s="5"/>
      <c r="H11" s="5"/>
      <c r="I11" s="5"/>
      <c r="J11" s="5"/>
      <c r="K11" s="5"/>
      <c r="L11" s="5"/>
      <c r="M11" s="25"/>
      <c r="N11" s="24"/>
      <c r="O11" s="5"/>
      <c r="P11" s="5"/>
      <c r="Q11" s="5"/>
      <c r="R11" s="5"/>
      <c r="S11" s="5"/>
      <c r="T11" s="5"/>
      <c r="U11" s="25"/>
      <c r="V11" s="24"/>
      <c r="W11" s="5"/>
      <c r="X11" s="5"/>
      <c r="Y11" s="5"/>
      <c r="Z11" s="5"/>
      <c r="AA11" s="5"/>
      <c r="AB11" s="5"/>
      <c r="AC11" s="25"/>
      <c r="AD11" s="24"/>
      <c r="AE11" s="5"/>
      <c r="AF11" s="5"/>
      <c r="AG11" s="5"/>
      <c r="AH11" s="5"/>
      <c r="AI11" s="5"/>
      <c r="AJ11" s="5"/>
      <c r="AK11" s="25"/>
      <c r="AL11" s="5">
        <v>46</v>
      </c>
      <c r="AM11" s="8">
        <v>1</v>
      </c>
      <c r="AN11" s="8"/>
      <c r="AO11" s="8"/>
      <c r="AP11" s="8">
        <f t="shared" si="0"/>
        <v>0</v>
      </c>
      <c r="AQ11">
        <v>6</v>
      </c>
      <c r="AR11" s="76">
        <f t="shared" si="1"/>
        <v>0</v>
      </c>
    </row>
    <row r="12" spans="1:44">
      <c r="A12" s="8">
        <v>48</v>
      </c>
      <c r="B12" s="8" t="s">
        <v>57</v>
      </c>
      <c r="C12" s="8" t="s">
        <v>12</v>
      </c>
      <c r="D12" s="8" t="s">
        <v>6</v>
      </c>
      <c r="E12" s="8">
        <v>48</v>
      </c>
      <c r="F12" s="24"/>
      <c r="G12" s="5"/>
      <c r="H12" s="5"/>
      <c r="I12" s="5"/>
      <c r="J12" s="5"/>
      <c r="K12" s="5"/>
      <c r="L12" s="5"/>
      <c r="M12" s="25"/>
      <c r="N12" s="24"/>
      <c r="O12" s="5"/>
      <c r="P12" s="5"/>
      <c r="Q12" s="5"/>
      <c r="R12" s="5"/>
      <c r="S12" s="5"/>
      <c r="T12" s="5"/>
      <c r="U12" s="25"/>
      <c r="V12" s="24"/>
      <c r="W12" s="5"/>
      <c r="X12" s="5"/>
      <c r="Y12" s="5"/>
      <c r="Z12" s="5"/>
      <c r="AA12" s="5"/>
      <c r="AB12" s="5"/>
      <c r="AC12" s="25"/>
      <c r="AD12" s="24"/>
      <c r="AE12" s="5"/>
      <c r="AF12" s="5"/>
      <c r="AG12" s="5"/>
      <c r="AH12" s="5"/>
      <c r="AI12" s="5"/>
      <c r="AJ12" s="5"/>
      <c r="AK12" s="25"/>
      <c r="AL12" s="5">
        <v>48</v>
      </c>
      <c r="AM12" s="8">
        <v>1</v>
      </c>
      <c r="AN12" s="8"/>
      <c r="AO12" s="8"/>
      <c r="AP12" s="8">
        <f t="shared" si="0"/>
        <v>0</v>
      </c>
      <c r="AQ12">
        <v>2</v>
      </c>
      <c r="AR12" s="76">
        <f t="shared" si="1"/>
        <v>0</v>
      </c>
    </row>
    <row r="13" spans="1:44">
      <c r="A13" s="8">
        <v>49</v>
      </c>
      <c r="B13" s="8" t="s">
        <v>58</v>
      </c>
      <c r="C13" s="8" t="s">
        <v>358</v>
      </c>
      <c r="D13" s="8" t="s">
        <v>6</v>
      </c>
      <c r="E13" s="8">
        <v>49</v>
      </c>
      <c r="F13" s="24"/>
      <c r="G13" s="5"/>
      <c r="H13" s="5">
        <v>1</v>
      </c>
      <c r="I13" s="5">
        <v>1</v>
      </c>
      <c r="J13" s="5">
        <v>1</v>
      </c>
      <c r="K13" s="5">
        <v>1</v>
      </c>
      <c r="L13" s="5"/>
      <c r="M13" s="25"/>
      <c r="N13" s="24"/>
      <c r="O13" s="5">
        <v>1</v>
      </c>
      <c r="P13" s="5">
        <v>1</v>
      </c>
      <c r="Q13" s="5">
        <v>1</v>
      </c>
      <c r="R13" s="5">
        <v>1</v>
      </c>
      <c r="S13" s="5">
        <v>1</v>
      </c>
      <c r="T13" s="5">
        <v>1</v>
      </c>
      <c r="U13" s="25"/>
      <c r="V13" s="24"/>
      <c r="W13" s="5"/>
      <c r="X13" s="5">
        <v>1</v>
      </c>
      <c r="Y13" s="5"/>
      <c r="Z13" s="5"/>
      <c r="AA13" s="5"/>
      <c r="AB13" s="5">
        <v>1</v>
      </c>
      <c r="AC13" s="25">
        <v>1</v>
      </c>
      <c r="AD13" s="24">
        <v>1</v>
      </c>
      <c r="AE13" s="5">
        <v>1</v>
      </c>
      <c r="AF13" s="5"/>
      <c r="AG13" s="5">
        <v>1</v>
      </c>
      <c r="AH13" s="5">
        <v>1</v>
      </c>
      <c r="AI13" s="5">
        <v>1</v>
      </c>
      <c r="AJ13" s="5">
        <v>1</v>
      </c>
      <c r="AK13" s="25"/>
      <c r="AL13" s="5">
        <v>49</v>
      </c>
      <c r="AM13" s="8"/>
      <c r="AN13" s="8">
        <v>1</v>
      </c>
      <c r="AO13" s="8">
        <v>1</v>
      </c>
      <c r="AP13" s="8">
        <f t="shared" si="0"/>
        <v>19</v>
      </c>
      <c r="AQ13">
        <v>29</v>
      </c>
      <c r="AR13" s="76">
        <f t="shared" si="1"/>
        <v>0.65517241379310343</v>
      </c>
    </row>
    <row r="14" spans="1:44">
      <c r="A14" s="8">
        <v>52</v>
      </c>
      <c r="B14" s="8" t="s">
        <v>41</v>
      </c>
      <c r="C14" s="8" t="s">
        <v>42</v>
      </c>
      <c r="D14" s="8" t="s">
        <v>6</v>
      </c>
      <c r="E14" s="8">
        <v>52</v>
      </c>
      <c r="F14" s="24">
        <v>1</v>
      </c>
      <c r="G14" s="5">
        <v>1</v>
      </c>
      <c r="H14" s="5">
        <v>1</v>
      </c>
      <c r="I14" s="5"/>
      <c r="J14" s="5"/>
      <c r="K14" s="5"/>
      <c r="L14" s="5"/>
      <c r="M14" s="25"/>
      <c r="N14" s="24"/>
      <c r="O14" s="5"/>
      <c r="P14" s="5"/>
      <c r="Q14" s="5"/>
      <c r="R14" s="5"/>
      <c r="S14" s="5"/>
      <c r="T14" s="5">
        <v>1</v>
      </c>
      <c r="U14" s="25">
        <v>1</v>
      </c>
      <c r="V14" s="24"/>
      <c r="W14" s="5"/>
      <c r="X14" s="5"/>
      <c r="Y14" s="5">
        <v>1</v>
      </c>
      <c r="Z14" s="5">
        <v>1</v>
      </c>
      <c r="AA14" s="5"/>
      <c r="AB14" s="5">
        <v>1</v>
      </c>
      <c r="AC14" s="25">
        <v>1</v>
      </c>
      <c r="AD14" s="24">
        <v>1</v>
      </c>
      <c r="AE14" s="5">
        <v>1</v>
      </c>
      <c r="AF14" s="5">
        <v>1</v>
      </c>
      <c r="AG14" s="5">
        <v>1</v>
      </c>
      <c r="AH14" s="5">
        <v>1</v>
      </c>
      <c r="AI14" s="5">
        <v>1</v>
      </c>
      <c r="AJ14" s="5"/>
      <c r="AK14" s="25">
        <v>1</v>
      </c>
      <c r="AL14" s="5">
        <v>52</v>
      </c>
      <c r="AM14" s="8"/>
      <c r="AN14" s="8">
        <v>1</v>
      </c>
      <c r="AO14" s="8">
        <v>1</v>
      </c>
      <c r="AP14" s="8">
        <f t="shared" si="0"/>
        <v>16</v>
      </c>
      <c r="AQ14">
        <v>29</v>
      </c>
      <c r="AR14" s="76">
        <f t="shared" si="1"/>
        <v>0.55172413793103448</v>
      </c>
    </row>
    <row r="15" spans="1:44">
      <c r="A15" s="8">
        <v>53</v>
      </c>
      <c r="B15" s="8" t="s">
        <v>62</v>
      </c>
      <c r="C15" s="8" t="s">
        <v>42</v>
      </c>
      <c r="D15" s="8" t="s">
        <v>42</v>
      </c>
      <c r="E15" s="8">
        <v>53</v>
      </c>
      <c r="F15" s="24">
        <v>1</v>
      </c>
      <c r="G15" s="5">
        <v>1</v>
      </c>
      <c r="H15" s="5">
        <v>1</v>
      </c>
      <c r="I15" s="5">
        <v>1</v>
      </c>
      <c r="J15" s="5">
        <v>1</v>
      </c>
      <c r="K15" s="5">
        <v>1</v>
      </c>
      <c r="L15" s="5">
        <v>1</v>
      </c>
      <c r="M15" s="25">
        <v>1</v>
      </c>
      <c r="N15" s="24">
        <v>1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25">
        <v>1</v>
      </c>
      <c r="V15" s="24">
        <v>1</v>
      </c>
      <c r="W15" s="5">
        <v>1</v>
      </c>
      <c r="X15" s="5"/>
      <c r="Y15" s="5"/>
      <c r="Z15" s="5">
        <v>1</v>
      </c>
      <c r="AA15" s="5">
        <v>1</v>
      </c>
      <c r="AB15" s="5">
        <v>1</v>
      </c>
      <c r="AC15" s="25">
        <v>1</v>
      </c>
      <c r="AD15" s="24">
        <v>1</v>
      </c>
      <c r="AE15" s="5">
        <v>1</v>
      </c>
      <c r="AF15" s="5">
        <v>1</v>
      </c>
      <c r="AG15" s="5"/>
      <c r="AH15" s="5"/>
      <c r="AI15" s="5"/>
      <c r="AJ15" s="5">
        <v>1</v>
      </c>
      <c r="AK15" s="25">
        <v>1</v>
      </c>
      <c r="AL15" s="5">
        <v>53</v>
      </c>
      <c r="AM15" s="8"/>
      <c r="AN15" s="8">
        <v>1</v>
      </c>
      <c r="AO15" s="8">
        <v>2</v>
      </c>
      <c r="AP15" s="8">
        <f t="shared" si="0"/>
        <v>27</v>
      </c>
      <c r="AQ15">
        <v>31</v>
      </c>
      <c r="AR15" s="76">
        <f t="shared" si="1"/>
        <v>0.87096774193548387</v>
      </c>
    </row>
    <row r="16" spans="1:44">
      <c r="A16" s="8">
        <v>54</v>
      </c>
      <c r="B16" s="8" t="s">
        <v>63</v>
      </c>
      <c r="C16" s="8" t="s">
        <v>346</v>
      </c>
      <c r="D16" s="8"/>
      <c r="E16" s="8">
        <v>54</v>
      </c>
      <c r="F16" s="24"/>
      <c r="G16" s="5"/>
      <c r="H16" s="5"/>
      <c r="I16" s="5"/>
      <c r="J16" s="5"/>
      <c r="K16" s="5"/>
      <c r="L16" s="5"/>
      <c r="M16" s="25"/>
      <c r="N16" s="24"/>
      <c r="O16" s="5"/>
      <c r="P16" s="5"/>
      <c r="Q16" s="5"/>
      <c r="R16" s="5"/>
      <c r="S16" s="5"/>
      <c r="T16" s="5"/>
      <c r="U16" s="25"/>
      <c r="V16" s="24"/>
      <c r="W16" s="5"/>
      <c r="X16" s="5"/>
      <c r="Y16" s="5"/>
      <c r="Z16" s="5"/>
      <c r="AA16" s="5"/>
      <c r="AB16" s="5"/>
      <c r="AC16" s="25"/>
      <c r="AD16" s="24"/>
      <c r="AE16" s="5"/>
      <c r="AF16" s="5"/>
      <c r="AG16" s="5"/>
      <c r="AH16" s="5"/>
      <c r="AI16" s="5"/>
      <c r="AJ16" s="5"/>
      <c r="AK16" s="25"/>
      <c r="AL16" s="5">
        <v>54</v>
      </c>
      <c r="AM16" s="8">
        <v>1</v>
      </c>
      <c r="AN16" s="8"/>
      <c r="AO16" s="8"/>
      <c r="AP16" s="8">
        <f t="shared" si="0"/>
        <v>0</v>
      </c>
      <c r="AQ16">
        <v>10</v>
      </c>
      <c r="AR16" s="76">
        <f t="shared" si="1"/>
        <v>0</v>
      </c>
    </row>
    <row r="17" spans="1:44">
      <c r="A17" s="8">
        <v>56</v>
      </c>
      <c r="B17" s="8" t="s">
        <v>53</v>
      </c>
      <c r="C17" s="8" t="s">
        <v>346</v>
      </c>
      <c r="D17" s="8"/>
      <c r="E17" s="8">
        <v>56</v>
      </c>
      <c r="F17" s="24"/>
      <c r="G17" s="5"/>
      <c r="H17" s="5"/>
      <c r="I17" s="5">
        <v>1</v>
      </c>
      <c r="J17" s="5">
        <v>1</v>
      </c>
      <c r="K17" s="5">
        <v>1</v>
      </c>
      <c r="L17" s="5">
        <v>1</v>
      </c>
      <c r="M17" s="25"/>
      <c r="N17" s="24">
        <v>1</v>
      </c>
      <c r="O17" s="5">
        <v>1</v>
      </c>
      <c r="P17" s="5">
        <v>1</v>
      </c>
      <c r="Q17" s="5">
        <v>1</v>
      </c>
      <c r="R17" s="5"/>
      <c r="S17" s="5"/>
      <c r="T17" s="5"/>
      <c r="U17" s="25"/>
      <c r="V17" s="24"/>
      <c r="W17" s="5"/>
      <c r="X17" s="5"/>
      <c r="Y17" s="5"/>
      <c r="Z17" s="5">
        <v>1</v>
      </c>
      <c r="AA17" s="5">
        <v>1</v>
      </c>
      <c r="AB17" s="5"/>
      <c r="AC17" s="25"/>
      <c r="AD17" s="24">
        <v>1</v>
      </c>
      <c r="AE17" s="5"/>
      <c r="AF17" s="5"/>
      <c r="AG17" s="5">
        <v>1</v>
      </c>
      <c r="AH17" s="5">
        <v>1</v>
      </c>
      <c r="AI17" s="5"/>
      <c r="AJ17" s="5"/>
      <c r="AK17" s="25"/>
      <c r="AL17" s="5">
        <v>56</v>
      </c>
      <c r="AM17" s="8"/>
      <c r="AN17" s="8">
        <v>1</v>
      </c>
      <c r="AO17" s="8">
        <v>1</v>
      </c>
      <c r="AP17" s="8">
        <f t="shared" si="0"/>
        <v>13</v>
      </c>
      <c r="AQ17">
        <v>17</v>
      </c>
      <c r="AR17" s="76">
        <f t="shared" si="1"/>
        <v>0.76470588235294112</v>
      </c>
    </row>
    <row r="18" spans="1:44">
      <c r="A18" s="8">
        <v>57</v>
      </c>
      <c r="B18" s="8" t="s">
        <v>44</v>
      </c>
      <c r="C18" s="8" t="s">
        <v>349</v>
      </c>
      <c r="D18" s="8" t="s">
        <v>6</v>
      </c>
      <c r="E18" s="8">
        <v>57</v>
      </c>
      <c r="F18" s="24">
        <v>1</v>
      </c>
      <c r="G18" s="5"/>
      <c r="H18" s="5"/>
      <c r="I18" s="5"/>
      <c r="J18" s="5"/>
      <c r="K18" s="5"/>
      <c r="L18" s="5"/>
      <c r="M18" s="25">
        <v>1</v>
      </c>
      <c r="N18" s="24">
        <v>1</v>
      </c>
      <c r="O18" s="5"/>
      <c r="P18" s="5">
        <v>1</v>
      </c>
      <c r="Q18" s="5"/>
      <c r="R18" s="5">
        <v>1</v>
      </c>
      <c r="S18" s="5"/>
      <c r="T18" s="5"/>
      <c r="U18" s="25"/>
      <c r="V18" s="24"/>
      <c r="W18" s="5"/>
      <c r="X18" s="5"/>
      <c r="Y18" s="5"/>
      <c r="Z18" s="5"/>
      <c r="AA18" s="5">
        <v>1</v>
      </c>
      <c r="AB18" s="5"/>
      <c r="AC18" s="25"/>
      <c r="AD18" s="24"/>
      <c r="AE18" s="5">
        <v>1</v>
      </c>
      <c r="AF18" s="5">
        <v>1</v>
      </c>
      <c r="AG18" s="5">
        <v>1</v>
      </c>
      <c r="AH18" s="5"/>
      <c r="AI18" s="5"/>
      <c r="AJ18" s="5"/>
      <c r="AK18" s="25"/>
      <c r="AL18" s="5">
        <v>57</v>
      </c>
      <c r="AM18" s="8"/>
      <c r="AN18" s="8">
        <v>1</v>
      </c>
      <c r="AO18" s="8">
        <v>1</v>
      </c>
      <c r="AP18" s="8">
        <f t="shared" si="0"/>
        <v>9</v>
      </c>
      <c r="AQ18">
        <v>15</v>
      </c>
      <c r="AR18" s="76">
        <f t="shared" si="1"/>
        <v>0.6</v>
      </c>
    </row>
    <row r="19" spans="1:44">
      <c r="A19" s="8">
        <v>59</v>
      </c>
      <c r="B19" s="55" t="s">
        <v>56</v>
      </c>
      <c r="C19" s="8" t="s">
        <v>360</v>
      </c>
      <c r="D19" s="8"/>
      <c r="E19" s="8">
        <v>59</v>
      </c>
      <c r="F19" s="24"/>
      <c r="G19" s="5"/>
      <c r="H19" s="5"/>
      <c r="I19" s="5"/>
      <c r="J19" s="5"/>
      <c r="K19" s="5"/>
      <c r="L19" s="5"/>
      <c r="M19" s="25"/>
      <c r="N19" s="24"/>
      <c r="O19" s="5"/>
      <c r="P19" s="5"/>
      <c r="Q19" s="5"/>
      <c r="R19" s="5"/>
      <c r="S19" s="5"/>
      <c r="T19" s="5"/>
      <c r="U19" s="25"/>
      <c r="V19" s="24"/>
      <c r="W19" s="5"/>
      <c r="X19" s="5"/>
      <c r="Y19" s="5"/>
      <c r="Z19" s="5"/>
      <c r="AA19" s="5"/>
      <c r="AB19" s="5"/>
      <c r="AC19" s="25"/>
      <c r="AD19" s="24"/>
      <c r="AE19" s="5"/>
      <c r="AF19" s="5"/>
      <c r="AG19" s="5"/>
      <c r="AH19" s="5"/>
      <c r="AI19" s="5"/>
      <c r="AJ19" s="5"/>
      <c r="AK19" s="25"/>
      <c r="AL19" s="5">
        <v>59</v>
      </c>
      <c r="AM19" s="8">
        <v>1</v>
      </c>
      <c r="AN19" s="8"/>
      <c r="AO19" s="8"/>
      <c r="AP19" s="8">
        <f t="shared" si="0"/>
        <v>0</v>
      </c>
      <c r="AQ19">
        <v>7</v>
      </c>
      <c r="AR19" s="76">
        <f t="shared" si="1"/>
        <v>0</v>
      </c>
    </row>
    <row r="20" spans="1:44">
      <c r="A20" s="8">
        <v>60</v>
      </c>
      <c r="B20" s="8" t="s">
        <v>48</v>
      </c>
      <c r="C20" s="8" t="s">
        <v>357</v>
      </c>
      <c r="D20" s="8"/>
      <c r="E20" s="8">
        <v>60</v>
      </c>
      <c r="F20" s="24"/>
      <c r="G20" s="5"/>
      <c r="H20" s="5">
        <v>1</v>
      </c>
      <c r="I20" s="5"/>
      <c r="J20" s="5"/>
      <c r="K20" s="5"/>
      <c r="L20" s="5">
        <v>1</v>
      </c>
      <c r="M20" s="25"/>
      <c r="N20" s="24"/>
      <c r="O20" s="5"/>
      <c r="P20" s="5"/>
      <c r="Q20" s="5"/>
      <c r="R20" s="5">
        <v>1</v>
      </c>
      <c r="S20" s="5"/>
      <c r="T20" s="5"/>
      <c r="U20" s="25"/>
      <c r="V20" s="24"/>
      <c r="W20" s="5"/>
      <c r="X20" s="5">
        <v>1</v>
      </c>
      <c r="Y20" s="5"/>
      <c r="Z20" s="5"/>
      <c r="AA20" s="5"/>
      <c r="AB20" s="5"/>
      <c r="AC20" s="25">
        <v>1</v>
      </c>
      <c r="AD20" s="24">
        <v>1</v>
      </c>
      <c r="AE20" s="5">
        <v>1</v>
      </c>
      <c r="AF20" s="5">
        <v>1</v>
      </c>
      <c r="AG20" s="5"/>
      <c r="AH20" s="5"/>
      <c r="AI20" s="5"/>
      <c r="AJ20" s="5"/>
      <c r="AK20" s="25"/>
      <c r="AL20" s="5">
        <v>60</v>
      </c>
      <c r="AM20" s="8"/>
      <c r="AN20" s="8">
        <v>1</v>
      </c>
      <c r="AO20" s="8">
        <v>1</v>
      </c>
      <c r="AP20" s="8">
        <f t="shared" si="0"/>
        <v>8</v>
      </c>
      <c r="AQ20">
        <v>22</v>
      </c>
      <c r="AR20" s="76">
        <f t="shared" si="1"/>
        <v>0.36363636363636365</v>
      </c>
    </row>
    <row r="21" spans="1:44">
      <c r="A21" s="8">
        <v>61</v>
      </c>
      <c r="B21" s="8" t="s">
        <v>99</v>
      </c>
      <c r="C21" s="8" t="s">
        <v>346</v>
      </c>
      <c r="D21" s="8"/>
      <c r="E21" s="8">
        <v>61</v>
      </c>
      <c r="F21" s="24"/>
      <c r="G21" s="5"/>
      <c r="H21" s="5"/>
      <c r="I21" s="5"/>
      <c r="J21" s="5"/>
      <c r="K21" s="5"/>
      <c r="L21" s="5"/>
      <c r="M21" s="25"/>
      <c r="N21" s="24"/>
      <c r="O21" s="5"/>
      <c r="P21" s="5">
        <v>1</v>
      </c>
      <c r="Q21" s="5">
        <v>1</v>
      </c>
      <c r="R21" s="5"/>
      <c r="S21" s="5"/>
      <c r="T21" s="5"/>
      <c r="U21" s="25"/>
      <c r="V21" s="24"/>
      <c r="W21" s="5"/>
      <c r="X21" s="5"/>
      <c r="Y21" s="5">
        <v>1</v>
      </c>
      <c r="Z21" s="5">
        <v>1</v>
      </c>
      <c r="AA21" s="5">
        <v>1</v>
      </c>
      <c r="AB21" s="5"/>
      <c r="AC21" s="25"/>
      <c r="AD21" s="24"/>
      <c r="AE21" s="5"/>
      <c r="AF21" s="5"/>
      <c r="AG21" s="5"/>
      <c r="AH21" s="5"/>
      <c r="AI21" s="5"/>
      <c r="AJ21" s="5"/>
      <c r="AK21" s="25"/>
      <c r="AL21" s="5">
        <v>61</v>
      </c>
      <c r="AM21" s="8"/>
      <c r="AN21" s="8">
        <v>1</v>
      </c>
      <c r="AO21" s="8">
        <v>1</v>
      </c>
      <c r="AP21" s="8">
        <f t="shared" si="0"/>
        <v>5</v>
      </c>
      <c r="AQ21">
        <v>21</v>
      </c>
      <c r="AR21" s="76">
        <f t="shared" si="1"/>
        <v>0.23809523809523808</v>
      </c>
    </row>
    <row r="22" spans="1:44">
      <c r="A22" s="8">
        <v>62</v>
      </c>
      <c r="B22" s="8" t="s">
        <v>68</v>
      </c>
      <c r="C22" s="8" t="s">
        <v>357</v>
      </c>
      <c r="D22" s="8"/>
      <c r="E22" s="8">
        <v>62</v>
      </c>
      <c r="F22" s="24"/>
      <c r="G22" s="5"/>
      <c r="H22" s="5">
        <v>1</v>
      </c>
      <c r="I22" s="5">
        <v>1</v>
      </c>
      <c r="J22" s="5">
        <v>1</v>
      </c>
      <c r="K22" s="5">
        <v>1</v>
      </c>
      <c r="L22" s="5">
        <v>1</v>
      </c>
      <c r="M22" s="25">
        <v>1</v>
      </c>
      <c r="N22" s="24">
        <v>1</v>
      </c>
      <c r="O22" s="5">
        <v>1</v>
      </c>
      <c r="P22" s="5"/>
      <c r="Q22" s="5">
        <v>1</v>
      </c>
      <c r="R22" s="5">
        <v>1</v>
      </c>
      <c r="S22" s="5">
        <v>1</v>
      </c>
      <c r="T22" s="5"/>
      <c r="U22" s="25"/>
      <c r="V22" s="24"/>
      <c r="W22" s="5"/>
      <c r="X22" s="5"/>
      <c r="Y22" s="5">
        <v>1</v>
      </c>
      <c r="Z22" s="5">
        <v>1</v>
      </c>
      <c r="AA22" s="5">
        <v>1</v>
      </c>
      <c r="AB22" s="5">
        <v>1</v>
      </c>
      <c r="AC22" s="25">
        <v>1</v>
      </c>
      <c r="AD22" s="24">
        <v>1</v>
      </c>
      <c r="AE22" s="5">
        <v>1</v>
      </c>
      <c r="AF22" s="5">
        <v>1</v>
      </c>
      <c r="AG22" s="5">
        <v>1</v>
      </c>
      <c r="AH22" s="5">
        <v>1</v>
      </c>
      <c r="AI22" s="5">
        <v>1</v>
      </c>
      <c r="AJ22" s="5"/>
      <c r="AK22" s="25"/>
      <c r="AL22" s="5">
        <v>62</v>
      </c>
      <c r="AM22" s="8"/>
      <c r="AN22" s="8">
        <v>1</v>
      </c>
      <c r="AO22" s="8">
        <v>2</v>
      </c>
      <c r="AP22" s="8">
        <f t="shared" si="0"/>
        <v>22</v>
      </c>
      <c r="AQ22">
        <v>28</v>
      </c>
      <c r="AR22" s="76">
        <f t="shared" si="1"/>
        <v>0.7857142857142857</v>
      </c>
    </row>
    <row r="23" spans="1:44">
      <c r="A23" s="8">
        <v>63</v>
      </c>
      <c r="B23" s="8" t="s">
        <v>71</v>
      </c>
      <c r="C23" s="8" t="s">
        <v>366</v>
      </c>
      <c r="D23" s="8" t="s">
        <v>42</v>
      </c>
      <c r="E23" s="8">
        <v>63</v>
      </c>
      <c r="F23" s="24"/>
      <c r="G23" s="5">
        <v>1</v>
      </c>
      <c r="H23" s="5">
        <v>1</v>
      </c>
      <c r="I23" s="5"/>
      <c r="J23" s="5">
        <v>1</v>
      </c>
      <c r="K23" s="5">
        <v>1</v>
      </c>
      <c r="L23" s="5">
        <v>1</v>
      </c>
      <c r="M23" s="25">
        <v>1</v>
      </c>
      <c r="N23" s="24">
        <v>1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25"/>
      <c r="V23" s="24">
        <v>1</v>
      </c>
      <c r="W23" s="5">
        <v>1</v>
      </c>
      <c r="X23" s="5">
        <v>1</v>
      </c>
      <c r="Y23" s="5">
        <v>1</v>
      </c>
      <c r="Z23" s="5">
        <v>1</v>
      </c>
      <c r="AA23" s="5">
        <v>1</v>
      </c>
      <c r="AB23" s="5">
        <v>1</v>
      </c>
      <c r="AC23" s="25">
        <v>1</v>
      </c>
      <c r="AD23" s="24">
        <v>1</v>
      </c>
      <c r="AE23" s="5">
        <v>1</v>
      </c>
      <c r="AF23" s="5">
        <v>1</v>
      </c>
      <c r="AG23" s="5">
        <v>1</v>
      </c>
      <c r="AH23" s="5">
        <v>1</v>
      </c>
      <c r="AI23" s="5">
        <v>1</v>
      </c>
      <c r="AJ23" s="5">
        <v>1</v>
      </c>
      <c r="AK23" s="25">
        <v>1</v>
      </c>
      <c r="AL23" s="5">
        <v>63</v>
      </c>
      <c r="AM23" s="8"/>
      <c r="AN23" s="8">
        <v>1</v>
      </c>
      <c r="AO23" s="8">
        <v>1</v>
      </c>
      <c r="AP23" s="8">
        <f t="shared" si="0"/>
        <v>29</v>
      </c>
      <c r="AQ23">
        <v>32</v>
      </c>
      <c r="AR23" s="76">
        <f t="shared" si="1"/>
        <v>0.90625</v>
      </c>
    </row>
    <row r="24" spans="1:44">
      <c r="A24" s="8">
        <v>64</v>
      </c>
      <c r="B24" s="8" t="s">
        <v>73</v>
      </c>
      <c r="C24" s="8" t="s">
        <v>165</v>
      </c>
      <c r="D24" s="8" t="s">
        <v>42</v>
      </c>
      <c r="E24" s="8">
        <v>64</v>
      </c>
      <c r="F24" s="24"/>
      <c r="G24" s="5">
        <v>1</v>
      </c>
      <c r="H24" s="5">
        <v>1</v>
      </c>
      <c r="I24" s="5"/>
      <c r="J24" s="5"/>
      <c r="K24" s="5">
        <v>1</v>
      </c>
      <c r="L24" s="5">
        <v>1</v>
      </c>
      <c r="M24" s="25">
        <v>1</v>
      </c>
      <c r="N24" s="24">
        <v>1</v>
      </c>
      <c r="O24" s="5">
        <v>1</v>
      </c>
      <c r="P24" s="5">
        <v>1</v>
      </c>
      <c r="Q24" s="5"/>
      <c r="R24" s="5"/>
      <c r="S24" s="5"/>
      <c r="T24" s="5"/>
      <c r="U24" s="25"/>
      <c r="V24" s="24">
        <v>1</v>
      </c>
      <c r="W24" s="5"/>
      <c r="X24" s="5"/>
      <c r="Y24" s="5"/>
      <c r="Z24" s="5"/>
      <c r="AA24" s="5">
        <v>1</v>
      </c>
      <c r="AB24" s="5">
        <v>1</v>
      </c>
      <c r="AC24" s="25">
        <v>1</v>
      </c>
      <c r="AD24" s="24">
        <v>1</v>
      </c>
      <c r="AE24" s="5">
        <v>1</v>
      </c>
      <c r="AF24" s="5">
        <v>1</v>
      </c>
      <c r="AG24" s="5">
        <v>1</v>
      </c>
      <c r="AH24" s="5">
        <v>1</v>
      </c>
      <c r="AI24" s="5"/>
      <c r="AJ24" s="5"/>
      <c r="AK24" s="25">
        <v>1</v>
      </c>
      <c r="AL24" s="5">
        <v>64</v>
      </c>
      <c r="AM24" s="8"/>
      <c r="AN24" s="8">
        <v>1</v>
      </c>
      <c r="AO24" s="8">
        <v>2</v>
      </c>
      <c r="AP24" s="8">
        <f t="shared" si="0"/>
        <v>18</v>
      </c>
      <c r="AQ24">
        <v>31</v>
      </c>
      <c r="AR24" s="76">
        <f t="shared" si="1"/>
        <v>0.58064516129032262</v>
      </c>
    </row>
    <row r="25" spans="1:44">
      <c r="A25" s="8">
        <v>65</v>
      </c>
      <c r="B25" s="8" t="s">
        <v>74</v>
      </c>
      <c r="C25" s="8" t="s">
        <v>346</v>
      </c>
      <c r="D25" s="8"/>
      <c r="E25" s="8">
        <v>65</v>
      </c>
      <c r="F25" s="24"/>
      <c r="G25" s="5"/>
      <c r="H25" s="5"/>
      <c r="I25" s="5"/>
      <c r="J25" s="5"/>
      <c r="K25" s="5"/>
      <c r="L25" s="5"/>
      <c r="M25" s="25"/>
      <c r="N25" s="24"/>
      <c r="O25" s="5"/>
      <c r="P25" s="5"/>
      <c r="Q25" s="5"/>
      <c r="R25" s="5"/>
      <c r="S25" s="5"/>
      <c r="T25" s="5"/>
      <c r="U25" s="25"/>
      <c r="V25" s="24"/>
      <c r="W25" s="5"/>
      <c r="X25" s="5"/>
      <c r="Y25" s="5"/>
      <c r="Z25" s="5"/>
      <c r="AA25" s="5"/>
      <c r="AB25" s="5"/>
      <c r="AC25" s="25"/>
      <c r="AD25" s="24"/>
      <c r="AE25" s="5"/>
      <c r="AF25" s="5"/>
      <c r="AG25" s="5"/>
      <c r="AH25" s="5"/>
      <c r="AI25" s="5"/>
      <c r="AJ25" s="5"/>
      <c r="AK25" s="25"/>
      <c r="AL25" s="5">
        <v>65</v>
      </c>
      <c r="AM25" s="8">
        <v>1</v>
      </c>
      <c r="AN25" s="8"/>
      <c r="AO25" s="8"/>
      <c r="AP25" s="8">
        <f t="shared" si="0"/>
        <v>0</v>
      </c>
      <c r="AQ25">
        <v>9</v>
      </c>
      <c r="AR25" s="76">
        <f t="shared" si="1"/>
        <v>0</v>
      </c>
    </row>
    <row r="26" spans="1:44">
      <c r="A26" s="8">
        <v>68</v>
      </c>
      <c r="B26" s="8" t="s">
        <v>65</v>
      </c>
      <c r="C26" s="8" t="s">
        <v>12</v>
      </c>
      <c r="D26" s="8" t="s">
        <v>42</v>
      </c>
      <c r="E26" s="8">
        <v>68</v>
      </c>
      <c r="F26" s="24"/>
      <c r="G26" s="5"/>
      <c r="H26" s="5">
        <v>1</v>
      </c>
      <c r="I26" s="5"/>
      <c r="J26" s="5">
        <v>1</v>
      </c>
      <c r="K26" s="5">
        <v>1</v>
      </c>
      <c r="L26" s="5">
        <v>1</v>
      </c>
      <c r="M26" s="25">
        <v>1</v>
      </c>
      <c r="N26" s="24">
        <v>1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s="5">
        <v>1</v>
      </c>
      <c r="U26" s="25">
        <v>1</v>
      </c>
      <c r="V26" s="24">
        <v>1</v>
      </c>
      <c r="W26" s="5">
        <v>1</v>
      </c>
      <c r="X26" s="5">
        <v>1</v>
      </c>
      <c r="Y26" s="5"/>
      <c r="Z26" s="5">
        <v>1</v>
      </c>
      <c r="AA26" s="5">
        <v>1</v>
      </c>
      <c r="AB26" s="5">
        <v>1</v>
      </c>
      <c r="AC26" s="25">
        <v>1</v>
      </c>
      <c r="AD26" s="24">
        <v>1</v>
      </c>
      <c r="AE26" s="5">
        <v>1</v>
      </c>
      <c r="AF26" s="5">
        <v>1</v>
      </c>
      <c r="AG26" s="5">
        <v>1</v>
      </c>
      <c r="AH26" s="5">
        <v>1</v>
      </c>
      <c r="AI26" s="5">
        <v>1</v>
      </c>
      <c r="AJ26" s="5">
        <v>1</v>
      </c>
      <c r="AK26" s="25">
        <v>1</v>
      </c>
      <c r="AL26" s="5">
        <v>68</v>
      </c>
      <c r="AM26" s="8"/>
      <c r="AN26" s="8">
        <v>1</v>
      </c>
      <c r="AO26" s="8">
        <v>2</v>
      </c>
      <c r="AP26" s="8">
        <f t="shared" si="0"/>
        <v>28</v>
      </c>
      <c r="AQ26">
        <v>32</v>
      </c>
      <c r="AR26" s="76">
        <f t="shared" si="1"/>
        <v>0.875</v>
      </c>
    </row>
    <row r="27" spans="1:44">
      <c r="A27" s="8">
        <v>69</v>
      </c>
      <c r="B27" s="8" t="s">
        <v>78</v>
      </c>
      <c r="C27" s="8" t="s">
        <v>359</v>
      </c>
      <c r="D27" s="8"/>
      <c r="E27" s="8">
        <v>69</v>
      </c>
      <c r="F27" s="24"/>
      <c r="G27" s="5"/>
      <c r="H27" s="5">
        <v>1</v>
      </c>
      <c r="I27" s="5">
        <v>1</v>
      </c>
      <c r="J27" s="5"/>
      <c r="K27" s="5"/>
      <c r="L27" s="5"/>
      <c r="M27" s="25"/>
      <c r="N27" s="24"/>
      <c r="O27" s="5"/>
      <c r="P27" s="5"/>
      <c r="Q27" s="5"/>
      <c r="R27" s="5"/>
      <c r="S27" s="5"/>
      <c r="T27" s="5"/>
      <c r="U27" s="25"/>
      <c r="V27" s="24"/>
      <c r="W27" s="5"/>
      <c r="X27" s="5"/>
      <c r="Y27" s="5">
        <v>1</v>
      </c>
      <c r="Z27" s="5">
        <v>1</v>
      </c>
      <c r="AA27" s="5">
        <v>1</v>
      </c>
      <c r="AB27" s="5"/>
      <c r="AC27" s="25"/>
      <c r="AD27" s="24"/>
      <c r="AE27" s="5"/>
      <c r="AF27" s="5">
        <v>1</v>
      </c>
      <c r="AG27" s="5">
        <v>1</v>
      </c>
      <c r="AH27" s="5">
        <v>1</v>
      </c>
      <c r="AI27" s="5"/>
      <c r="AJ27" s="5"/>
      <c r="AK27" s="25"/>
      <c r="AL27" s="5">
        <v>69</v>
      </c>
      <c r="AM27" s="8"/>
      <c r="AN27" s="8">
        <v>1</v>
      </c>
      <c r="AO27" s="8">
        <v>1</v>
      </c>
      <c r="AP27" s="8">
        <f t="shared" si="0"/>
        <v>8</v>
      </c>
      <c r="AQ27">
        <v>23</v>
      </c>
      <c r="AR27" s="76">
        <f t="shared" si="1"/>
        <v>0.34782608695652173</v>
      </c>
    </row>
    <row r="28" spans="1:44">
      <c r="A28" s="8">
        <v>70</v>
      </c>
      <c r="B28" s="8" t="s">
        <v>80</v>
      </c>
      <c r="C28" s="8" t="s">
        <v>346</v>
      </c>
      <c r="D28" s="8"/>
      <c r="E28" s="8">
        <v>70</v>
      </c>
      <c r="F28" s="24"/>
      <c r="G28" s="5"/>
      <c r="H28" s="5"/>
      <c r="I28" s="5"/>
      <c r="J28" s="5"/>
      <c r="K28" s="5"/>
      <c r="L28" s="5"/>
      <c r="M28" s="25"/>
      <c r="N28" s="24"/>
      <c r="O28" s="5"/>
      <c r="P28" s="5"/>
      <c r="Q28" s="5"/>
      <c r="R28" s="5"/>
      <c r="S28" s="5"/>
      <c r="T28" s="5"/>
      <c r="U28" s="25"/>
      <c r="V28" s="24"/>
      <c r="W28" s="5"/>
      <c r="X28" s="5"/>
      <c r="Y28" s="5"/>
      <c r="Z28" s="5"/>
      <c r="AA28" s="5"/>
      <c r="AB28" s="5"/>
      <c r="AC28" s="25"/>
      <c r="AD28" s="24"/>
      <c r="AE28" s="5"/>
      <c r="AF28" s="5"/>
      <c r="AG28" s="5"/>
      <c r="AH28" s="5"/>
      <c r="AI28" s="5"/>
      <c r="AJ28" s="5"/>
      <c r="AK28" s="25"/>
      <c r="AL28" s="5">
        <v>70</v>
      </c>
      <c r="AM28" s="8">
        <v>1</v>
      </c>
      <c r="AN28" s="8"/>
      <c r="AO28" s="8"/>
      <c r="AP28" s="8">
        <f t="shared" si="0"/>
        <v>0</v>
      </c>
      <c r="AQ28">
        <v>19</v>
      </c>
      <c r="AR28" s="76">
        <f t="shared" si="1"/>
        <v>0</v>
      </c>
    </row>
    <row r="29" spans="1:44">
      <c r="A29" s="8" t="s">
        <v>82</v>
      </c>
      <c r="B29" s="8" t="s">
        <v>55</v>
      </c>
      <c r="C29" s="8" t="s">
        <v>346</v>
      </c>
      <c r="D29" s="8"/>
      <c r="E29" s="8" t="s">
        <v>82</v>
      </c>
      <c r="F29" s="24"/>
      <c r="G29" s="5"/>
      <c r="H29" s="5"/>
      <c r="I29" s="5"/>
      <c r="J29" s="5">
        <v>1</v>
      </c>
      <c r="K29" s="5">
        <v>1</v>
      </c>
      <c r="L29" s="5"/>
      <c r="M29" s="25"/>
      <c r="N29" s="24"/>
      <c r="O29" s="5"/>
      <c r="P29" s="5"/>
      <c r="Q29" s="5"/>
      <c r="R29" s="5"/>
      <c r="S29" s="5"/>
      <c r="T29" s="5"/>
      <c r="U29" s="25"/>
      <c r="V29" s="24"/>
      <c r="W29" s="5"/>
      <c r="X29" s="5"/>
      <c r="Y29" s="5"/>
      <c r="Z29" s="5"/>
      <c r="AA29" s="5"/>
      <c r="AB29" s="5"/>
      <c r="AC29" s="25"/>
      <c r="AD29" s="24"/>
      <c r="AE29" s="5"/>
      <c r="AF29" s="5"/>
      <c r="AG29" s="5"/>
      <c r="AH29" s="5"/>
      <c r="AI29" s="5"/>
      <c r="AJ29" s="5"/>
      <c r="AK29" s="25"/>
      <c r="AL29" s="5" t="s">
        <v>82</v>
      </c>
      <c r="AM29" s="8"/>
      <c r="AN29" s="8">
        <v>1</v>
      </c>
      <c r="AO29" s="8">
        <v>1</v>
      </c>
      <c r="AP29" s="8">
        <f t="shared" si="0"/>
        <v>2</v>
      </c>
      <c r="AQ29">
        <v>20</v>
      </c>
      <c r="AR29" s="76">
        <f t="shared" si="1"/>
        <v>0.1</v>
      </c>
    </row>
    <row r="30" spans="1:44">
      <c r="A30" s="8">
        <v>72</v>
      </c>
      <c r="B30" s="8" t="s">
        <v>5</v>
      </c>
      <c r="C30" s="8" t="s">
        <v>42</v>
      </c>
      <c r="D30" s="8" t="s">
        <v>42</v>
      </c>
      <c r="E30" s="8">
        <v>72</v>
      </c>
      <c r="F30" s="24"/>
      <c r="G30" s="5">
        <v>1</v>
      </c>
      <c r="H30" s="5"/>
      <c r="I30" s="5">
        <v>1</v>
      </c>
      <c r="J30" s="5">
        <v>1</v>
      </c>
      <c r="K30" s="5">
        <v>1</v>
      </c>
      <c r="L30" s="5">
        <v>1</v>
      </c>
      <c r="M30" s="25">
        <v>1</v>
      </c>
      <c r="N30" s="24">
        <v>1</v>
      </c>
      <c r="O30" s="5">
        <v>1</v>
      </c>
      <c r="P30" s="5">
        <v>1</v>
      </c>
      <c r="Q30" s="5">
        <v>1</v>
      </c>
      <c r="R30" s="5"/>
      <c r="S30" s="5"/>
      <c r="T30" s="5">
        <v>1</v>
      </c>
      <c r="U30" s="25">
        <v>1</v>
      </c>
      <c r="V30" s="24">
        <v>1</v>
      </c>
      <c r="W30" s="5">
        <v>1</v>
      </c>
      <c r="X30" s="5">
        <v>1</v>
      </c>
      <c r="Y30" s="5">
        <v>1</v>
      </c>
      <c r="Z30" s="5">
        <v>1</v>
      </c>
      <c r="AA30" s="5">
        <v>1</v>
      </c>
      <c r="AB30" s="5">
        <v>1</v>
      </c>
      <c r="AC30" s="25">
        <v>1</v>
      </c>
      <c r="AD30" s="24">
        <v>1</v>
      </c>
      <c r="AE30" s="5">
        <v>1</v>
      </c>
      <c r="AF30" s="5">
        <v>1</v>
      </c>
      <c r="AG30" s="5">
        <v>1</v>
      </c>
      <c r="AH30" s="5">
        <v>1</v>
      </c>
      <c r="AI30" s="5">
        <v>1</v>
      </c>
      <c r="AJ30" s="5">
        <v>1</v>
      </c>
      <c r="AK30" s="25">
        <v>1</v>
      </c>
      <c r="AL30" s="5">
        <v>72</v>
      </c>
      <c r="AM30" s="8"/>
      <c r="AN30" s="8">
        <v>1</v>
      </c>
      <c r="AO30" s="8">
        <v>2</v>
      </c>
      <c r="AP30" s="8">
        <f t="shared" si="0"/>
        <v>28</v>
      </c>
      <c r="AQ30">
        <v>28</v>
      </c>
      <c r="AR30" s="76">
        <f t="shared" si="1"/>
        <v>1</v>
      </c>
    </row>
    <row r="31" spans="1:44">
      <c r="A31" s="8">
        <v>73</v>
      </c>
      <c r="B31" s="8" t="s">
        <v>44</v>
      </c>
      <c r="C31" s="8" t="s">
        <v>349</v>
      </c>
      <c r="D31" s="8" t="s">
        <v>6</v>
      </c>
      <c r="E31" s="8">
        <v>73</v>
      </c>
      <c r="F31" s="24"/>
      <c r="G31" s="5"/>
      <c r="H31" s="5"/>
      <c r="I31" s="5"/>
      <c r="J31" s="5"/>
      <c r="K31" s="5"/>
      <c r="L31" s="5"/>
      <c r="M31" s="25"/>
      <c r="N31" s="24"/>
      <c r="O31" s="5"/>
      <c r="P31" s="5"/>
      <c r="Q31" s="5"/>
      <c r="R31" s="5"/>
      <c r="S31" s="5"/>
      <c r="T31" s="5"/>
      <c r="U31" s="25"/>
      <c r="V31" s="24"/>
      <c r="W31" s="5"/>
      <c r="X31" s="5"/>
      <c r="Y31" s="5"/>
      <c r="Z31" s="5"/>
      <c r="AA31" s="5"/>
      <c r="AB31" s="5"/>
      <c r="AC31" s="25"/>
      <c r="AD31" s="24"/>
      <c r="AE31" s="5"/>
      <c r="AF31" s="5"/>
      <c r="AG31" s="5"/>
      <c r="AH31" s="5"/>
      <c r="AI31" s="5"/>
      <c r="AJ31" s="5"/>
      <c r="AK31" s="25"/>
      <c r="AL31" s="5">
        <v>73</v>
      </c>
      <c r="AM31" s="8">
        <v>1</v>
      </c>
      <c r="AN31" s="8"/>
      <c r="AO31" s="8"/>
      <c r="AP31" s="8">
        <f t="shared" si="0"/>
        <v>0</v>
      </c>
      <c r="AQ31">
        <v>7</v>
      </c>
      <c r="AR31" s="76">
        <f t="shared" si="1"/>
        <v>0</v>
      </c>
    </row>
    <row r="32" spans="1:44">
      <c r="A32" s="8">
        <v>74</v>
      </c>
      <c r="B32" s="8" t="s">
        <v>88</v>
      </c>
      <c r="C32" s="8" t="s">
        <v>12</v>
      </c>
      <c r="D32" s="8" t="s">
        <v>6</v>
      </c>
      <c r="E32" s="8">
        <v>74</v>
      </c>
      <c r="F32" s="24"/>
      <c r="G32" s="5">
        <v>1</v>
      </c>
      <c r="H32" s="5">
        <v>1</v>
      </c>
      <c r="I32" s="5">
        <v>1</v>
      </c>
      <c r="J32" s="5">
        <v>1</v>
      </c>
      <c r="K32" s="5">
        <v>1</v>
      </c>
      <c r="L32" s="5">
        <v>1</v>
      </c>
      <c r="M32" s="25">
        <v>1</v>
      </c>
      <c r="N32" s="24"/>
      <c r="O32" s="5">
        <v>1</v>
      </c>
      <c r="P32" s="5">
        <v>1</v>
      </c>
      <c r="Q32" s="5">
        <v>1</v>
      </c>
      <c r="R32" s="5">
        <v>1</v>
      </c>
      <c r="S32" s="5">
        <v>1</v>
      </c>
      <c r="T32" s="5">
        <v>1</v>
      </c>
      <c r="U32" s="25">
        <v>1</v>
      </c>
      <c r="V32" s="24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25">
        <v>1</v>
      </c>
      <c r="AD32" s="24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</v>
      </c>
      <c r="AJ32" s="5">
        <v>1</v>
      </c>
      <c r="AK32" s="25">
        <v>1</v>
      </c>
      <c r="AL32" s="5">
        <v>74</v>
      </c>
      <c r="AM32" s="8"/>
      <c r="AN32" s="8">
        <v>1</v>
      </c>
      <c r="AO32" s="8">
        <v>1</v>
      </c>
      <c r="AP32" s="8">
        <f t="shared" si="0"/>
        <v>30</v>
      </c>
      <c r="AQ32">
        <v>31</v>
      </c>
      <c r="AR32" s="76">
        <f t="shared" si="1"/>
        <v>0.967741935483871</v>
      </c>
    </row>
    <row r="33" spans="1:44">
      <c r="A33" s="8">
        <v>76</v>
      </c>
      <c r="B33" s="8" t="s">
        <v>73</v>
      </c>
      <c r="C33" s="8" t="s">
        <v>165</v>
      </c>
      <c r="D33" s="8" t="s">
        <v>42</v>
      </c>
      <c r="E33" s="8">
        <v>76</v>
      </c>
      <c r="F33" s="24">
        <v>1</v>
      </c>
      <c r="G33" s="5">
        <v>1</v>
      </c>
      <c r="H33" s="5">
        <v>1</v>
      </c>
      <c r="I33" s="5"/>
      <c r="J33" s="5">
        <v>1</v>
      </c>
      <c r="K33" s="5">
        <v>1</v>
      </c>
      <c r="L33" s="5">
        <v>1</v>
      </c>
      <c r="M33" s="25">
        <v>1</v>
      </c>
      <c r="N33" s="24">
        <v>1</v>
      </c>
      <c r="O33" s="5">
        <v>1</v>
      </c>
      <c r="P33" s="5">
        <v>1</v>
      </c>
      <c r="Q33" s="5">
        <v>1</v>
      </c>
      <c r="R33" s="5">
        <v>1</v>
      </c>
      <c r="S33" s="5"/>
      <c r="T33" s="5">
        <v>1</v>
      </c>
      <c r="U33" s="25">
        <v>1</v>
      </c>
      <c r="V33" s="24">
        <v>1</v>
      </c>
      <c r="W33" s="5">
        <v>1</v>
      </c>
      <c r="X33" s="5">
        <v>1</v>
      </c>
      <c r="Y33" s="5">
        <v>1</v>
      </c>
      <c r="Z33" s="5">
        <v>1</v>
      </c>
      <c r="AA33" s="5">
        <v>1</v>
      </c>
      <c r="AB33" s="5">
        <v>1</v>
      </c>
      <c r="AC33" s="25">
        <v>1</v>
      </c>
      <c r="AD33" s="24">
        <v>1</v>
      </c>
      <c r="AE33" s="5">
        <v>1</v>
      </c>
      <c r="AF33" s="5">
        <v>1</v>
      </c>
      <c r="AG33" s="5">
        <v>1</v>
      </c>
      <c r="AH33" s="5">
        <v>1</v>
      </c>
      <c r="AI33" s="5"/>
      <c r="AJ33" s="5"/>
      <c r="AK33" s="25">
        <v>1</v>
      </c>
      <c r="AL33" s="5">
        <v>76</v>
      </c>
      <c r="AM33" s="8"/>
      <c r="AN33" s="8">
        <v>1</v>
      </c>
      <c r="AO33" s="8">
        <v>2</v>
      </c>
      <c r="AP33" s="8">
        <f t="shared" si="0"/>
        <v>28</v>
      </c>
      <c r="AQ33">
        <v>31</v>
      </c>
      <c r="AR33" s="76">
        <f t="shared" si="1"/>
        <v>0.90322580645161288</v>
      </c>
    </row>
    <row r="34" spans="1:44">
      <c r="A34" s="8">
        <v>77</v>
      </c>
      <c r="B34" s="8" t="s">
        <v>78</v>
      </c>
      <c r="C34" s="8" t="s">
        <v>359</v>
      </c>
      <c r="D34" s="8"/>
      <c r="E34" s="8">
        <v>77</v>
      </c>
      <c r="F34" s="24"/>
      <c r="G34" s="5"/>
      <c r="H34" s="5"/>
      <c r="I34" s="5"/>
      <c r="J34" s="5"/>
      <c r="K34" s="5"/>
      <c r="L34" s="5"/>
      <c r="M34" s="25"/>
      <c r="N34" s="24"/>
      <c r="O34" s="5"/>
      <c r="P34" s="5"/>
      <c r="Q34" s="5"/>
      <c r="R34" s="5"/>
      <c r="S34" s="5"/>
      <c r="T34" s="5"/>
      <c r="U34" s="25"/>
      <c r="V34" s="24"/>
      <c r="W34" s="5"/>
      <c r="X34" s="5"/>
      <c r="Y34" s="5"/>
      <c r="Z34" s="5"/>
      <c r="AA34" s="5">
        <v>1</v>
      </c>
      <c r="AB34" s="5"/>
      <c r="AC34" s="25">
        <v>1</v>
      </c>
      <c r="AD34" s="24">
        <v>1</v>
      </c>
      <c r="AE34" s="5"/>
      <c r="AF34" s="5">
        <v>1</v>
      </c>
      <c r="AG34" s="5"/>
      <c r="AH34" s="5"/>
      <c r="AI34" s="5"/>
      <c r="AJ34" s="5"/>
      <c r="AK34" s="25"/>
      <c r="AL34" s="5">
        <v>77</v>
      </c>
      <c r="AM34" s="8"/>
      <c r="AN34" s="8">
        <v>1</v>
      </c>
      <c r="AO34" s="8">
        <v>1</v>
      </c>
      <c r="AP34" s="8">
        <f t="shared" si="0"/>
        <v>4</v>
      </c>
      <c r="AQ34">
        <v>22</v>
      </c>
      <c r="AR34" s="76">
        <f t="shared" si="1"/>
        <v>0.18181818181818182</v>
      </c>
    </row>
    <row r="35" spans="1:44">
      <c r="A35" s="8">
        <v>79</v>
      </c>
      <c r="B35" s="8" t="s">
        <v>71</v>
      </c>
      <c r="C35" s="8" t="s">
        <v>366</v>
      </c>
      <c r="D35" s="8" t="s">
        <v>42</v>
      </c>
      <c r="E35" s="8">
        <v>79</v>
      </c>
      <c r="F35" s="24"/>
      <c r="G35" s="5">
        <v>1</v>
      </c>
      <c r="H35" s="5">
        <v>1</v>
      </c>
      <c r="I35" s="5">
        <v>1</v>
      </c>
      <c r="J35" s="5">
        <v>1</v>
      </c>
      <c r="K35" s="5">
        <v>1</v>
      </c>
      <c r="L35" s="5">
        <v>1</v>
      </c>
      <c r="M35" s="25">
        <v>1</v>
      </c>
      <c r="N35" s="24">
        <v>1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s="5">
        <v>1</v>
      </c>
      <c r="U35" s="25"/>
      <c r="V35" s="24">
        <v>1</v>
      </c>
      <c r="W35" s="5">
        <v>1</v>
      </c>
      <c r="X35" s="5">
        <v>1</v>
      </c>
      <c r="Y35" s="5">
        <v>1</v>
      </c>
      <c r="Z35" s="5">
        <v>1</v>
      </c>
      <c r="AA35" s="5">
        <v>1</v>
      </c>
      <c r="AB35" s="5">
        <v>1</v>
      </c>
      <c r="AC35" s="25">
        <v>1</v>
      </c>
      <c r="AD35" s="24">
        <v>1</v>
      </c>
      <c r="AE35" s="5">
        <v>1</v>
      </c>
      <c r="AF35" s="5">
        <v>1</v>
      </c>
      <c r="AG35" s="5">
        <v>1</v>
      </c>
      <c r="AH35" s="5">
        <v>1</v>
      </c>
      <c r="AI35" s="5">
        <v>1</v>
      </c>
      <c r="AJ35" s="5">
        <v>1</v>
      </c>
      <c r="AK35" s="25">
        <v>1</v>
      </c>
      <c r="AL35" s="5">
        <v>79</v>
      </c>
      <c r="AM35" s="8"/>
      <c r="AN35" s="8">
        <v>1</v>
      </c>
      <c r="AO35" s="8">
        <v>2</v>
      </c>
      <c r="AP35" s="8">
        <f t="shared" si="0"/>
        <v>30</v>
      </c>
      <c r="AQ35">
        <v>30</v>
      </c>
      <c r="AR35" s="76">
        <f t="shared" si="1"/>
        <v>1</v>
      </c>
    </row>
    <row r="36" spans="1:44">
      <c r="A36" s="8">
        <v>82</v>
      </c>
      <c r="B36" s="55" t="s">
        <v>56</v>
      </c>
      <c r="C36" s="8" t="s">
        <v>360</v>
      </c>
      <c r="D36" s="8"/>
      <c r="E36" s="8">
        <v>82</v>
      </c>
      <c r="F36" s="24"/>
      <c r="G36" s="5"/>
      <c r="H36" s="5"/>
      <c r="I36" s="5"/>
      <c r="J36" s="5"/>
      <c r="K36" s="5"/>
      <c r="L36" s="5"/>
      <c r="M36" s="25"/>
      <c r="N36" s="24"/>
      <c r="O36" s="5"/>
      <c r="P36" s="5"/>
      <c r="Q36" s="5"/>
      <c r="R36" s="5"/>
      <c r="S36" s="5"/>
      <c r="T36" s="5"/>
      <c r="U36" s="25"/>
      <c r="V36" s="24"/>
      <c r="W36" s="5"/>
      <c r="X36" s="5"/>
      <c r="Y36" s="5"/>
      <c r="Z36" s="5"/>
      <c r="AA36" s="5"/>
      <c r="AB36" s="5"/>
      <c r="AC36" s="25"/>
      <c r="AD36" s="24"/>
      <c r="AE36" s="5"/>
      <c r="AF36" s="5"/>
      <c r="AG36" s="5"/>
      <c r="AH36" s="5"/>
      <c r="AI36" s="5"/>
      <c r="AJ36" s="5"/>
      <c r="AK36" s="25"/>
      <c r="AL36" s="5">
        <v>82</v>
      </c>
      <c r="AM36" s="8">
        <v>1</v>
      </c>
      <c r="AN36" s="8"/>
      <c r="AO36" s="8"/>
      <c r="AP36" s="8">
        <f t="shared" si="0"/>
        <v>0</v>
      </c>
      <c r="AQ36">
        <v>3</v>
      </c>
      <c r="AR36" s="76">
        <f t="shared" si="1"/>
        <v>0</v>
      </c>
    </row>
    <row r="37" spans="1:44">
      <c r="A37" s="8">
        <v>85</v>
      </c>
      <c r="B37" s="8" t="s">
        <v>93</v>
      </c>
      <c r="C37" s="8" t="s">
        <v>12</v>
      </c>
      <c r="D37" s="8" t="s">
        <v>6</v>
      </c>
      <c r="E37" s="8">
        <v>85</v>
      </c>
      <c r="F37" s="24"/>
      <c r="G37" s="5">
        <v>1</v>
      </c>
      <c r="H37" s="5">
        <v>1</v>
      </c>
      <c r="I37" s="5">
        <v>1</v>
      </c>
      <c r="J37" s="5">
        <v>1</v>
      </c>
      <c r="K37" s="5">
        <v>1</v>
      </c>
      <c r="L37" s="5">
        <v>1</v>
      </c>
      <c r="M37" s="25">
        <v>1</v>
      </c>
      <c r="N37" s="24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25"/>
      <c r="V37" s="24">
        <v>1</v>
      </c>
      <c r="W37" s="5">
        <v>1</v>
      </c>
      <c r="X37" s="5">
        <v>1</v>
      </c>
      <c r="Y37" s="5"/>
      <c r="Z37" s="5"/>
      <c r="AA37" s="5">
        <v>1</v>
      </c>
      <c r="AB37" s="5">
        <v>1</v>
      </c>
      <c r="AC37" s="25">
        <v>1</v>
      </c>
      <c r="AD37" s="24">
        <v>1</v>
      </c>
      <c r="AE37" s="5">
        <v>1</v>
      </c>
      <c r="AF37" s="5">
        <v>1</v>
      </c>
      <c r="AG37" s="5">
        <v>1</v>
      </c>
      <c r="AH37" s="5">
        <v>1</v>
      </c>
      <c r="AI37" s="5"/>
      <c r="AJ37" s="5">
        <v>1</v>
      </c>
      <c r="AK37" s="25">
        <v>1</v>
      </c>
      <c r="AL37" s="5">
        <v>85</v>
      </c>
      <c r="AM37" s="8"/>
      <c r="AN37" s="8">
        <v>1</v>
      </c>
      <c r="AO37" s="8">
        <v>1</v>
      </c>
      <c r="AP37" s="8">
        <f t="shared" si="0"/>
        <v>27</v>
      </c>
      <c r="AQ37">
        <v>31</v>
      </c>
      <c r="AR37" s="76">
        <f t="shared" si="1"/>
        <v>0.87096774193548387</v>
      </c>
    </row>
    <row r="38" spans="1:44">
      <c r="A38" s="8">
        <v>86</v>
      </c>
      <c r="B38" s="8" t="s">
        <v>44</v>
      </c>
      <c r="C38" s="8" t="s">
        <v>349</v>
      </c>
      <c r="D38" s="8" t="s">
        <v>6</v>
      </c>
      <c r="E38" s="8">
        <v>86</v>
      </c>
      <c r="F38" s="24"/>
      <c r="G38" s="5">
        <v>1</v>
      </c>
      <c r="H38" s="5">
        <v>1</v>
      </c>
      <c r="I38" s="5">
        <v>1</v>
      </c>
      <c r="J38" s="5">
        <v>1</v>
      </c>
      <c r="K38" s="5"/>
      <c r="L38" s="5"/>
      <c r="M38" s="25">
        <v>1</v>
      </c>
      <c r="N38" s="24"/>
      <c r="O38" s="5"/>
      <c r="P38" s="5">
        <v>1</v>
      </c>
      <c r="Q38" s="5">
        <v>1</v>
      </c>
      <c r="R38" s="5"/>
      <c r="S38" s="5">
        <v>1</v>
      </c>
      <c r="T38" s="5">
        <v>1</v>
      </c>
      <c r="U38" s="25"/>
      <c r="V38" s="24"/>
      <c r="W38" s="5"/>
      <c r="X38" s="5">
        <v>1</v>
      </c>
      <c r="Y38" s="5">
        <v>1</v>
      </c>
      <c r="Z38" s="5">
        <v>1</v>
      </c>
      <c r="AA38" s="5">
        <v>1</v>
      </c>
      <c r="AB38" s="5">
        <v>1</v>
      </c>
      <c r="AC38" s="25">
        <v>1</v>
      </c>
      <c r="AD38" s="24">
        <v>1</v>
      </c>
      <c r="AE38" s="5">
        <v>1</v>
      </c>
      <c r="AF38" s="5">
        <v>1</v>
      </c>
      <c r="AG38" s="5">
        <v>1</v>
      </c>
      <c r="AH38" s="5"/>
      <c r="AI38" s="5"/>
      <c r="AJ38" s="5"/>
      <c r="AK38" s="25"/>
      <c r="AL38" s="5">
        <v>86</v>
      </c>
      <c r="AM38" s="8"/>
      <c r="AN38" s="8">
        <v>1</v>
      </c>
      <c r="AO38" s="8">
        <v>2</v>
      </c>
      <c r="AP38" s="8">
        <f t="shared" si="0"/>
        <v>19</v>
      </c>
      <c r="AQ38">
        <v>23</v>
      </c>
      <c r="AR38" s="76">
        <f t="shared" si="1"/>
        <v>0.82608695652173914</v>
      </c>
    </row>
    <row r="39" spans="1:44">
      <c r="A39" s="8">
        <v>88</v>
      </c>
      <c r="B39" s="8" t="s">
        <v>55</v>
      </c>
      <c r="C39" s="8" t="s">
        <v>346</v>
      </c>
      <c r="D39" s="8"/>
      <c r="E39" s="8">
        <v>88</v>
      </c>
      <c r="F39" s="24"/>
      <c r="G39" s="5"/>
      <c r="H39" s="5"/>
      <c r="I39" s="5"/>
      <c r="J39" s="5"/>
      <c r="K39" s="5"/>
      <c r="L39" s="5"/>
      <c r="M39" s="25"/>
      <c r="N39" s="24"/>
      <c r="O39" s="5"/>
      <c r="P39" s="5"/>
      <c r="Q39" s="5"/>
      <c r="R39" s="5"/>
      <c r="S39" s="5"/>
      <c r="T39" s="5"/>
      <c r="U39" s="25"/>
      <c r="V39" s="24"/>
      <c r="W39" s="5"/>
      <c r="X39" s="5"/>
      <c r="Y39" s="5"/>
      <c r="Z39" s="5"/>
      <c r="AA39" s="5"/>
      <c r="AB39" s="5"/>
      <c r="AC39" s="25"/>
      <c r="AD39" s="24"/>
      <c r="AE39" s="5"/>
      <c r="AF39" s="5"/>
      <c r="AG39" s="5"/>
      <c r="AH39" s="5"/>
      <c r="AI39" s="5"/>
      <c r="AJ39" s="5"/>
      <c r="AK39" s="25"/>
      <c r="AL39" s="5">
        <v>88</v>
      </c>
      <c r="AM39" s="8">
        <v>1</v>
      </c>
      <c r="AN39" s="8"/>
      <c r="AO39" s="8"/>
      <c r="AP39" s="8">
        <f t="shared" si="0"/>
        <v>0</v>
      </c>
      <c r="AQ39">
        <v>20</v>
      </c>
      <c r="AR39" s="76">
        <f t="shared" si="1"/>
        <v>0</v>
      </c>
    </row>
    <row r="40" spans="1:44">
      <c r="A40" s="8">
        <v>93</v>
      </c>
      <c r="B40" s="8" t="s">
        <v>63</v>
      </c>
      <c r="C40" s="8" t="s">
        <v>346</v>
      </c>
      <c r="D40" s="8"/>
      <c r="E40" s="8">
        <v>93</v>
      </c>
      <c r="F40" s="24"/>
      <c r="G40" s="5"/>
      <c r="H40" s="5"/>
      <c r="I40" s="5"/>
      <c r="J40" s="5"/>
      <c r="K40" s="5"/>
      <c r="L40" s="5"/>
      <c r="M40" s="25"/>
      <c r="N40" s="24"/>
      <c r="O40" s="5"/>
      <c r="P40" s="5"/>
      <c r="Q40" s="5"/>
      <c r="R40" s="5"/>
      <c r="S40" s="5"/>
      <c r="T40" s="5"/>
      <c r="U40" s="25"/>
      <c r="V40" s="24"/>
      <c r="W40" s="5"/>
      <c r="X40" s="5"/>
      <c r="Y40" s="5"/>
      <c r="Z40" s="5"/>
      <c r="AA40" s="5"/>
      <c r="AB40" s="5"/>
      <c r="AC40" s="25"/>
      <c r="AD40" s="24"/>
      <c r="AE40" s="5"/>
      <c r="AF40" s="5"/>
      <c r="AG40" s="5"/>
      <c r="AH40" s="5"/>
      <c r="AI40" s="5"/>
      <c r="AJ40" s="5"/>
      <c r="AK40" s="25"/>
      <c r="AL40" s="5">
        <v>93</v>
      </c>
      <c r="AM40" s="8">
        <v>1</v>
      </c>
      <c r="AN40" s="8"/>
      <c r="AO40" s="8"/>
      <c r="AP40" s="8">
        <f t="shared" si="0"/>
        <v>0</v>
      </c>
      <c r="AQ40">
        <v>10</v>
      </c>
      <c r="AR40" s="76">
        <f t="shared" si="1"/>
        <v>0</v>
      </c>
    </row>
    <row r="41" spans="1:44">
      <c r="A41" s="8">
        <v>95</v>
      </c>
      <c r="B41" s="8" t="s">
        <v>53</v>
      </c>
      <c r="C41" s="8" t="s">
        <v>346</v>
      </c>
      <c r="D41" s="8"/>
      <c r="E41" s="8">
        <v>95</v>
      </c>
      <c r="F41" s="24"/>
      <c r="G41" s="5"/>
      <c r="H41" s="5"/>
      <c r="I41" s="5">
        <v>1</v>
      </c>
      <c r="J41" s="5"/>
      <c r="K41" s="5"/>
      <c r="L41" s="5"/>
      <c r="M41" s="25"/>
      <c r="N41" s="24"/>
      <c r="O41" s="5"/>
      <c r="P41" s="5"/>
      <c r="Q41" s="5"/>
      <c r="R41" s="5">
        <v>1</v>
      </c>
      <c r="S41" s="5"/>
      <c r="T41" s="5"/>
      <c r="U41" s="25"/>
      <c r="V41" s="24"/>
      <c r="W41" s="5"/>
      <c r="X41" s="5"/>
      <c r="Y41" s="5">
        <v>1</v>
      </c>
      <c r="Z41" s="5">
        <v>1</v>
      </c>
      <c r="AA41" s="5"/>
      <c r="AB41" s="5"/>
      <c r="AC41" s="25"/>
      <c r="AD41" s="24"/>
      <c r="AE41" s="5"/>
      <c r="AF41" s="5">
        <v>1</v>
      </c>
      <c r="AG41" s="5">
        <v>1</v>
      </c>
      <c r="AH41" s="5">
        <v>1</v>
      </c>
      <c r="AI41" s="5"/>
      <c r="AJ41" s="5"/>
      <c r="AK41" s="25"/>
      <c r="AL41" s="5">
        <v>95</v>
      </c>
      <c r="AM41" s="8"/>
      <c r="AN41" s="8">
        <v>1</v>
      </c>
      <c r="AO41" s="8">
        <v>1</v>
      </c>
      <c r="AP41" s="8">
        <f t="shared" si="0"/>
        <v>7</v>
      </c>
      <c r="AQ41">
        <v>23</v>
      </c>
      <c r="AR41" s="76">
        <f t="shared" si="1"/>
        <v>0.30434782608695654</v>
      </c>
    </row>
    <row r="42" spans="1:44">
      <c r="A42" s="8">
        <v>97</v>
      </c>
      <c r="B42" s="8" t="s">
        <v>44</v>
      </c>
      <c r="C42" s="8" t="s">
        <v>349</v>
      </c>
      <c r="D42" s="8" t="s">
        <v>42</v>
      </c>
      <c r="E42" s="8">
        <v>97</v>
      </c>
      <c r="F42" s="24"/>
      <c r="G42" s="5"/>
      <c r="H42" s="5"/>
      <c r="I42" s="5"/>
      <c r="J42" s="5"/>
      <c r="K42" s="5"/>
      <c r="L42" s="5"/>
      <c r="M42" s="25"/>
      <c r="N42" s="24"/>
      <c r="O42" s="5"/>
      <c r="P42" s="5"/>
      <c r="Q42" s="5"/>
      <c r="R42" s="5"/>
      <c r="S42" s="5"/>
      <c r="T42" s="5">
        <v>1</v>
      </c>
      <c r="U42" s="25">
        <v>1</v>
      </c>
      <c r="V42" s="24"/>
      <c r="W42" s="5"/>
      <c r="X42" s="5"/>
      <c r="Y42" s="5"/>
      <c r="Z42" s="5">
        <v>1</v>
      </c>
      <c r="AA42" s="5">
        <v>1</v>
      </c>
      <c r="AB42" s="5"/>
      <c r="AC42" s="25"/>
      <c r="AD42" s="24"/>
      <c r="AE42" s="5"/>
      <c r="AF42" s="5">
        <v>1</v>
      </c>
      <c r="AG42" s="5"/>
      <c r="AH42" s="5"/>
      <c r="AI42" s="5"/>
      <c r="AJ42" s="5"/>
      <c r="AK42" s="25"/>
      <c r="AL42" s="5">
        <v>97</v>
      </c>
      <c r="AM42" s="8"/>
      <c r="AN42" s="8">
        <v>1</v>
      </c>
      <c r="AO42" s="8">
        <v>2</v>
      </c>
      <c r="AP42" s="8">
        <f t="shared" si="0"/>
        <v>5</v>
      </c>
      <c r="AQ42">
        <v>27</v>
      </c>
      <c r="AR42" s="76">
        <f t="shared" si="1"/>
        <v>0.18518518518518517</v>
      </c>
    </row>
    <row r="43" spans="1:44">
      <c r="A43" s="8">
        <v>98</v>
      </c>
      <c r="B43" s="8" t="s">
        <v>62</v>
      </c>
      <c r="C43" s="8" t="s">
        <v>42</v>
      </c>
      <c r="D43" s="8" t="s">
        <v>42</v>
      </c>
      <c r="E43" s="8">
        <v>98</v>
      </c>
      <c r="F43" s="24"/>
      <c r="G43" s="5"/>
      <c r="H43" s="5"/>
      <c r="I43" s="5"/>
      <c r="J43" s="5"/>
      <c r="K43" s="5"/>
      <c r="L43" s="5"/>
      <c r="M43" s="25"/>
      <c r="N43" s="24"/>
      <c r="O43" s="5"/>
      <c r="P43" s="5"/>
      <c r="Q43" s="5"/>
      <c r="R43" s="5"/>
      <c r="S43" s="5"/>
      <c r="T43" s="5"/>
      <c r="U43" s="25"/>
      <c r="V43" s="24"/>
      <c r="W43" s="5"/>
      <c r="X43" s="5"/>
      <c r="Y43" s="5"/>
      <c r="Z43" s="5"/>
      <c r="AA43" s="5"/>
      <c r="AB43" s="5">
        <v>1</v>
      </c>
      <c r="AC43" s="25">
        <v>1</v>
      </c>
      <c r="AD43" s="24">
        <v>1</v>
      </c>
      <c r="AE43" s="5">
        <v>1</v>
      </c>
      <c r="AF43" s="5">
        <v>1</v>
      </c>
      <c r="AG43" s="5">
        <v>1</v>
      </c>
      <c r="AH43" s="5">
        <v>1</v>
      </c>
      <c r="AI43" s="5">
        <v>1</v>
      </c>
      <c r="AJ43" s="5">
        <v>1</v>
      </c>
      <c r="AK43" s="25">
        <v>1</v>
      </c>
      <c r="AL43" s="5">
        <v>98</v>
      </c>
      <c r="AM43" s="8"/>
      <c r="AN43" s="8">
        <v>1</v>
      </c>
      <c r="AO43" s="8">
        <v>1</v>
      </c>
      <c r="AP43" s="8">
        <f t="shared" si="0"/>
        <v>10</v>
      </c>
      <c r="AQ43">
        <v>10</v>
      </c>
      <c r="AR43" s="76">
        <f t="shared" si="1"/>
        <v>1</v>
      </c>
    </row>
    <row r="44" spans="1:44">
      <c r="A44" s="8">
        <v>100</v>
      </c>
      <c r="B44" s="8" t="s">
        <v>62</v>
      </c>
      <c r="C44" s="8" t="s">
        <v>42</v>
      </c>
      <c r="D44" s="8" t="s">
        <v>42</v>
      </c>
      <c r="E44" s="8">
        <v>100</v>
      </c>
      <c r="F44" s="24">
        <v>1</v>
      </c>
      <c r="G44" s="5">
        <v>1</v>
      </c>
      <c r="H44" s="5">
        <v>1</v>
      </c>
      <c r="I44" s="5">
        <v>1</v>
      </c>
      <c r="J44" s="5">
        <v>1</v>
      </c>
      <c r="K44" s="5">
        <v>1</v>
      </c>
      <c r="L44" s="5">
        <v>1</v>
      </c>
      <c r="M44" s="25">
        <v>1</v>
      </c>
      <c r="N44" s="24">
        <v>1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s="5">
        <v>1</v>
      </c>
      <c r="U44" s="25"/>
      <c r="V44" s="24">
        <v>1</v>
      </c>
      <c r="W44" s="5">
        <v>1</v>
      </c>
      <c r="X44" s="5">
        <v>1</v>
      </c>
      <c r="Y44" s="5">
        <v>1</v>
      </c>
      <c r="Z44" s="5">
        <v>1</v>
      </c>
      <c r="AA44" s="5">
        <v>1</v>
      </c>
      <c r="AB44" s="5">
        <v>1</v>
      </c>
      <c r="AC44" s="25">
        <v>1</v>
      </c>
      <c r="AD44" s="24">
        <v>1</v>
      </c>
      <c r="AE44" s="5">
        <v>1</v>
      </c>
      <c r="AF44" s="5">
        <v>1</v>
      </c>
      <c r="AG44" s="5">
        <v>1</v>
      </c>
      <c r="AH44" s="5">
        <v>1</v>
      </c>
      <c r="AI44" s="5">
        <v>1</v>
      </c>
      <c r="AJ44" s="5">
        <v>1</v>
      </c>
      <c r="AK44" s="25">
        <v>1</v>
      </c>
      <c r="AL44" s="5">
        <v>100</v>
      </c>
      <c r="AM44" s="8"/>
      <c r="AN44" s="8">
        <v>1</v>
      </c>
      <c r="AO44" s="8">
        <v>1</v>
      </c>
      <c r="AP44" s="8">
        <f t="shared" si="0"/>
        <v>31</v>
      </c>
      <c r="AQ44">
        <v>32</v>
      </c>
      <c r="AR44" s="76">
        <f t="shared" si="1"/>
        <v>0.96875</v>
      </c>
    </row>
    <row r="45" spans="1:44">
      <c r="A45" s="8">
        <v>104</v>
      </c>
      <c r="B45" s="8" t="s">
        <v>106</v>
      </c>
      <c r="C45" s="8" t="s">
        <v>349</v>
      </c>
      <c r="D45" s="8" t="s">
        <v>42</v>
      </c>
      <c r="E45" s="8">
        <v>104</v>
      </c>
      <c r="F45" s="24"/>
      <c r="G45" s="5"/>
      <c r="H45" s="5"/>
      <c r="I45" s="5"/>
      <c r="J45" s="5"/>
      <c r="K45" s="5"/>
      <c r="L45" s="5"/>
      <c r="M45" s="25"/>
      <c r="N45" s="24"/>
      <c r="O45" s="5"/>
      <c r="P45" s="5"/>
      <c r="Q45" s="5"/>
      <c r="R45" s="5"/>
      <c r="S45" s="5"/>
      <c r="T45" s="5"/>
      <c r="U45" s="25"/>
      <c r="V45" s="24"/>
      <c r="W45" s="5"/>
      <c r="X45" s="5"/>
      <c r="Y45" s="5"/>
      <c r="Z45" s="5"/>
      <c r="AA45" s="5"/>
      <c r="AB45" s="5"/>
      <c r="AC45" s="25"/>
      <c r="AD45" s="24">
        <v>1</v>
      </c>
      <c r="AE45" s="5">
        <v>1</v>
      </c>
      <c r="AF45" s="5"/>
      <c r="AG45" s="5"/>
      <c r="AH45" s="5"/>
      <c r="AI45" s="5"/>
      <c r="AJ45" s="5"/>
      <c r="AK45" s="25"/>
      <c r="AL45" s="5">
        <v>104</v>
      </c>
      <c r="AM45" s="8"/>
      <c r="AN45" s="8">
        <v>1</v>
      </c>
      <c r="AO45" s="8">
        <v>1</v>
      </c>
      <c r="AP45" s="8">
        <f t="shared" si="0"/>
        <v>2</v>
      </c>
      <c r="AQ45">
        <v>18</v>
      </c>
      <c r="AR45" s="76">
        <f t="shared" si="1"/>
        <v>0.1111111111111111</v>
      </c>
    </row>
    <row r="46" spans="1:44">
      <c r="A46" s="8">
        <v>105</v>
      </c>
      <c r="B46" s="8" t="s">
        <v>55</v>
      </c>
      <c r="C46" s="8" t="s">
        <v>346</v>
      </c>
      <c r="D46" s="8"/>
      <c r="E46" s="8">
        <v>105</v>
      </c>
      <c r="F46" s="24"/>
      <c r="G46" s="5"/>
      <c r="H46" s="5"/>
      <c r="I46" s="5"/>
      <c r="J46" s="5"/>
      <c r="K46" s="5"/>
      <c r="L46" s="5"/>
      <c r="M46" s="25"/>
      <c r="N46" s="24"/>
      <c r="O46" s="5"/>
      <c r="P46" s="5"/>
      <c r="Q46" s="5"/>
      <c r="R46" s="5"/>
      <c r="S46" s="5"/>
      <c r="T46" s="5"/>
      <c r="U46" s="25"/>
      <c r="V46" s="24"/>
      <c r="W46" s="5"/>
      <c r="X46" s="5"/>
      <c r="Y46" s="5"/>
      <c r="Z46" s="5"/>
      <c r="AA46" s="5"/>
      <c r="AB46" s="5"/>
      <c r="AC46" s="25"/>
      <c r="AD46" s="24"/>
      <c r="AE46" s="5"/>
      <c r="AF46" s="5"/>
      <c r="AG46" s="5"/>
      <c r="AH46" s="5"/>
      <c r="AI46" s="5"/>
      <c r="AJ46" s="5"/>
      <c r="AK46" s="25"/>
      <c r="AL46" s="5">
        <v>105</v>
      </c>
      <c r="AM46" s="8">
        <v>1</v>
      </c>
      <c r="AN46" s="8"/>
      <c r="AO46" s="8"/>
      <c r="AP46" s="8">
        <f t="shared" si="0"/>
        <v>0</v>
      </c>
      <c r="AQ46">
        <v>20</v>
      </c>
      <c r="AR46" s="76">
        <f t="shared" si="1"/>
        <v>0</v>
      </c>
    </row>
    <row r="47" spans="1:44">
      <c r="A47" s="8">
        <v>106</v>
      </c>
      <c r="B47" s="8" t="s">
        <v>55</v>
      </c>
      <c r="C47" s="8" t="s">
        <v>346</v>
      </c>
      <c r="D47" s="8"/>
      <c r="E47" s="8">
        <v>106</v>
      </c>
      <c r="F47" s="24"/>
      <c r="G47" s="5"/>
      <c r="H47" s="5"/>
      <c r="I47" s="5"/>
      <c r="J47" s="5"/>
      <c r="K47" s="5"/>
      <c r="L47" s="5"/>
      <c r="M47" s="25"/>
      <c r="N47" s="24"/>
      <c r="O47" s="5"/>
      <c r="P47" s="5"/>
      <c r="Q47" s="5"/>
      <c r="R47" s="5"/>
      <c r="S47" s="5"/>
      <c r="T47" s="5"/>
      <c r="U47" s="25"/>
      <c r="V47" s="24"/>
      <c r="W47" s="5"/>
      <c r="X47" s="5"/>
      <c r="Y47" s="5"/>
      <c r="Z47" s="5"/>
      <c r="AA47" s="5"/>
      <c r="AB47" s="5"/>
      <c r="AC47" s="25"/>
      <c r="AD47" s="24"/>
      <c r="AE47" s="5"/>
      <c r="AF47" s="5"/>
      <c r="AG47" s="5"/>
      <c r="AH47" s="5"/>
      <c r="AI47" s="5"/>
      <c r="AJ47" s="5"/>
      <c r="AK47" s="25"/>
      <c r="AL47" s="5">
        <v>106</v>
      </c>
      <c r="AM47" s="8">
        <v>1</v>
      </c>
      <c r="AN47" s="8"/>
      <c r="AO47" s="8"/>
      <c r="AP47" s="8">
        <f t="shared" si="0"/>
        <v>0</v>
      </c>
      <c r="AQ47">
        <v>19</v>
      </c>
      <c r="AR47" s="76">
        <f t="shared" si="1"/>
        <v>0</v>
      </c>
    </row>
    <row r="48" spans="1:44">
      <c r="A48" s="8">
        <v>108</v>
      </c>
      <c r="B48" s="8" t="s">
        <v>99</v>
      </c>
      <c r="C48" s="8" t="s">
        <v>346</v>
      </c>
      <c r="D48" s="8"/>
      <c r="E48" s="8">
        <v>108</v>
      </c>
      <c r="F48" s="24"/>
      <c r="G48" s="5"/>
      <c r="H48" s="5"/>
      <c r="I48" s="5"/>
      <c r="J48" s="5"/>
      <c r="K48" s="5">
        <v>1</v>
      </c>
      <c r="L48" s="5"/>
      <c r="M48" s="25"/>
      <c r="N48" s="24"/>
      <c r="O48" s="5"/>
      <c r="P48" s="5"/>
      <c r="Q48" s="5"/>
      <c r="R48" s="5"/>
      <c r="S48" s="5"/>
      <c r="T48" s="5"/>
      <c r="U48" s="25"/>
      <c r="V48" s="24"/>
      <c r="W48" s="5"/>
      <c r="X48" s="5"/>
      <c r="Y48" s="5"/>
      <c r="Z48" s="5"/>
      <c r="AA48" s="5"/>
      <c r="AB48" s="5"/>
      <c r="AC48" s="25"/>
      <c r="AD48" s="24"/>
      <c r="AE48" s="5"/>
      <c r="AF48" s="5"/>
      <c r="AG48" s="5"/>
      <c r="AH48" s="5"/>
      <c r="AI48" s="5"/>
      <c r="AJ48" s="5"/>
      <c r="AK48" s="25"/>
      <c r="AL48" s="5">
        <v>108</v>
      </c>
      <c r="AM48" s="8"/>
      <c r="AN48" s="8">
        <v>1</v>
      </c>
      <c r="AO48" s="8">
        <v>1</v>
      </c>
      <c r="AP48" s="8">
        <f t="shared" si="0"/>
        <v>1</v>
      </c>
      <c r="AQ48">
        <v>17</v>
      </c>
      <c r="AR48" s="76">
        <f t="shared" si="1"/>
        <v>5.8823529411764705E-2</v>
      </c>
    </row>
    <row r="49" spans="1:44">
      <c r="A49" s="8">
        <v>109</v>
      </c>
      <c r="B49" s="8" t="s">
        <v>107</v>
      </c>
      <c r="C49" s="8" t="s">
        <v>358</v>
      </c>
      <c r="D49" s="8" t="s">
        <v>6</v>
      </c>
      <c r="E49" s="8">
        <v>109</v>
      </c>
      <c r="F49" s="24"/>
      <c r="G49" s="5"/>
      <c r="H49" s="5">
        <v>1</v>
      </c>
      <c r="I49" s="5">
        <v>1</v>
      </c>
      <c r="J49" s="5">
        <v>1</v>
      </c>
      <c r="K49" s="5">
        <v>1</v>
      </c>
      <c r="L49" s="5">
        <v>1</v>
      </c>
      <c r="M49" s="25">
        <v>1</v>
      </c>
      <c r="N49" s="24">
        <v>1</v>
      </c>
      <c r="O49" s="5">
        <v>1</v>
      </c>
      <c r="P49" s="5">
        <v>1</v>
      </c>
      <c r="Q49" s="5">
        <v>1</v>
      </c>
      <c r="R49" s="5"/>
      <c r="S49" s="5">
        <v>1</v>
      </c>
      <c r="T49" s="5"/>
      <c r="U49" s="25"/>
      <c r="V49" s="24"/>
      <c r="W49" s="5"/>
      <c r="X49" s="5">
        <v>1</v>
      </c>
      <c r="Y49" s="5"/>
      <c r="Z49" s="5">
        <v>1</v>
      </c>
      <c r="AA49" s="5">
        <v>1</v>
      </c>
      <c r="AB49" s="5">
        <v>1</v>
      </c>
      <c r="AC49" s="25">
        <v>1</v>
      </c>
      <c r="AD49" s="24">
        <v>1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25"/>
      <c r="AL49" s="5">
        <v>109</v>
      </c>
      <c r="AM49" s="8"/>
      <c r="AN49" s="8">
        <v>1</v>
      </c>
      <c r="AO49" s="8">
        <v>2</v>
      </c>
      <c r="AP49" s="8">
        <f t="shared" si="0"/>
        <v>23</v>
      </c>
      <c r="AQ49">
        <v>27</v>
      </c>
      <c r="AR49" s="76">
        <f t="shared" si="1"/>
        <v>0.85185185185185186</v>
      </c>
    </row>
    <row r="50" spans="1:44">
      <c r="A50" s="8">
        <v>112</v>
      </c>
      <c r="B50" s="8" t="s">
        <v>62</v>
      </c>
      <c r="C50" s="8" t="s">
        <v>42</v>
      </c>
      <c r="D50" s="8" t="s">
        <v>42</v>
      </c>
      <c r="E50" s="8">
        <v>112</v>
      </c>
      <c r="F50" s="24"/>
      <c r="G50" s="5"/>
      <c r="H50" s="5"/>
      <c r="I50" s="5"/>
      <c r="J50" s="5"/>
      <c r="K50" s="5"/>
      <c r="L50" s="5"/>
      <c r="M50" s="25"/>
      <c r="N50" s="24"/>
      <c r="O50" s="5"/>
      <c r="P50" s="5"/>
      <c r="Q50" s="5"/>
      <c r="R50" s="5"/>
      <c r="S50" s="5"/>
      <c r="T50" s="5"/>
      <c r="U50" s="25">
        <v>1</v>
      </c>
      <c r="V50" s="24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25">
        <v>1</v>
      </c>
      <c r="AD50" s="24">
        <v>1</v>
      </c>
      <c r="AE50" s="5">
        <v>1</v>
      </c>
      <c r="AF50" s="5">
        <v>1</v>
      </c>
      <c r="AG50" s="5">
        <v>1</v>
      </c>
      <c r="AH50" s="5">
        <v>1</v>
      </c>
      <c r="AI50" s="5">
        <v>1</v>
      </c>
      <c r="AJ50" s="5">
        <v>1</v>
      </c>
      <c r="AK50" s="25">
        <v>1</v>
      </c>
      <c r="AL50" s="5">
        <v>112</v>
      </c>
      <c r="AM50" s="8"/>
      <c r="AN50" s="8">
        <v>1</v>
      </c>
      <c r="AO50" s="8">
        <v>2</v>
      </c>
      <c r="AP50" s="8">
        <f t="shared" si="0"/>
        <v>17</v>
      </c>
      <c r="AQ50">
        <v>25</v>
      </c>
      <c r="AR50" s="76">
        <f t="shared" si="1"/>
        <v>0.68</v>
      </c>
    </row>
    <row r="51" spans="1:44">
      <c r="A51" s="8">
        <v>115</v>
      </c>
      <c r="B51" s="8" t="s">
        <v>68</v>
      </c>
      <c r="C51" s="8" t="s">
        <v>357</v>
      </c>
      <c r="D51" s="8"/>
      <c r="E51" s="8">
        <v>115</v>
      </c>
      <c r="F51" s="24"/>
      <c r="G51" s="5"/>
      <c r="H51" s="5"/>
      <c r="I51" s="5"/>
      <c r="J51" s="5"/>
      <c r="K51" s="5"/>
      <c r="L51" s="5">
        <v>1</v>
      </c>
      <c r="M51" s="25"/>
      <c r="N51" s="24"/>
      <c r="O51" s="5">
        <v>1</v>
      </c>
      <c r="P51" s="5"/>
      <c r="Q51" s="5"/>
      <c r="R51" s="5"/>
      <c r="S51" s="5"/>
      <c r="T51" s="5"/>
      <c r="U51" s="25"/>
      <c r="V51" s="24"/>
      <c r="W51" s="5"/>
      <c r="X51" s="5"/>
      <c r="Y51" s="5">
        <v>1</v>
      </c>
      <c r="Z51" s="5"/>
      <c r="AA51" s="5"/>
      <c r="AB51" s="5"/>
      <c r="AC51" s="25">
        <v>1</v>
      </c>
      <c r="AD51" s="24">
        <v>1</v>
      </c>
      <c r="AE51" s="5">
        <v>1</v>
      </c>
      <c r="AF51" s="5"/>
      <c r="AG51" s="5"/>
      <c r="AH51" s="5">
        <v>1</v>
      </c>
      <c r="AI51" s="5">
        <v>1</v>
      </c>
      <c r="AJ51" s="5"/>
      <c r="AK51" s="25"/>
      <c r="AL51" s="5">
        <v>115</v>
      </c>
      <c r="AM51" s="8"/>
      <c r="AN51" s="8">
        <v>1</v>
      </c>
      <c r="AO51" s="8">
        <v>1</v>
      </c>
      <c r="AP51" s="8">
        <f t="shared" si="0"/>
        <v>8</v>
      </c>
      <c r="AQ51">
        <v>22</v>
      </c>
      <c r="AR51" s="76">
        <f t="shared" si="1"/>
        <v>0.36363636363636365</v>
      </c>
    </row>
    <row r="52" spans="1:44">
      <c r="A52" s="8">
        <v>116</v>
      </c>
      <c r="B52" s="8" t="s">
        <v>62</v>
      </c>
      <c r="C52" s="8" t="s">
        <v>42</v>
      </c>
      <c r="D52" s="8" t="s">
        <v>42</v>
      </c>
      <c r="E52" s="8">
        <v>116</v>
      </c>
      <c r="F52" s="24">
        <v>1</v>
      </c>
      <c r="G52" s="5"/>
      <c r="H52" s="5">
        <v>1</v>
      </c>
      <c r="I52" s="5">
        <v>1</v>
      </c>
      <c r="J52" s="5">
        <v>1</v>
      </c>
      <c r="K52" s="5">
        <v>1</v>
      </c>
      <c r="L52" s="5">
        <v>1</v>
      </c>
      <c r="M52" s="25">
        <v>1</v>
      </c>
      <c r="N52" s="24">
        <v>1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s="5"/>
      <c r="U52" s="25"/>
      <c r="V52" s="24"/>
      <c r="W52" s="5">
        <v>1</v>
      </c>
      <c r="X52" s="5">
        <v>1</v>
      </c>
      <c r="Y52" s="5"/>
      <c r="Z52" s="5"/>
      <c r="AA52" s="5">
        <v>1</v>
      </c>
      <c r="AB52" s="5">
        <v>1</v>
      </c>
      <c r="AC52" s="25"/>
      <c r="AD52" s="24">
        <v>1</v>
      </c>
      <c r="AE52" s="5">
        <v>1</v>
      </c>
      <c r="AF52" s="5">
        <v>1</v>
      </c>
      <c r="AG52" s="5">
        <v>1</v>
      </c>
      <c r="AH52" s="5"/>
      <c r="AI52" s="5">
        <v>1</v>
      </c>
      <c r="AJ52" s="5"/>
      <c r="AK52" s="25"/>
      <c r="AL52" s="5">
        <v>116</v>
      </c>
      <c r="AM52" s="8"/>
      <c r="AN52" s="8">
        <v>1</v>
      </c>
      <c r="AO52" s="8">
        <v>2</v>
      </c>
      <c r="AP52" s="8">
        <f t="shared" si="0"/>
        <v>22</v>
      </c>
      <c r="AQ52">
        <v>22</v>
      </c>
      <c r="AR52" s="76">
        <f t="shared" si="1"/>
        <v>1</v>
      </c>
    </row>
    <row r="53" spans="1:44">
      <c r="A53" s="8">
        <v>117</v>
      </c>
      <c r="B53" s="8" t="s">
        <v>55</v>
      </c>
      <c r="C53" s="8" t="s">
        <v>346</v>
      </c>
      <c r="D53" s="8"/>
      <c r="E53" s="8">
        <v>117</v>
      </c>
      <c r="F53" s="24"/>
      <c r="G53" s="5"/>
      <c r="H53" s="5"/>
      <c r="I53" s="5"/>
      <c r="J53" s="5"/>
      <c r="K53" s="5"/>
      <c r="L53" s="5"/>
      <c r="M53" s="25"/>
      <c r="N53" s="24"/>
      <c r="O53" s="5"/>
      <c r="P53" s="5"/>
      <c r="Q53" s="5"/>
      <c r="R53" s="5">
        <v>1</v>
      </c>
      <c r="S53" s="5"/>
      <c r="T53" s="5"/>
      <c r="U53" s="25"/>
      <c r="V53" s="24"/>
      <c r="W53" s="5"/>
      <c r="X53" s="5"/>
      <c r="Y53" s="5"/>
      <c r="Z53" s="5"/>
      <c r="AA53" s="5"/>
      <c r="AB53" s="5"/>
      <c r="AC53" s="25"/>
      <c r="AD53" s="24"/>
      <c r="AE53" s="5"/>
      <c r="AF53" s="5"/>
      <c r="AG53" s="5"/>
      <c r="AH53" s="5"/>
      <c r="AI53" s="5"/>
      <c r="AJ53" s="5"/>
      <c r="AK53" s="25"/>
      <c r="AL53" s="5">
        <v>117</v>
      </c>
      <c r="AM53" s="8"/>
      <c r="AN53" s="8">
        <v>1</v>
      </c>
      <c r="AO53" s="8">
        <v>1</v>
      </c>
      <c r="AP53" s="8">
        <f t="shared" si="0"/>
        <v>1</v>
      </c>
      <c r="AQ53">
        <v>19</v>
      </c>
      <c r="AR53" s="76">
        <f t="shared" si="1"/>
        <v>5.2631578947368418E-2</v>
      </c>
    </row>
    <row r="54" spans="1:44">
      <c r="A54" s="8">
        <v>120</v>
      </c>
      <c r="B54" s="8" t="s">
        <v>73</v>
      </c>
      <c r="C54" s="8" t="s">
        <v>165</v>
      </c>
      <c r="D54" s="8" t="s">
        <v>42</v>
      </c>
      <c r="E54" s="8">
        <v>120</v>
      </c>
      <c r="F54" s="24"/>
      <c r="G54" s="5"/>
      <c r="H54" s="5"/>
      <c r="I54" s="5"/>
      <c r="J54" s="5"/>
      <c r="K54" s="5">
        <v>1</v>
      </c>
      <c r="L54" s="5">
        <v>1</v>
      </c>
      <c r="M54" s="25">
        <v>1</v>
      </c>
      <c r="N54" s="24">
        <v>1</v>
      </c>
      <c r="O54" s="5">
        <v>1</v>
      </c>
      <c r="P54" s="5">
        <v>1</v>
      </c>
      <c r="Q54" s="5"/>
      <c r="R54" s="5"/>
      <c r="S54" s="5"/>
      <c r="T54" s="5"/>
      <c r="U54" s="25">
        <v>1</v>
      </c>
      <c r="V54" s="24"/>
      <c r="W54" s="5"/>
      <c r="X54" s="5"/>
      <c r="Y54" s="5"/>
      <c r="Z54" s="5"/>
      <c r="AA54" s="5"/>
      <c r="AB54" s="5"/>
      <c r="AC54" s="25"/>
      <c r="AD54" s="24"/>
      <c r="AE54" s="5">
        <v>1</v>
      </c>
      <c r="AF54" s="5">
        <v>1</v>
      </c>
      <c r="AG54" s="5">
        <v>1</v>
      </c>
      <c r="AH54" s="5">
        <v>1</v>
      </c>
      <c r="AI54" s="5">
        <v>1</v>
      </c>
      <c r="AJ54" s="5">
        <v>1</v>
      </c>
      <c r="AK54" s="25">
        <v>1</v>
      </c>
      <c r="AL54" s="5">
        <v>120</v>
      </c>
      <c r="AM54" s="8"/>
      <c r="AN54" s="8">
        <v>1</v>
      </c>
      <c r="AO54" s="8">
        <v>2</v>
      </c>
      <c r="AP54" s="8">
        <f t="shared" si="0"/>
        <v>14</v>
      </c>
      <c r="AQ54">
        <v>18</v>
      </c>
      <c r="AR54" s="76">
        <f t="shared" si="1"/>
        <v>0.77777777777777779</v>
      </c>
    </row>
    <row r="55" spans="1:44">
      <c r="A55" s="8">
        <v>121</v>
      </c>
      <c r="B55" s="8" t="s">
        <v>113</v>
      </c>
      <c r="C55" s="8" t="s">
        <v>357</v>
      </c>
      <c r="D55" s="8"/>
      <c r="E55" s="8">
        <v>121</v>
      </c>
      <c r="F55" s="24"/>
      <c r="G55" s="5">
        <v>1</v>
      </c>
      <c r="H55" s="5">
        <v>1</v>
      </c>
      <c r="I55" s="5">
        <v>1</v>
      </c>
      <c r="J55" s="5">
        <v>1</v>
      </c>
      <c r="K55" s="5">
        <v>1</v>
      </c>
      <c r="L55" s="5">
        <v>1</v>
      </c>
      <c r="M55" s="25">
        <v>1</v>
      </c>
      <c r="N55" s="24">
        <v>1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s="5">
        <v>1</v>
      </c>
      <c r="U55" s="25"/>
      <c r="V55" s="24"/>
      <c r="W55" s="5"/>
      <c r="X55" s="5">
        <v>1</v>
      </c>
      <c r="Y55" s="5">
        <v>1</v>
      </c>
      <c r="Z55" s="5"/>
      <c r="AA55" s="5">
        <v>1</v>
      </c>
      <c r="AB55" s="5">
        <v>1</v>
      </c>
      <c r="AC55" s="25">
        <v>1</v>
      </c>
      <c r="AD55" s="24">
        <v>1</v>
      </c>
      <c r="AE55" s="5">
        <v>1</v>
      </c>
      <c r="AF55" s="5">
        <v>1</v>
      </c>
      <c r="AG55" s="5">
        <v>1</v>
      </c>
      <c r="AH55" s="5">
        <v>1</v>
      </c>
      <c r="AI55" s="5">
        <v>1</v>
      </c>
      <c r="AJ55" s="5">
        <v>1</v>
      </c>
      <c r="AK55" s="25"/>
      <c r="AL55" s="5">
        <v>121</v>
      </c>
      <c r="AM55" s="8"/>
      <c r="AN55" s="8">
        <v>1</v>
      </c>
      <c r="AO55" s="8">
        <v>2</v>
      </c>
      <c r="AP55" s="8">
        <f t="shared" si="0"/>
        <v>26</v>
      </c>
      <c r="AQ55">
        <v>28</v>
      </c>
      <c r="AR55" s="76">
        <f t="shared" si="1"/>
        <v>0.9285714285714286</v>
      </c>
    </row>
    <row r="56" spans="1:44">
      <c r="A56" s="8">
        <v>122</v>
      </c>
      <c r="B56" s="8" t="s">
        <v>115</v>
      </c>
      <c r="C56" s="8" t="s">
        <v>357</v>
      </c>
      <c r="D56" s="8" t="s">
        <v>6</v>
      </c>
      <c r="E56" s="8">
        <v>122</v>
      </c>
      <c r="F56" s="24"/>
      <c r="G56" s="5"/>
      <c r="H56" s="5"/>
      <c r="I56" s="5"/>
      <c r="J56" s="5">
        <v>1</v>
      </c>
      <c r="K56" s="5">
        <v>1</v>
      </c>
      <c r="L56" s="5">
        <v>1</v>
      </c>
      <c r="M56" s="25">
        <v>1</v>
      </c>
      <c r="N56" s="24">
        <v>1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s="5">
        <v>1</v>
      </c>
      <c r="U56" s="25"/>
      <c r="V56" s="24"/>
      <c r="W56" s="5"/>
      <c r="X56" s="5">
        <v>1</v>
      </c>
      <c r="Y56" s="5"/>
      <c r="Z56" s="5"/>
      <c r="AA56" s="5">
        <v>1</v>
      </c>
      <c r="AB56" s="5">
        <v>1</v>
      </c>
      <c r="AC56" s="25">
        <v>1</v>
      </c>
      <c r="AD56" s="24">
        <v>1</v>
      </c>
      <c r="AE56" s="5">
        <v>1</v>
      </c>
      <c r="AF56" s="5">
        <v>1</v>
      </c>
      <c r="AG56" s="5"/>
      <c r="AH56" s="5"/>
      <c r="AI56" s="5">
        <v>1</v>
      </c>
      <c r="AJ56" s="5"/>
      <c r="AK56" s="25"/>
      <c r="AL56" s="5">
        <v>122</v>
      </c>
      <c r="AM56" s="8"/>
      <c r="AN56" s="8">
        <v>1</v>
      </c>
      <c r="AO56" s="8">
        <v>1</v>
      </c>
      <c r="AP56" s="8">
        <f t="shared" si="0"/>
        <v>19</v>
      </c>
      <c r="AQ56">
        <v>28</v>
      </c>
      <c r="AR56" s="76">
        <f t="shared" si="1"/>
        <v>0.6785714285714286</v>
      </c>
    </row>
    <row r="57" spans="1:44">
      <c r="A57" s="8">
        <v>125</v>
      </c>
      <c r="B57" s="8" t="s">
        <v>78</v>
      </c>
      <c r="C57" s="8" t="s">
        <v>359</v>
      </c>
      <c r="D57" s="8"/>
      <c r="E57" s="8">
        <v>125</v>
      </c>
      <c r="F57" s="24"/>
      <c r="G57" s="5"/>
      <c r="H57" s="5"/>
      <c r="I57" s="5"/>
      <c r="J57" s="5"/>
      <c r="K57" s="5"/>
      <c r="L57" s="5"/>
      <c r="M57" s="25"/>
      <c r="N57" s="24"/>
      <c r="O57" s="5"/>
      <c r="P57" s="5"/>
      <c r="Q57" s="5"/>
      <c r="R57" s="5"/>
      <c r="S57" s="5"/>
      <c r="T57" s="5"/>
      <c r="U57" s="25"/>
      <c r="V57" s="24"/>
      <c r="W57" s="5"/>
      <c r="X57" s="5"/>
      <c r="Y57" s="5"/>
      <c r="Z57" s="5"/>
      <c r="AA57" s="5"/>
      <c r="AB57" s="5"/>
      <c r="AC57" s="25"/>
      <c r="AD57" s="24"/>
      <c r="AE57" s="5"/>
      <c r="AF57" s="5"/>
      <c r="AG57" s="5"/>
      <c r="AH57" s="5"/>
      <c r="AI57" s="5"/>
      <c r="AJ57" s="5"/>
      <c r="AK57" s="25"/>
      <c r="AL57" s="5">
        <v>125</v>
      </c>
      <c r="AM57" s="8">
        <v>1</v>
      </c>
      <c r="AN57" s="8"/>
      <c r="AO57" s="8"/>
      <c r="AP57" s="8">
        <f t="shared" si="0"/>
        <v>0</v>
      </c>
      <c r="AQ57">
        <v>17</v>
      </c>
      <c r="AR57" s="76">
        <f t="shared" si="1"/>
        <v>0</v>
      </c>
    </row>
    <row r="58" spans="1:44">
      <c r="A58" s="8">
        <v>127</v>
      </c>
      <c r="B58" s="8" t="s">
        <v>62</v>
      </c>
      <c r="C58" s="8" t="s">
        <v>42</v>
      </c>
      <c r="D58" s="8" t="s">
        <v>42</v>
      </c>
      <c r="E58" s="8">
        <v>127</v>
      </c>
      <c r="F58" s="24">
        <v>1</v>
      </c>
      <c r="G58" s="5">
        <v>1</v>
      </c>
      <c r="H58" s="5">
        <v>1</v>
      </c>
      <c r="I58" s="5">
        <v>1</v>
      </c>
      <c r="J58" s="5">
        <v>1</v>
      </c>
      <c r="K58" s="5">
        <v>1</v>
      </c>
      <c r="L58" s="5">
        <v>1</v>
      </c>
      <c r="M58" s="25">
        <v>1</v>
      </c>
      <c r="N58" s="24">
        <v>1</v>
      </c>
      <c r="O58" s="5">
        <v>1</v>
      </c>
      <c r="P58" s="5">
        <v>1</v>
      </c>
      <c r="Q58" s="5"/>
      <c r="R58" s="5">
        <v>1</v>
      </c>
      <c r="S58" s="5">
        <v>1</v>
      </c>
      <c r="T58" s="5">
        <v>1</v>
      </c>
      <c r="U58" s="25">
        <v>1</v>
      </c>
      <c r="V58" s="24">
        <v>1</v>
      </c>
      <c r="W58" s="5">
        <v>1</v>
      </c>
      <c r="X58" s="5">
        <v>1</v>
      </c>
      <c r="Y58" s="5">
        <v>1</v>
      </c>
      <c r="Z58" s="5">
        <v>1</v>
      </c>
      <c r="AA58" s="5">
        <v>1</v>
      </c>
      <c r="AB58" s="5">
        <v>1</v>
      </c>
      <c r="AC58" s="25">
        <v>1</v>
      </c>
      <c r="AD58" s="24">
        <v>1</v>
      </c>
      <c r="AE58" s="5">
        <v>1</v>
      </c>
      <c r="AF58" s="5">
        <v>1</v>
      </c>
      <c r="AG58" s="5">
        <v>1</v>
      </c>
      <c r="AH58" s="5">
        <v>1</v>
      </c>
      <c r="AI58" s="5">
        <v>1</v>
      </c>
      <c r="AJ58" s="5">
        <v>1</v>
      </c>
      <c r="AK58" s="25">
        <v>1</v>
      </c>
      <c r="AL58" s="5">
        <v>127</v>
      </c>
      <c r="AM58" s="8"/>
      <c r="AN58" s="8">
        <v>1</v>
      </c>
      <c r="AO58" s="8">
        <v>1</v>
      </c>
      <c r="AP58" s="8">
        <f t="shared" si="0"/>
        <v>31</v>
      </c>
      <c r="AQ58">
        <v>32</v>
      </c>
      <c r="AR58" s="76">
        <f t="shared" si="1"/>
        <v>0.96875</v>
      </c>
    </row>
    <row r="59" spans="1:44">
      <c r="A59" s="8">
        <v>129</v>
      </c>
      <c r="B59" s="8" t="s">
        <v>88</v>
      </c>
      <c r="C59" s="8" t="s">
        <v>12</v>
      </c>
      <c r="D59" s="8" t="s">
        <v>6</v>
      </c>
      <c r="E59" s="8">
        <v>129</v>
      </c>
      <c r="F59" s="24"/>
      <c r="G59" s="5"/>
      <c r="H59" s="5">
        <v>1</v>
      </c>
      <c r="I59" s="5"/>
      <c r="J59" s="5"/>
      <c r="K59" s="5">
        <v>1</v>
      </c>
      <c r="L59" s="5">
        <v>1</v>
      </c>
      <c r="M59" s="25">
        <v>1</v>
      </c>
      <c r="N59" s="24">
        <v>1</v>
      </c>
      <c r="O59" s="5">
        <v>1</v>
      </c>
      <c r="P59" s="5">
        <v>1</v>
      </c>
      <c r="Q59" s="5"/>
      <c r="R59" s="5"/>
      <c r="S59" s="5">
        <v>1</v>
      </c>
      <c r="T59" s="5"/>
      <c r="U59" s="25"/>
      <c r="V59" s="24"/>
      <c r="W59" s="5"/>
      <c r="X59" s="5">
        <v>1</v>
      </c>
      <c r="Y59" s="5">
        <v>1</v>
      </c>
      <c r="Z59" s="5">
        <v>1</v>
      </c>
      <c r="AA59" s="5">
        <v>1</v>
      </c>
      <c r="AB59" s="5">
        <v>1</v>
      </c>
      <c r="AC59" s="25">
        <v>1</v>
      </c>
      <c r="AD59" s="24">
        <v>1</v>
      </c>
      <c r="AE59" s="5">
        <v>1</v>
      </c>
      <c r="AF59" s="5">
        <v>1</v>
      </c>
      <c r="AG59" s="5"/>
      <c r="AH59" s="5"/>
      <c r="AI59" s="5"/>
      <c r="AJ59" s="5"/>
      <c r="AK59" s="25"/>
      <c r="AL59" s="5">
        <v>129</v>
      </c>
      <c r="AM59" s="8"/>
      <c r="AN59" s="8">
        <v>1</v>
      </c>
      <c r="AO59" s="8">
        <v>1</v>
      </c>
      <c r="AP59" s="8">
        <f t="shared" si="0"/>
        <v>17</v>
      </c>
      <c r="AQ59">
        <v>26</v>
      </c>
      <c r="AR59" s="76">
        <f t="shared" si="1"/>
        <v>0.65384615384615385</v>
      </c>
    </row>
    <row r="60" spans="1:44">
      <c r="A60" s="8">
        <v>130</v>
      </c>
      <c r="B60" s="8" t="s">
        <v>41</v>
      </c>
      <c r="C60" s="8" t="s">
        <v>42</v>
      </c>
      <c r="D60" s="8" t="s">
        <v>42</v>
      </c>
      <c r="E60" s="8">
        <v>130</v>
      </c>
      <c r="F60" s="24"/>
      <c r="G60" s="5">
        <v>1</v>
      </c>
      <c r="H60" s="5">
        <v>1</v>
      </c>
      <c r="I60" s="5">
        <v>1</v>
      </c>
      <c r="J60" s="5">
        <v>1</v>
      </c>
      <c r="K60" s="5">
        <v>1</v>
      </c>
      <c r="L60" s="5">
        <v>1</v>
      </c>
      <c r="M60" s="25">
        <v>1</v>
      </c>
      <c r="N60" s="24">
        <v>1</v>
      </c>
      <c r="O60" s="5">
        <v>1</v>
      </c>
      <c r="P60" s="5">
        <v>1</v>
      </c>
      <c r="Q60" s="5">
        <v>1</v>
      </c>
      <c r="R60" s="5"/>
      <c r="S60" s="5">
        <v>1</v>
      </c>
      <c r="T60" s="5">
        <v>1</v>
      </c>
      <c r="U60" s="25"/>
      <c r="V60" s="24">
        <v>1</v>
      </c>
      <c r="W60" s="5">
        <v>1</v>
      </c>
      <c r="X60" s="5">
        <v>1</v>
      </c>
      <c r="Y60" s="5">
        <v>1</v>
      </c>
      <c r="Z60" s="5">
        <v>1</v>
      </c>
      <c r="AA60" s="5">
        <v>1</v>
      </c>
      <c r="AB60" s="5">
        <v>1</v>
      </c>
      <c r="AC60" s="25">
        <v>1</v>
      </c>
      <c r="AD60" s="24">
        <v>1</v>
      </c>
      <c r="AE60" s="5">
        <v>1</v>
      </c>
      <c r="AF60" s="5">
        <v>1</v>
      </c>
      <c r="AG60" s="5">
        <v>1</v>
      </c>
      <c r="AH60" s="5">
        <v>1</v>
      </c>
      <c r="AI60" s="5">
        <v>1</v>
      </c>
      <c r="AJ60" s="5">
        <v>1</v>
      </c>
      <c r="AK60" s="25"/>
      <c r="AL60" s="5">
        <v>130</v>
      </c>
      <c r="AM60" s="8"/>
      <c r="AN60" s="8">
        <v>1</v>
      </c>
      <c r="AO60" s="8">
        <v>1</v>
      </c>
      <c r="AP60" s="8">
        <f t="shared" si="0"/>
        <v>28</v>
      </c>
      <c r="AQ60">
        <v>30</v>
      </c>
      <c r="AR60" s="76">
        <f t="shared" si="1"/>
        <v>0.93333333333333335</v>
      </c>
    </row>
    <row r="61" spans="1:44">
      <c r="A61" s="8">
        <v>131</v>
      </c>
      <c r="B61" s="8" t="s">
        <v>63</v>
      </c>
      <c r="C61" s="8" t="s">
        <v>346</v>
      </c>
      <c r="D61" s="8"/>
      <c r="E61" s="8">
        <v>131</v>
      </c>
      <c r="F61" s="24"/>
      <c r="G61" s="5"/>
      <c r="H61" s="5"/>
      <c r="I61" s="5"/>
      <c r="J61" s="5"/>
      <c r="K61" s="5"/>
      <c r="L61" s="5"/>
      <c r="M61" s="25"/>
      <c r="N61" s="24"/>
      <c r="O61" s="5"/>
      <c r="P61" s="5"/>
      <c r="Q61" s="5"/>
      <c r="R61" s="5"/>
      <c r="S61" s="5"/>
      <c r="T61" s="5"/>
      <c r="U61" s="25"/>
      <c r="V61" s="24"/>
      <c r="W61" s="5"/>
      <c r="X61" s="5"/>
      <c r="Y61" s="5"/>
      <c r="Z61" s="5"/>
      <c r="AA61" s="5"/>
      <c r="AB61" s="5"/>
      <c r="AC61" s="25"/>
      <c r="AD61" s="24"/>
      <c r="AE61" s="5"/>
      <c r="AF61" s="5"/>
      <c r="AG61" s="5"/>
      <c r="AH61" s="5"/>
      <c r="AI61" s="5"/>
      <c r="AJ61" s="5"/>
      <c r="AK61" s="25"/>
      <c r="AL61" s="5">
        <v>131</v>
      </c>
      <c r="AM61" s="8">
        <v>1</v>
      </c>
      <c r="AN61" s="8"/>
      <c r="AO61" s="8"/>
      <c r="AP61" s="8">
        <f t="shared" si="0"/>
        <v>0</v>
      </c>
      <c r="AQ61">
        <v>3</v>
      </c>
      <c r="AR61" s="76">
        <f t="shared" si="1"/>
        <v>0</v>
      </c>
    </row>
    <row r="62" spans="1:44">
      <c r="A62" s="8">
        <v>132</v>
      </c>
      <c r="B62" s="8" t="s">
        <v>99</v>
      </c>
      <c r="C62" s="8" t="s">
        <v>346</v>
      </c>
      <c r="D62" s="8"/>
      <c r="E62" s="8">
        <v>132</v>
      </c>
      <c r="F62" s="24"/>
      <c r="G62" s="5"/>
      <c r="H62" s="5"/>
      <c r="I62" s="5">
        <v>1</v>
      </c>
      <c r="J62" s="5">
        <v>1</v>
      </c>
      <c r="K62" s="5"/>
      <c r="L62" s="5"/>
      <c r="M62" s="25"/>
      <c r="N62" s="24"/>
      <c r="O62" s="5"/>
      <c r="P62" s="5"/>
      <c r="Q62" s="5"/>
      <c r="R62" s="5"/>
      <c r="S62" s="5"/>
      <c r="T62" s="5"/>
      <c r="U62" s="25"/>
      <c r="V62" s="24"/>
      <c r="W62" s="5"/>
      <c r="X62" s="5"/>
      <c r="Y62" s="5"/>
      <c r="Z62" s="5"/>
      <c r="AA62" s="5"/>
      <c r="AB62" s="5"/>
      <c r="AC62" s="25"/>
      <c r="AD62" s="24"/>
      <c r="AE62" s="5"/>
      <c r="AF62" s="5"/>
      <c r="AG62" s="5">
        <v>1</v>
      </c>
      <c r="AH62" s="5"/>
      <c r="AI62" s="5"/>
      <c r="AJ62" s="5"/>
      <c r="AK62" s="25"/>
      <c r="AL62" s="5">
        <v>132</v>
      </c>
      <c r="AM62" s="8"/>
      <c r="AN62" s="8">
        <v>1</v>
      </c>
      <c r="AO62" s="8">
        <v>1</v>
      </c>
      <c r="AP62" s="8">
        <f t="shared" si="0"/>
        <v>3</v>
      </c>
      <c r="AQ62">
        <v>20</v>
      </c>
      <c r="AR62" s="76">
        <f t="shared" si="1"/>
        <v>0.15</v>
      </c>
    </row>
    <row r="63" spans="1:44">
      <c r="A63" s="8">
        <v>133</v>
      </c>
      <c r="B63" s="8" t="s">
        <v>41</v>
      </c>
      <c r="C63" s="8" t="s">
        <v>42</v>
      </c>
      <c r="D63" s="8" t="s">
        <v>6</v>
      </c>
      <c r="E63" s="8">
        <v>133</v>
      </c>
      <c r="F63" s="24"/>
      <c r="G63" s="5">
        <v>1</v>
      </c>
      <c r="H63" s="5">
        <v>1</v>
      </c>
      <c r="I63" s="5">
        <v>1</v>
      </c>
      <c r="J63" s="5">
        <v>1</v>
      </c>
      <c r="K63" s="5">
        <v>1</v>
      </c>
      <c r="L63" s="5"/>
      <c r="M63" s="25">
        <v>1</v>
      </c>
      <c r="N63" s="24"/>
      <c r="O63" s="5">
        <v>1</v>
      </c>
      <c r="P63" s="5">
        <v>1</v>
      </c>
      <c r="Q63" s="5"/>
      <c r="R63" s="5"/>
      <c r="S63" s="5">
        <v>1</v>
      </c>
      <c r="T63" s="5">
        <v>1</v>
      </c>
      <c r="U63" s="25"/>
      <c r="V63" s="24"/>
      <c r="W63" s="5"/>
      <c r="X63" s="5"/>
      <c r="Y63" s="5"/>
      <c r="Z63" s="5"/>
      <c r="AA63" s="5">
        <v>1</v>
      </c>
      <c r="AB63" s="5">
        <v>1</v>
      </c>
      <c r="AC63" s="25">
        <v>1</v>
      </c>
      <c r="AD63" s="24">
        <v>1</v>
      </c>
      <c r="AE63" s="5">
        <v>1</v>
      </c>
      <c r="AF63" s="5">
        <v>1</v>
      </c>
      <c r="AG63" s="5">
        <v>1</v>
      </c>
      <c r="AH63" s="5">
        <v>1</v>
      </c>
      <c r="AI63" s="5">
        <v>1</v>
      </c>
      <c r="AJ63" s="5">
        <v>1</v>
      </c>
      <c r="AK63" s="25"/>
      <c r="AL63" s="5">
        <v>133</v>
      </c>
      <c r="AM63" s="8"/>
      <c r="AN63" s="8">
        <v>1</v>
      </c>
      <c r="AO63" s="8">
        <v>1</v>
      </c>
      <c r="AP63" s="8">
        <f t="shared" si="0"/>
        <v>20</v>
      </c>
      <c r="AQ63">
        <v>26</v>
      </c>
      <c r="AR63" s="76">
        <f t="shared" si="1"/>
        <v>0.76923076923076927</v>
      </c>
    </row>
    <row r="64" spans="1:44">
      <c r="A64" s="8">
        <v>134</v>
      </c>
      <c r="B64" s="8" t="s">
        <v>74</v>
      </c>
      <c r="C64" s="8" t="s">
        <v>346</v>
      </c>
      <c r="D64" s="8"/>
      <c r="E64" s="8">
        <v>134</v>
      </c>
      <c r="F64" s="24"/>
      <c r="G64" s="5"/>
      <c r="H64" s="5"/>
      <c r="I64" s="5"/>
      <c r="J64" s="5">
        <v>1</v>
      </c>
      <c r="K64" s="5"/>
      <c r="L64" s="5"/>
      <c r="M64" s="25"/>
      <c r="N64" s="24">
        <v>1</v>
      </c>
      <c r="O64" s="5"/>
      <c r="P64" s="5">
        <v>1</v>
      </c>
      <c r="Q64" s="5"/>
      <c r="R64" s="5"/>
      <c r="S64" s="5"/>
      <c r="T64" s="5"/>
      <c r="U64" s="25"/>
      <c r="V64" s="24"/>
      <c r="W64" s="5"/>
      <c r="X64" s="5"/>
      <c r="Y64" s="5"/>
      <c r="Z64" s="5"/>
      <c r="AA64" s="5"/>
      <c r="AB64" s="5">
        <v>1</v>
      </c>
      <c r="AC64" s="25">
        <v>1</v>
      </c>
      <c r="AD64" s="24"/>
      <c r="AE64" s="5"/>
      <c r="AF64" s="5"/>
      <c r="AG64" s="5"/>
      <c r="AH64" s="5"/>
      <c r="AI64" s="5"/>
      <c r="AJ64" s="5"/>
      <c r="AK64" s="25"/>
      <c r="AL64" s="5">
        <v>134</v>
      </c>
      <c r="AM64" s="8"/>
      <c r="AN64" s="8">
        <v>1</v>
      </c>
      <c r="AO64" s="8">
        <v>1</v>
      </c>
      <c r="AP64" s="8">
        <f t="shared" si="0"/>
        <v>5</v>
      </c>
      <c r="AQ64">
        <v>20</v>
      </c>
      <c r="AR64" s="76">
        <f t="shared" si="1"/>
        <v>0.25</v>
      </c>
    </row>
    <row r="65" spans="1:44">
      <c r="A65" s="8">
        <v>135</v>
      </c>
      <c r="B65" s="8" t="s">
        <v>63</v>
      </c>
      <c r="C65" s="8" t="s">
        <v>346</v>
      </c>
      <c r="D65" s="8"/>
      <c r="E65" s="8">
        <v>135</v>
      </c>
      <c r="F65" s="24"/>
      <c r="G65" s="5"/>
      <c r="H65" s="5"/>
      <c r="I65" s="5"/>
      <c r="J65" s="5"/>
      <c r="K65" s="5"/>
      <c r="L65" s="5"/>
      <c r="M65" s="25"/>
      <c r="N65" s="24"/>
      <c r="O65" s="5"/>
      <c r="P65" s="5"/>
      <c r="Q65" s="5"/>
      <c r="R65" s="5"/>
      <c r="S65" s="5"/>
      <c r="T65" s="5"/>
      <c r="U65" s="25"/>
      <c r="V65" s="24"/>
      <c r="W65" s="5"/>
      <c r="X65" s="5"/>
      <c r="Y65" s="5"/>
      <c r="Z65" s="5"/>
      <c r="AA65" s="5"/>
      <c r="AB65" s="5"/>
      <c r="AC65" s="25"/>
      <c r="AD65" s="24"/>
      <c r="AE65" s="5"/>
      <c r="AF65" s="5"/>
      <c r="AG65" s="5"/>
      <c r="AH65" s="5"/>
      <c r="AI65" s="5"/>
      <c r="AJ65" s="5"/>
      <c r="AK65" s="25"/>
      <c r="AL65" s="5">
        <v>135</v>
      </c>
      <c r="AM65" s="8">
        <v>1</v>
      </c>
      <c r="AN65" s="8"/>
      <c r="AO65" s="8"/>
      <c r="AP65" s="8">
        <f t="shared" si="0"/>
        <v>0</v>
      </c>
      <c r="AQ65">
        <v>12</v>
      </c>
      <c r="AR65" s="76">
        <f t="shared" si="1"/>
        <v>0</v>
      </c>
    </row>
    <row r="66" spans="1:44">
      <c r="A66" s="8">
        <v>136</v>
      </c>
      <c r="B66" s="8" t="s">
        <v>54</v>
      </c>
      <c r="C66" s="8" t="s">
        <v>345</v>
      </c>
      <c r="D66" s="8"/>
      <c r="E66" s="8">
        <v>136</v>
      </c>
      <c r="F66" s="24"/>
      <c r="G66" s="5"/>
      <c r="H66" s="5"/>
      <c r="I66" s="5"/>
      <c r="J66" s="5"/>
      <c r="K66" s="5"/>
      <c r="L66" s="5"/>
      <c r="M66" s="25"/>
      <c r="N66" s="24"/>
      <c r="O66" s="5"/>
      <c r="P66" s="5"/>
      <c r="Q66" s="5"/>
      <c r="R66" s="5"/>
      <c r="S66" s="5"/>
      <c r="T66" s="5"/>
      <c r="U66" s="25"/>
      <c r="V66" s="24"/>
      <c r="W66" s="5"/>
      <c r="X66" s="5"/>
      <c r="Y66" s="5"/>
      <c r="Z66" s="5"/>
      <c r="AA66" s="5"/>
      <c r="AB66" s="5"/>
      <c r="AC66" s="25"/>
      <c r="AD66" s="24"/>
      <c r="AE66" s="5"/>
      <c r="AF66" s="5"/>
      <c r="AG66" s="5"/>
      <c r="AH66" s="5"/>
      <c r="AI66" s="5"/>
      <c r="AJ66" s="5"/>
      <c r="AK66" s="25"/>
      <c r="AL66" s="5">
        <v>136</v>
      </c>
      <c r="AM66" s="8">
        <v>1</v>
      </c>
      <c r="AN66" s="8"/>
      <c r="AO66" s="8"/>
      <c r="AP66" s="8">
        <f t="shared" si="0"/>
        <v>0</v>
      </c>
      <c r="AQ66">
        <v>7</v>
      </c>
      <c r="AR66" s="76">
        <f t="shared" si="1"/>
        <v>0</v>
      </c>
    </row>
    <row r="67" spans="1:44">
      <c r="A67" s="8">
        <v>139</v>
      </c>
      <c r="B67" s="8" t="s">
        <v>123</v>
      </c>
      <c r="C67" s="8" t="s">
        <v>366</v>
      </c>
      <c r="D67" s="8" t="s">
        <v>42</v>
      </c>
      <c r="E67" s="8">
        <v>139</v>
      </c>
      <c r="F67" s="24"/>
      <c r="G67" s="5">
        <v>1</v>
      </c>
      <c r="H67" s="5"/>
      <c r="I67" s="5"/>
      <c r="J67" s="5"/>
      <c r="K67" s="5">
        <v>1</v>
      </c>
      <c r="L67" s="5">
        <v>1</v>
      </c>
      <c r="M67" s="25">
        <v>1</v>
      </c>
      <c r="N67" s="24">
        <v>1</v>
      </c>
      <c r="O67" s="5">
        <v>1</v>
      </c>
      <c r="P67" s="5">
        <v>1</v>
      </c>
      <c r="Q67" s="5"/>
      <c r="R67" s="5"/>
      <c r="S67" s="5"/>
      <c r="T67" s="5"/>
      <c r="U67" s="25"/>
      <c r="V67" s="24">
        <v>1</v>
      </c>
      <c r="W67" s="5">
        <v>1</v>
      </c>
      <c r="X67" s="5"/>
      <c r="Y67" s="5"/>
      <c r="Z67" s="5">
        <v>1</v>
      </c>
      <c r="AA67" s="5">
        <v>1</v>
      </c>
      <c r="AB67" s="5">
        <v>1</v>
      </c>
      <c r="AC67" s="25">
        <v>1</v>
      </c>
      <c r="AD67" s="24">
        <v>1</v>
      </c>
      <c r="AE67" s="5">
        <v>1</v>
      </c>
      <c r="AF67" s="5">
        <v>1</v>
      </c>
      <c r="AG67" s="5">
        <v>1</v>
      </c>
      <c r="AH67" s="5"/>
      <c r="AI67" s="5"/>
      <c r="AJ67" s="5"/>
      <c r="AK67" s="25">
        <v>1</v>
      </c>
      <c r="AL67" s="5">
        <v>139</v>
      </c>
      <c r="AM67" s="8"/>
      <c r="AN67" s="8">
        <v>1</v>
      </c>
      <c r="AO67" s="8">
        <v>1</v>
      </c>
      <c r="AP67" s="8">
        <f t="shared" si="0"/>
        <v>18</v>
      </c>
      <c r="AQ67">
        <v>32</v>
      </c>
      <c r="AR67" s="76">
        <f t="shared" si="1"/>
        <v>0.5625</v>
      </c>
    </row>
    <row r="68" spans="1:44">
      <c r="A68" s="8">
        <v>140</v>
      </c>
      <c r="B68" s="8" t="s">
        <v>216</v>
      </c>
      <c r="C68" s="8" t="s">
        <v>42</v>
      </c>
      <c r="D68" s="8" t="s">
        <v>42</v>
      </c>
      <c r="E68" s="8">
        <v>140</v>
      </c>
      <c r="F68" s="24"/>
      <c r="G68" s="5"/>
      <c r="H68" s="5"/>
      <c r="I68" s="5"/>
      <c r="J68" s="5"/>
      <c r="K68" s="5"/>
      <c r="L68" s="5"/>
      <c r="M68" s="25"/>
      <c r="N68" s="24"/>
      <c r="O68" s="5"/>
      <c r="P68" s="5"/>
      <c r="Q68" s="5"/>
      <c r="R68" s="5"/>
      <c r="S68" s="5"/>
      <c r="T68" s="5"/>
      <c r="U68" s="25"/>
      <c r="V68" s="24">
        <v>1</v>
      </c>
      <c r="W68" s="5">
        <v>1</v>
      </c>
      <c r="X68" s="5">
        <v>1</v>
      </c>
      <c r="Y68" s="5"/>
      <c r="Z68" s="5">
        <v>1</v>
      </c>
      <c r="AA68" s="5">
        <v>1</v>
      </c>
      <c r="AB68" s="5"/>
      <c r="AC68" s="25"/>
      <c r="AD68" s="24"/>
      <c r="AE68" s="5">
        <v>1</v>
      </c>
      <c r="AF68" s="5">
        <v>1</v>
      </c>
      <c r="AG68" s="5">
        <v>1</v>
      </c>
      <c r="AH68" s="5"/>
      <c r="AI68" s="5"/>
      <c r="AJ68" s="5"/>
      <c r="AK68" s="25"/>
      <c r="AL68" s="5">
        <v>140</v>
      </c>
      <c r="AM68" s="8"/>
      <c r="AN68" s="8">
        <v>1</v>
      </c>
      <c r="AO68" s="8">
        <v>3</v>
      </c>
      <c r="AP68" s="8">
        <f t="shared" si="0"/>
        <v>8</v>
      </c>
      <c r="AQ68">
        <v>9</v>
      </c>
      <c r="AR68" s="76">
        <f t="shared" si="1"/>
        <v>0.88888888888888884</v>
      </c>
    </row>
    <row r="69" spans="1:44">
      <c r="A69" s="8">
        <v>141</v>
      </c>
      <c r="B69" s="8" t="s">
        <v>65</v>
      </c>
      <c r="C69" s="8" t="s">
        <v>12</v>
      </c>
      <c r="D69" s="8" t="s">
        <v>6</v>
      </c>
      <c r="E69" s="8">
        <v>141</v>
      </c>
      <c r="F69" s="24">
        <v>1</v>
      </c>
      <c r="G69" s="5">
        <v>1</v>
      </c>
      <c r="H69" s="5">
        <v>1</v>
      </c>
      <c r="I69" s="5">
        <v>1</v>
      </c>
      <c r="J69" s="5">
        <v>1</v>
      </c>
      <c r="K69" s="5">
        <v>1</v>
      </c>
      <c r="L69" s="5">
        <v>1</v>
      </c>
      <c r="M69" s="25">
        <v>1</v>
      </c>
      <c r="N69" s="24"/>
      <c r="O69" s="5">
        <v>1</v>
      </c>
      <c r="P69" s="5">
        <v>1</v>
      </c>
      <c r="Q69" s="5">
        <v>1</v>
      </c>
      <c r="R69" s="5">
        <v>1</v>
      </c>
      <c r="S69" s="5">
        <v>1</v>
      </c>
      <c r="T69" s="5">
        <v>1</v>
      </c>
      <c r="U69" s="25">
        <v>1</v>
      </c>
      <c r="V69" s="24"/>
      <c r="W69" s="5">
        <v>1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25">
        <v>1</v>
      </c>
      <c r="AD69" s="24">
        <v>1</v>
      </c>
      <c r="AE69" s="5">
        <v>1</v>
      </c>
      <c r="AF69" s="5">
        <v>1</v>
      </c>
      <c r="AG69" s="5">
        <v>1</v>
      </c>
      <c r="AH69" s="5">
        <v>1</v>
      </c>
      <c r="AI69" s="5"/>
      <c r="AJ69" s="5">
        <v>1</v>
      </c>
      <c r="AK69" s="25">
        <v>1</v>
      </c>
      <c r="AL69" s="5">
        <v>141</v>
      </c>
      <c r="AM69" s="8"/>
      <c r="AN69" s="8">
        <v>1</v>
      </c>
      <c r="AO69" s="8">
        <v>2</v>
      </c>
      <c r="AP69" s="8">
        <f t="shared" ref="AP69:AP131" si="2">SUM(F69:AK69)</f>
        <v>29</v>
      </c>
      <c r="AQ69">
        <v>30</v>
      </c>
      <c r="AR69" s="76">
        <f t="shared" ref="AR69:AR132" si="3">AP69/AQ69</f>
        <v>0.96666666666666667</v>
      </c>
    </row>
    <row r="70" spans="1:44">
      <c r="A70" s="8">
        <v>142</v>
      </c>
      <c r="B70" s="8" t="s">
        <v>71</v>
      </c>
      <c r="C70" s="8" t="s">
        <v>366</v>
      </c>
      <c r="D70" s="8" t="s">
        <v>42</v>
      </c>
      <c r="E70" s="8">
        <v>142</v>
      </c>
      <c r="F70" s="24">
        <v>1</v>
      </c>
      <c r="G70" s="5"/>
      <c r="H70" s="5"/>
      <c r="I70" s="5">
        <v>1</v>
      </c>
      <c r="J70" s="5"/>
      <c r="K70" s="5">
        <v>1</v>
      </c>
      <c r="L70" s="5">
        <v>1</v>
      </c>
      <c r="M70" s="25">
        <v>1</v>
      </c>
      <c r="N70" s="24"/>
      <c r="O70" s="5">
        <v>1</v>
      </c>
      <c r="P70" s="5">
        <v>1</v>
      </c>
      <c r="Q70" s="5"/>
      <c r="R70" s="5"/>
      <c r="S70" s="5"/>
      <c r="T70" s="5">
        <v>1</v>
      </c>
      <c r="U70" s="25">
        <v>1</v>
      </c>
      <c r="V70" s="24"/>
      <c r="W70" s="5"/>
      <c r="X70" s="5"/>
      <c r="Y70" s="5"/>
      <c r="Z70" s="5"/>
      <c r="AA70" s="5"/>
      <c r="AB70" s="5">
        <v>1</v>
      </c>
      <c r="AC70" s="25">
        <v>1</v>
      </c>
      <c r="AD70" s="24">
        <v>1</v>
      </c>
      <c r="AE70" s="5">
        <v>1</v>
      </c>
      <c r="AF70" s="5"/>
      <c r="AG70" s="5"/>
      <c r="AH70" s="5"/>
      <c r="AI70" s="5"/>
      <c r="AJ70" s="5">
        <v>1</v>
      </c>
      <c r="AK70" s="25">
        <v>1</v>
      </c>
      <c r="AL70" s="5">
        <v>142</v>
      </c>
      <c r="AM70" s="8"/>
      <c r="AN70" s="8">
        <v>1</v>
      </c>
      <c r="AO70" s="8">
        <v>1</v>
      </c>
      <c r="AP70" s="8">
        <f t="shared" si="2"/>
        <v>15</v>
      </c>
      <c r="AQ70">
        <v>30</v>
      </c>
      <c r="AR70" s="76">
        <f t="shared" si="3"/>
        <v>0.5</v>
      </c>
    </row>
    <row r="71" spans="1:44">
      <c r="A71" s="8">
        <v>143</v>
      </c>
      <c r="B71" s="8" t="s">
        <v>106</v>
      </c>
      <c r="C71" s="8" t="s">
        <v>349</v>
      </c>
      <c r="D71" s="8" t="s">
        <v>42</v>
      </c>
      <c r="E71" s="8">
        <v>143</v>
      </c>
      <c r="F71" s="24"/>
      <c r="G71" s="5"/>
      <c r="H71" s="5"/>
      <c r="I71" s="5"/>
      <c r="J71" s="5"/>
      <c r="K71" s="5"/>
      <c r="L71" s="5"/>
      <c r="M71" s="25"/>
      <c r="N71" s="24"/>
      <c r="O71" s="5"/>
      <c r="P71" s="5"/>
      <c r="Q71" s="5"/>
      <c r="R71" s="5"/>
      <c r="S71" s="5"/>
      <c r="T71" s="5"/>
      <c r="U71" s="25"/>
      <c r="V71" s="24"/>
      <c r="W71" s="5"/>
      <c r="X71" s="5"/>
      <c r="Y71" s="5"/>
      <c r="Z71" s="5"/>
      <c r="AA71" s="5">
        <v>1</v>
      </c>
      <c r="AB71" s="5">
        <v>1</v>
      </c>
      <c r="AC71" s="25"/>
      <c r="AD71" s="24"/>
      <c r="AE71" s="5"/>
      <c r="AF71" s="5"/>
      <c r="AG71" s="5"/>
      <c r="AH71" s="5"/>
      <c r="AI71" s="5"/>
      <c r="AJ71" s="5"/>
      <c r="AK71" s="25"/>
      <c r="AL71" s="5">
        <v>143</v>
      </c>
      <c r="AM71" s="8"/>
      <c r="AN71" s="8">
        <v>1</v>
      </c>
      <c r="AO71" s="8">
        <v>1</v>
      </c>
      <c r="AP71" s="8">
        <f t="shared" si="2"/>
        <v>2</v>
      </c>
      <c r="AQ71">
        <v>6</v>
      </c>
      <c r="AR71" s="76">
        <f t="shared" si="3"/>
        <v>0.33333333333333331</v>
      </c>
    </row>
    <row r="72" spans="1:44">
      <c r="A72" s="8">
        <v>144</v>
      </c>
      <c r="B72" s="8" t="s">
        <v>80</v>
      </c>
      <c r="C72" s="8" t="s">
        <v>346</v>
      </c>
      <c r="D72" s="8"/>
      <c r="E72" s="8">
        <v>144</v>
      </c>
      <c r="F72" s="24"/>
      <c r="G72" s="5"/>
      <c r="H72" s="5"/>
      <c r="I72" s="5">
        <v>1</v>
      </c>
      <c r="J72" s="5">
        <v>1</v>
      </c>
      <c r="K72" s="5">
        <v>1</v>
      </c>
      <c r="L72" s="5"/>
      <c r="M72" s="25"/>
      <c r="N72" s="24"/>
      <c r="O72" s="5"/>
      <c r="P72" s="5">
        <v>1</v>
      </c>
      <c r="Q72" s="5"/>
      <c r="R72" s="5"/>
      <c r="S72" s="5"/>
      <c r="T72" s="5"/>
      <c r="U72" s="25"/>
      <c r="V72" s="24"/>
      <c r="W72" s="5"/>
      <c r="X72" s="5"/>
      <c r="Y72" s="5"/>
      <c r="Z72" s="5"/>
      <c r="AA72" s="5"/>
      <c r="AB72" s="5"/>
      <c r="AC72" s="25"/>
      <c r="AD72" s="24"/>
      <c r="AE72" s="5"/>
      <c r="AF72" s="5"/>
      <c r="AG72" s="5">
        <v>1</v>
      </c>
      <c r="AH72" s="5"/>
      <c r="AI72" s="5"/>
      <c r="AJ72" s="5"/>
      <c r="AK72" s="25"/>
      <c r="AL72" s="5">
        <v>144</v>
      </c>
      <c r="AM72" s="8"/>
      <c r="AN72" s="8">
        <v>1</v>
      </c>
      <c r="AO72" s="8">
        <v>1</v>
      </c>
      <c r="AP72" s="8">
        <f t="shared" si="2"/>
        <v>5</v>
      </c>
      <c r="AQ72">
        <v>20</v>
      </c>
      <c r="AR72" s="76">
        <f t="shared" si="3"/>
        <v>0.25</v>
      </c>
    </row>
    <row r="73" spans="1:44">
      <c r="A73" s="8">
        <v>145</v>
      </c>
      <c r="B73" s="8" t="s">
        <v>63</v>
      </c>
      <c r="C73" s="8" t="s">
        <v>346</v>
      </c>
      <c r="D73" s="8"/>
      <c r="E73" s="8">
        <v>145</v>
      </c>
      <c r="F73" s="24"/>
      <c r="G73" s="5"/>
      <c r="H73" s="5"/>
      <c r="I73" s="5"/>
      <c r="J73" s="5"/>
      <c r="K73" s="5"/>
      <c r="L73" s="5"/>
      <c r="M73" s="25"/>
      <c r="N73" s="24"/>
      <c r="O73" s="5"/>
      <c r="P73" s="5"/>
      <c r="Q73" s="5"/>
      <c r="R73" s="5"/>
      <c r="S73" s="5"/>
      <c r="T73" s="5"/>
      <c r="U73" s="25"/>
      <c r="V73" s="24"/>
      <c r="W73" s="5"/>
      <c r="X73" s="5"/>
      <c r="Y73" s="5"/>
      <c r="Z73" s="5"/>
      <c r="AA73" s="5"/>
      <c r="AB73" s="5"/>
      <c r="AC73" s="25"/>
      <c r="AD73" s="24"/>
      <c r="AE73" s="5"/>
      <c r="AF73" s="5"/>
      <c r="AG73" s="5"/>
      <c r="AH73" s="5"/>
      <c r="AI73" s="5"/>
      <c r="AJ73" s="5"/>
      <c r="AK73" s="25"/>
      <c r="AL73" s="5">
        <v>145</v>
      </c>
      <c r="AM73" s="8">
        <v>1</v>
      </c>
      <c r="AN73" s="8"/>
      <c r="AO73" s="8"/>
      <c r="AP73" s="8">
        <f t="shared" si="2"/>
        <v>0</v>
      </c>
      <c r="AQ73">
        <v>11</v>
      </c>
      <c r="AR73" s="76">
        <f t="shared" si="3"/>
        <v>0</v>
      </c>
    </row>
    <row r="74" spans="1:44">
      <c r="A74" s="8">
        <v>147</v>
      </c>
      <c r="B74" s="8" t="s">
        <v>68</v>
      </c>
      <c r="C74" s="8" t="s">
        <v>357</v>
      </c>
      <c r="D74" s="8" t="s">
        <v>15</v>
      </c>
      <c r="E74" s="8">
        <v>147</v>
      </c>
      <c r="F74" s="24"/>
      <c r="G74" s="5"/>
      <c r="H74" s="5">
        <v>1</v>
      </c>
      <c r="I74" s="5">
        <v>1</v>
      </c>
      <c r="J74" s="5"/>
      <c r="K74" s="5"/>
      <c r="L74" s="5"/>
      <c r="M74" s="25"/>
      <c r="N74" s="24"/>
      <c r="O74" s="5"/>
      <c r="P74" s="5"/>
      <c r="Q74" s="5"/>
      <c r="R74" s="5">
        <v>1</v>
      </c>
      <c r="S74" s="5">
        <v>1</v>
      </c>
      <c r="T74" s="5"/>
      <c r="U74" s="25"/>
      <c r="V74" s="24"/>
      <c r="W74" s="5"/>
      <c r="X74" s="5">
        <v>1</v>
      </c>
      <c r="Y74" s="5"/>
      <c r="Z74" s="5"/>
      <c r="AA74" s="5"/>
      <c r="AB74" s="5">
        <v>1</v>
      </c>
      <c r="AC74" s="25">
        <v>1</v>
      </c>
      <c r="AD74" s="24">
        <v>1</v>
      </c>
      <c r="AE74" s="5">
        <v>1</v>
      </c>
      <c r="AF74" s="5"/>
      <c r="AG74" s="5"/>
      <c r="AH74" s="5"/>
      <c r="AI74" s="5">
        <v>1</v>
      </c>
      <c r="AJ74" s="5"/>
      <c r="AK74" s="25"/>
      <c r="AL74" s="5">
        <v>147</v>
      </c>
      <c r="AM74" s="8"/>
      <c r="AN74" s="8">
        <v>1</v>
      </c>
      <c r="AO74" s="8">
        <v>1</v>
      </c>
      <c r="AP74" s="8">
        <f t="shared" si="2"/>
        <v>10</v>
      </c>
      <c r="AQ74">
        <v>15</v>
      </c>
      <c r="AR74" s="76">
        <f t="shared" si="3"/>
        <v>0.66666666666666663</v>
      </c>
    </row>
    <row r="75" spans="1:44">
      <c r="A75" s="8">
        <v>148</v>
      </c>
      <c r="B75" s="8" t="s">
        <v>68</v>
      </c>
      <c r="C75" s="8" t="s">
        <v>357</v>
      </c>
      <c r="D75" s="8" t="s">
        <v>15</v>
      </c>
      <c r="E75" s="8">
        <v>148</v>
      </c>
      <c r="F75" s="24"/>
      <c r="G75" s="5"/>
      <c r="H75" s="5"/>
      <c r="I75" s="5"/>
      <c r="J75" s="5">
        <v>1</v>
      </c>
      <c r="K75" s="5"/>
      <c r="L75" s="5"/>
      <c r="M75" s="25"/>
      <c r="N75" s="24"/>
      <c r="O75" s="5"/>
      <c r="P75" s="5"/>
      <c r="Q75" s="5"/>
      <c r="R75" s="5"/>
      <c r="S75" s="5"/>
      <c r="T75" s="5"/>
      <c r="U75" s="25"/>
      <c r="V75" s="24"/>
      <c r="W75" s="5"/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25">
        <v>1</v>
      </c>
      <c r="AD75" s="24">
        <v>1</v>
      </c>
      <c r="AE75" s="5">
        <v>1</v>
      </c>
      <c r="AF75" s="5"/>
      <c r="AG75" s="5"/>
      <c r="AH75" s="5"/>
      <c r="AI75" s="5"/>
      <c r="AJ75" s="5"/>
      <c r="AK75" s="25"/>
      <c r="AL75" s="5">
        <v>148</v>
      </c>
      <c r="AM75" s="8"/>
      <c r="AN75" s="8">
        <v>1</v>
      </c>
      <c r="AO75" s="8">
        <v>1</v>
      </c>
      <c r="AP75" s="8">
        <f t="shared" si="2"/>
        <v>9</v>
      </c>
      <c r="AQ75">
        <v>20</v>
      </c>
      <c r="AR75" s="76">
        <f t="shared" si="3"/>
        <v>0.45</v>
      </c>
    </row>
    <row r="76" spans="1:44">
      <c r="A76" s="8">
        <v>149</v>
      </c>
      <c r="B76" s="8" t="s">
        <v>80</v>
      </c>
      <c r="C76" s="8" t="s">
        <v>346</v>
      </c>
      <c r="D76" s="8"/>
      <c r="E76" s="8">
        <v>149</v>
      </c>
      <c r="F76" s="24"/>
      <c r="G76" s="5"/>
      <c r="H76" s="5"/>
      <c r="I76" s="5">
        <v>1</v>
      </c>
      <c r="J76" s="5">
        <v>1</v>
      </c>
      <c r="K76" s="5">
        <v>1</v>
      </c>
      <c r="L76" s="5"/>
      <c r="M76" s="25">
        <v>1</v>
      </c>
      <c r="N76" s="24">
        <v>1</v>
      </c>
      <c r="O76" s="5">
        <v>1</v>
      </c>
      <c r="P76" s="5">
        <v>1</v>
      </c>
      <c r="Q76" s="5">
        <v>1</v>
      </c>
      <c r="R76" s="5">
        <v>1</v>
      </c>
      <c r="S76" s="5"/>
      <c r="T76" s="5"/>
      <c r="U76" s="25"/>
      <c r="V76" s="24"/>
      <c r="W76" s="5"/>
      <c r="X76" s="5"/>
      <c r="Y76" s="5">
        <v>1</v>
      </c>
      <c r="Z76" s="5">
        <v>1</v>
      </c>
      <c r="AA76" s="5"/>
      <c r="AB76" s="5">
        <v>1</v>
      </c>
      <c r="AC76" s="25"/>
      <c r="AD76" s="24"/>
      <c r="AE76" s="5"/>
      <c r="AF76" s="5">
        <v>1</v>
      </c>
      <c r="AG76" s="5"/>
      <c r="AH76" s="5">
        <v>1</v>
      </c>
      <c r="AI76" s="5"/>
      <c r="AJ76" s="5"/>
      <c r="AK76" s="25"/>
      <c r="AL76" s="5">
        <v>149</v>
      </c>
      <c r="AM76" s="8"/>
      <c r="AN76" s="8">
        <v>1</v>
      </c>
      <c r="AO76" s="8">
        <v>1</v>
      </c>
      <c r="AP76" s="8">
        <f t="shared" si="2"/>
        <v>14</v>
      </c>
      <c r="AQ76">
        <v>20</v>
      </c>
      <c r="AR76" s="76">
        <f t="shared" si="3"/>
        <v>0.7</v>
      </c>
    </row>
    <row r="77" spans="1:44">
      <c r="A77" s="8">
        <v>151</v>
      </c>
      <c r="B77" s="8" t="s">
        <v>130</v>
      </c>
      <c r="C77" s="8" t="s">
        <v>357</v>
      </c>
      <c r="D77" s="8"/>
      <c r="E77" s="8">
        <v>151</v>
      </c>
      <c r="F77" s="24"/>
      <c r="G77" s="5"/>
      <c r="H77" s="5">
        <v>1</v>
      </c>
      <c r="I77" s="5"/>
      <c r="J77" s="5">
        <v>1</v>
      </c>
      <c r="K77" s="5"/>
      <c r="L77" s="5">
        <v>1</v>
      </c>
      <c r="M77" s="25"/>
      <c r="N77" s="24"/>
      <c r="O77" s="5"/>
      <c r="P77" s="5"/>
      <c r="Q77" s="5"/>
      <c r="R77" s="5">
        <v>1</v>
      </c>
      <c r="S77" s="5">
        <v>1</v>
      </c>
      <c r="T77" s="5"/>
      <c r="U77" s="25"/>
      <c r="V77" s="24"/>
      <c r="W77" s="5"/>
      <c r="X77" s="5">
        <v>1</v>
      </c>
      <c r="Y77" s="5"/>
      <c r="Z77" s="5"/>
      <c r="AA77" s="5"/>
      <c r="AB77" s="5"/>
      <c r="AC77" s="25"/>
      <c r="AD77" s="24"/>
      <c r="AE77" s="5"/>
      <c r="AF77" s="5"/>
      <c r="AG77" s="5"/>
      <c r="AH77" s="5"/>
      <c r="AI77" s="5">
        <v>1</v>
      </c>
      <c r="AJ77" s="5">
        <v>1</v>
      </c>
      <c r="AK77" s="25"/>
      <c r="AL77" s="5">
        <v>151</v>
      </c>
      <c r="AM77" s="8"/>
      <c r="AN77" s="8">
        <v>1</v>
      </c>
      <c r="AO77" s="8">
        <v>1</v>
      </c>
      <c r="AP77" s="8">
        <f t="shared" si="2"/>
        <v>8</v>
      </c>
      <c r="AQ77">
        <v>28</v>
      </c>
      <c r="AR77" s="76">
        <f t="shared" si="3"/>
        <v>0.2857142857142857</v>
      </c>
    </row>
    <row r="78" spans="1:44">
      <c r="A78" s="8">
        <v>157</v>
      </c>
      <c r="B78" s="8" t="s">
        <v>55</v>
      </c>
      <c r="C78" s="8" t="s">
        <v>346</v>
      </c>
      <c r="D78" s="8"/>
      <c r="E78" s="8">
        <v>157</v>
      </c>
      <c r="F78" s="24"/>
      <c r="G78" s="5"/>
      <c r="H78" s="5"/>
      <c r="I78" s="5"/>
      <c r="J78" s="5"/>
      <c r="K78" s="5"/>
      <c r="L78" s="5"/>
      <c r="M78" s="25"/>
      <c r="N78" s="24"/>
      <c r="O78" s="5"/>
      <c r="P78" s="5"/>
      <c r="Q78" s="5"/>
      <c r="R78" s="5"/>
      <c r="S78" s="5"/>
      <c r="T78" s="5"/>
      <c r="U78" s="25"/>
      <c r="V78" s="24"/>
      <c r="W78" s="5"/>
      <c r="X78" s="5"/>
      <c r="Y78" s="5"/>
      <c r="Z78" s="5"/>
      <c r="AA78" s="5"/>
      <c r="AB78" s="5"/>
      <c r="AC78" s="25"/>
      <c r="AD78" s="24"/>
      <c r="AE78" s="5"/>
      <c r="AF78" s="5"/>
      <c r="AG78" s="5"/>
      <c r="AH78" s="5"/>
      <c r="AI78" s="5"/>
      <c r="AJ78" s="5"/>
      <c r="AK78" s="25"/>
      <c r="AL78" s="5">
        <v>157</v>
      </c>
      <c r="AM78" s="8">
        <v>1</v>
      </c>
      <c r="AN78" s="8"/>
      <c r="AO78" s="8"/>
      <c r="AP78" s="8">
        <f t="shared" si="2"/>
        <v>0</v>
      </c>
      <c r="AQ78">
        <v>10</v>
      </c>
      <c r="AR78" s="76">
        <f t="shared" si="3"/>
        <v>0</v>
      </c>
    </row>
    <row r="79" spans="1:44">
      <c r="A79" s="8">
        <v>162</v>
      </c>
      <c r="B79" s="8" t="s">
        <v>80</v>
      </c>
      <c r="C79" s="8" t="s">
        <v>346</v>
      </c>
      <c r="D79" s="8"/>
      <c r="E79" s="8">
        <v>162</v>
      </c>
      <c r="F79" s="24"/>
      <c r="G79" s="5"/>
      <c r="H79" s="5"/>
      <c r="I79" s="5">
        <v>1</v>
      </c>
      <c r="J79" s="5"/>
      <c r="K79" s="5"/>
      <c r="L79" s="5"/>
      <c r="M79" s="25"/>
      <c r="N79" s="24"/>
      <c r="O79" s="5">
        <v>1</v>
      </c>
      <c r="P79" s="5">
        <v>1</v>
      </c>
      <c r="Q79" s="5"/>
      <c r="R79" s="5">
        <v>1</v>
      </c>
      <c r="S79" s="5"/>
      <c r="T79" s="5"/>
      <c r="U79" s="25"/>
      <c r="V79" s="24"/>
      <c r="W79" s="5"/>
      <c r="X79" s="5"/>
      <c r="Y79" s="5">
        <v>1</v>
      </c>
      <c r="Z79" s="5"/>
      <c r="AA79" s="5"/>
      <c r="AB79" s="5"/>
      <c r="AC79" s="25"/>
      <c r="AD79" s="24"/>
      <c r="AE79" s="5"/>
      <c r="AF79" s="5"/>
      <c r="AG79" s="5"/>
      <c r="AH79" s="5">
        <v>1</v>
      </c>
      <c r="AI79" s="5"/>
      <c r="AJ79" s="5"/>
      <c r="AK79" s="25"/>
      <c r="AL79" s="5">
        <v>162</v>
      </c>
      <c r="AM79" s="8"/>
      <c r="AN79" s="8">
        <v>1</v>
      </c>
      <c r="AO79" s="8">
        <v>1</v>
      </c>
      <c r="AP79" s="8">
        <f t="shared" si="2"/>
        <v>6</v>
      </c>
      <c r="AQ79">
        <v>20</v>
      </c>
      <c r="AR79" s="76">
        <f t="shared" si="3"/>
        <v>0.3</v>
      </c>
    </row>
    <row r="80" spans="1:44">
      <c r="A80" s="8">
        <v>163</v>
      </c>
      <c r="B80" s="8" t="s">
        <v>62</v>
      </c>
      <c r="C80" s="8" t="s">
        <v>42</v>
      </c>
      <c r="D80" s="8" t="s">
        <v>42</v>
      </c>
      <c r="E80" s="8">
        <v>163</v>
      </c>
      <c r="F80" s="24"/>
      <c r="G80" s="5">
        <v>1</v>
      </c>
      <c r="H80" s="5">
        <v>1</v>
      </c>
      <c r="I80" s="5"/>
      <c r="J80" s="5">
        <v>1</v>
      </c>
      <c r="K80" s="5"/>
      <c r="L80" s="5">
        <v>1</v>
      </c>
      <c r="M80" s="25">
        <v>1</v>
      </c>
      <c r="N80" s="24">
        <v>1</v>
      </c>
      <c r="O80" s="5">
        <v>1</v>
      </c>
      <c r="P80" s="5">
        <v>1</v>
      </c>
      <c r="Q80" s="5"/>
      <c r="R80" s="5"/>
      <c r="S80" s="5">
        <v>1</v>
      </c>
      <c r="T80" s="5">
        <v>1</v>
      </c>
      <c r="U80" s="25"/>
      <c r="V80" s="24"/>
      <c r="W80" s="5">
        <v>1</v>
      </c>
      <c r="X80" s="5">
        <v>1</v>
      </c>
      <c r="Y80" s="5">
        <v>1</v>
      </c>
      <c r="Z80" s="5">
        <v>1</v>
      </c>
      <c r="AA80" s="5">
        <v>1</v>
      </c>
      <c r="AB80" s="5">
        <v>1</v>
      </c>
      <c r="AC80" s="25">
        <v>1</v>
      </c>
      <c r="AD80" s="24">
        <v>1</v>
      </c>
      <c r="AE80" s="5">
        <v>1</v>
      </c>
      <c r="AF80" s="5">
        <v>1</v>
      </c>
      <c r="AG80" s="5">
        <v>1</v>
      </c>
      <c r="AH80" s="5">
        <v>1</v>
      </c>
      <c r="AI80" s="5">
        <v>1</v>
      </c>
      <c r="AJ80" s="5">
        <v>1</v>
      </c>
      <c r="AK80" s="25"/>
      <c r="AL80" s="5">
        <v>163</v>
      </c>
      <c r="AM80" s="8"/>
      <c r="AN80" s="8">
        <v>1</v>
      </c>
      <c r="AO80" s="8">
        <v>1</v>
      </c>
      <c r="AP80" s="8">
        <f t="shared" si="2"/>
        <v>24</v>
      </c>
      <c r="AQ80">
        <v>28</v>
      </c>
      <c r="AR80" s="76">
        <f t="shared" si="3"/>
        <v>0.8571428571428571</v>
      </c>
    </row>
    <row r="81" spans="1:44">
      <c r="A81" s="8">
        <v>166</v>
      </c>
      <c r="B81" s="8" t="s">
        <v>136</v>
      </c>
      <c r="C81" s="8" t="s">
        <v>12</v>
      </c>
      <c r="D81" s="8" t="s">
        <v>6</v>
      </c>
      <c r="E81" s="8">
        <v>166</v>
      </c>
      <c r="F81" s="24">
        <v>1</v>
      </c>
      <c r="G81" s="5"/>
      <c r="H81" s="5">
        <v>1</v>
      </c>
      <c r="I81" s="5">
        <v>1</v>
      </c>
      <c r="J81" s="5"/>
      <c r="K81" s="5">
        <v>1</v>
      </c>
      <c r="L81" s="5">
        <v>1</v>
      </c>
      <c r="M81" s="25">
        <v>1</v>
      </c>
      <c r="N81" s="24">
        <v>1</v>
      </c>
      <c r="O81" s="5"/>
      <c r="P81" s="5">
        <v>1</v>
      </c>
      <c r="Q81" s="5"/>
      <c r="R81" s="5"/>
      <c r="S81" s="5"/>
      <c r="T81" s="5">
        <v>1</v>
      </c>
      <c r="U81" s="25"/>
      <c r="V81" s="24"/>
      <c r="W81" s="5"/>
      <c r="X81" s="5"/>
      <c r="Y81" s="5"/>
      <c r="Z81" s="5"/>
      <c r="AA81" s="5"/>
      <c r="AB81" s="5">
        <v>1</v>
      </c>
      <c r="AC81" s="25">
        <v>1</v>
      </c>
      <c r="AD81" s="24">
        <v>1</v>
      </c>
      <c r="AE81" s="5">
        <v>1</v>
      </c>
      <c r="AF81" s="5">
        <v>1</v>
      </c>
      <c r="AG81" s="5"/>
      <c r="AH81" s="5"/>
      <c r="AI81" s="5"/>
      <c r="AJ81" s="5"/>
      <c r="AK81" s="25"/>
      <c r="AL81" s="5">
        <v>166</v>
      </c>
      <c r="AM81" s="8"/>
      <c r="AN81" s="8">
        <v>1</v>
      </c>
      <c r="AO81" s="8">
        <v>1</v>
      </c>
      <c r="AP81" s="8">
        <f t="shared" si="2"/>
        <v>14</v>
      </c>
      <c r="AQ81">
        <v>32</v>
      </c>
      <c r="AR81" s="76">
        <f t="shared" si="3"/>
        <v>0.4375</v>
      </c>
    </row>
    <row r="82" spans="1:44">
      <c r="A82" s="8">
        <v>169</v>
      </c>
      <c r="B82" s="8" t="s">
        <v>139</v>
      </c>
      <c r="C82" s="8" t="s">
        <v>357</v>
      </c>
      <c r="D82" s="8"/>
      <c r="E82" s="8">
        <v>169</v>
      </c>
      <c r="F82" s="24"/>
      <c r="G82" s="5"/>
      <c r="H82" s="5"/>
      <c r="I82" s="5">
        <v>1</v>
      </c>
      <c r="J82" s="5"/>
      <c r="K82" s="5"/>
      <c r="L82" s="5"/>
      <c r="M82" s="25"/>
      <c r="N82" s="24"/>
      <c r="O82" s="5"/>
      <c r="P82" s="5">
        <v>1</v>
      </c>
      <c r="Q82" s="5">
        <v>1</v>
      </c>
      <c r="R82" s="5">
        <v>1</v>
      </c>
      <c r="S82" s="5"/>
      <c r="T82" s="5"/>
      <c r="U82" s="25"/>
      <c r="V82" s="24"/>
      <c r="W82" s="5"/>
      <c r="X82" s="5">
        <v>1</v>
      </c>
      <c r="Y82" s="5">
        <v>1</v>
      </c>
      <c r="Z82" s="5"/>
      <c r="AA82" s="5"/>
      <c r="AB82" s="5">
        <v>1</v>
      </c>
      <c r="AC82" s="25">
        <v>1</v>
      </c>
      <c r="AD82" s="24">
        <v>1</v>
      </c>
      <c r="AE82" s="5"/>
      <c r="AF82" s="5"/>
      <c r="AG82" s="5"/>
      <c r="AH82" s="5"/>
      <c r="AI82" s="5">
        <v>1</v>
      </c>
      <c r="AJ82" s="5"/>
      <c r="AK82" s="25"/>
      <c r="AL82" s="5">
        <v>169</v>
      </c>
      <c r="AM82" s="8"/>
      <c r="AN82" s="8">
        <v>1</v>
      </c>
      <c r="AO82" s="8">
        <v>1</v>
      </c>
      <c r="AP82" s="8">
        <f t="shared" si="2"/>
        <v>10</v>
      </c>
      <c r="AQ82">
        <v>24</v>
      </c>
      <c r="AR82" s="76">
        <f t="shared" si="3"/>
        <v>0.41666666666666669</v>
      </c>
    </row>
    <row r="83" spans="1:44">
      <c r="A83" s="8">
        <v>170</v>
      </c>
      <c r="B83" s="8" t="s">
        <v>5</v>
      </c>
      <c r="C83" s="8" t="s">
        <v>42</v>
      </c>
      <c r="D83" s="8" t="s">
        <v>6</v>
      </c>
      <c r="E83" s="8">
        <v>170</v>
      </c>
      <c r="F83" s="24">
        <v>1</v>
      </c>
      <c r="G83" s="5">
        <v>1</v>
      </c>
      <c r="H83" s="5">
        <v>1</v>
      </c>
      <c r="I83" s="5"/>
      <c r="J83" s="5">
        <v>1</v>
      </c>
      <c r="K83" s="5">
        <v>1</v>
      </c>
      <c r="L83" s="5">
        <v>1</v>
      </c>
      <c r="M83" s="25">
        <v>1</v>
      </c>
      <c r="N83" s="24">
        <v>1</v>
      </c>
      <c r="O83" s="5">
        <v>1</v>
      </c>
      <c r="P83" s="5">
        <v>1</v>
      </c>
      <c r="Q83" s="5">
        <v>1</v>
      </c>
      <c r="R83" s="5"/>
      <c r="S83" s="5">
        <v>1</v>
      </c>
      <c r="T83" s="5">
        <v>1</v>
      </c>
      <c r="U83" s="25">
        <v>1</v>
      </c>
      <c r="V83" s="24">
        <v>1</v>
      </c>
      <c r="W83" s="5"/>
      <c r="X83" s="5">
        <v>1</v>
      </c>
      <c r="Y83" s="5"/>
      <c r="Z83" s="5"/>
      <c r="AA83" s="5">
        <v>1</v>
      </c>
      <c r="AB83" s="5">
        <v>1</v>
      </c>
      <c r="AC83" s="25">
        <v>1</v>
      </c>
      <c r="AD83" s="24">
        <v>1</v>
      </c>
      <c r="AE83" s="5">
        <v>1</v>
      </c>
      <c r="AF83" s="5">
        <v>1</v>
      </c>
      <c r="AG83" s="5"/>
      <c r="AH83" s="5"/>
      <c r="AI83" s="5">
        <v>1</v>
      </c>
      <c r="AJ83" s="5">
        <v>1</v>
      </c>
      <c r="AK83" s="25">
        <v>1</v>
      </c>
      <c r="AL83" s="5">
        <v>170</v>
      </c>
      <c r="AM83" s="8"/>
      <c r="AN83" s="8">
        <v>1</v>
      </c>
      <c r="AO83" s="8">
        <v>1</v>
      </c>
      <c r="AP83" s="8">
        <f t="shared" si="2"/>
        <v>25</v>
      </c>
      <c r="AQ83">
        <v>31</v>
      </c>
      <c r="AR83" s="76">
        <f t="shared" si="3"/>
        <v>0.80645161290322576</v>
      </c>
    </row>
    <row r="84" spans="1:44">
      <c r="A84" s="8">
        <v>171</v>
      </c>
      <c r="B84" s="8" t="s">
        <v>58</v>
      </c>
      <c r="C84" s="8" t="s">
        <v>358</v>
      </c>
      <c r="D84" s="8" t="s">
        <v>6</v>
      </c>
      <c r="E84" s="8">
        <v>171</v>
      </c>
      <c r="F84" s="24"/>
      <c r="G84" s="5">
        <v>1</v>
      </c>
      <c r="H84" s="5">
        <v>1</v>
      </c>
      <c r="I84" s="5">
        <v>1</v>
      </c>
      <c r="J84" s="5">
        <v>1</v>
      </c>
      <c r="K84" s="5">
        <v>1</v>
      </c>
      <c r="L84" s="5">
        <v>1</v>
      </c>
      <c r="M84" s="25">
        <v>1</v>
      </c>
      <c r="N84" s="24">
        <v>1</v>
      </c>
      <c r="O84" s="5">
        <v>1</v>
      </c>
      <c r="P84" s="5">
        <v>1</v>
      </c>
      <c r="Q84" s="5">
        <v>1</v>
      </c>
      <c r="R84" s="5">
        <v>1</v>
      </c>
      <c r="S84" s="5">
        <v>1</v>
      </c>
      <c r="T84" s="5"/>
      <c r="U84" s="25"/>
      <c r="V84" s="24"/>
      <c r="W84" s="5"/>
      <c r="X84" s="5">
        <v>1</v>
      </c>
      <c r="Y84" s="5">
        <v>1</v>
      </c>
      <c r="Z84" s="5">
        <v>1</v>
      </c>
      <c r="AA84" s="5">
        <v>1</v>
      </c>
      <c r="AB84" s="5">
        <v>1</v>
      </c>
      <c r="AC84" s="25">
        <v>1</v>
      </c>
      <c r="AD84" s="24">
        <v>1</v>
      </c>
      <c r="AE84" s="5">
        <v>1</v>
      </c>
      <c r="AF84" s="5">
        <v>1</v>
      </c>
      <c r="AG84" s="5"/>
      <c r="AH84" s="5"/>
      <c r="AI84" s="5"/>
      <c r="AJ84" s="5"/>
      <c r="AK84" s="25"/>
      <c r="AL84" s="5">
        <v>171</v>
      </c>
      <c r="AM84" s="8"/>
      <c r="AN84" s="8">
        <v>1</v>
      </c>
      <c r="AO84" s="8">
        <v>1</v>
      </c>
      <c r="AP84" s="8">
        <f t="shared" si="2"/>
        <v>22</v>
      </c>
      <c r="AQ84">
        <v>28</v>
      </c>
      <c r="AR84" s="76">
        <f t="shared" si="3"/>
        <v>0.7857142857142857</v>
      </c>
    </row>
    <row r="85" spans="1:44">
      <c r="A85" s="8">
        <v>172</v>
      </c>
      <c r="B85" s="8" t="s">
        <v>71</v>
      </c>
      <c r="C85" s="8" t="s">
        <v>366</v>
      </c>
      <c r="D85" s="8" t="s">
        <v>6</v>
      </c>
      <c r="E85" s="8">
        <v>172</v>
      </c>
      <c r="F85" s="24">
        <v>1</v>
      </c>
      <c r="G85" s="5">
        <v>1</v>
      </c>
      <c r="H85" s="5">
        <v>1</v>
      </c>
      <c r="I85" s="5">
        <v>1</v>
      </c>
      <c r="J85" s="5"/>
      <c r="K85" s="5">
        <v>1</v>
      </c>
      <c r="L85" s="5"/>
      <c r="M85" s="25">
        <v>1</v>
      </c>
      <c r="N85" s="24">
        <v>1</v>
      </c>
      <c r="O85" s="5">
        <v>1</v>
      </c>
      <c r="P85" s="5">
        <v>1</v>
      </c>
      <c r="Q85" s="5">
        <v>1</v>
      </c>
      <c r="R85" s="5">
        <v>1</v>
      </c>
      <c r="S85" s="5">
        <v>1</v>
      </c>
      <c r="T85" s="5">
        <v>1</v>
      </c>
      <c r="U85" s="25"/>
      <c r="V85" s="24">
        <v>1</v>
      </c>
      <c r="W85" s="5">
        <v>1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25">
        <v>1</v>
      </c>
      <c r="AD85" s="24">
        <v>1</v>
      </c>
      <c r="AE85" s="5">
        <v>1</v>
      </c>
      <c r="AF85" s="5">
        <v>1</v>
      </c>
      <c r="AG85" s="5">
        <v>1</v>
      </c>
      <c r="AH85" s="5">
        <v>1</v>
      </c>
      <c r="AI85" s="5"/>
      <c r="AJ85" s="5">
        <v>1</v>
      </c>
      <c r="AK85" s="25">
        <v>1</v>
      </c>
      <c r="AL85" s="5">
        <v>172</v>
      </c>
      <c r="AM85" s="8"/>
      <c r="AN85" s="8">
        <v>1</v>
      </c>
      <c r="AO85" s="8">
        <v>1</v>
      </c>
      <c r="AP85" s="8">
        <f t="shared" si="2"/>
        <v>28</v>
      </c>
      <c r="AQ85">
        <v>31</v>
      </c>
      <c r="AR85" s="76">
        <f t="shared" si="3"/>
        <v>0.90322580645161288</v>
      </c>
    </row>
    <row r="86" spans="1:44">
      <c r="A86" s="8">
        <v>174</v>
      </c>
      <c r="B86" s="8" t="s">
        <v>141</v>
      </c>
      <c r="C86" s="8" t="s">
        <v>346</v>
      </c>
      <c r="D86" s="8"/>
      <c r="E86" s="8">
        <v>174</v>
      </c>
      <c r="F86" s="24"/>
      <c r="G86" s="5"/>
      <c r="H86" s="5"/>
      <c r="I86" s="5"/>
      <c r="J86" s="5"/>
      <c r="K86" s="5"/>
      <c r="L86" s="5"/>
      <c r="M86" s="25"/>
      <c r="N86" s="24"/>
      <c r="O86" s="5"/>
      <c r="P86" s="5"/>
      <c r="Q86" s="5"/>
      <c r="R86" s="5"/>
      <c r="S86" s="5"/>
      <c r="T86" s="5"/>
      <c r="U86" s="25"/>
      <c r="V86" s="24"/>
      <c r="W86" s="5"/>
      <c r="X86" s="5"/>
      <c r="Y86" s="5"/>
      <c r="Z86" s="5"/>
      <c r="AA86" s="5"/>
      <c r="AB86" s="5"/>
      <c r="AC86" s="25"/>
      <c r="AD86" s="24"/>
      <c r="AE86" s="5"/>
      <c r="AF86" s="5"/>
      <c r="AG86" s="5"/>
      <c r="AH86" s="5"/>
      <c r="AI86" s="5"/>
      <c r="AJ86" s="5"/>
      <c r="AK86" s="25"/>
      <c r="AL86" s="5">
        <v>174</v>
      </c>
      <c r="AM86" s="8">
        <v>1</v>
      </c>
      <c r="AN86" s="8"/>
      <c r="AO86" s="8"/>
      <c r="AP86" s="8">
        <f t="shared" si="2"/>
        <v>0</v>
      </c>
      <c r="AQ86">
        <v>20</v>
      </c>
      <c r="AR86" s="76">
        <f t="shared" si="3"/>
        <v>0</v>
      </c>
    </row>
    <row r="87" spans="1:44">
      <c r="A87" s="8">
        <v>176</v>
      </c>
      <c r="B87" s="8" t="s">
        <v>44</v>
      </c>
      <c r="C87" s="8" t="s">
        <v>349</v>
      </c>
      <c r="D87" s="8" t="s">
        <v>42</v>
      </c>
      <c r="E87" s="8">
        <v>176</v>
      </c>
      <c r="F87" s="24"/>
      <c r="G87" s="5"/>
      <c r="H87" s="5"/>
      <c r="I87" s="5"/>
      <c r="J87" s="5"/>
      <c r="K87" s="5"/>
      <c r="L87" s="5"/>
      <c r="M87" s="25"/>
      <c r="N87" s="24"/>
      <c r="O87" s="5"/>
      <c r="P87" s="5"/>
      <c r="Q87" s="5"/>
      <c r="R87" s="5"/>
      <c r="S87" s="5"/>
      <c r="T87" s="5"/>
      <c r="U87" s="25"/>
      <c r="V87" s="24"/>
      <c r="W87" s="5">
        <v>1</v>
      </c>
      <c r="X87" s="5"/>
      <c r="Y87" s="5"/>
      <c r="Z87" s="5">
        <v>1</v>
      </c>
      <c r="AA87" s="5"/>
      <c r="AB87" s="5">
        <v>1</v>
      </c>
      <c r="AC87" s="25"/>
      <c r="AD87" s="24"/>
      <c r="AE87" s="5"/>
      <c r="AF87" s="5">
        <v>1</v>
      </c>
      <c r="AG87" s="5">
        <v>1</v>
      </c>
      <c r="AH87" s="5">
        <v>1</v>
      </c>
      <c r="AI87" s="5">
        <v>1</v>
      </c>
      <c r="AJ87" s="5"/>
      <c r="AK87" s="25">
        <v>1</v>
      </c>
      <c r="AL87" s="5">
        <v>176</v>
      </c>
      <c r="AM87" s="8"/>
      <c r="AN87" s="8">
        <v>1</v>
      </c>
      <c r="AO87" s="8">
        <v>1</v>
      </c>
      <c r="AP87" s="8">
        <f t="shared" si="2"/>
        <v>8</v>
      </c>
      <c r="AQ87">
        <v>15</v>
      </c>
      <c r="AR87" s="76">
        <f t="shared" si="3"/>
        <v>0.53333333333333333</v>
      </c>
    </row>
    <row r="88" spans="1:44">
      <c r="A88" s="8">
        <v>178</v>
      </c>
      <c r="B88" s="8" t="s">
        <v>5</v>
      </c>
      <c r="C88" s="8" t="s">
        <v>42</v>
      </c>
      <c r="D88" s="8" t="s">
        <v>6</v>
      </c>
      <c r="E88" s="8">
        <v>178</v>
      </c>
      <c r="F88" s="24">
        <v>1</v>
      </c>
      <c r="G88" s="5">
        <v>1</v>
      </c>
      <c r="H88" s="5">
        <v>1</v>
      </c>
      <c r="I88" s="5">
        <v>1</v>
      </c>
      <c r="J88" s="5">
        <v>1</v>
      </c>
      <c r="K88" s="5">
        <v>1</v>
      </c>
      <c r="L88" s="5">
        <v>1</v>
      </c>
      <c r="M88" s="25">
        <v>1</v>
      </c>
      <c r="N88" s="24">
        <v>1</v>
      </c>
      <c r="O88" s="5">
        <v>1</v>
      </c>
      <c r="P88" s="5">
        <v>1</v>
      </c>
      <c r="Q88" s="5">
        <v>1</v>
      </c>
      <c r="R88" s="5"/>
      <c r="S88" s="5">
        <v>1</v>
      </c>
      <c r="T88" s="5">
        <v>1</v>
      </c>
      <c r="U88" s="25"/>
      <c r="V88" s="24">
        <v>1</v>
      </c>
      <c r="W88" s="5">
        <v>1</v>
      </c>
      <c r="X88" s="5">
        <v>1</v>
      </c>
      <c r="Y88" s="5">
        <v>1</v>
      </c>
      <c r="Z88" s="5">
        <v>1</v>
      </c>
      <c r="AA88" s="5">
        <v>1</v>
      </c>
      <c r="AB88" s="5">
        <v>1</v>
      </c>
      <c r="AC88" s="25">
        <v>1</v>
      </c>
      <c r="AD88" s="24">
        <v>1</v>
      </c>
      <c r="AE88" s="5">
        <v>1</v>
      </c>
      <c r="AF88" s="5">
        <v>1</v>
      </c>
      <c r="AG88" s="5">
        <v>1</v>
      </c>
      <c r="AH88" s="5">
        <v>1</v>
      </c>
      <c r="AI88" s="5"/>
      <c r="AJ88" s="5"/>
      <c r="AK88" s="25">
        <v>1</v>
      </c>
      <c r="AL88" s="5">
        <v>178</v>
      </c>
      <c r="AM88" s="8"/>
      <c r="AN88" s="8">
        <v>1</v>
      </c>
      <c r="AO88" s="8">
        <v>1</v>
      </c>
      <c r="AP88" s="8">
        <f t="shared" si="2"/>
        <v>28</v>
      </c>
      <c r="AQ88">
        <v>29</v>
      </c>
      <c r="AR88" s="76">
        <f t="shared" si="3"/>
        <v>0.96551724137931039</v>
      </c>
    </row>
    <row r="89" spans="1:44">
      <c r="A89" s="8">
        <v>179</v>
      </c>
      <c r="B89" s="8" t="s">
        <v>48</v>
      </c>
      <c r="C89" s="8" t="s">
        <v>357</v>
      </c>
      <c r="D89" s="8"/>
      <c r="E89" s="8">
        <v>179</v>
      </c>
      <c r="F89" s="24"/>
      <c r="G89" s="5"/>
      <c r="H89" s="5">
        <v>1</v>
      </c>
      <c r="I89" s="5">
        <v>1</v>
      </c>
      <c r="J89" s="5">
        <v>1</v>
      </c>
      <c r="K89" s="5"/>
      <c r="L89" s="5"/>
      <c r="M89" s="25"/>
      <c r="N89" s="24"/>
      <c r="O89" s="5"/>
      <c r="P89" s="5"/>
      <c r="Q89" s="5"/>
      <c r="R89" s="5">
        <v>1</v>
      </c>
      <c r="S89" s="5">
        <v>1</v>
      </c>
      <c r="T89" s="5"/>
      <c r="U89" s="25"/>
      <c r="V89" s="24"/>
      <c r="W89" s="5"/>
      <c r="X89" s="5">
        <v>1</v>
      </c>
      <c r="Y89" s="5">
        <v>1</v>
      </c>
      <c r="Z89" s="5">
        <v>1</v>
      </c>
      <c r="AA89" s="5"/>
      <c r="AB89" s="5"/>
      <c r="AC89" s="25">
        <v>1</v>
      </c>
      <c r="AD89" s="24">
        <v>1</v>
      </c>
      <c r="AE89" s="5">
        <v>1</v>
      </c>
      <c r="AF89" s="5"/>
      <c r="AG89" s="5">
        <v>1</v>
      </c>
      <c r="AH89" s="5">
        <v>1</v>
      </c>
      <c r="AI89" s="5">
        <v>1</v>
      </c>
      <c r="AJ89" s="5"/>
      <c r="AK89" s="25"/>
      <c r="AL89" s="5">
        <v>179</v>
      </c>
      <c r="AM89" s="8"/>
      <c r="AN89" s="8">
        <v>1</v>
      </c>
      <c r="AO89" s="8">
        <v>2</v>
      </c>
      <c r="AP89" s="8">
        <f t="shared" si="2"/>
        <v>14</v>
      </c>
      <c r="AQ89">
        <v>21</v>
      </c>
      <c r="AR89" s="76">
        <f t="shared" si="3"/>
        <v>0.66666666666666663</v>
      </c>
    </row>
    <row r="90" spans="1:44">
      <c r="A90" s="8">
        <v>180</v>
      </c>
      <c r="B90" s="8" t="s">
        <v>143</v>
      </c>
      <c r="C90" s="8" t="s">
        <v>357</v>
      </c>
      <c r="D90" s="8"/>
      <c r="E90" s="8">
        <v>180</v>
      </c>
      <c r="F90" s="24"/>
      <c r="G90" s="5"/>
      <c r="H90" s="5"/>
      <c r="I90" s="5"/>
      <c r="J90" s="5">
        <v>1</v>
      </c>
      <c r="K90" s="5"/>
      <c r="L90" s="5"/>
      <c r="M90" s="25"/>
      <c r="N90" s="24"/>
      <c r="O90" s="5"/>
      <c r="P90" s="5"/>
      <c r="Q90" s="5"/>
      <c r="R90" s="5">
        <v>1</v>
      </c>
      <c r="S90" s="5">
        <v>1</v>
      </c>
      <c r="T90" s="5"/>
      <c r="U90" s="25"/>
      <c r="V90" s="24"/>
      <c r="W90" s="5"/>
      <c r="X90" s="5"/>
      <c r="Y90" s="5"/>
      <c r="Z90" s="5">
        <v>1</v>
      </c>
      <c r="AA90" s="5"/>
      <c r="AB90" s="5"/>
      <c r="AC90" s="25"/>
      <c r="AD90" s="24"/>
      <c r="AE90" s="5"/>
      <c r="AF90" s="5"/>
      <c r="AG90" s="5">
        <v>1</v>
      </c>
      <c r="AH90" s="5"/>
      <c r="AI90" s="5"/>
      <c r="AJ90" s="5"/>
      <c r="AK90" s="25"/>
      <c r="AL90" s="5">
        <v>180</v>
      </c>
      <c r="AM90" s="8"/>
      <c r="AN90" s="8">
        <v>1</v>
      </c>
      <c r="AO90" s="8">
        <v>1</v>
      </c>
      <c r="AP90" s="8">
        <f t="shared" si="2"/>
        <v>5</v>
      </c>
      <c r="AQ90">
        <v>22</v>
      </c>
      <c r="AR90" s="76">
        <f t="shared" si="3"/>
        <v>0.22727272727272727</v>
      </c>
    </row>
    <row r="91" spans="1:44">
      <c r="A91" s="8">
        <v>181</v>
      </c>
      <c r="B91" s="8" t="s">
        <v>145</v>
      </c>
      <c r="C91" s="8" t="s">
        <v>357</v>
      </c>
      <c r="D91" s="8" t="s">
        <v>15</v>
      </c>
      <c r="E91" s="8">
        <v>181</v>
      </c>
      <c r="F91" s="24"/>
      <c r="G91" s="5">
        <v>1</v>
      </c>
      <c r="H91" s="5"/>
      <c r="I91" s="5"/>
      <c r="J91" s="5"/>
      <c r="K91" s="5">
        <v>1</v>
      </c>
      <c r="L91" s="5">
        <v>1</v>
      </c>
      <c r="M91" s="25">
        <v>1</v>
      </c>
      <c r="N91" s="24">
        <v>1</v>
      </c>
      <c r="O91" s="5">
        <v>1</v>
      </c>
      <c r="P91" s="5">
        <v>1</v>
      </c>
      <c r="Q91" s="5"/>
      <c r="R91" s="5"/>
      <c r="S91" s="5">
        <v>1</v>
      </c>
      <c r="T91" s="5"/>
      <c r="U91" s="25"/>
      <c r="V91" s="24"/>
      <c r="W91" s="5"/>
      <c r="X91" s="5"/>
      <c r="Y91" s="5"/>
      <c r="Z91" s="5"/>
      <c r="AA91" s="5">
        <v>1</v>
      </c>
      <c r="AB91" s="5">
        <v>1</v>
      </c>
      <c r="AC91" s="25">
        <v>1</v>
      </c>
      <c r="AD91" s="24">
        <v>1</v>
      </c>
      <c r="AE91" s="5">
        <v>1</v>
      </c>
      <c r="AF91" s="5">
        <v>1</v>
      </c>
      <c r="AG91" s="5">
        <v>1</v>
      </c>
      <c r="AH91" s="5"/>
      <c r="AI91" s="5">
        <v>1</v>
      </c>
      <c r="AJ91" s="5"/>
      <c r="AK91" s="25"/>
      <c r="AL91" s="5">
        <v>181</v>
      </c>
      <c r="AM91" s="8"/>
      <c r="AN91" s="8">
        <v>1</v>
      </c>
      <c r="AO91" s="8">
        <v>1</v>
      </c>
      <c r="AP91" s="8">
        <f t="shared" si="2"/>
        <v>16</v>
      </c>
      <c r="AQ91">
        <v>28</v>
      </c>
      <c r="AR91" s="76">
        <f t="shared" si="3"/>
        <v>0.5714285714285714</v>
      </c>
    </row>
    <row r="92" spans="1:44">
      <c r="A92" s="8">
        <v>185</v>
      </c>
      <c r="B92" s="8" t="s">
        <v>5</v>
      </c>
      <c r="C92" s="8" t="s">
        <v>42</v>
      </c>
      <c r="D92" s="8" t="s">
        <v>42</v>
      </c>
      <c r="E92" s="8">
        <v>185</v>
      </c>
      <c r="F92" s="24">
        <v>1</v>
      </c>
      <c r="G92" s="5">
        <v>1</v>
      </c>
      <c r="H92" s="5">
        <v>1</v>
      </c>
      <c r="I92" s="5">
        <v>1</v>
      </c>
      <c r="J92" s="5">
        <v>1</v>
      </c>
      <c r="K92" s="5">
        <v>1</v>
      </c>
      <c r="L92" s="5">
        <v>1</v>
      </c>
      <c r="M92" s="25">
        <v>1</v>
      </c>
      <c r="N92" s="24">
        <v>1</v>
      </c>
      <c r="O92" s="5">
        <v>1</v>
      </c>
      <c r="P92" s="5">
        <v>1</v>
      </c>
      <c r="Q92" s="5">
        <v>1</v>
      </c>
      <c r="R92" s="5">
        <v>1</v>
      </c>
      <c r="S92" s="5"/>
      <c r="T92" s="5">
        <v>1</v>
      </c>
      <c r="U92" s="25">
        <v>1</v>
      </c>
      <c r="V92" s="24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25">
        <v>1</v>
      </c>
      <c r="AD92" s="24">
        <v>1</v>
      </c>
      <c r="AE92" s="5">
        <v>1</v>
      </c>
      <c r="AF92" s="5">
        <v>1</v>
      </c>
      <c r="AG92" s="5">
        <v>1</v>
      </c>
      <c r="AH92" s="5">
        <v>1</v>
      </c>
      <c r="AI92" s="5">
        <v>1</v>
      </c>
      <c r="AJ92" s="5">
        <v>1</v>
      </c>
      <c r="AK92" s="25">
        <v>1</v>
      </c>
      <c r="AL92" s="5">
        <v>185</v>
      </c>
      <c r="AM92" s="8"/>
      <c r="AN92" s="8">
        <v>1</v>
      </c>
      <c r="AO92" s="8">
        <v>2</v>
      </c>
      <c r="AP92" s="8">
        <f t="shared" si="2"/>
        <v>31</v>
      </c>
      <c r="AQ92">
        <v>32</v>
      </c>
      <c r="AR92" s="76">
        <f t="shared" si="3"/>
        <v>0.96875</v>
      </c>
    </row>
    <row r="93" spans="1:44">
      <c r="A93" s="8">
        <v>187</v>
      </c>
      <c r="B93" s="8" t="s">
        <v>44</v>
      </c>
      <c r="C93" s="8" t="s">
        <v>349</v>
      </c>
      <c r="D93" s="8" t="s">
        <v>6</v>
      </c>
      <c r="E93" s="8">
        <v>187</v>
      </c>
      <c r="F93" s="24">
        <v>1</v>
      </c>
      <c r="G93" s="5"/>
      <c r="H93" s="5">
        <v>1</v>
      </c>
      <c r="I93" s="5">
        <v>1</v>
      </c>
      <c r="J93" s="5"/>
      <c r="K93" s="5"/>
      <c r="L93" s="5"/>
      <c r="M93" s="25"/>
      <c r="N93" s="24"/>
      <c r="O93" s="5"/>
      <c r="P93" s="5"/>
      <c r="Q93" s="5">
        <v>1</v>
      </c>
      <c r="R93" s="5"/>
      <c r="S93" s="5">
        <v>1</v>
      </c>
      <c r="T93" s="5">
        <v>1</v>
      </c>
      <c r="U93" s="25">
        <v>1</v>
      </c>
      <c r="V93" s="24">
        <v>1</v>
      </c>
      <c r="W93" s="5"/>
      <c r="X93" s="5"/>
      <c r="Y93" s="5"/>
      <c r="Z93" s="5"/>
      <c r="AA93" s="5"/>
      <c r="AB93" s="5">
        <v>1</v>
      </c>
      <c r="AC93" s="25"/>
      <c r="AD93" s="24">
        <v>1</v>
      </c>
      <c r="AE93" s="5">
        <v>1</v>
      </c>
      <c r="AF93" s="5">
        <v>1</v>
      </c>
      <c r="AG93" s="5">
        <v>1</v>
      </c>
      <c r="AH93" s="5">
        <v>1</v>
      </c>
      <c r="AI93" s="5"/>
      <c r="AJ93" s="5"/>
      <c r="AK93" s="25"/>
      <c r="AL93" s="5">
        <v>187</v>
      </c>
      <c r="AM93" s="8"/>
      <c r="AN93" s="8">
        <v>1</v>
      </c>
      <c r="AO93" s="8">
        <v>2</v>
      </c>
      <c r="AP93" s="8">
        <f t="shared" si="2"/>
        <v>14</v>
      </c>
      <c r="AQ93">
        <v>20</v>
      </c>
      <c r="AR93" s="76">
        <f t="shared" si="3"/>
        <v>0.7</v>
      </c>
    </row>
    <row r="94" spans="1:44">
      <c r="A94" s="8">
        <v>192</v>
      </c>
      <c r="B94" s="8" t="s">
        <v>149</v>
      </c>
      <c r="C94" s="8" t="s">
        <v>346</v>
      </c>
      <c r="D94" s="8"/>
      <c r="E94" s="8">
        <v>192</v>
      </c>
      <c r="F94" s="24"/>
      <c r="G94" s="5"/>
      <c r="H94" s="5"/>
      <c r="I94" s="5">
        <v>1</v>
      </c>
      <c r="J94" s="5"/>
      <c r="K94" s="5"/>
      <c r="L94" s="5"/>
      <c r="M94" s="25"/>
      <c r="N94" s="24">
        <v>1</v>
      </c>
      <c r="O94" s="5">
        <v>1</v>
      </c>
      <c r="P94" s="5"/>
      <c r="Q94" s="5"/>
      <c r="R94" s="5"/>
      <c r="S94" s="5"/>
      <c r="T94" s="5"/>
      <c r="U94" s="25"/>
      <c r="V94" s="24"/>
      <c r="W94" s="5"/>
      <c r="X94" s="5"/>
      <c r="Y94" s="5"/>
      <c r="Z94" s="5"/>
      <c r="AA94" s="5">
        <v>1</v>
      </c>
      <c r="AB94" s="5"/>
      <c r="AC94" s="25"/>
      <c r="AD94" s="24"/>
      <c r="AE94" s="5">
        <v>1</v>
      </c>
      <c r="AF94" s="5"/>
      <c r="AG94" s="5"/>
      <c r="AH94" s="5"/>
      <c r="AI94" s="5"/>
      <c r="AJ94" s="5"/>
      <c r="AK94" s="25"/>
      <c r="AL94" s="5">
        <v>192</v>
      </c>
      <c r="AM94" s="8"/>
      <c r="AN94" s="8">
        <v>1</v>
      </c>
      <c r="AO94" s="8">
        <v>1</v>
      </c>
      <c r="AP94" s="8">
        <f t="shared" si="2"/>
        <v>5</v>
      </c>
      <c r="AQ94">
        <v>20</v>
      </c>
      <c r="AR94" s="76">
        <f t="shared" si="3"/>
        <v>0.25</v>
      </c>
    </row>
    <row r="95" spans="1:44">
      <c r="A95" s="8">
        <v>193</v>
      </c>
      <c r="B95" s="8" t="s">
        <v>123</v>
      </c>
      <c r="C95" s="8" t="s">
        <v>366</v>
      </c>
      <c r="D95" s="8" t="s">
        <v>6</v>
      </c>
      <c r="E95" s="8">
        <v>193</v>
      </c>
      <c r="F95" s="24"/>
      <c r="G95" s="5"/>
      <c r="H95" s="5"/>
      <c r="I95" s="5"/>
      <c r="J95" s="5"/>
      <c r="K95" s="5"/>
      <c r="L95" s="5"/>
      <c r="M95" s="25"/>
      <c r="N95" s="24"/>
      <c r="O95" s="5"/>
      <c r="P95" s="5"/>
      <c r="Q95" s="5"/>
      <c r="R95" s="5"/>
      <c r="S95" s="5"/>
      <c r="T95" s="5"/>
      <c r="U95" s="25"/>
      <c r="V95" s="24"/>
      <c r="W95" s="5"/>
      <c r="X95" s="5"/>
      <c r="Y95" s="5"/>
      <c r="Z95" s="5"/>
      <c r="AA95" s="5"/>
      <c r="AB95" s="5"/>
      <c r="AC95" s="25"/>
      <c r="AD95" s="24"/>
      <c r="AE95" s="5"/>
      <c r="AF95" s="5"/>
      <c r="AG95" s="5"/>
      <c r="AH95" s="5"/>
      <c r="AI95" s="5"/>
      <c r="AJ95" s="5"/>
      <c r="AK95" s="25">
        <v>1</v>
      </c>
      <c r="AL95" s="5">
        <v>193</v>
      </c>
      <c r="AM95" s="8"/>
      <c r="AN95" s="8">
        <v>1</v>
      </c>
      <c r="AO95" s="8">
        <v>1</v>
      </c>
      <c r="AP95" s="8">
        <f t="shared" si="2"/>
        <v>1</v>
      </c>
      <c r="AQ95">
        <v>29</v>
      </c>
      <c r="AR95" s="76">
        <f t="shared" si="3"/>
        <v>3.4482758620689655E-2</v>
      </c>
    </row>
    <row r="96" spans="1:44">
      <c r="A96" s="8">
        <v>194</v>
      </c>
      <c r="B96" s="8" t="s">
        <v>62</v>
      </c>
      <c r="C96" s="8" t="s">
        <v>42</v>
      </c>
      <c r="D96" s="8" t="s">
        <v>42</v>
      </c>
      <c r="E96" s="8">
        <v>194</v>
      </c>
      <c r="F96" s="24"/>
      <c r="G96" s="5">
        <v>1</v>
      </c>
      <c r="H96" s="5">
        <v>1</v>
      </c>
      <c r="I96" s="5"/>
      <c r="J96" s="5">
        <v>1</v>
      </c>
      <c r="K96" s="5">
        <v>1</v>
      </c>
      <c r="L96" s="5">
        <v>1</v>
      </c>
      <c r="M96" s="25">
        <v>1</v>
      </c>
      <c r="N96" s="24">
        <v>1</v>
      </c>
      <c r="O96" s="5">
        <v>1</v>
      </c>
      <c r="P96" s="5">
        <v>1</v>
      </c>
      <c r="Q96" s="5">
        <v>1</v>
      </c>
      <c r="R96" s="5">
        <v>1</v>
      </c>
      <c r="S96" s="5"/>
      <c r="T96" s="5">
        <v>1</v>
      </c>
      <c r="U96" s="25"/>
      <c r="V96" s="24">
        <v>1</v>
      </c>
      <c r="W96" s="5"/>
      <c r="X96" s="5"/>
      <c r="Y96" s="5">
        <v>1</v>
      </c>
      <c r="Z96" s="5">
        <v>1</v>
      </c>
      <c r="AA96" s="5"/>
      <c r="AB96" s="5"/>
      <c r="AC96" s="25">
        <v>1</v>
      </c>
      <c r="AD96" s="24">
        <v>1</v>
      </c>
      <c r="AE96" s="5">
        <v>1</v>
      </c>
      <c r="AF96" s="5">
        <v>1</v>
      </c>
      <c r="AG96" s="5">
        <v>1</v>
      </c>
      <c r="AH96" s="5">
        <v>1</v>
      </c>
      <c r="AI96" s="5">
        <v>1</v>
      </c>
      <c r="AJ96" s="5">
        <v>1</v>
      </c>
      <c r="AK96" s="25"/>
      <c r="AL96" s="5">
        <v>194</v>
      </c>
      <c r="AM96" s="8"/>
      <c r="AN96" s="8">
        <v>1</v>
      </c>
      <c r="AO96" s="8">
        <v>1</v>
      </c>
      <c r="AP96" s="8">
        <f t="shared" si="2"/>
        <v>23</v>
      </c>
      <c r="AQ96">
        <v>30</v>
      </c>
      <c r="AR96" s="76">
        <f t="shared" si="3"/>
        <v>0.76666666666666672</v>
      </c>
    </row>
    <row r="97" spans="1:44">
      <c r="A97" s="8">
        <v>205</v>
      </c>
      <c r="B97" s="8" t="s">
        <v>74</v>
      </c>
      <c r="C97" s="8" t="s">
        <v>346</v>
      </c>
      <c r="D97" s="8"/>
      <c r="E97" s="8">
        <v>205</v>
      </c>
      <c r="F97" s="24"/>
      <c r="G97" s="5"/>
      <c r="H97" s="5"/>
      <c r="I97" s="5"/>
      <c r="J97" s="5">
        <v>1</v>
      </c>
      <c r="K97" s="5"/>
      <c r="L97" s="5"/>
      <c r="M97" s="25"/>
      <c r="N97" s="24"/>
      <c r="O97" s="5"/>
      <c r="P97" s="5"/>
      <c r="Q97" s="5"/>
      <c r="R97" s="5"/>
      <c r="S97" s="5"/>
      <c r="T97" s="5"/>
      <c r="U97" s="25"/>
      <c r="V97" s="24"/>
      <c r="W97" s="5"/>
      <c r="X97" s="5"/>
      <c r="Y97" s="5">
        <v>1</v>
      </c>
      <c r="Z97" s="5">
        <v>1</v>
      </c>
      <c r="AA97" s="5">
        <v>1</v>
      </c>
      <c r="AB97" s="5">
        <v>1</v>
      </c>
      <c r="AC97" s="25">
        <v>1</v>
      </c>
      <c r="AD97" s="24"/>
      <c r="AE97" s="5"/>
      <c r="AF97" s="5">
        <v>1</v>
      </c>
      <c r="AG97" s="5">
        <v>1</v>
      </c>
      <c r="AH97" s="5">
        <v>1</v>
      </c>
      <c r="AI97" s="5"/>
      <c r="AJ97" s="5"/>
      <c r="AK97" s="25"/>
      <c r="AL97" s="5">
        <v>205</v>
      </c>
      <c r="AM97" s="8"/>
      <c r="AN97" s="8">
        <v>1</v>
      </c>
      <c r="AO97" s="8">
        <v>1</v>
      </c>
      <c r="AP97" s="8">
        <f t="shared" si="2"/>
        <v>9</v>
      </c>
      <c r="AQ97">
        <v>12</v>
      </c>
      <c r="AR97" s="76">
        <f t="shared" si="3"/>
        <v>0.75</v>
      </c>
    </row>
    <row r="98" spans="1:44">
      <c r="A98" s="8">
        <v>206</v>
      </c>
      <c r="B98" s="8" t="s">
        <v>139</v>
      </c>
      <c r="C98" s="8" t="s">
        <v>357</v>
      </c>
      <c r="D98" s="8"/>
      <c r="E98" s="8">
        <v>206</v>
      </c>
      <c r="F98" s="24"/>
      <c r="G98" s="5"/>
      <c r="H98" s="5"/>
      <c r="I98" s="5"/>
      <c r="J98" s="5"/>
      <c r="K98" s="5"/>
      <c r="L98" s="5"/>
      <c r="M98" s="25"/>
      <c r="N98" s="24"/>
      <c r="O98" s="5"/>
      <c r="P98" s="5"/>
      <c r="Q98" s="5"/>
      <c r="R98" s="5"/>
      <c r="S98" s="5"/>
      <c r="T98" s="5"/>
      <c r="U98" s="25"/>
      <c r="V98" s="24"/>
      <c r="W98" s="5"/>
      <c r="X98" s="5"/>
      <c r="Y98" s="5"/>
      <c r="Z98" s="5">
        <v>1</v>
      </c>
      <c r="AA98" s="5"/>
      <c r="AB98" s="5"/>
      <c r="AC98" s="25"/>
      <c r="AD98" s="24"/>
      <c r="AE98" s="5"/>
      <c r="AF98" s="5"/>
      <c r="AG98" s="5"/>
      <c r="AH98" s="5"/>
      <c r="AI98" s="5"/>
      <c r="AJ98" s="5"/>
      <c r="AK98" s="25"/>
      <c r="AL98" s="5">
        <v>206</v>
      </c>
      <c r="AM98" s="8"/>
      <c r="AN98" s="8">
        <v>1</v>
      </c>
      <c r="AO98" s="8">
        <v>1</v>
      </c>
      <c r="AP98" s="8">
        <f t="shared" si="2"/>
        <v>1</v>
      </c>
      <c r="AQ98">
        <v>4</v>
      </c>
      <c r="AR98" s="76">
        <f t="shared" si="3"/>
        <v>0.25</v>
      </c>
    </row>
    <row r="99" spans="1:44">
      <c r="A99" s="8">
        <v>210</v>
      </c>
      <c r="B99" s="8" t="s">
        <v>55</v>
      </c>
      <c r="C99" s="8" t="s">
        <v>346</v>
      </c>
      <c r="D99" s="8"/>
      <c r="E99" s="8">
        <v>210</v>
      </c>
      <c r="F99" s="24"/>
      <c r="G99" s="5"/>
      <c r="H99" s="5"/>
      <c r="I99" s="5"/>
      <c r="J99" s="5"/>
      <c r="K99" s="5"/>
      <c r="L99" s="5"/>
      <c r="M99" s="25"/>
      <c r="N99" s="24"/>
      <c r="O99" s="5"/>
      <c r="P99" s="5"/>
      <c r="Q99" s="5"/>
      <c r="R99" s="5"/>
      <c r="S99" s="5"/>
      <c r="T99" s="5"/>
      <c r="U99" s="25"/>
      <c r="V99" s="24"/>
      <c r="W99" s="5"/>
      <c r="X99" s="5"/>
      <c r="Y99" s="5"/>
      <c r="Z99" s="5"/>
      <c r="AA99" s="5"/>
      <c r="AB99" s="5"/>
      <c r="AC99" s="25"/>
      <c r="AD99" s="24"/>
      <c r="AE99" s="5"/>
      <c r="AF99" s="5"/>
      <c r="AG99" s="5"/>
      <c r="AH99" s="5"/>
      <c r="AI99" s="5"/>
      <c r="AJ99" s="5"/>
      <c r="AK99" s="25"/>
      <c r="AL99" s="5">
        <v>210</v>
      </c>
      <c r="AM99" s="8">
        <v>1</v>
      </c>
      <c r="AN99" s="8"/>
      <c r="AO99" s="8"/>
      <c r="AP99" s="8">
        <f t="shared" si="2"/>
        <v>0</v>
      </c>
      <c r="AQ99">
        <v>20</v>
      </c>
      <c r="AR99" s="76">
        <f t="shared" si="3"/>
        <v>0</v>
      </c>
    </row>
    <row r="100" spans="1:44">
      <c r="A100" s="8">
        <v>213</v>
      </c>
      <c r="B100" s="8" t="s">
        <v>62</v>
      </c>
      <c r="C100" s="8" t="s">
        <v>42</v>
      </c>
      <c r="D100" s="8" t="s">
        <v>42</v>
      </c>
      <c r="E100" s="8">
        <v>213</v>
      </c>
      <c r="F100" s="24"/>
      <c r="G100" s="5"/>
      <c r="H100" s="5">
        <v>1</v>
      </c>
      <c r="I100" s="5"/>
      <c r="J100" s="5"/>
      <c r="K100" s="5"/>
      <c r="L100" s="5"/>
      <c r="M100" s="25">
        <v>1</v>
      </c>
      <c r="N100" s="24">
        <v>1</v>
      </c>
      <c r="O100" s="5">
        <v>1</v>
      </c>
      <c r="P100" s="5"/>
      <c r="Q100" s="5"/>
      <c r="R100" s="5"/>
      <c r="S100" s="5"/>
      <c r="T100" s="5">
        <v>1</v>
      </c>
      <c r="U100" s="25">
        <v>1</v>
      </c>
      <c r="V100" s="24"/>
      <c r="W100" s="5"/>
      <c r="X100" s="5"/>
      <c r="Y100" s="5"/>
      <c r="Z100" s="5">
        <v>1</v>
      </c>
      <c r="AA100" s="5">
        <v>1</v>
      </c>
      <c r="AB100" s="5">
        <v>1</v>
      </c>
      <c r="AC100" s="25">
        <v>1</v>
      </c>
      <c r="AD100" s="24">
        <v>1</v>
      </c>
      <c r="AE100" s="5">
        <v>1</v>
      </c>
      <c r="AF100" s="5">
        <v>1</v>
      </c>
      <c r="AG100" s="5">
        <v>1</v>
      </c>
      <c r="AH100" s="5">
        <v>1</v>
      </c>
      <c r="AI100" s="5"/>
      <c r="AJ100" s="5">
        <v>1</v>
      </c>
      <c r="AK100" s="25"/>
      <c r="AL100" s="5">
        <v>213</v>
      </c>
      <c r="AM100" s="8"/>
      <c r="AN100" s="8">
        <v>1</v>
      </c>
      <c r="AO100" s="8">
        <v>1</v>
      </c>
      <c r="AP100" s="8">
        <f t="shared" si="2"/>
        <v>16</v>
      </c>
      <c r="AQ100">
        <v>30</v>
      </c>
      <c r="AR100" s="76">
        <f t="shared" si="3"/>
        <v>0.53333333333333333</v>
      </c>
    </row>
    <row r="101" spans="1:44">
      <c r="A101" s="8">
        <v>214</v>
      </c>
      <c r="B101" s="8" t="s">
        <v>63</v>
      </c>
      <c r="C101" s="8" t="s">
        <v>346</v>
      </c>
      <c r="D101" s="8"/>
      <c r="E101" s="8">
        <v>214</v>
      </c>
      <c r="F101" s="24"/>
      <c r="G101" s="5"/>
      <c r="H101" s="5"/>
      <c r="I101" s="5"/>
      <c r="J101" s="5"/>
      <c r="K101" s="5"/>
      <c r="L101" s="5"/>
      <c r="M101" s="25"/>
      <c r="N101" s="24"/>
      <c r="O101" s="5"/>
      <c r="P101" s="5"/>
      <c r="Q101" s="5"/>
      <c r="R101" s="5"/>
      <c r="S101" s="5"/>
      <c r="T101" s="5"/>
      <c r="U101" s="25"/>
      <c r="V101" s="24"/>
      <c r="W101" s="5"/>
      <c r="X101" s="5"/>
      <c r="Y101" s="5"/>
      <c r="Z101" s="5"/>
      <c r="AA101" s="5"/>
      <c r="AB101" s="5"/>
      <c r="AC101" s="25"/>
      <c r="AD101" s="24"/>
      <c r="AE101" s="5"/>
      <c r="AF101" s="5"/>
      <c r="AG101" s="5"/>
      <c r="AH101" s="5"/>
      <c r="AI101" s="5"/>
      <c r="AJ101" s="5"/>
      <c r="AK101" s="25"/>
      <c r="AL101" s="5">
        <v>214</v>
      </c>
      <c r="AM101" s="8">
        <v>1</v>
      </c>
      <c r="AN101" s="8"/>
      <c r="AO101" s="8"/>
      <c r="AP101" s="8">
        <f t="shared" si="2"/>
        <v>0</v>
      </c>
      <c r="AQ101">
        <v>10</v>
      </c>
      <c r="AR101" s="76">
        <f t="shared" si="3"/>
        <v>0</v>
      </c>
    </row>
    <row r="102" spans="1:44">
      <c r="A102" s="8">
        <v>216</v>
      </c>
      <c r="B102" s="81" t="s">
        <v>71</v>
      </c>
      <c r="C102" s="8" t="s">
        <v>366</v>
      </c>
      <c r="D102" s="81" t="s">
        <v>42</v>
      </c>
      <c r="E102" s="8">
        <v>216</v>
      </c>
      <c r="F102" s="24"/>
      <c r="G102" s="5"/>
      <c r="H102" s="5">
        <v>1</v>
      </c>
      <c r="I102" s="5">
        <v>1</v>
      </c>
      <c r="J102" s="5"/>
      <c r="K102" s="5"/>
      <c r="L102" s="5"/>
      <c r="M102" s="25"/>
      <c r="N102" s="24"/>
      <c r="O102" s="5"/>
      <c r="P102" s="5"/>
      <c r="Q102" s="5"/>
      <c r="R102" s="5"/>
      <c r="S102" s="5"/>
      <c r="T102" s="5"/>
      <c r="U102" s="25"/>
      <c r="V102" s="24">
        <v>1</v>
      </c>
      <c r="W102" s="5">
        <v>1</v>
      </c>
      <c r="X102" s="5">
        <v>1</v>
      </c>
      <c r="Y102" s="5">
        <v>1</v>
      </c>
      <c r="Z102" s="5">
        <v>1</v>
      </c>
      <c r="AA102" s="5">
        <v>1</v>
      </c>
      <c r="AB102" s="5">
        <v>1</v>
      </c>
      <c r="AC102" s="25">
        <v>1</v>
      </c>
      <c r="AD102" s="24">
        <v>1</v>
      </c>
      <c r="AE102" s="5">
        <v>1</v>
      </c>
      <c r="AF102" s="5">
        <v>1</v>
      </c>
      <c r="AG102" s="5">
        <v>1</v>
      </c>
      <c r="AH102" s="5"/>
      <c r="AI102" s="5"/>
      <c r="AJ102" s="5">
        <v>1</v>
      </c>
      <c r="AK102" s="25">
        <v>1</v>
      </c>
      <c r="AL102" s="5">
        <v>216</v>
      </c>
      <c r="AM102" s="8"/>
      <c r="AN102" s="8">
        <v>1</v>
      </c>
      <c r="AO102" s="8">
        <v>1</v>
      </c>
      <c r="AP102" s="8">
        <f t="shared" si="2"/>
        <v>16</v>
      </c>
      <c r="AQ102">
        <v>24</v>
      </c>
      <c r="AR102" s="76">
        <f t="shared" si="3"/>
        <v>0.66666666666666663</v>
      </c>
    </row>
    <row r="103" spans="1:44">
      <c r="A103" s="8">
        <v>219</v>
      </c>
      <c r="B103" s="81" t="s">
        <v>106</v>
      </c>
      <c r="C103" s="8" t="s">
        <v>349</v>
      </c>
      <c r="D103" s="81" t="s">
        <v>6</v>
      </c>
      <c r="E103" s="8">
        <v>219</v>
      </c>
      <c r="F103" s="24"/>
      <c r="G103" s="5"/>
      <c r="H103" s="5"/>
      <c r="I103" s="5"/>
      <c r="J103" s="5"/>
      <c r="K103" s="5"/>
      <c r="L103" s="5"/>
      <c r="M103" s="25"/>
      <c r="N103" s="24"/>
      <c r="O103" s="5"/>
      <c r="P103" s="5"/>
      <c r="Q103" s="5"/>
      <c r="R103" s="5"/>
      <c r="S103" s="5"/>
      <c r="T103" s="5"/>
      <c r="U103" s="25"/>
      <c r="V103" s="24"/>
      <c r="W103" s="5"/>
      <c r="X103" s="5"/>
      <c r="Y103" s="5"/>
      <c r="Z103" s="5"/>
      <c r="AA103" s="5"/>
      <c r="AB103" s="5"/>
      <c r="AC103" s="25"/>
      <c r="AD103" s="24"/>
      <c r="AE103" s="5"/>
      <c r="AF103" s="5"/>
      <c r="AG103" s="5"/>
      <c r="AH103" s="5"/>
      <c r="AI103" s="5"/>
      <c r="AJ103" s="5"/>
      <c r="AK103" s="25"/>
      <c r="AL103" s="5">
        <v>219</v>
      </c>
      <c r="AM103" s="8">
        <v>1</v>
      </c>
      <c r="AN103" s="8"/>
      <c r="AO103" s="8"/>
      <c r="AP103" s="8">
        <f t="shared" si="2"/>
        <v>0</v>
      </c>
      <c r="AQ103">
        <v>2</v>
      </c>
      <c r="AR103" s="76">
        <f t="shared" si="3"/>
        <v>0</v>
      </c>
    </row>
    <row r="104" spans="1:44">
      <c r="A104" s="8">
        <v>220</v>
      </c>
      <c r="B104" s="81" t="s">
        <v>71</v>
      </c>
      <c r="C104" s="8" t="s">
        <v>366</v>
      </c>
      <c r="D104" s="81" t="s">
        <v>6</v>
      </c>
      <c r="E104" s="8">
        <v>220</v>
      </c>
      <c r="F104" s="24"/>
      <c r="G104" s="5">
        <v>1</v>
      </c>
      <c r="H104" s="5"/>
      <c r="I104" s="5"/>
      <c r="J104" s="5">
        <v>1</v>
      </c>
      <c r="K104" s="5">
        <v>1</v>
      </c>
      <c r="L104" s="5"/>
      <c r="M104" s="25"/>
      <c r="N104" s="24"/>
      <c r="O104" s="5"/>
      <c r="P104" s="5">
        <v>1</v>
      </c>
      <c r="Q104" s="5"/>
      <c r="R104" s="5"/>
      <c r="S104" s="5"/>
      <c r="T104" s="5"/>
      <c r="U104" s="25"/>
      <c r="V104" s="24">
        <v>1</v>
      </c>
      <c r="W104" s="5">
        <v>1</v>
      </c>
      <c r="X104" s="5"/>
      <c r="Y104" s="5"/>
      <c r="Z104" s="5"/>
      <c r="AA104" s="5">
        <v>1</v>
      </c>
      <c r="AB104" s="5">
        <v>1</v>
      </c>
      <c r="AC104" s="25">
        <v>1</v>
      </c>
      <c r="AD104" s="24">
        <v>1</v>
      </c>
      <c r="AE104" s="5">
        <v>1</v>
      </c>
      <c r="AF104" s="5">
        <v>1</v>
      </c>
      <c r="AG104" s="5"/>
      <c r="AH104" s="5">
        <v>1</v>
      </c>
      <c r="AI104" s="5">
        <v>1</v>
      </c>
      <c r="AJ104" s="5">
        <v>1</v>
      </c>
      <c r="AK104" s="25"/>
      <c r="AL104" s="5">
        <v>220</v>
      </c>
      <c r="AM104" s="8"/>
      <c r="AN104" s="8">
        <v>1</v>
      </c>
      <c r="AO104" s="8">
        <v>1</v>
      </c>
      <c r="AP104" s="8">
        <f t="shared" si="2"/>
        <v>15</v>
      </c>
      <c r="AQ104">
        <v>22</v>
      </c>
      <c r="AR104" s="76">
        <f t="shared" si="3"/>
        <v>0.68181818181818177</v>
      </c>
    </row>
    <row r="105" spans="1:44">
      <c r="A105" s="8">
        <v>222</v>
      </c>
      <c r="B105" s="8" t="s">
        <v>131</v>
      </c>
      <c r="C105" s="8" t="s">
        <v>358</v>
      </c>
      <c r="D105" s="8"/>
      <c r="E105" s="8">
        <v>222</v>
      </c>
      <c r="F105" s="24"/>
      <c r="G105" s="5"/>
      <c r="H105" s="5">
        <v>1</v>
      </c>
      <c r="I105" s="5"/>
      <c r="J105" s="5"/>
      <c r="K105" s="5"/>
      <c r="L105" s="5"/>
      <c r="M105" s="25"/>
      <c r="N105" s="24"/>
      <c r="O105" s="5"/>
      <c r="P105" s="5"/>
      <c r="Q105" s="5"/>
      <c r="R105" s="5"/>
      <c r="S105" s="5"/>
      <c r="T105" s="5">
        <v>1</v>
      </c>
      <c r="U105" s="25"/>
      <c r="V105" s="24"/>
      <c r="W105" s="5"/>
      <c r="X105" s="5">
        <v>1</v>
      </c>
      <c r="Y105" s="5">
        <v>1</v>
      </c>
      <c r="Z105" s="5">
        <v>1</v>
      </c>
      <c r="AA105" s="5">
        <v>1</v>
      </c>
      <c r="AB105" s="5">
        <v>1</v>
      </c>
      <c r="AC105" s="25">
        <v>1</v>
      </c>
      <c r="AD105" s="24">
        <v>1</v>
      </c>
      <c r="AE105" s="5">
        <v>1</v>
      </c>
      <c r="AF105" s="5">
        <v>1</v>
      </c>
      <c r="AG105" s="5">
        <v>1</v>
      </c>
      <c r="AH105" s="5"/>
      <c r="AI105" s="5"/>
      <c r="AJ105" s="5"/>
      <c r="AK105" s="25"/>
      <c r="AL105" s="5">
        <v>222</v>
      </c>
      <c r="AM105" s="8"/>
      <c r="AN105" s="8">
        <v>1</v>
      </c>
      <c r="AO105" s="8">
        <v>1</v>
      </c>
      <c r="AP105" s="8">
        <f t="shared" si="2"/>
        <v>12</v>
      </c>
      <c r="AQ105">
        <v>17</v>
      </c>
      <c r="AR105" s="76">
        <f t="shared" si="3"/>
        <v>0.70588235294117652</v>
      </c>
    </row>
    <row r="106" spans="1:44">
      <c r="A106" s="8">
        <v>224</v>
      </c>
      <c r="B106" s="8" t="s">
        <v>68</v>
      </c>
      <c r="C106" s="8" t="s">
        <v>357</v>
      </c>
      <c r="D106" s="8"/>
      <c r="E106" s="8">
        <v>224</v>
      </c>
      <c r="F106" s="24"/>
      <c r="G106" s="5"/>
      <c r="H106" s="5"/>
      <c r="I106" s="5"/>
      <c r="J106" s="5">
        <v>1</v>
      </c>
      <c r="K106" s="5">
        <v>1</v>
      </c>
      <c r="L106" s="5">
        <v>1</v>
      </c>
      <c r="M106" s="25">
        <v>1</v>
      </c>
      <c r="N106" s="24"/>
      <c r="O106" s="5"/>
      <c r="P106" s="5">
        <v>1</v>
      </c>
      <c r="Q106" s="5">
        <v>1</v>
      </c>
      <c r="R106" s="5"/>
      <c r="S106" s="5"/>
      <c r="T106" s="5"/>
      <c r="U106" s="25"/>
      <c r="V106" s="24"/>
      <c r="W106" s="5"/>
      <c r="X106" s="5">
        <v>1</v>
      </c>
      <c r="Y106" s="5"/>
      <c r="Z106" s="5"/>
      <c r="AA106" s="5">
        <v>1</v>
      </c>
      <c r="AB106" s="5"/>
      <c r="AC106" s="25">
        <v>1</v>
      </c>
      <c r="AD106" s="24">
        <v>1</v>
      </c>
      <c r="AE106" s="5"/>
      <c r="AF106" s="5">
        <v>1</v>
      </c>
      <c r="AG106" s="5">
        <v>1</v>
      </c>
      <c r="AH106" s="5">
        <v>1</v>
      </c>
      <c r="AI106" s="5">
        <v>1</v>
      </c>
      <c r="AJ106" s="5"/>
      <c r="AK106" s="25"/>
      <c r="AL106" s="5">
        <v>224</v>
      </c>
      <c r="AM106" s="8"/>
      <c r="AN106" s="8">
        <v>1</v>
      </c>
      <c r="AO106" s="8">
        <v>1</v>
      </c>
      <c r="AP106" s="8">
        <f t="shared" si="2"/>
        <v>14</v>
      </c>
      <c r="AQ106">
        <v>24</v>
      </c>
      <c r="AR106" s="76">
        <f t="shared" si="3"/>
        <v>0.58333333333333337</v>
      </c>
    </row>
    <row r="107" spans="1:44">
      <c r="A107" s="8">
        <v>227</v>
      </c>
      <c r="B107" s="8" t="s">
        <v>123</v>
      </c>
      <c r="C107" s="8" t="s">
        <v>366</v>
      </c>
      <c r="D107" s="8" t="s">
        <v>6</v>
      </c>
      <c r="E107" s="8">
        <v>227</v>
      </c>
      <c r="F107" s="24"/>
      <c r="G107" s="5">
        <v>1</v>
      </c>
      <c r="H107" s="5">
        <v>1</v>
      </c>
      <c r="I107" s="5">
        <v>1</v>
      </c>
      <c r="J107" s="5">
        <v>1</v>
      </c>
      <c r="K107" s="5"/>
      <c r="L107" s="5"/>
      <c r="M107" s="25"/>
      <c r="N107" s="24"/>
      <c r="O107" s="5">
        <v>1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25"/>
      <c r="V107" s="24"/>
      <c r="W107" s="5"/>
      <c r="X107" s="5"/>
      <c r="Y107" s="5">
        <v>1</v>
      </c>
      <c r="Z107" s="5">
        <v>1</v>
      </c>
      <c r="AA107" s="5">
        <v>1</v>
      </c>
      <c r="AB107" s="5">
        <v>1</v>
      </c>
      <c r="AC107" s="25">
        <v>1</v>
      </c>
      <c r="AD107" s="24">
        <v>1</v>
      </c>
      <c r="AE107" s="5">
        <v>1</v>
      </c>
      <c r="AF107" s="5">
        <v>1</v>
      </c>
      <c r="AG107" s="5">
        <v>1</v>
      </c>
      <c r="AH107" s="5"/>
      <c r="AI107" s="5"/>
      <c r="AJ107" s="5"/>
      <c r="AK107" s="25"/>
      <c r="AL107" s="5">
        <v>227</v>
      </c>
      <c r="AM107" s="8"/>
      <c r="AN107" s="8">
        <v>1</v>
      </c>
      <c r="AO107" s="8">
        <v>1</v>
      </c>
      <c r="AP107" s="8">
        <f t="shared" si="2"/>
        <v>19</v>
      </c>
      <c r="AQ107">
        <v>20</v>
      </c>
      <c r="AR107" s="76">
        <f t="shared" si="3"/>
        <v>0.95</v>
      </c>
    </row>
    <row r="108" spans="1:44">
      <c r="A108" s="8">
        <v>228</v>
      </c>
      <c r="B108" s="8" t="s">
        <v>74</v>
      </c>
      <c r="C108" s="8" t="s">
        <v>346</v>
      </c>
      <c r="D108" s="8"/>
      <c r="E108" s="8">
        <v>228</v>
      </c>
      <c r="F108" s="24"/>
      <c r="G108" s="5"/>
      <c r="H108" s="5"/>
      <c r="I108" s="5"/>
      <c r="J108" s="5"/>
      <c r="K108" s="5"/>
      <c r="L108" s="5"/>
      <c r="M108" s="25"/>
      <c r="N108" s="24"/>
      <c r="O108" s="5"/>
      <c r="P108" s="5"/>
      <c r="Q108" s="5"/>
      <c r="R108" s="5"/>
      <c r="S108" s="5"/>
      <c r="T108" s="5"/>
      <c r="U108" s="25"/>
      <c r="V108" s="24"/>
      <c r="W108" s="5"/>
      <c r="X108" s="5"/>
      <c r="Y108" s="5"/>
      <c r="Z108" s="5"/>
      <c r="AA108" s="5"/>
      <c r="AB108" s="5"/>
      <c r="AC108" s="25"/>
      <c r="AD108" s="24"/>
      <c r="AE108" s="5"/>
      <c r="AF108" s="5"/>
      <c r="AG108" s="5"/>
      <c r="AH108" s="5"/>
      <c r="AI108" s="5"/>
      <c r="AJ108" s="5"/>
      <c r="AK108" s="25"/>
      <c r="AL108" s="5">
        <v>228</v>
      </c>
      <c r="AM108" s="8">
        <v>1</v>
      </c>
      <c r="AN108" s="8"/>
      <c r="AO108" s="8"/>
      <c r="AP108" s="8">
        <f t="shared" si="2"/>
        <v>0</v>
      </c>
      <c r="AQ108">
        <v>20</v>
      </c>
      <c r="AR108" s="76">
        <f t="shared" si="3"/>
        <v>0</v>
      </c>
    </row>
    <row r="109" spans="1:44">
      <c r="A109" s="8">
        <v>229</v>
      </c>
      <c r="B109" s="8" t="s">
        <v>74</v>
      </c>
      <c r="C109" s="8" t="s">
        <v>346</v>
      </c>
      <c r="D109" s="8"/>
      <c r="E109" s="8">
        <v>229</v>
      </c>
      <c r="F109" s="24"/>
      <c r="G109" s="5"/>
      <c r="H109" s="5"/>
      <c r="I109" s="5"/>
      <c r="J109" s="5"/>
      <c r="K109" s="5"/>
      <c r="L109" s="5"/>
      <c r="M109" s="25"/>
      <c r="N109" s="24">
        <v>1</v>
      </c>
      <c r="O109" s="5"/>
      <c r="P109" s="5"/>
      <c r="Q109" s="5"/>
      <c r="R109" s="5"/>
      <c r="S109" s="5"/>
      <c r="T109" s="5"/>
      <c r="U109" s="25"/>
      <c r="V109" s="24"/>
      <c r="W109" s="5"/>
      <c r="X109" s="5"/>
      <c r="Y109" s="5"/>
      <c r="Z109" s="5"/>
      <c r="AA109" s="5"/>
      <c r="AB109" s="5"/>
      <c r="AC109" s="25"/>
      <c r="AD109" s="24"/>
      <c r="AE109" s="5"/>
      <c r="AF109" s="5"/>
      <c r="AG109" s="5"/>
      <c r="AH109" s="5"/>
      <c r="AI109" s="5"/>
      <c r="AJ109" s="5"/>
      <c r="AK109" s="25"/>
      <c r="AL109" s="5">
        <v>229</v>
      </c>
      <c r="AM109" s="8"/>
      <c r="AN109" s="8">
        <v>1</v>
      </c>
      <c r="AO109" s="8">
        <v>1</v>
      </c>
      <c r="AP109" s="8">
        <f t="shared" si="2"/>
        <v>1</v>
      </c>
      <c r="AQ109">
        <v>14</v>
      </c>
      <c r="AR109" s="76">
        <f t="shared" si="3"/>
        <v>7.1428571428571425E-2</v>
      </c>
    </row>
    <row r="110" spans="1:44">
      <c r="A110" s="8">
        <v>234</v>
      </c>
      <c r="B110" s="8" t="s">
        <v>44</v>
      </c>
      <c r="C110" s="8" t="s">
        <v>349</v>
      </c>
      <c r="D110" s="8" t="s">
        <v>42</v>
      </c>
      <c r="E110" s="8">
        <v>234</v>
      </c>
      <c r="F110" s="24"/>
      <c r="G110" s="5"/>
      <c r="H110" s="5"/>
      <c r="I110" s="5"/>
      <c r="J110" s="5"/>
      <c r="K110" s="5"/>
      <c r="L110" s="5"/>
      <c r="M110" s="25"/>
      <c r="N110" s="24"/>
      <c r="O110" s="5"/>
      <c r="P110" s="5"/>
      <c r="Q110" s="5"/>
      <c r="R110" s="5"/>
      <c r="S110" s="5"/>
      <c r="T110" s="5"/>
      <c r="U110" s="25"/>
      <c r="V110" s="24"/>
      <c r="W110" s="5">
        <v>1</v>
      </c>
      <c r="X110" s="5"/>
      <c r="Y110" s="5"/>
      <c r="Z110" s="5"/>
      <c r="AA110" s="5">
        <v>1</v>
      </c>
      <c r="AB110" s="5">
        <v>1</v>
      </c>
      <c r="AC110" s="25">
        <v>1</v>
      </c>
      <c r="AD110" s="24">
        <v>1</v>
      </c>
      <c r="AE110" s="5">
        <v>1</v>
      </c>
      <c r="AF110" s="5">
        <v>1</v>
      </c>
      <c r="AG110" s="5">
        <v>1</v>
      </c>
      <c r="AH110" s="5"/>
      <c r="AI110" s="5"/>
      <c r="AJ110" s="5"/>
      <c r="AK110" s="25"/>
      <c r="AL110" s="5">
        <v>234</v>
      </c>
      <c r="AM110" s="8"/>
      <c r="AN110" s="8">
        <v>1</v>
      </c>
      <c r="AO110" s="8">
        <v>2</v>
      </c>
      <c r="AP110" s="8">
        <f t="shared" si="2"/>
        <v>8</v>
      </c>
      <c r="AQ110">
        <v>11</v>
      </c>
      <c r="AR110" s="76">
        <f t="shared" si="3"/>
        <v>0.72727272727272729</v>
      </c>
    </row>
    <row r="111" spans="1:44">
      <c r="A111" s="8">
        <v>237</v>
      </c>
      <c r="B111" s="8" t="s">
        <v>63</v>
      </c>
      <c r="C111" s="8" t="s">
        <v>346</v>
      </c>
      <c r="D111" s="8"/>
      <c r="E111" s="8">
        <v>237</v>
      </c>
      <c r="F111" s="24"/>
      <c r="G111" s="5"/>
      <c r="H111" s="5"/>
      <c r="I111" s="5"/>
      <c r="J111" s="5"/>
      <c r="K111" s="5"/>
      <c r="L111" s="5"/>
      <c r="M111" s="25"/>
      <c r="N111" s="24"/>
      <c r="O111" s="5"/>
      <c r="P111" s="5"/>
      <c r="Q111" s="5"/>
      <c r="R111" s="5"/>
      <c r="S111" s="5"/>
      <c r="T111" s="5"/>
      <c r="U111" s="25"/>
      <c r="V111" s="24"/>
      <c r="W111" s="5"/>
      <c r="X111" s="5"/>
      <c r="Y111" s="5"/>
      <c r="Z111" s="5"/>
      <c r="AA111" s="5"/>
      <c r="AB111" s="5"/>
      <c r="AC111" s="25"/>
      <c r="AD111" s="24"/>
      <c r="AE111" s="5"/>
      <c r="AF111" s="5"/>
      <c r="AG111" s="5"/>
      <c r="AH111" s="5"/>
      <c r="AI111" s="5"/>
      <c r="AJ111" s="5"/>
      <c r="AK111" s="25"/>
      <c r="AL111" s="5">
        <v>237</v>
      </c>
      <c r="AM111" s="8">
        <v>1</v>
      </c>
      <c r="AN111" s="8"/>
      <c r="AO111" s="8"/>
      <c r="AP111" s="8">
        <f t="shared" si="2"/>
        <v>0</v>
      </c>
      <c r="AQ111">
        <v>5</v>
      </c>
      <c r="AR111" s="76">
        <f t="shared" si="3"/>
        <v>0</v>
      </c>
    </row>
    <row r="112" spans="1:44">
      <c r="A112" s="8">
        <v>241</v>
      </c>
      <c r="B112" s="8" t="s">
        <v>78</v>
      </c>
      <c r="C112" s="8" t="s">
        <v>359</v>
      </c>
      <c r="D112" s="8"/>
      <c r="E112" s="8">
        <v>241</v>
      </c>
      <c r="F112" s="24"/>
      <c r="G112" s="5"/>
      <c r="H112" s="5"/>
      <c r="I112" s="5"/>
      <c r="J112" s="5"/>
      <c r="K112" s="5"/>
      <c r="L112" s="5"/>
      <c r="M112" s="25"/>
      <c r="N112" s="24"/>
      <c r="O112" s="5"/>
      <c r="P112" s="5"/>
      <c r="Q112" s="5"/>
      <c r="R112" s="5"/>
      <c r="S112" s="5"/>
      <c r="T112" s="5"/>
      <c r="U112" s="25"/>
      <c r="V112" s="24"/>
      <c r="W112" s="5"/>
      <c r="X112" s="5"/>
      <c r="Y112" s="5">
        <v>1</v>
      </c>
      <c r="Z112" s="5"/>
      <c r="AA112" s="5"/>
      <c r="AB112" s="5"/>
      <c r="AC112" s="25"/>
      <c r="AD112" s="24"/>
      <c r="AE112" s="5"/>
      <c r="AF112" s="5"/>
      <c r="AG112" s="5"/>
      <c r="AH112" s="5"/>
      <c r="AI112" s="5"/>
      <c r="AJ112" s="5"/>
      <c r="AK112" s="25"/>
      <c r="AL112" s="5">
        <v>241</v>
      </c>
      <c r="AM112" s="8"/>
      <c r="AN112" s="8">
        <v>1</v>
      </c>
      <c r="AO112" s="8">
        <v>1</v>
      </c>
      <c r="AP112" s="8">
        <f t="shared" si="2"/>
        <v>1</v>
      </c>
      <c r="AQ112">
        <v>19</v>
      </c>
      <c r="AR112" s="76">
        <f t="shared" si="3"/>
        <v>5.2631578947368418E-2</v>
      </c>
    </row>
    <row r="113" spans="1:44">
      <c r="A113" s="8">
        <v>246</v>
      </c>
      <c r="B113" s="8" t="s">
        <v>59</v>
      </c>
      <c r="C113" s="8" t="s">
        <v>346</v>
      </c>
      <c r="D113" s="8"/>
      <c r="E113" s="8">
        <v>246</v>
      </c>
      <c r="F113" s="24"/>
      <c r="G113" s="5"/>
      <c r="H113" s="5"/>
      <c r="I113" s="5"/>
      <c r="J113" s="5"/>
      <c r="K113" s="5"/>
      <c r="L113" s="5"/>
      <c r="M113" s="25"/>
      <c r="N113" s="24"/>
      <c r="O113" s="5"/>
      <c r="P113" s="5"/>
      <c r="Q113" s="5"/>
      <c r="R113" s="5"/>
      <c r="S113" s="5"/>
      <c r="T113" s="5"/>
      <c r="U113" s="25"/>
      <c r="V113" s="24"/>
      <c r="W113" s="5"/>
      <c r="X113" s="5"/>
      <c r="Y113" s="5"/>
      <c r="Z113" s="5"/>
      <c r="AA113" s="5"/>
      <c r="AB113" s="5"/>
      <c r="AC113" s="25"/>
      <c r="AD113" s="24"/>
      <c r="AE113" s="5"/>
      <c r="AF113" s="5"/>
      <c r="AG113" s="5"/>
      <c r="AH113" s="5"/>
      <c r="AI113" s="5"/>
      <c r="AJ113" s="5"/>
      <c r="AK113" s="25"/>
      <c r="AL113" s="5">
        <v>246</v>
      </c>
      <c r="AM113" s="8">
        <v>1</v>
      </c>
      <c r="AN113" s="8"/>
      <c r="AO113" s="8"/>
      <c r="AP113" s="8">
        <f t="shared" si="2"/>
        <v>0</v>
      </c>
      <c r="AQ113">
        <v>20</v>
      </c>
      <c r="AR113" s="76">
        <f t="shared" si="3"/>
        <v>0</v>
      </c>
    </row>
    <row r="114" spans="1:44">
      <c r="A114" s="8">
        <v>251</v>
      </c>
      <c r="B114" s="55" t="s">
        <v>161</v>
      </c>
      <c r="C114" s="8" t="s">
        <v>357</v>
      </c>
      <c r="D114" s="8"/>
      <c r="E114" s="8">
        <v>251</v>
      </c>
      <c r="F114" s="24"/>
      <c r="G114" s="5"/>
      <c r="H114" s="5"/>
      <c r="I114" s="5"/>
      <c r="J114" s="5"/>
      <c r="K114" s="5"/>
      <c r="L114" s="5"/>
      <c r="M114" s="25"/>
      <c r="N114" s="24"/>
      <c r="O114" s="5"/>
      <c r="P114" s="5"/>
      <c r="Q114" s="5"/>
      <c r="R114" s="5"/>
      <c r="S114" s="5"/>
      <c r="T114" s="5"/>
      <c r="U114" s="25"/>
      <c r="V114" s="24"/>
      <c r="W114" s="5"/>
      <c r="X114" s="5"/>
      <c r="Y114" s="5">
        <v>1</v>
      </c>
      <c r="Z114" s="5">
        <v>1</v>
      </c>
      <c r="AA114" s="5">
        <v>1</v>
      </c>
      <c r="AB114" s="5">
        <v>1</v>
      </c>
      <c r="AC114" s="25">
        <v>1</v>
      </c>
      <c r="AD114" s="24">
        <v>1</v>
      </c>
      <c r="AE114" s="5">
        <v>1</v>
      </c>
      <c r="AF114" s="5"/>
      <c r="AG114" s="5"/>
      <c r="AH114" s="5"/>
      <c r="AI114" s="5">
        <v>1</v>
      </c>
      <c r="AJ114" s="5"/>
      <c r="AK114" s="25"/>
      <c r="AL114" s="5">
        <v>251</v>
      </c>
      <c r="AM114" s="8"/>
      <c r="AN114" s="8">
        <v>1</v>
      </c>
      <c r="AO114" s="8">
        <v>1</v>
      </c>
      <c r="AP114" s="8">
        <f t="shared" si="2"/>
        <v>8</v>
      </c>
      <c r="AQ114">
        <v>13</v>
      </c>
      <c r="AR114" s="76">
        <f t="shared" si="3"/>
        <v>0.61538461538461542</v>
      </c>
    </row>
    <row r="115" spans="1:44">
      <c r="A115" s="8">
        <v>254</v>
      </c>
      <c r="B115" s="8" t="s">
        <v>162</v>
      </c>
      <c r="C115" s="8" t="s">
        <v>12</v>
      </c>
      <c r="D115" s="8" t="s">
        <v>42</v>
      </c>
      <c r="E115" s="8">
        <v>254</v>
      </c>
      <c r="F115" s="24"/>
      <c r="G115" s="5"/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25">
        <v>1</v>
      </c>
      <c r="N115" s="24">
        <v>1</v>
      </c>
      <c r="O115" s="5">
        <v>1</v>
      </c>
      <c r="P115" s="5">
        <v>1</v>
      </c>
      <c r="Q115" s="5">
        <v>1</v>
      </c>
      <c r="R115" s="5">
        <v>1</v>
      </c>
      <c r="S115" s="5"/>
      <c r="T115" s="5"/>
      <c r="U115" s="25"/>
      <c r="V115" s="24"/>
      <c r="W115" s="5">
        <v>1</v>
      </c>
      <c r="X115" s="5"/>
      <c r="Y115" s="5">
        <v>1</v>
      </c>
      <c r="Z115" s="5">
        <v>1</v>
      </c>
      <c r="AA115" s="5">
        <v>1</v>
      </c>
      <c r="AB115" s="5">
        <v>1</v>
      </c>
      <c r="AC115" s="25">
        <v>1</v>
      </c>
      <c r="AD115" s="24">
        <v>1</v>
      </c>
      <c r="AE115" s="5">
        <v>1</v>
      </c>
      <c r="AF115" s="5">
        <v>1</v>
      </c>
      <c r="AG115" s="5">
        <v>1</v>
      </c>
      <c r="AH115" s="5">
        <v>1</v>
      </c>
      <c r="AI115" s="5"/>
      <c r="AJ115" s="5">
        <v>1</v>
      </c>
      <c r="AK115" s="25">
        <v>1</v>
      </c>
      <c r="AL115" s="5">
        <v>254</v>
      </c>
      <c r="AM115" s="8"/>
      <c r="AN115" s="8">
        <v>1</v>
      </c>
      <c r="AO115" s="8">
        <v>1</v>
      </c>
      <c r="AP115" s="8">
        <f t="shared" si="2"/>
        <v>24</v>
      </c>
      <c r="AQ115">
        <v>32</v>
      </c>
      <c r="AR115" s="76">
        <f t="shared" si="3"/>
        <v>0.75</v>
      </c>
    </row>
    <row r="116" spans="1:44" s="8" customFormat="1">
      <c r="A116" s="8">
        <v>255</v>
      </c>
      <c r="B116" s="8" t="s">
        <v>59</v>
      </c>
      <c r="C116" s="8" t="s">
        <v>346</v>
      </c>
      <c r="E116" s="8">
        <v>255</v>
      </c>
      <c r="F116" s="24"/>
      <c r="G116" s="5"/>
      <c r="H116" s="5"/>
      <c r="I116" s="5"/>
      <c r="J116" s="5"/>
      <c r="K116" s="5"/>
      <c r="L116" s="5"/>
      <c r="M116" s="25"/>
      <c r="N116" s="24"/>
      <c r="O116" s="5"/>
      <c r="P116" s="5"/>
      <c r="Q116" s="5"/>
      <c r="R116" s="5"/>
      <c r="S116" s="5"/>
      <c r="T116" s="5"/>
      <c r="U116" s="25"/>
      <c r="V116" s="24"/>
      <c r="W116" s="5"/>
      <c r="X116" s="5"/>
      <c r="Y116" s="5"/>
      <c r="Z116" s="5"/>
      <c r="AA116" s="5"/>
      <c r="AB116" s="5"/>
      <c r="AC116" s="25"/>
      <c r="AD116" s="24"/>
      <c r="AE116" s="5"/>
      <c r="AF116" s="5"/>
      <c r="AG116" s="5"/>
      <c r="AH116" s="5"/>
      <c r="AI116" s="5"/>
      <c r="AJ116" s="5"/>
      <c r="AK116" s="25"/>
      <c r="AL116" s="5">
        <v>255</v>
      </c>
      <c r="AM116" s="8">
        <v>1</v>
      </c>
      <c r="AP116" s="8">
        <f t="shared" si="2"/>
        <v>0</v>
      </c>
      <c r="AQ116" s="8">
        <v>1</v>
      </c>
      <c r="AR116" s="76">
        <f t="shared" si="3"/>
        <v>0</v>
      </c>
    </row>
    <row r="117" spans="1:44">
      <c r="A117" s="8">
        <v>256</v>
      </c>
      <c r="B117" s="8" t="s">
        <v>44</v>
      </c>
      <c r="C117" s="8" t="s">
        <v>349</v>
      </c>
      <c r="D117" s="8" t="s">
        <v>42</v>
      </c>
      <c r="E117" s="8">
        <v>256</v>
      </c>
      <c r="F117" s="24"/>
      <c r="G117" s="5"/>
      <c r="H117" s="5"/>
      <c r="I117" s="5"/>
      <c r="J117" s="5"/>
      <c r="K117" s="5"/>
      <c r="L117" s="5"/>
      <c r="M117" s="25"/>
      <c r="N117" s="24"/>
      <c r="O117" s="5"/>
      <c r="P117" s="5"/>
      <c r="Q117" s="5"/>
      <c r="R117" s="5"/>
      <c r="S117" s="5"/>
      <c r="T117" s="5"/>
      <c r="U117" s="25"/>
      <c r="V117" s="24"/>
      <c r="W117" s="5"/>
      <c r="X117" s="5"/>
      <c r="Y117" s="5">
        <v>1</v>
      </c>
      <c r="Z117" s="5">
        <v>1</v>
      </c>
      <c r="AA117" s="5">
        <v>1</v>
      </c>
      <c r="AB117" s="5"/>
      <c r="AC117" s="25"/>
      <c r="AD117" s="24"/>
      <c r="AE117" s="5">
        <v>1</v>
      </c>
      <c r="AF117" s="5">
        <v>1</v>
      </c>
      <c r="AG117" s="5"/>
      <c r="AH117" s="5"/>
      <c r="AI117" s="5"/>
      <c r="AJ117" s="5"/>
      <c r="AK117" s="25"/>
      <c r="AL117" s="5">
        <v>256</v>
      </c>
      <c r="AM117" s="8"/>
      <c r="AN117" s="8">
        <v>1</v>
      </c>
      <c r="AO117" s="8">
        <v>1</v>
      </c>
      <c r="AP117" s="8">
        <f t="shared" si="2"/>
        <v>5</v>
      </c>
      <c r="AQ117">
        <v>8</v>
      </c>
      <c r="AR117" s="76">
        <f t="shared" si="3"/>
        <v>0.625</v>
      </c>
    </row>
    <row r="118" spans="1:44">
      <c r="A118" s="8">
        <v>257</v>
      </c>
      <c r="B118" s="8" t="s">
        <v>55</v>
      </c>
      <c r="C118" s="8" t="s">
        <v>346</v>
      </c>
      <c r="D118" s="8"/>
      <c r="E118" s="8">
        <v>257</v>
      </c>
      <c r="F118" s="24"/>
      <c r="G118" s="5"/>
      <c r="H118" s="5"/>
      <c r="I118" s="5"/>
      <c r="J118" s="5"/>
      <c r="K118" s="5"/>
      <c r="L118" s="5"/>
      <c r="M118" s="25"/>
      <c r="N118" s="24"/>
      <c r="O118" s="5"/>
      <c r="P118" s="5"/>
      <c r="Q118" s="5"/>
      <c r="R118" s="5"/>
      <c r="S118" s="5"/>
      <c r="T118" s="5"/>
      <c r="U118" s="25"/>
      <c r="V118" s="24"/>
      <c r="W118" s="5"/>
      <c r="X118" s="5"/>
      <c r="Y118" s="5"/>
      <c r="Z118" s="5"/>
      <c r="AA118" s="5"/>
      <c r="AB118" s="5"/>
      <c r="AC118" s="25"/>
      <c r="AD118" s="24"/>
      <c r="AE118" s="5"/>
      <c r="AF118" s="5"/>
      <c r="AG118" s="5"/>
      <c r="AH118" s="5"/>
      <c r="AI118" s="5"/>
      <c r="AJ118" s="5"/>
      <c r="AK118" s="25"/>
      <c r="AL118" s="5">
        <v>257</v>
      </c>
      <c r="AM118" s="8">
        <v>1</v>
      </c>
      <c r="AN118" s="8"/>
      <c r="AO118" s="8"/>
      <c r="AP118" s="8">
        <f t="shared" si="2"/>
        <v>0</v>
      </c>
      <c r="AQ118">
        <v>16</v>
      </c>
      <c r="AR118" s="76">
        <f t="shared" si="3"/>
        <v>0</v>
      </c>
    </row>
    <row r="119" spans="1:44" s="67" customFormat="1">
      <c r="A119" s="8">
        <v>258</v>
      </c>
      <c r="B119" s="8" t="s">
        <v>74</v>
      </c>
      <c r="C119" s="8" t="s">
        <v>346</v>
      </c>
      <c r="D119" s="8"/>
      <c r="E119" s="8">
        <v>258</v>
      </c>
      <c r="F119" s="24"/>
      <c r="G119" s="5"/>
      <c r="H119" s="5"/>
      <c r="I119" s="5"/>
      <c r="J119" s="5"/>
      <c r="K119" s="5"/>
      <c r="L119" s="5"/>
      <c r="M119" s="25"/>
      <c r="N119" s="24"/>
      <c r="O119" s="5"/>
      <c r="P119" s="5"/>
      <c r="Q119" s="5"/>
      <c r="R119" s="5"/>
      <c r="S119" s="5"/>
      <c r="T119" s="5"/>
      <c r="U119" s="25"/>
      <c r="V119" s="24"/>
      <c r="W119" s="5"/>
      <c r="X119" s="5"/>
      <c r="Y119" s="5"/>
      <c r="Z119" s="5"/>
      <c r="AA119" s="5"/>
      <c r="AB119" s="5"/>
      <c r="AC119" s="25"/>
      <c r="AD119" s="24"/>
      <c r="AE119" s="5"/>
      <c r="AF119" s="5"/>
      <c r="AG119" s="5"/>
      <c r="AH119" s="5"/>
      <c r="AI119" s="5"/>
      <c r="AJ119" s="5"/>
      <c r="AK119" s="25"/>
      <c r="AL119" s="5">
        <v>258</v>
      </c>
      <c r="AM119" s="8">
        <v>1</v>
      </c>
      <c r="AN119" s="8"/>
      <c r="AO119" s="8"/>
      <c r="AP119" s="8">
        <f t="shared" si="2"/>
        <v>0</v>
      </c>
      <c r="AQ119" s="67">
        <v>5</v>
      </c>
      <c r="AR119" s="76">
        <f t="shared" si="3"/>
        <v>0</v>
      </c>
    </row>
    <row r="120" spans="1:44">
      <c r="A120" s="8">
        <v>263</v>
      </c>
      <c r="B120" s="8" t="s">
        <v>5</v>
      </c>
      <c r="C120" s="8" t="s">
        <v>42</v>
      </c>
      <c r="D120" s="8" t="s">
        <v>6</v>
      </c>
      <c r="E120" s="8">
        <v>263</v>
      </c>
      <c r="F120" s="24"/>
      <c r="G120" s="5"/>
      <c r="H120" s="5"/>
      <c r="I120" s="5"/>
      <c r="J120" s="5"/>
      <c r="K120" s="5"/>
      <c r="L120" s="5"/>
      <c r="M120" s="25"/>
      <c r="N120" s="24"/>
      <c r="O120" s="5"/>
      <c r="P120" s="5"/>
      <c r="Q120" s="5"/>
      <c r="R120" s="5"/>
      <c r="S120" s="5"/>
      <c r="T120" s="5"/>
      <c r="U120" s="25"/>
      <c r="V120" s="24"/>
      <c r="W120" s="5"/>
      <c r="X120" s="5"/>
      <c r="Y120" s="5"/>
      <c r="Z120" s="5"/>
      <c r="AA120" s="5"/>
      <c r="AB120" s="5"/>
      <c r="AC120" s="25"/>
      <c r="AD120" s="24"/>
      <c r="AE120" s="5"/>
      <c r="AF120" s="5"/>
      <c r="AG120" s="5"/>
      <c r="AH120" s="5"/>
      <c r="AI120" s="5"/>
      <c r="AJ120" s="5"/>
      <c r="AK120" s="25"/>
      <c r="AL120" s="5">
        <v>263</v>
      </c>
      <c r="AM120" s="8">
        <v>1</v>
      </c>
      <c r="AN120" s="8"/>
      <c r="AO120" s="8"/>
      <c r="AP120" s="8">
        <f t="shared" si="2"/>
        <v>0</v>
      </c>
      <c r="AQ120">
        <v>32</v>
      </c>
      <c r="AR120" s="76">
        <f t="shared" si="3"/>
        <v>0</v>
      </c>
    </row>
    <row r="121" spans="1:44">
      <c r="A121" s="8">
        <v>266</v>
      </c>
      <c r="B121" s="8" t="s">
        <v>197</v>
      </c>
      <c r="C121" s="8" t="s">
        <v>357</v>
      </c>
      <c r="D121" s="8"/>
      <c r="E121" s="8">
        <v>266</v>
      </c>
      <c r="F121" s="24"/>
      <c r="G121" s="5"/>
      <c r="H121" s="5"/>
      <c r="I121" s="5"/>
      <c r="J121" s="5"/>
      <c r="K121" s="5"/>
      <c r="L121" s="5"/>
      <c r="M121" s="25"/>
      <c r="N121" s="24"/>
      <c r="O121" s="5"/>
      <c r="P121" s="5"/>
      <c r="Q121" s="5"/>
      <c r="R121" s="5"/>
      <c r="S121" s="5"/>
      <c r="T121" s="5"/>
      <c r="U121" s="25"/>
      <c r="V121" s="24"/>
      <c r="W121" s="5"/>
      <c r="X121" s="5"/>
      <c r="Y121" s="5"/>
      <c r="Z121" s="5"/>
      <c r="AA121" s="5"/>
      <c r="AB121" s="5">
        <v>1</v>
      </c>
      <c r="AC121" s="25">
        <v>1</v>
      </c>
      <c r="AD121" s="24"/>
      <c r="AE121" s="5"/>
      <c r="AF121" s="5"/>
      <c r="AG121" s="5"/>
      <c r="AH121" s="5"/>
      <c r="AI121" s="5">
        <v>1</v>
      </c>
      <c r="AJ121" s="5"/>
      <c r="AK121" s="25"/>
      <c r="AL121" s="5">
        <v>266</v>
      </c>
      <c r="AM121" s="8"/>
      <c r="AN121" s="8">
        <v>1</v>
      </c>
      <c r="AO121" s="8">
        <v>1</v>
      </c>
      <c r="AP121" s="8">
        <f t="shared" si="2"/>
        <v>3</v>
      </c>
      <c r="AQ121">
        <v>22</v>
      </c>
      <c r="AR121" s="76">
        <f t="shared" si="3"/>
        <v>0.13636363636363635</v>
      </c>
    </row>
    <row r="122" spans="1:44">
      <c r="A122" s="8">
        <v>267</v>
      </c>
      <c r="B122" s="8" t="s">
        <v>73</v>
      </c>
      <c r="C122" s="8" t="s">
        <v>165</v>
      </c>
      <c r="D122" s="8" t="s">
        <v>6</v>
      </c>
      <c r="E122" s="8">
        <v>267</v>
      </c>
      <c r="F122" s="24"/>
      <c r="G122" s="5">
        <v>1</v>
      </c>
      <c r="H122" s="5">
        <v>1</v>
      </c>
      <c r="I122" s="5">
        <v>1</v>
      </c>
      <c r="J122" s="5">
        <v>1</v>
      </c>
      <c r="K122" s="5"/>
      <c r="L122" s="5"/>
      <c r="M122" s="25">
        <v>1</v>
      </c>
      <c r="N122" s="24"/>
      <c r="O122" s="5"/>
      <c r="P122" s="5"/>
      <c r="Q122" s="5">
        <v>1</v>
      </c>
      <c r="R122" s="5">
        <v>1</v>
      </c>
      <c r="S122" s="5">
        <v>1</v>
      </c>
      <c r="T122" s="5">
        <v>1</v>
      </c>
      <c r="U122" s="25"/>
      <c r="V122" s="24"/>
      <c r="W122" s="5">
        <v>1</v>
      </c>
      <c r="X122" s="5"/>
      <c r="Y122" s="5"/>
      <c r="Z122" s="5"/>
      <c r="AA122" s="5">
        <v>1</v>
      </c>
      <c r="AB122" s="5">
        <v>1</v>
      </c>
      <c r="AC122" s="25">
        <v>1</v>
      </c>
      <c r="AD122" s="24">
        <v>1</v>
      </c>
      <c r="AE122" s="5">
        <v>1</v>
      </c>
      <c r="AF122" s="5">
        <v>1</v>
      </c>
      <c r="AG122" s="5">
        <v>1</v>
      </c>
      <c r="AH122" s="5"/>
      <c r="AI122" s="5"/>
      <c r="AJ122" s="5"/>
      <c r="AK122" s="25"/>
      <c r="AL122" s="5">
        <v>267</v>
      </c>
      <c r="AM122" s="8"/>
      <c r="AN122" s="8">
        <v>1</v>
      </c>
      <c r="AO122" s="8">
        <v>1</v>
      </c>
      <c r="AP122" s="8">
        <f t="shared" si="2"/>
        <v>17</v>
      </c>
      <c r="AQ122">
        <v>22</v>
      </c>
      <c r="AR122" s="76">
        <f t="shared" si="3"/>
        <v>0.77272727272727271</v>
      </c>
    </row>
    <row r="123" spans="1:44">
      <c r="A123" s="8">
        <v>270</v>
      </c>
      <c r="B123" s="8" t="s">
        <v>197</v>
      </c>
      <c r="C123" s="8" t="s">
        <v>357</v>
      </c>
      <c r="D123" s="8"/>
      <c r="E123" s="8">
        <v>270</v>
      </c>
      <c r="F123" s="24"/>
      <c r="G123" s="5"/>
      <c r="H123" s="5">
        <v>1</v>
      </c>
      <c r="I123" s="5"/>
      <c r="J123" s="5"/>
      <c r="K123" s="5"/>
      <c r="L123" s="5">
        <v>1</v>
      </c>
      <c r="M123" s="25">
        <v>1</v>
      </c>
      <c r="N123" s="24"/>
      <c r="O123" s="5"/>
      <c r="P123" s="5"/>
      <c r="Q123" s="5">
        <v>1</v>
      </c>
      <c r="R123" s="5">
        <v>1</v>
      </c>
      <c r="S123" s="5"/>
      <c r="T123" s="5"/>
      <c r="U123" s="25"/>
      <c r="V123" s="24"/>
      <c r="W123" s="5"/>
      <c r="X123" s="5"/>
      <c r="Y123" s="5"/>
      <c r="Z123" s="5"/>
      <c r="AA123" s="5">
        <v>1</v>
      </c>
      <c r="AB123" s="5"/>
      <c r="AC123" s="25"/>
      <c r="AD123" s="24"/>
      <c r="AE123" s="5">
        <v>1</v>
      </c>
      <c r="AF123" s="5">
        <v>1</v>
      </c>
      <c r="AG123" s="5">
        <v>1</v>
      </c>
      <c r="AH123" s="5">
        <v>1</v>
      </c>
      <c r="AI123" s="5">
        <v>1</v>
      </c>
      <c r="AJ123" s="5"/>
      <c r="AK123" s="25"/>
      <c r="AL123" s="5">
        <v>270</v>
      </c>
      <c r="AM123" s="8"/>
      <c r="AN123" s="8">
        <v>1</v>
      </c>
      <c r="AO123" s="8">
        <v>1</v>
      </c>
      <c r="AP123" s="8">
        <f t="shared" si="2"/>
        <v>11</v>
      </c>
      <c r="AQ123">
        <v>21</v>
      </c>
      <c r="AR123" s="76">
        <f t="shared" si="3"/>
        <v>0.52380952380952384</v>
      </c>
    </row>
    <row r="124" spans="1:44">
      <c r="A124" s="8">
        <v>271</v>
      </c>
      <c r="B124" s="8" t="s">
        <v>62</v>
      </c>
      <c r="C124" s="8" t="s">
        <v>42</v>
      </c>
      <c r="D124" s="8" t="s">
        <v>6</v>
      </c>
      <c r="E124" s="8">
        <v>271</v>
      </c>
      <c r="F124" s="24"/>
      <c r="G124" s="5">
        <v>1</v>
      </c>
      <c r="H124" s="5">
        <v>1</v>
      </c>
      <c r="I124" s="5">
        <v>1</v>
      </c>
      <c r="J124" s="5"/>
      <c r="K124" s="5"/>
      <c r="L124" s="5"/>
      <c r="M124" s="25">
        <v>1</v>
      </c>
      <c r="N124" s="24">
        <v>1</v>
      </c>
      <c r="O124" s="5">
        <v>1</v>
      </c>
      <c r="P124" s="5"/>
      <c r="Q124" s="5">
        <v>1</v>
      </c>
      <c r="R124" s="5"/>
      <c r="S124" s="5">
        <v>1</v>
      </c>
      <c r="T124" s="5">
        <v>1</v>
      </c>
      <c r="U124" s="25"/>
      <c r="V124" s="24"/>
      <c r="W124" s="5"/>
      <c r="X124" s="5"/>
      <c r="Y124" s="5"/>
      <c r="Z124" s="5">
        <v>1</v>
      </c>
      <c r="AA124" s="5">
        <v>1</v>
      </c>
      <c r="AB124" s="5">
        <v>1</v>
      </c>
      <c r="AC124" s="25">
        <v>1</v>
      </c>
      <c r="AD124" s="24">
        <v>1</v>
      </c>
      <c r="AE124" s="5">
        <v>1</v>
      </c>
      <c r="AF124" s="5">
        <v>1</v>
      </c>
      <c r="AG124" s="5">
        <v>1</v>
      </c>
      <c r="AH124" s="5">
        <v>1</v>
      </c>
      <c r="AI124" s="5"/>
      <c r="AJ124" s="5"/>
      <c r="AK124" s="25"/>
      <c r="AL124" s="5">
        <v>271</v>
      </c>
      <c r="AM124" s="8"/>
      <c r="AN124" s="8">
        <v>1</v>
      </c>
      <c r="AO124" s="8">
        <v>1</v>
      </c>
      <c r="AP124" s="8">
        <f t="shared" si="2"/>
        <v>18</v>
      </c>
      <c r="AQ124">
        <v>22</v>
      </c>
      <c r="AR124" s="76">
        <f t="shared" si="3"/>
        <v>0.81818181818181823</v>
      </c>
    </row>
    <row r="125" spans="1:44">
      <c r="A125" s="8">
        <v>272</v>
      </c>
      <c r="B125" s="8" t="s">
        <v>41</v>
      </c>
      <c r="C125" s="8" t="s">
        <v>42</v>
      </c>
      <c r="D125" s="8" t="s">
        <v>6</v>
      </c>
      <c r="E125" s="8">
        <v>272</v>
      </c>
      <c r="F125" s="24"/>
      <c r="G125" s="5"/>
      <c r="H125" s="5"/>
      <c r="I125" s="5"/>
      <c r="J125" s="5"/>
      <c r="K125" s="5"/>
      <c r="L125" s="5"/>
      <c r="M125" s="25"/>
      <c r="N125" s="24"/>
      <c r="O125" s="5"/>
      <c r="P125" s="5"/>
      <c r="Q125" s="5"/>
      <c r="R125" s="5"/>
      <c r="S125" s="5"/>
      <c r="T125" s="5"/>
      <c r="U125" s="25"/>
      <c r="V125" s="24"/>
      <c r="W125" s="5"/>
      <c r="X125" s="5"/>
      <c r="Y125" s="5">
        <v>1</v>
      </c>
      <c r="Z125" s="5">
        <v>1</v>
      </c>
      <c r="AA125" s="5"/>
      <c r="AB125" s="5">
        <v>1</v>
      </c>
      <c r="AC125" s="25">
        <v>1</v>
      </c>
      <c r="AD125" s="24">
        <v>1</v>
      </c>
      <c r="AE125" s="5">
        <v>1</v>
      </c>
      <c r="AF125" s="5">
        <v>1</v>
      </c>
      <c r="AG125" s="5">
        <v>1</v>
      </c>
      <c r="AH125" s="5">
        <v>1</v>
      </c>
      <c r="AI125" s="5"/>
      <c r="AJ125" s="5"/>
      <c r="AK125" s="25"/>
      <c r="AL125" s="5">
        <v>272</v>
      </c>
      <c r="AM125" s="8"/>
      <c r="AN125" s="8">
        <v>1</v>
      </c>
      <c r="AO125" s="8">
        <v>1</v>
      </c>
      <c r="AP125" s="8">
        <f t="shared" si="2"/>
        <v>9</v>
      </c>
      <c r="AQ125">
        <v>16</v>
      </c>
      <c r="AR125" s="76">
        <f t="shared" si="3"/>
        <v>0.5625</v>
      </c>
    </row>
    <row r="126" spans="1:44">
      <c r="A126" s="8">
        <v>273</v>
      </c>
      <c r="B126" s="8" t="s">
        <v>5</v>
      </c>
      <c r="C126" s="8" t="s">
        <v>42</v>
      </c>
      <c r="D126" s="8" t="s">
        <v>42</v>
      </c>
      <c r="E126" s="8">
        <v>273</v>
      </c>
      <c r="F126" s="24"/>
      <c r="G126" s="5">
        <v>1</v>
      </c>
      <c r="H126" s="5">
        <v>1</v>
      </c>
      <c r="I126" s="5">
        <v>1</v>
      </c>
      <c r="J126" s="5"/>
      <c r="K126" s="5"/>
      <c r="L126" s="5">
        <v>1</v>
      </c>
      <c r="M126" s="25">
        <v>1</v>
      </c>
      <c r="N126" s="24">
        <v>1</v>
      </c>
      <c r="O126" s="5"/>
      <c r="P126" s="5"/>
      <c r="Q126" s="5"/>
      <c r="R126" s="5">
        <v>1</v>
      </c>
      <c r="S126" s="5">
        <v>1</v>
      </c>
      <c r="T126" s="5"/>
      <c r="U126" s="25"/>
      <c r="V126" s="24">
        <v>1</v>
      </c>
      <c r="W126" s="5"/>
      <c r="X126" s="5"/>
      <c r="Y126" s="5"/>
      <c r="Z126" s="5"/>
      <c r="AA126" s="5">
        <v>1</v>
      </c>
      <c r="AB126" s="5">
        <v>1</v>
      </c>
      <c r="AC126" s="25">
        <v>1</v>
      </c>
      <c r="AD126" s="24">
        <v>1</v>
      </c>
      <c r="AE126" s="5">
        <v>1</v>
      </c>
      <c r="AF126" s="5">
        <v>1</v>
      </c>
      <c r="AG126" s="5">
        <v>1</v>
      </c>
      <c r="AH126" s="5">
        <v>1</v>
      </c>
      <c r="AI126" s="5"/>
      <c r="AJ126" s="5"/>
      <c r="AK126" s="25"/>
      <c r="AL126" s="5">
        <v>273</v>
      </c>
      <c r="AM126" s="8"/>
      <c r="AN126" s="8">
        <v>1</v>
      </c>
      <c r="AO126" s="8">
        <v>1</v>
      </c>
      <c r="AP126" s="8">
        <f t="shared" si="2"/>
        <v>17</v>
      </c>
      <c r="AQ126">
        <v>28</v>
      </c>
      <c r="AR126" s="76">
        <f t="shared" si="3"/>
        <v>0.6071428571428571</v>
      </c>
    </row>
    <row r="127" spans="1:44">
      <c r="A127" s="8">
        <v>280</v>
      </c>
      <c r="B127" s="8" t="s">
        <v>123</v>
      </c>
      <c r="C127" s="8" t="s">
        <v>366</v>
      </c>
      <c r="D127" s="8" t="s">
        <v>42</v>
      </c>
      <c r="E127" s="8">
        <v>280</v>
      </c>
      <c r="F127" s="24">
        <v>1</v>
      </c>
      <c r="G127" s="5"/>
      <c r="H127" s="5"/>
      <c r="I127" s="5">
        <v>1</v>
      </c>
      <c r="J127" s="5"/>
      <c r="K127" s="5"/>
      <c r="L127" s="5"/>
      <c r="M127" s="25"/>
      <c r="N127" s="24"/>
      <c r="O127" s="5">
        <v>1</v>
      </c>
      <c r="P127" s="5">
        <v>1</v>
      </c>
      <c r="Q127" s="5">
        <v>1</v>
      </c>
      <c r="R127" s="5">
        <v>1</v>
      </c>
      <c r="S127" s="5">
        <v>1</v>
      </c>
      <c r="T127" s="5"/>
      <c r="U127" s="25">
        <v>1</v>
      </c>
      <c r="V127" s="24">
        <v>1</v>
      </c>
      <c r="W127" s="5"/>
      <c r="X127" s="5"/>
      <c r="Y127" s="5">
        <v>1</v>
      </c>
      <c r="Z127" s="5">
        <v>1</v>
      </c>
      <c r="AA127" s="5">
        <v>1</v>
      </c>
      <c r="AB127" s="5">
        <v>1</v>
      </c>
      <c r="AC127" s="25">
        <v>1</v>
      </c>
      <c r="AD127" s="24">
        <v>1</v>
      </c>
      <c r="AE127" s="5">
        <v>1</v>
      </c>
      <c r="AF127" s="5">
        <v>1</v>
      </c>
      <c r="AG127" s="5">
        <v>1</v>
      </c>
      <c r="AH127" s="5">
        <v>1</v>
      </c>
      <c r="AI127" s="5"/>
      <c r="AJ127" s="5"/>
      <c r="AK127" s="25">
        <v>1</v>
      </c>
      <c r="AL127" s="5">
        <v>280</v>
      </c>
      <c r="AM127" s="8"/>
      <c r="AN127" s="8">
        <v>1</v>
      </c>
      <c r="AO127" s="8">
        <v>1</v>
      </c>
      <c r="AP127" s="8">
        <f t="shared" si="2"/>
        <v>20</v>
      </c>
      <c r="AQ127">
        <v>24</v>
      </c>
      <c r="AR127" s="76">
        <f t="shared" si="3"/>
        <v>0.83333333333333337</v>
      </c>
    </row>
    <row r="128" spans="1:44">
      <c r="A128" s="8">
        <v>283</v>
      </c>
      <c r="B128" s="8" t="s">
        <v>74</v>
      </c>
      <c r="C128" s="8" t="s">
        <v>346</v>
      </c>
      <c r="D128" s="8"/>
      <c r="E128" s="8">
        <v>283</v>
      </c>
      <c r="F128" s="24"/>
      <c r="G128" s="5"/>
      <c r="H128" s="5"/>
      <c r="I128" s="5"/>
      <c r="J128" s="5"/>
      <c r="K128" s="5"/>
      <c r="L128" s="5"/>
      <c r="M128" s="25"/>
      <c r="N128" s="24"/>
      <c r="O128" s="5"/>
      <c r="P128" s="5"/>
      <c r="Q128" s="5"/>
      <c r="R128" s="5"/>
      <c r="S128" s="5"/>
      <c r="T128" s="5"/>
      <c r="U128" s="25"/>
      <c r="V128" s="24"/>
      <c r="W128" s="5"/>
      <c r="X128" s="5"/>
      <c r="Y128" s="5"/>
      <c r="Z128" s="5"/>
      <c r="AA128" s="5"/>
      <c r="AB128" s="5"/>
      <c r="AC128" s="25"/>
      <c r="AD128" s="24"/>
      <c r="AE128" s="5"/>
      <c r="AF128" s="5"/>
      <c r="AG128" s="5"/>
      <c r="AH128" s="5"/>
      <c r="AI128" s="5"/>
      <c r="AJ128" s="5"/>
      <c r="AK128" s="25"/>
      <c r="AL128" s="5">
        <v>283</v>
      </c>
      <c r="AM128" s="8">
        <v>1</v>
      </c>
      <c r="AN128" s="8"/>
      <c r="AO128" s="8"/>
      <c r="AP128" s="8">
        <f t="shared" si="2"/>
        <v>0</v>
      </c>
      <c r="AQ128">
        <v>2</v>
      </c>
      <c r="AR128" s="76">
        <f t="shared" si="3"/>
        <v>0</v>
      </c>
    </row>
    <row r="129" spans="1:44">
      <c r="A129" s="8">
        <v>286</v>
      </c>
      <c r="B129" s="8" t="s">
        <v>63</v>
      </c>
      <c r="C129" s="8" t="s">
        <v>346</v>
      </c>
      <c r="D129" s="8"/>
      <c r="E129" s="8">
        <v>286</v>
      </c>
      <c r="F129" s="24"/>
      <c r="G129" s="5"/>
      <c r="H129" s="5"/>
      <c r="I129" s="5"/>
      <c r="J129" s="5"/>
      <c r="K129" s="5"/>
      <c r="L129" s="5"/>
      <c r="M129" s="25"/>
      <c r="N129" s="24"/>
      <c r="O129" s="5"/>
      <c r="P129" s="5"/>
      <c r="Q129" s="5"/>
      <c r="R129" s="5"/>
      <c r="S129" s="5"/>
      <c r="T129" s="5"/>
      <c r="U129" s="25"/>
      <c r="V129" s="24"/>
      <c r="W129" s="5"/>
      <c r="X129" s="5"/>
      <c r="Y129" s="5"/>
      <c r="Z129" s="5"/>
      <c r="AA129" s="5"/>
      <c r="AB129" s="5"/>
      <c r="AC129" s="25"/>
      <c r="AD129" s="24"/>
      <c r="AE129" s="5"/>
      <c r="AF129" s="5"/>
      <c r="AG129" s="5"/>
      <c r="AH129" s="5"/>
      <c r="AI129" s="5"/>
      <c r="AJ129" s="5"/>
      <c r="AK129" s="25"/>
      <c r="AL129" s="5">
        <v>286</v>
      </c>
      <c r="AM129" s="8">
        <v>1</v>
      </c>
      <c r="AN129" s="8"/>
      <c r="AO129" s="8"/>
      <c r="AP129" s="8">
        <f t="shared" si="2"/>
        <v>0</v>
      </c>
      <c r="AQ129">
        <v>12</v>
      </c>
      <c r="AR129" s="76">
        <f t="shared" si="3"/>
        <v>0</v>
      </c>
    </row>
    <row r="130" spans="1:44">
      <c r="A130" s="8">
        <v>287</v>
      </c>
      <c r="B130" s="8" t="s">
        <v>71</v>
      </c>
      <c r="C130" s="8" t="s">
        <v>366</v>
      </c>
      <c r="D130" s="8" t="s">
        <v>42</v>
      </c>
      <c r="E130" s="8">
        <v>287</v>
      </c>
      <c r="F130" s="24">
        <v>1</v>
      </c>
      <c r="G130" s="5">
        <v>1</v>
      </c>
      <c r="H130" s="5">
        <v>1</v>
      </c>
      <c r="I130" s="5"/>
      <c r="J130" s="5"/>
      <c r="K130" s="5">
        <v>1</v>
      </c>
      <c r="L130" s="5"/>
      <c r="M130" s="25"/>
      <c r="N130" s="24"/>
      <c r="O130" s="5"/>
      <c r="P130" s="5"/>
      <c r="Q130" s="5"/>
      <c r="R130" s="5"/>
      <c r="S130" s="5">
        <v>1</v>
      </c>
      <c r="T130" s="5">
        <v>1</v>
      </c>
      <c r="U130" s="25">
        <v>1</v>
      </c>
      <c r="V130" s="24">
        <v>1</v>
      </c>
      <c r="W130" s="5">
        <v>1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25">
        <v>1</v>
      </c>
      <c r="AD130" s="24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25">
        <v>1</v>
      </c>
      <c r="AL130" s="5">
        <v>287</v>
      </c>
      <c r="AM130" s="8"/>
      <c r="AN130" s="8">
        <v>1</v>
      </c>
      <c r="AO130" s="8">
        <v>1</v>
      </c>
      <c r="AP130" s="8">
        <f t="shared" si="2"/>
        <v>23</v>
      </c>
      <c r="AQ130">
        <v>27</v>
      </c>
      <c r="AR130" s="76">
        <f t="shared" si="3"/>
        <v>0.85185185185185186</v>
      </c>
    </row>
    <row r="131" spans="1:44">
      <c r="A131" s="8">
        <v>288</v>
      </c>
      <c r="B131" s="8" t="s">
        <v>71</v>
      </c>
      <c r="C131" s="8" t="s">
        <v>366</v>
      </c>
      <c r="D131" s="8" t="s">
        <v>42</v>
      </c>
      <c r="E131" s="8">
        <v>288</v>
      </c>
      <c r="F131" s="24"/>
      <c r="G131" s="5">
        <v>1</v>
      </c>
      <c r="H131" s="5">
        <v>1</v>
      </c>
      <c r="I131" s="5">
        <v>1</v>
      </c>
      <c r="J131" s="5">
        <v>1</v>
      </c>
      <c r="K131" s="5">
        <v>1</v>
      </c>
      <c r="L131" s="5">
        <v>1</v>
      </c>
      <c r="M131" s="25">
        <v>1</v>
      </c>
      <c r="N131" s="24">
        <v>1</v>
      </c>
      <c r="O131" s="5">
        <v>1</v>
      </c>
      <c r="P131" s="5">
        <v>1</v>
      </c>
      <c r="Q131" s="5"/>
      <c r="R131" s="5"/>
      <c r="S131" s="5">
        <v>1</v>
      </c>
      <c r="T131" s="5">
        <v>1</v>
      </c>
      <c r="U131" s="25">
        <v>1</v>
      </c>
      <c r="V131" s="24">
        <v>1</v>
      </c>
      <c r="W131" s="5">
        <v>1</v>
      </c>
      <c r="X131" s="5">
        <v>1</v>
      </c>
      <c r="Y131" s="5">
        <v>1</v>
      </c>
      <c r="Z131" s="5">
        <v>1</v>
      </c>
      <c r="AA131" s="5">
        <v>1</v>
      </c>
      <c r="AB131" s="5">
        <v>1</v>
      </c>
      <c r="AC131" s="25">
        <v>1</v>
      </c>
      <c r="AD131" s="24">
        <v>1</v>
      </c>
      <c r="AE131" s="5">
        <v>1</v>
      </c>
      <c r="AF131" s="5">
        <v>1</v>
      </c>
      <c r="AG131" s="5">
        <v>1</v>
      </c>
      <c r="AH131" s="5">
        <v>1</v>
      </c>
      <c r="AI131" s="5">
        <v>1</v>
      </c>
      <c r="AJ131" s="5">
        <v>1</v>
      </c>
      <c r="AK131" s="25">
        <v>1</v>
      </c>
      <c r="AL131" s="5">
        <v>288</v>
      </c>
      <c r="AM131" s="8"/>
      <c r="AN131" s="8">
        <v>1</v>
      </c>
      <c r="AO131" s="8">
        <v>1</v>
      </c>
      <c r="AP131" s="8">
        <f t="shared" si="2"/>
        <v>29</v>
      </c>
      <c r="AQ131">
        <v>32</v>
      </c>
      <c r="AR131" s="76">
        <f t="shared" si="3"/>
        <v>0.90625</v>
      </c>
    </row>
    <row r="132" spans="1:44">
      <c r="A132" s="8">
        <v>291</v>
      </c>
      <c r="B132" s="8" t="s">
        <v>80</v>
      </c>
      <c r="C132" s="8" t="s">
        <v>346</v>
      </c>
      <c r="D132" s="8"/>
      <c r="E132" s="8">
        <v>291</v>
      </c>
      <c r="F132" s="24"/>
      <c r="G132" s="5"/>
      <c r="H132" s="5"/>
      <c r="I132" s="5"/>
      <c r="J132" s="5"/>
      <c r="K132" s="5">
        <v>1</v>
      </c>
      <c r="L132" s="5"/>
      <c r="M132" s="25"/>
      <c r="N132" s="24"/>
      <c r="O132" s="5"/>
      <c r="P132" s="5"/>
      <c r="Q132" s="5"/>
      <c r="R132" s="5"/>
      <c r="S132" s="5"/>
      <c r="T132" s="5"/>
      <c r="U132" s="25"/>
      <c r="V132" s="24"/>
      <c r="W132" s="5"/>
      <c r="X132" s="5"/>
      <c r="Y132" s="5"/>
      <c r="Z132" s="5"/>
      <c r="AA132" s="5"/>
      <c r="AB132" s="5"/>
      <c r="AC132" s="25"/>
      <c r="AD132" s="24">
        <v>1</v>
      </c>
      <c r="AE132" s="5">
        <v>1</v>
      </c>
      <c r="AF132" s="5"/>
      <c r="AG132" s="5"/>
      <c r="AH132" s="5"/>
      <c r="AI132" s="5"/>
      <c r="AJ132" s="5"/>
      <c r="AK132" s="25"/>
      <c r="AL132" s="5">
        <v>291</v>
      </c>
      <c r="AM132" s="8"/>
      <c r="AN132" s="8">
        <v>1</v>
      </c>
      <c r="AO132" s="8">
        <v>1</v>
      </c>
      <c r="AP132" s="8">
        <f t="shared" ref="AP132:AP195" si="4">SUM(F132:AK132)</f>
        <v>3</v>
      </c>
      <c r="AQ132">
        <v>12</v>
      </c>
      <c r="AR132" s="76">
        <f t="shared" si="3"/>
        <v>0.25</v>
      </c>
    </row>
    <row r="133" spans="1:44">
      <c r="A133" s="8">
        <v>292</v>
      </c>
      <c r="B133" s="8" t="s">
        <v>74</v>
      </c>
      <c r="C133" s="8" t="s">
        <v>346</v>
      </c>
      <c r="D133" s="8"/>
      <c r="E133" s="8">
        <v>292</v>
      </c>
      <c r="F133" s="24"/>
      <c r="G133" s="5"/>
      <c r="H133" s="5"/>
      <c r="I133" s="5"/>
      <c r="J133" s="5"/>
      <c r="K133" s="5"/>
      <c r="L133" s="5"/>
      <c r="M133" s="25"/>
      <c r="N133" s="24"/>
      <c r="O133" s="5"/>
      <c r="P133" s="5"/>
      <c r="Q133" s="5"/>
      <c r="R133" s="5"/>
      <c r="S133" s="5"/>
      <c r="T133" s="5"/>
      <c r="U133" s="25"/>
      <c r="V133" s="24"/>
      <c r="W133" s="5"/>
      <c r="X133" s="5"/>
      <c r="Y133" s="5"/>
      <c r="Z133" s="5"/>
      <c r="AA133" s="5"/>
      <c r="AB133" s="5"/>
      <c r="AC133" s="25"/>
      <c r="AD133" s="24"/>
      <c r="AE133" s="5"/>
      <c r="AF133" s="5"/>
      <c r="AG133" s="5"/>
      <c r="AH133" s="5"/>
      <c r="AI133" s="5"/>
      <c r="AJ133" s="5"/>
      <c r="AK133" s="25"/>
      <c r="AL133" s="5">
        <v>292</v>
      </c>
      <c r="AM133" s="8">
        <v>1</v>
      </c>
      <c r="AN133" s="8"/>
      <c r="AO133" s="8"/>
      <c r="AP133" s="8">
        <f t="shared" si="4"/>
        <v>0</v>
      </c>
      <c r="AQ133">
        <v>12</v>
      </c>
      <c r="AR133" s="76">
        <f t="shared" ref="AR133:AR196" si="5">AP133/AQ133</f>
        <v>0</v>
      </c>
    </row>
    <row r="134" spans="1:44">
      <c r="A134" s="8">
        <v>293</v>
      </c>
      <c r="B134" s="8" t="s">
        <v>106</v>
      </c>
      <c r="C134" s="8" t="s">
        <v>349</v>
      </c>
      <c r="D134" s="8" t="s">
        <v>6</v>
      </c>
      <c r="E134" s="8">
        <v>293</v>
      </c>
      <c r="F134" s="24">
        <v>1</v>
      </c>
      <c r="G134" s="5"/>
      <c r="H134" s="5"/>
      <c r="I134" s="5">
        <v>1</v>
      </c>
      <c r="J134" s="5">
        <v>1</v>
      </c>
      <c r="K134" s="5">
        <v>1</v>
      </c>
      <c r="L134" s="5">
        <v>1</v>
      </c>
      <c r="M134" s="25">
        <v>1</v>
      </c>
      <c r="N134" s="24">
        <v>1</v>
      </c>
      <c r="O134" s="5">
        <v>1</v>
      </c>
      <c r="P134" s="5">
        <v>1</v>
      </c>
      <c r="Q134" s="5">
        <v>1</v>
      </c>
      <c r="R134" s="5"/>
      <c r="S134" s="5">
        <v>1</v>
      </c>
      <c r="T134" s="5">
        <v>1</v>
      </c>
      <c r="U134" s="25"/>
      <c r="V134" s="24">
        <v>1</v>
      </c>
      <c r="W134" s="5">
        <v>1</v>
      </c>
      <c r="X134" s="5"/>
      <c r="Y134" s="5"/>
      <c r="Z134" s="5"/>
      <c r="AA134" s="5"/>
      <c r="AB134" s="5">
        <v>1</v>
      </c>
      <c r="AC134" s="25">
        <v>1</v>
      </c>
      <c r="AD134" s="24">
        <v>1</v>
      </c>
      <c r="AE134" s="5">
        <v>1</v>
      </c>
      <c r="AF134" s="5">
        <v>1</v>
      </c>
      <c r="AG134" s="5"/>
      <c r="AH134" s="5"/>
      <c r="AI134" s="5"/>
      <c r="AJ134" s="5"/>
      <c r="AK134" s="25">
        <v>1</v>
      </c>
      <c r="AL134" s="5">
        <v>293</v>
      </c>
      <c r="AM134" s="8"/>
      <c r="AN134" s="8">
        <v>1</v>
      </c>
      <c r="AO134" s="8">
        <v>1</v>
      </c>
      <c r="AP134" s="8">
        <f t="shared" si="4"/>
        <v>20</v>
      </c>
      <c r="AQ134">
        <v>31</v>
      </c>
      <c r="AR134" s="76">
        <f t="shared" si="5"/>
        <v>0.64516129032258063</v>
      </c>
    </row>
    <row r="135" spans="1:44">
      <c r="A135" s="8">
        <v>299</v>
      </c>
      <c r="B135" s="8" t="s">
        <v>63</v>
      </c>
      <c r="C135" s="8" t="s">
        <v>346</v>
      </c>
      <c r="D135" s="8"/>
      <c r="E135" s="8">
        <v>299</v>
      </c>
      <c r="F135" s="24"/>
      <c r="G135" s="5"/>
      <c r="H135" s="5"/>
      <c r="I135" s="5"/>
      <c r="J135" s="5"/>
      <c r="K135" s="5"/>
      <c r="L135" s="5"/>
      <c r="M135" s="25"/>
      <c r="N135" s="24"/>
      <c r="O135" s="5"/>
      <c r="P135" s="5"/>
      <c r="Q135" s="5"/>
      <c r="R135" s="5"/>
      <c r="S135" s="5"/>
      <c r="T135" s="5"/>
      <c r="U135" s="25"/>
      <c r="V135" s="24"/>
      <c r="W135" s="5"/>
      <c r="X135" s="5"/>
      <c r="Y135" s="5"/>
      <c r="Z135" s="5"/>
      <c r="AA135" s="5"/>
      <c r="AB135" s="5"/>
      <c r="AC135" s="25"/>
      <c r="AD135" s="24"/>
      <c r="AE135" s="5"/>
      <c r="AF135" s="5"/>
      <c r="AG135" s="5"/>
      <c r="AH135" s="5"/>
      <c r="AI135" s="5"/>
      <c r="AJ135" s="5"/>
      <c r="AK135" s="25"/>
      <c r="AL135" s="5">
        <v>299</v>
      </c>
      <c r="AM135" s="8">
        <v>1</v>
      </c>
      <c r="AN135" s="8"/>
      <c r="AO135" s="8"/>
      <c r="AP135" s="8">
        <f t="shared" si="4"/>
        <v>0</v>
      </c>
      <c r="AQ135">
        <v>5</v>
      </c>
      <c r="AR135" s="76">
        <f t="shared" si="5"/>
        <v>0</v>
      </c>
    </row>
    <row r="136" spans="1:44">
      <c r="A136" s="8">
        <v>301</v>
      </c>
      <c r="B136" s="8" t="s">
        <v>123</v>
      </c>
      <c r="C136" s="8" t="s">
        <v>366</v>
      </c>
      <c r="D136" s="8" t="s">
        <v>42</v>
      </c>
      <c r="E136" s="8">
        <v>301</v>
      </c>
      <c r="F136" s="24"/>
      <c r="G136" s="5"/>
      <c r="H136" s="5">
        <v>1</v>
      </c>
      <c r="I136" s="5"/>
      <c r="J136" s="5"/>
      <c r="K136" s="5"/>
      <c r="L136" s="5">
        <v>1</v>
      </c>
      <c r="M136" s="25">
        <v>1</v>
      </c>
      <c r="N136" s="24"/>
      <c r="O136" s="5">
        <v>1</v>
      </c>
      <c r="P136" s="5"/>
      <c r="Q136" s="5"/>
      <c r="R136" s="5"/>
      <c r="S136" s="5"/>
      <c r="T136" s="5"/>
      <c r="U136" s="25"/>
      <c r="V136" s="24"/>
      <c r="W136" s="5">
        <v>1</v>
      </c>
      <c r="X136" s="5">
        <v>1</v>
      </c>
      <c r="Y136" s="5"/>
      <c r="Z136" s="5">
        <v>1</v>
      </c>
      <c r="AA136" s="5">
        <v>1</v>
      </c>
      <c r="AB136" s="5">
        <v>1</v>
      </c>
      <c r="AC136" s="25">
        <v>1</v>
      </c>
      <c r="AD136" s="24">
        <v>1</v>
      </c>
      <c r="AE136" s="5">
        <v>1</v>
      </c>
      <c r="AF136" s="5"/>
      <c r="AG136" s="5"/>
      <c r="AH136" s="5"/>
      <c r="AI136" s="5"/>
      <c r="AJ136" s="5"/>
      <c r="AK136" s="25">
        <v>1</v>
      </c>
      <c r="AL136" s="5">
        <v>301</v>
      </c>
      <c r="AM136" s="8"/>
      <c r="AN136" s="8">
        <v>1</v>
      </c>
      <c r="AO136" s="8">
        <v>1</v>
      </c>
      <c r="AP136" s="8">
        <f t="shared" si="4"/>
        <v>13</v>
      </c>
      <c r="AQ136">
        <v>21</v>
      </c>
      <c r="AR136" s="76">
        <f t="shared" si="5"/>
        <v>0.61904761904761907</v>
      </c>
    </row>
    <row r="137" spans="1:44">
      <c r="A137" s="8">
        <v>302</v>
      </c>
      <c r="B137" s="8" t="s">
        <v>41</v>
      </c>
      <c r="C137" s="8" t="s">
        <v>42</v>
      </c>
      <c r="D137" s="8" t="s">
        <v>42</v>
      </c>
      <c r="E137" s="8">
        <v>302</v>
      </c>
      <c r="F137" s="24">
        <v>1</v>
      </c>
      <c r="G137" s="5">
        <v>1</v>
      </c>
      <c r="H137" s="5">
        <v>1</v>
      </c>
      <c r="I137" s="5">
        <v>1</v>
      </c>
      <c r="J137" s="5"/>
      <c r="K137" s="5">
        <v>1</v>
      </c>
      <c r="L137" s="5">
        <v>1</v>
      </c>
      <c r="M137" s="25">
        <v>1</v>
      </c>
      <c r="N137" s="24">
        <v>1</v>
      </c>
      <c r="O137" s="5">
        <v>1</v>
      </c>
      <c r="P137" s="5">
        <v>1</v>
      </c>
      <c r="Q137" s="5">
        <v>1</v>
      </c>
      <c r="R137" s="5"/>
      <c r="S137" s="5">
        <v>1</v>
      </c>
      <c r="T137" s="5">
        <v>1</v>
      </c>
      <c r="U137" s="25">
        <v>1</v>
      </c>
      <c r="V137" s="24">
        <v>1</v>
      </c>
      <c r="W137" s="5">
        <v>1</v>
      </c>
      <c r="X137" s="5">
        <v>1</v>
      </c>
      <c r="Y137" s="5">
        <v>1</v>
      </c>
      <c r="Z137" s="5">
        <v>1</v>
      </c>
      <c r="AA137" s="5">
        <v>1</v>
      </c>
      <c r="AB137" s="5">
        <v>1</v>
      </c>
      <c r="AC137" s="25">
        <v>1</v>
      </c>
      <c r="AD137" s="24">
        <v>1</v>
      </c>
      <c r="AE137" s="5">
        <v>1</v>
      </c>
      <c r="AF137" s="5">
        <v>1</v>
      </c>
      <c r="AG137" s="5">
        <v>1</v>
      </c>
      <c r="AH137" s="5">
        <v>1</v>
      </c>
      <c r="AI137" s="5">
        <v>1</v>
      </c>
      <c r="AJ137" s="5">
        <v>1</v>
      </c>
      <c r="AK137" s="25">
        <v>1</v>
      </c>
      <c r="AL137" s="5">
        <v>302</v>
      </c>
      <c r="AM137" s="8"/>
      <c r="AN137" s="8">
        <v>1</v>
      </c>
      <c r="AO137" s="8">
        <v>1</v>
      </c>
      <c r="AP137" s="8">
        <f t="shared" si="4"/>
        <v>30</v>
      </c>
      <c r="AQ137">
        <v>31</v>
      </c>
      <c r="AR137" s="76">
        <f t="shared" si="5"/>
        <v>0.967741935483871</v>
      </c>
    </row>
    <row r="138" spans="1:44">
      <c r="A138" s="8">
        <v>303</v>
      </c>
      <c r="B138" s="8" t="s">
        <v>136</v>
      </c>
      <c r="C138" s="8" t="s">
        <v>12</v>
      </c>
      <c r="D138" s="8" t="s">
        <v>42</v>
      </c>
      <c r="E138" s="8">
        <v>303</v>
      </c>
      <c r="F138" s="24"/>
      <c r="G138" s="5"/>
      <c r="H138" s="5">
        <v>1</v>
      </c>
      <c r="I138" s="5">
        <v>1</v>
      </c>
      <c r="J138" s="5">
        <v>1</v>
      </c>
      <c r="K138" s="5">
        <v>1</v>
      </c>
      <c r="L138" s="5">
        <v>1</v>
      </c>
      <c r="M138" s="25">
        <v>1</v>
      </c>
      <c r="N138" s="24">
        <v>1</v>
      </c>
      <c r="O138" s="5">
        <v>1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25"/>
      <c r="V138" s="24">
        <v>1</v>
      </c>
      <c r="W138" s="5">
        <v>1</v>
      </c>
      <c r="X138" s="5">
        <v>1</v>
      </c>
      <c r="Y138" s="5">
        <v>1</v>
      </c>
      <c r="Z138" s="5">
        <v>1</v>
      </c>
      <c r="AA138" s="5">
        <v>1</v>
      </c>
      <c r="AB138" s="5">
        <v>1</v>
      </c>
      <c r="AC138" s="25">
        <v>1</v>
      </c>
      <c r="AD138" s="24">
        <v>1</v>
      </c>
      <c r="AE138" s="5">
        <v>1</v>
      </c>
      <c r="AF138" s="5">
        <v>1</v>
      </c>
      <c r="AG138" s="5">
        <v>1</v>
      </c>
      <c r="AH138" s="5">
        <v>1</v>
      </c>
      <c r="AI138" s="5">
        <v>1</v>
      </c>
      <c r="AJ138" s="5">
        <v>1</v>
      </c>
      <c r="AK138" s="25">
        <v>1</v>
      </c>
      <c r="AL138" s="5">
        <v>303</v>
      </c>
      <c r="AM138" s="8"/>
      <c r="AN138" s="8">
        <v>1</v>
      </c>
      <c r="AO138" s="8">
        <v>1</v>
      </c>
      <c r="AP138" s="8">
        <f t="shared" si="4"/>
        <v>29</v>
      </c>
      <c r="AQ138">
        <v>32</v>
      </c>
      <c r="AR138" s="76">
        <f t="shared" si="5"/>
        <v>0.90625</v>
      </c>
    </row>
    <row r="139" spans="1:44">
      <c r="A139" s="8">
        <v>304</v>
      </c>
      <c r="B139" s="8" t="s">
        <v>93</v>
      </c>
      <c r="C139" s="8" t="s">
        <v>12</v>
      </c>
      <c r="D139" s="8" t="s">
        <v>42</v>
      </c>
      <c r="E139" s="8">
        <v>304</v>
      </c>
      <c r="F139" s="24"/>
      <c r="G139" s="5">
        <v>1</v>
      </c>
      <c r="H139" s="5">
        <v>1</v>
      </c>
      <c r="I139" s="5">
        <v>1</v>
      </c>
      <c r="J139" s="5">
        <v>1</v>
      </c>
      <c r="K139" s="5">
        <v>1</v>
      </c>
      <c r="L139" s="5">
        <v>1</v>
      </c>
      <c r="M139" s="25">
        <v>1</v>
      </c>
      <c r="N139" s="24">
        <v>1</v>
      </c>
      <c r="O139" s="5">
        <v>1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25"/>
      <c r="V139" s="24"/>
      <c r="W139" s="5">
        <v>1</v>
      </c>
      <c r="X139" s="5">
        <v>1</v>
      </c>
      <c r="Y139" s="5"/>
      <c r="Z139" s="5">
        <v>1</v>
      </c>
      <c r="AA139" s="5">
        <v>1</v>
      </c>
      <c r="AB139" s="5">
        <v>1</v>
      </c>
      <c r="AC139" s="25">
        <v>1</v>
      </c>
      <c r="AD139" s="24">
        <v>1</v>
      </c>
      <c r="AE139" s="5">
        <v>1</v>
      </c>
      <c r="AF139" s="5">
        <v>1</v>
      </c>
      <c r="AG139" s="5">
        <v>1</v>
      </c>
      <c r="AH139" s="5">
        <v>1</v>
      </c>
      <c r="AI139" s="5">
        <v>1</v>
      </c>
      <c r="AJ139" s="5"/>
      <c r="AK139" s="25"/>
      <c r="AL139" s="5">
        <v>304</v>
      </c>
      <c r="AM139" s="8"/>
      <c r="AN139" s="8">
        <v>1</v>
      </c>
      <c r="AO139" s="8">
        <v>2</v>
      </c>
      <c r="AP139" s="8">
        <f t="shared" si="4"/>
        <v>26</v>
      </c>
      <c r="AQ139">
        <v>29</v>
      </c>
      <c r="AR139" s="76">
        <f t="shared" si="5"/>
        <v>0.89655172413793105</v>
      </c>
    </row>
    <row r="140" spans="1:44">
      <c r="A140" s="8">
        <v>308</v>
      </c>
      <c r="B140" s="8" t="s">
        <v>123</v>
      </c>
      <c r="C140" s="8" t="s">
        <v>366</v>
      </c>
      <c r="D140" s="8" t="s">
        <v>6</v>
      </c>
      <c r="E140" s="8">
        <v>308</v>
      </c>
      <c r="F140" s="24"/>
      <c r="G140" s="5">
        <v>1</v>
      </c>
      <c r="H140" s="5">
        <v>1</v>
      </c>
      <c r="I140" s="5">
        <v>1</v>
      </c>
      <c r="J140" s="5">
        <v>1</v>
      </c>
      <c r="K140" s="5">
        <v>1</v>
      </c>
      <c r="L140" s="5">
        <v>1</v>
      </c>
      <c r="M140" s="25"/>
      <c r="N140" s="24"/>
      <c r="O140" s="5"/>
      <c r="P140" s="5">
        <v>1</v>
      </c>
      <c r="Q140" s="5">
        <v>1</v>
      </c>
      <c r="R140" s="5"/>
      <c r="S140" s="5"/>
      <c r="T140" s="5"/>
      <c r="U140" s="25"/>
      <c r="V140" s="24"/>
      <c r="W140" s="5"/>
      <c r="X140" s="5"/>
      <c r="Y140" s="5"/>
      <c r="Z140" s="5">
        <v>1</v>
      </c>
      <c r="AA140" s="5">
        <v>1</v>
      </c>
      <c r="AB140" s="5">
        <v>1</v>
      </c>
      <c r="AC140" s="25">
        <v>1</v>
      </c>
      <c r="AD140" s="24">
        <v>1</v>
      </c>
      <c r="AE140" s="5">
        <v>1</v>
      </c>
      <c r="AF140" s="5">
        <v>1</v>
      </c>
      <c r="AG140" s="5">
        <v>1</v>
      </c>
      <c r="AH140" s="5"/>
      <c r="AI140" s="5"/>
      <c r="AJ140" s="5"/>
      <c r="AK140" s="25"/>
      <c r="AL140" s="5">
        <v>308</v>
      </c>
      <c r="AM140" s="8"/>
      <c r="AN140" s="8">
        <v>1</v>
      </c>
      <c r="AO140" s="8">
        <v>1</v>
      </c>
      <c r="AP140" s="8">
        <f t="shared" si="4"/>
        <v>16</v>
      </c>
      <c r="AQ140">
        <v>20</v>
      </c>
      <c r="AR140" s="76">
        <f t="shared" si="5"/>
        <v>0.8</v>
      </c>
    </row>
    <row r="141" spans="1:44">
      <c r="A141" s="8">
        <v>311</v>
      </c>
      <c r="B141" s="8" t="s">
        <v>130</v>
      </c>
      <c r="C141" s="8" t="s">
        <v>357</v>
      </c>
      <c r="D141" s="8"/>
      <c r="E141" s="8">
        <v>311</v>
      </c>
      <c r="F141" s="24"/>
      <c r="G141" s="5"/>
      <c r="H141" s="5"/>
      <c r="I141" s="5"/>
      <c r="J141" s="5"/>
      <c r="K141" s="5"/>
      <c r="L141" s="5"/>
      <c r="M141" s="25"/>
      <c r="N141" s="24"/>
      <c r="O141" s="5">
        <v>1</v>
      </c>
      <c r="P141" s="5">
        <v>1</v>
      </c>
      <c r="Q141" s="5"/>
      <c r="R141" s="5"/>
      <c r="S141" s="5"/>
      <c r="T141" s="5"/>
      <c r="U141" s="25"/>
      <c r="V141" s="24"/>
      <c r="W141" s="5"/>
      <c r="X141" s="5">
        <v>1</v>
      </c>
      <c r="Y141" s="5"/>
      <c r="Z141" s="5">
        <v>1</v>
      </c>
      <c r="AA141" s="5"/>
      <c r="AB141" s="5">
        <v>1</v>
      </c>
      <c r="AC141" s="25">
        <v>1</v>
      </c>
      <c r="AD141" s="24">
        <v>1</v>
      </c>
      <c r="AE141" s="5">
        <v>1</v>
      </c>
      <c r="AF141" s="5"/>
      <c r="AG141" s="5"/>
      <c r="AH141" s="5"/>
      <c r="AI141" s="5">
        <v>1</v>
      </c>
      <c r="AJ141" s="5"/>
      <c r="AK141" s="25"/>
      <c r="AL141" s="5">
        <v>311</v>
      </c>
      <c r="AM141" s="8"/>
      <c r="AN141" s="8">
        <v>1</v>
      </c>
      <c r="AO141" s="8">
        <v>1</v>
      </c>
      <c r="AP141" s="8">
        <f t="shared" si="4"/>
        <v>9</v>
      </c>
      <c r="AQ141">
        <v>24</v>
      </c>
      <c r="AR141" s="76">
        <f t="shared" si="5"/>
        <v>0.375</v>
      </c>
    </row>
    <row r="142" spans="1:44">
      <c r="A142" s="8">
        <v>315</v>
      </c>
      <c r="B142" s="8" t="s">
        <v>71</v>
      </c>
      <c r="C142" s="8" t="s">
        <v>366</v>
      </c>
      <c r="D142" s="8" t="s">
        <v>42</v>
      </c>
      <c r="E142" s="8">
        <v>315</v>
      </c>
      <c r="F142" s="24">
        <v>1</v>
      </c>
      <c r="G142" s="5">
        <v>1</v>
      </c>
      <c r="H142" s="5">
        <v>1</v>
      </c>
      <c r="I142" s="5">
        <v>1</v>
      </c>
      <c r="J142" s="5">
        <v>1</v>
      </c>
      <c r="K142" s="5">
        <v>1</v>
      </c>
      <c r="L142" s="5">
        <v>1</v>
      </c>
      <c r="M142" s="25"/>
      <c r="N142" s="24">
        <v>1</v>
      </c>
      <c r="O142" s="5">
        <v>1</v>
      </c>
      <c r="P142" s="5">
        <v>1</v>
      </c>
      <c r="Q142" s="5">
        <v>1</v>
      </c>
      <c r="R142" s="5"/>
      <c r="S142" s="5"/>
      <c r="T142" s="5">
        <v>1</v>
      </c>
      <c r="U142" s="25">
        <v>1</v>
      </c>
      <c r="V142" s="24"/>
      <c r="W142" s="5">
        <v>1</v>
      </c>
      <c r="X142" s="5">
        <v>1</v>
      </c>
      <c r="Y142" s="5">
        <v>1</v>
      </c>
      <c r="Z142" s="5">
        <v>1</v>
      </c>
      <c r="AA142" s="5">
        <v>1</v>
      </c>
      <c r="AB142" s="5">
        <v>1</v>
      </c>
      <c r="AC142" s="25">
        <v>1</v>
      </c>
      <c r="AD142" s="24"/>
      <c r="AE142" s="5"/>
      <c r="AF142" s="5"/>
      <c r="AG142" s="5"/>
      <c r="AH142" s="5"/>
      <c r="AI142" s="5">
        <v>1</v>
      </c>
      <c r="AJ142" s="5">
        <v>1</v>
      </c>
      <c r="AK142" s="25"/>
      <c r="AL142" s="5">
        <v>315</v>
      </c>
      <c r="AM142" s="8"/>
      <c r="AN142" s="8">
        <v>1</v>
      </c>
      <c r="AO142" s="8">
        <v>2</v>
      </c>
      <c r="AP142" s="8">
        <f t="shared" si="4"/>
        <v>22</v>
      </c>
      <c r="AQ142">
        <v>26</v>
      </c>
      <c r="AR142" s="76">
        <f t="shared" si="5"/>
        <v>0.84615384615384615</v>
      </c>
    </row>
    <row r="143" spans="1:44">
      <c r="A143" s="8">
        <v>321</v>
      </c>
      <c r="B143" s="8" t="s">
        <v>54</v>
      </c>
      <c r="C143" s="8" t="s">
        <v>345</v>
      </c>
      <c r="D143" s="8"/>
      <c r="E143" s="8">
        <v>321</v>
      </c>
      <c r="F143" s="24"/>
      <c r="G143" s="5"/>
      <c r="H143" s="5"/>
      <c r="I143" s="5"/>
      <c r="J143" s="5"/>
      <c r="K143" s="5"/>
      <c r="L143" s="5"/>
      <c r="M143" s="25"/>
      <c r="N143" s="24"/>
      <c r="O143" s="5"/>
      <c r="P143" s="5"/>
      <c r="Q143" s="5"/>
      <c r="R143" s="5"/>
      <c r="S143" s="5"/>
      <c r="T143" s="5"/>
      <c r="U143" s="25"/>
      <c r="V143" s="24"/>
      <c r="W143" s="5"/>
      <c r="X143" s="5"/>
      <c r="Y143" s="5"/>
      <c r="Z143" s="5"/>
      <c r="AA143" s="5"/>
      <c r="AB143" s="5"/>
      <c r="AC143" s="25"/>
      <c r="AD143" s="24"/>
      <c r="AE143" s="5"/>
      <c r="AF143" s="5"/>
      <c r="AG143" s="5"/>
      <c r="AH143" s="5"/>
      <c r="AI143" s="5"/>
      <c r="AJ143" s="5"/>
      <c r="AK143" s="25"/>
      <c r="AL143" s="5">
        <v>321</v>
      </c>
      <c r="AM143" s="8">
        <v>1</v>
      </c>
      <c r="AN143" s="8"/>
      <c r="AO143" s="8"/>
      <c r="AP143" s="8">
        <f t="shared" si="4"/>
        <v>0</v>
      </c>
      <c r="AQ143">
        <v>7</v>
      </c>
      <c r="AR143" s="76">
        <f t="shared" si="5"/>
        <v>0</v>
      </c>
    </row>
    <row r="144" spans="1:44">
      <c r="A144" s="8">
        <v>331</v>
      </c>
      <c r="B144" s="8" t="s">
        <v>240</v>
      </c>
      <c r="C144" s="8" t="s">
        <v>42</v>
      </c>
      <c r="D144" s="8" t="s">
        <v>42</v>
      </c>
      <c r="E144" s="8">
        <v>331</v>
      </c>
      <c r="F144" s="24"/>
      <c r="G144" s="5"/>
      <c r="H144" s="5"/>
      <c r="I144" s="5">
        <v>1</v>
      </c>
      <c r="J144" s="5"/>
      <c r="K144" s="5"/>
      <c r="L144" s="5"/>
      <c r="M144" s="25">
        <v>1</v>
      </c>
      <c r="N144" s="24">
        <v>1</v>
      </c>
      <c r="O144" s="5"/>
      <c r="P144" s="5">
        <v>1</v>
      </c>
      <c r="Q144" s="5"/>
      <c r="R144" s="5"/>
      <c r="S144" s="5"/>
      <c r="T144" s="5"/>
      <c r="U144" s="25"/>
      <c r="V144" s="24">
        <v>1</v>
      </c>
      <c r="W144" s="5"/>
      <c r="X144" s="5">
        <v>1</v>
      </c>
      <c r="Y144" s="5">
        <v>1</v>
      </c>
      <c r="Z144" s="5">
        <v>1</v>
      </c>
      <c r="AA144" s="5"/>
      <c r="AB144" s="5">
        <v>1</v>
      </c>
      <c r="AC144" s="25">
        <v>1</v>
      </c>
      <c r="AD144" s="24">
        <v>1</v>
      </c>
      <c r="AE144" s="5">
        <v>1</v>
      </c>
      <c r="AF144" s="5">
        <v>1</v>
      </c>
      <c r="AG144" s="5">
        <v>1</v>
      </c>
      <c r="AH144" s="5">
        <v>1</v>
      </c>
      <c r="AI144" s="5"/>
      <c r="AJ144" s="5">
        <v>1</v>
      </c>
      <c r="AK144" s="25">
        <v>1</v>
      </c>
      <c r="AL144" s="5">
        <v>331</v>
      </c>
      <c r="AM144" s="8"/>
      <c r="AN144" s="8">
        <v>1</v>
      </c>
      <c r="AO144" s="8">
        <v>1</v>
      </c>
      <c r="AP144" s="8">
        <f t="shared" si="4"/>
        <v>17</v>
      </c>
      <c r="AQ144">
        <v>24</v>
      </c>
      <c r="AR144" s="76">
        <f t="shared" si="5"/>
        <v>0.70833333333333337</v>
      </c>
    </row>
    <row r="145" spans="1:44">
      <c r="A145" s="8">
        <v>334</v>
      </c>
      <c r="B145" s="8" t="s">
        <v>5</v>
      </c>
      <c r="C145" s="8" t="s">
        <v>42</v>
      </c>
      <c r="D145" s="8" t="s">
        <v>6</v>
      </c>
      <c r="E145" s="8">
        <v>334</v>
      </c>
      <c r="F145" s="24"/>
      <c r="G145" s="5"/>
      <c r="H145" s="5"/>
      <c r="I145" s="5"/>
      <c r="J145" s="5"/>
      <c r="K145" s="5"/>
      <c r="L145" s="5">
        <v>1</v>
      </c>
      <c r="M145" s="25">
        <v>1</v>
      </c>
      <c r="N145" s="24">
        <v>1</v>
      </c>
      <c r="O145" s="5">
        <v>1</v>
      </c>
      <c r="P145" s="5"/>
      <c r="Q145" s="5"/>
      <c r="R145" s="5">
        <v>1</v>
      </c>
      <c r="S145" s="5">
        <v>1</v>
      </c>
      <c r="T145" s="5"/>
      <c r="U145" s="25"/>
      <c r="V145" s="24"/>
      <c r="W145" s="5">
        <v>1</v>
      </c>
      <c r="X145" s="5">
        <v>1</v>
      </c>
      <c r="Y145" s="5">
        <v>1</v>
      </c>
      <c r="Z145" s="5">
        <v>1</v>
      </c>
      <c r="AA145" s="5">
        <v>1</v>
      </c>
      <c r="AB145" s="5">
        <v>1</v>
      </c>
      <c r="AC145" s="25">
        <v>1</v>
      </c>
      <c r="AD145" s="24">
        <v>1</v>
      </c>
      <c r="AE145" s="5">
        <v>1</v>
      </c>
      <c r="AF145" s="5"/>
      <c r="AG145" s="5"/>
      <c r="AH145" s="5"/>
      <c r="AI145" s="5">
        <v>1</v>
      </c>
      <c r="AJ145" s="5">
        <v>1</v>
      </c>
      <c r="AK145" s="25"/>
      <c r="AL145" s="5">
        <v>334</v>
      </c>
      <c r="AM145" s="8"/>
      <c r="AN145" s="8">
        <v>1</v>
      </c>
      <c r="AO145" s="8">
        <v>1</v>
      </c>
      <c r="AP145" s="8">
        <f t="shared" si="4"/>
        <v>17</v>
      </c>
      <c r="AQ145">
        <v>28</v>
      </c>
      <c r="AR145" s="76">
        <f t="shared" si="5"/>
        <v>0.6071428571428571</v>
      </c>
    </row>
    <row r="146" spans="1:44">
      <c r="A146" s="8">
        <v>335</v>
      </c>
      <c r="B146" s="8" t="s">
        <v>74</v>
      </c>
      <c r="C146" s="8" t="s">
        <v>346</v>
      </c>
      <c r="D146" s="8"/>
      <c r="E146" s="8">
        <v>335</v>
      </c>
      <c r="F146" s="24"/>
      <c r="G146" s="5"/>
      <c r="H146" s="5"/>
      <c r="I146" s="5"/>
      <c r="J146" s="5"/>
      <c r="K146" s="5"/>
      <c r="L146" s="5"/>
      <c r="M146" s="25"/>
      <c r="N146" s="24"/>
      <c r="O146" s="5"/>
      <c r="P146" s="5"/>
      <c r="Q146" s="5"/>
      <c r="R146" s="5"/>
      <c r="S146" s="5"/>
      <c r="T146" s="5"/>
      <c r="U146" s="25"/>
      <c r="V146" s="24"/>
      <c r="W146" s="5"/>
      <c r="X146" s="5"/>
      <c r="Y146" s="5"/>
      <c r="Z146" s="5"/>
      <c r="AA146" s="5"/>
      <c r="AB146" s="5"/>
      <c r="AC146" s="25"/>
      <c r="AD146" s="24"/>
      <c r="AE146" s="5"/>
      <c r="AF146" s="5"/>
      <c r="AG146" s="5"/>
      <c r="AH146" s="5"/>
      <c r="AI146" s="5"/>
      <c r="AJ146" s="5"/>
      <c r="AK146" s="25"/>
      <c r="AL146" s="5">
        <v>335</v>
      </c>
      <c r="AM146" s="8">
        <v>1</v>
      </c>
      <c r="AN146" s="8"/>
      <c r="AO146" s="8"/>
      <c r="AP146" s="8">
        <f t="shared" si="4"/>
        <v>0</v>
      </c>
      <c r="AQ146">
        <v>8</v>
      </c>
      <c r="AR146" s="76">
        <f t="shared" si="5"/>
        <v>0</v>
      </c>
    </row>
    <row r="147" spans="1:44">
      <c r="A147" s="8">
        <v>336</v>
      </c>
      <c r="B147" s="8" t="s">
        <v>55</v>
      </c>
      <c r="C147" s="8" t="s">
        <v>346</v>
      </c>
      <c r="D147" s="8"/>
      <c r="E147" s="8">
        <v>336</v>
      </c>
      <c r="F147" s="24"/>
      <c r="G147" s="5"/>
      <c r="H147" s="5"/>
      <c r="I147" s="5"/>
      <c r="J147" s="5"/>
      <c r="K147" s="5"/>
      <c r="L147" s="5"/>
      <c r="M147" s="25"/>
      <c r="N147" s="24"/>
      <c r="O147" s="5"/>
      <c r="P147" s="5"/>
      <c r="Q147" s="5"/>
      <c r="R147" s="5"/>
      <c r="S147" s="5"/>
      <c r="T147" s="5"/>
      <c r="U147" s="25"/>
      <c r="V147" s="24"/>
      <c r="W147" s="5"/>
      <c r="X147" s="5"/>
      <c r="Y147" s="5"/>
      <c r="Z147" s="5"/>
      <c r="AA147" s="5"/>
      <c r="AB147" s="5"/>
      <c r="AC147" s="25"/>
      <c r="AD147" s="24"/>
      <c r="AE147" s="5"/>
      <c r="AF147" s="5"/>
      <c r="AG147" s="5"/>
      <c r="AH147" s="5"/>
      <c r="AI147" s="5"/>
      <c r="AJ147" s="5"/>
      <c r="AK147" s="25"/>
      <c r="AL147" s="5">
        <v>336</v>
      </c>
      <c r="AM147" s="8">
        <v>1</v>
      </c>
      <c r="AN147" s="8"/>
      <c r="AO147" s="8"/>
      <c r="AP147" s="8">
        <f t="shared" si="4"/>
        <v>0</v>
      </c>
      <c r="AQ147">
        <v>16</v>
      </c>
      <c r="AR147" s="76">
        <f t="shared" si="5"/>
        <v>0</v>
      </c>
    </row>
    <row r="148" spans="1:44">
      <c r="A148" s="8">
        <v>339</v>
      </c>
      <c r="B148" s="8" t="s">
        <v>91</v>
      </c>
      <c r="C148" s="8" t="s">
        <v>366</v>
      </c>
      <c r="D148" s="8" t="s">
        <v>42</v>
      </c>
      <c r="E148" s="8">
        <v>339</v>
      </c>
      <c r="F148" s="24">
        <v>1</v>
      </c>
      <c r="G148" s="5">
        <v>1</v>
      </c>
      <c r="H148" s="5">
        <v>1</v>
      </c>
      <c r="I148" s="5">
        <v>1</v>
      </c>
      <c r="J148" s="5">
        <v>1</v>
      </c>
      <c r="K148" s="5">
        <v>1</v>
      </c>
      <c r="L148" s="5">
        <v>1</v>
      </c>
      <c r="M148" s="25">
        <v>1</v>
      </c>
      <c r="N148" s="24"/>
      <c r="O148" s="5">
        <v>1</v>
      </c>
      <c r="P148" s="5">
        <v>1</v>
      </c>
      <c r="Q148" s="5">
        <v>1</v>
      </c>
      <c r="R148" s="5">
        <v>1</v>
      </c>
      <c r="S148" s="5">
        <v>1</v>
      </c>
      <c r="T148" s="5">
        <v>1</v>
      </c>
      <c r="U148" s="25"/>
      <c r="V148" s="24">
        <v>1</v>
      </c>
      <c r="W148" s="5">
        <v>1</v>
      </c>
      <c r="X148" s="5">
        <v>1</v>
      </c>
      <c r="Y148" s="5">
        <v>1</v>
      </c>
      <c r="Z148" s="5">
        <v>1</v>
      </c>
      <c r="AA148" s="5">
        <v>1</v>
      </c>
      <c r="AB148" s="5">
        <v>1</v>
      </c>
      <c r="AC148" s="25">
        <v>1</v>
      </c>
      <c r="AD148" s="24">
        <v>1</v>
      </c>
      <c r="AE148" s="5">
        <v>1</v>
      </c>
      <c r="AF148" s="5">
        <v>1</v>
      </c>
      <c r="AG148" s="5">
        <v>1</v>
      </c>
      <c r="AH148" s="5">
        <v>1</v>
      </c>
      <c r="AI148" s="5">
        <v>1</v>
      </c>
      <c r="AJ148" s="5">
        <v>1</v>
      </c>
      <c r="AK148" s="25">
        <v>1</v>
      </c>
      <c r="AL148" s="5">
        <v>339</v>
      </c>
      <c r="AM148" s="8"/>
      <c r="AN148" s="8">
        <v>1</v>
      </c>
      <c r="AO148" s="8">
        <v>1</v>
      </c>
      <c r="AP148" s="8">
        <f t="shared" si="4"/>
        <v>30</v>
      </c>
      <c r="AQ148">
        <v>31</v>
      </c>
      <c r="AR148" s="76">
        <f t="shared" si="5"/>
        <v>0.967741935483871</v>
      </c>
    </row>
    <row r="149" spans="1:44">
      <c r="A149" s="8">
        <v>340</v>
      </c>
      <c r="B149" s="8" t="s">
        <v>44</v>
      </c>
      <c r="C149" s="8" t="s">
        <v>349</v>
      </c>
      <c r="D149" s="8" t="s">
        <v>6</v>
      </c>
      <c r="E149" s="8">
        <v>340</v>
      </c>
      <c r="F149" s="24"/>
      <c r="G149" s="5"/>
      <c r="H149" s="5"/>
      <c r="I149" s="5"/>
      <c r="J149" s="5"/>
      <c r="K149" s="5"/>
      <c r="L149" s="5"/>
      <c r="M149" s="25"/>
      <c r="N149" s="24"/>
      <c r="O149" s="5"/>
      <c r="P149" s="5"/>
      <c r="Q149" s="5"/>
      <c r="R149" s="5"/>
      <c r="S149" s="5"/>
      <c r="T149" s="5"/>
      <c r="U149" s="25"/>
      <c r="V149" s="24"/>
      <c r="W149" s="5"/>
      <c r="X149" s="5"/>
      <c r="Y149" s="5"/>
      <c r="Z149" s="5">
        <v>1</v>
      </c>
      <c r="AA149" s="5">
        <v>1</v>
      </c>
      <c r="AB149" s="5">
        <v>1</v>
      </c>
      <c r="AC149" s="25"/>
      <c r="AD149" s="24"/>
      <c r="AE149" s="5">
        <v>1</v>
      </c>
      <c r="AF149" s="5"/>
      <c r="AG149" s="5">
        <v>1</v>
      </c>
      <c r="AH149" s="5"/>
      <c r="AI149" s="5"/>
      <c r="AJ149" s="5"/>
      <c r="AK149" s="25"/>
      <c r="AL149" s="5">
        <v>340</v>
      </c>
      <c r="AM149" s="8"/>
      <c r="AN149" s="8">
        <v>1</v>
      </c>
      <c r="AO149" s="8">
        <v>1</v>
      </c>
      <c r="AP149" s="8">
        <f t="shared" si="4"/>
        <v>5</v>
      </c>
      <c r="AQ149">
        <v>10</v>
      </c>
      <c r="AR149" s="76">
        <f t="shared" si="5"/>
        <v>0.5</v>
      </c>
    </row>
    <row r="150" spans="1:44">
      <c r="A150" s="8">
        <v>343</v>
      </c>
      <c r="B150" s="8" t="s">
        <v>216</v>
      </c>
      <c r="C150" s="8" t="s">
        <v>42</v>
      </c>
      <c r="D150" s="8" t="s">
        <v>6</v>
      </c>
      <c r="E150" s="8">
        <v>343</v>
      </c>
      <c r="F150" s="24">
        <v>1</v>
      </c>
      <c r="G150" s="5">
        <v>1</v>
      </c>
      <c r="H150" s="5">
        <v>1</v>
      </c>
      <c r="I150" s="5"/>
      <c r="J150" s="5">
        <v>1</v>
      </c>
      <c r="K150" s="5">
        <v>1</v>
      </c>
      <c r="L150" s="5">
        <v>1</v>
      </c>
      <c r="M150" s="25">
        <v>1</v>
      </c>
      <c r="N150" s="24">
        <v>1</v>
      </c>
      <c r="O150" s="5">
        <v>1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25"/>
      <c r="V150" s="24"/>
      <c r="W150" s="5">
        <v>1</v>
      </c>
      <c r="X150" s="5">
        <v>1</v>
      </c>
      <c r="Y150" s="5">
        <v>1</v>
      </c>
      <c r="Z150" s="5">
        <v>1</v>
      </c>
      <c r="AA150" s="5">
        <v>1</v>
      </c>
      <c r="AB150" s="5">
        <v>1</v>
      </c>
      <c r="AC150" s="25">
        <v>1</v>
      </c>
      <c r="AD150" s="24">
        <v>1</v>
      </c>
      <c r="AE150" s="5">
        <v>1</v>
      </c>
      <c r="AF150" s="5">
        <v>1</v>
      </c>
      <c r="AG150" s="5">
        <v>1</v>
      </c>
      <c r="AH150" s="5">
        <v>1</v>
      </c>
      <c r="AI150" s="5">
        <v>1</v>
      </c>
      <c r="AJ150" s="5">
        <v>1</v>
      </c>
      <c r="AK150" s="25"/>
      <c r="AL150" s="5">
        <v>343</v>
      </c>
      <c r="AM150" s="8"/>
      <c r="AN150" s="8">
        <v>1</v>
      </c>
      <c r="AO150" s="8">
        <v>1</v>
      </c>
      <c r="AP150" s="8">
        <f t="shared" si="4"/>
        <v>28</v>
      </c>
      <c r="AQ150">
        <v>31</v>
      </c>
      <c r="AR150" s="76">
        <f t="shared" si="5"/>
        <v>0.90322580645161288</v>
      </c>
    </row>
    <row r="151" spans="1:44">
      <c r="A151" s="8">
        <v>344</v>
      </c>
      <c r="B151" s="8" t="s">
        <v>63</v>
      </c>
      <c r="C151" s="8" t="s">
        <v>346</v>
      </c>
      <c r="D151" s="8"/>
      <c r="E151" s="8">
        <v>344</v>
      </c>
      <c r="F151" s="24"/>
      <c r="G151" s="5"/>
      <c r="H151" s="5"/>
      <c r="I151" s="5"/>
      <c r="J151" s="5"/>
      <c r="K151" s="5"/>
      <c r="L151" s="5"/>
      <c r="M151" s="25"/>
      <c r="N151" s="24"/>
      <c r="O151" s="5"/>
      <c r="P151" s="5"/>
      <c r="Q151" s="5"/>
      <c r="R151" s="5"/>
      <c r="S151" s="5"/>
      <c r="T151" s="5"/>
      <c r="U151" s="25"/>
      <c r="V151" s="24"/>
      <c r="W151" s="5"/>
      <c r="X151" s="5"/>
      <c r="Y151" s="5"/>
      <c r="Z151" s="5"/>
      <c r="AA151" s="5"/>
      <c r="AB151" s="5"/>
      <c r="AC151" s="25"/>
      <c r="AD151" s="24"/>
      <c r="AE151" s="5"/>
      <c r="AF151" s="5"/>
      <c r="AG151" s="5"/>
      <c r="AH151" s="5"/>
      <c r="AI151" s="5"/>
      <c r="AJ151" s="5"/>
      <c r="AK151" s="25"/>
      <c r="AL151" s="5">
        <v>344</v>
      </c>
      <c r="AM151" s="8">
        <v>1</v>
      </c>
      <c r="AN151" s="8"/>
      <c r="AO151" s="8"/>
      <c r="AP151" s="8">
        <f t="shared" si="4"/>
        <v>0</v>
      </c>
      <c r="AQ151">
        <v>15</v>
      </c>
      <c r="AR151" s="76">
        <f t="shared" si="5"/>
        <v>0</v>
      </c>
    </row>
    <row r="152" spans="1:44">
      <c r="A152" s="8">
        <v>345</v>
      </c>
      <c r="B152" s="8" t="s">
        <v>59</v>
      </c>
      <c r="C152" s="8" t="s">
        <v>346</v>
      </c>
      <c r="D152" s="8"/>
      <c r="E152" s="8">
        <v>345</v>
      </c>
      <c r="F152" s="24"/>
      <c r="G152" s="5"/>
      <c r="H152" s="5"/>
      <c r="I152" s="5"/>
      <c r="J152" s="5">
        <v>1</v>
      </c>
      <c r="K152" s="5"/>
      <c r="L152" s="5"/>
      <c r="M152" s="25"/>
      <c r="N152" s="24"/>
      <c r="O152" s="5"/>
      <c r="P152" s="5"/>
      <c r="Q152" s="5">
        <v>1</v>
      </c>
      <c r="R152" s="5">
        <v>1</v>
      </c>
      <c r="S152" s="5"/>
      <c r="T152" s="5"/>
      <c r="U152" s="25"/>
      <c r="V152" s="24"/>
      <c r="W152" s="5"/>
      <c r="X152" s="5"/>
      <c r="Y152" s="5"/>
      <c r="Z152" s="5"/>
      <c r="AA152" s="5"/>
      <c r="AB152" s="5"/>
      <c r="AC152" s="25"/>
      <c r="AD152" s="24"/>
      <c r="AE152" s="5"/>
      <c r="AF152" s="5">
        <v>1</v>
      </c>
      <c r="AG152" s="5"/>
      <c r="AH152" s="5"/>
      <c r="AI152" s="5"/>
      <c r="AJ152" s="5"/>
      <c r="AK152" s="25"/>
      <c r="AL152" s="5">
        <v>345</v>
      </c>
      <c r="AM152" s="8"/>
      <c r="AN152" s="8">
        <v>1</v>
      </c>
      <c r="AO152" s="8">
        <v>1</v>
      </c>
      <c r="AP152" s="8">
        <f t="shared" si="4"/>
        <v>4</v>
      </c>
      <c r="AQ152">
        <v>16</v>
      </c>
      <c r="AR152" s="76">
        <f t="shared" si="5"/>
        <v>0.25</v>
      </c>
    </row>
    <row r="153" spans="1:44">
      <c r="A153" s="8">
        <v>346</v>
      </c>
      <c r="B153" s="8" t="s">
        <v>5</v>
      </c>
      <c r="C153" s="8" t="s">
        <v>42</v>
      </c>
      <c r="D153" s="8" t="s">
        <v>6</v>
      </c>
      <c r="E153" s="8">
        <v>346</v>
      </c>
      <c r="F153" s="24">
        <v>1</v>
      </c>
      <c r="G153" s="5">
        <v>1</v>
      </c>
      <c r="H153" s="5">
        <v>1</v>
      </c>
      <c r="I153" s="5">
        <v>1</v>
      </c>
      <c r="J153" s="5">
        <v>1</v>
      </c>
      <c r="K153" s="5">
        <v>1</v>
      </c>
      <c r="L153" s="5">
        <v>1</v>
      </c>
      <c r="M153" s="25">
        <v>1</v>
      </c>
      <c r="N153" s="24">
        <v>1</v>
      </c>
      <c r="O153" s="5">
        <v>1</v>
      </c>
      <c r="P153" s="5">
        <v>1</v>
      </c>
      <c r="Q153" s="5">
        <v>1</v>
      </c>
      <c r="R153" s="5"/>
      <c r="S153" s="5">
        <v>1</v>
      </c>
      <c r="T153" s="5">
        <v>1</v>
      </c>
      <c r="U153" s="25"/>
      <c r="V153" s="24">
        <v>1</v>
      </c>
      <c r="W153" s="5">
        <v>1</v>
      </c>
      <c r="X153" s="5">
        <v>1</v>
      </c>
      <c r="Y153" s="5"/>
      <c r="Z153" s="5">
        <v>1</v>
      </c>
      <c r="AA153" s="5">
        <v>1</v>
      </c>
      <c r="AB153" s="5">
        <v>1</v>
      </c>
      <c r="AC153" s="25">
        <v>1</v>
      </c>
      <c r="AD153" s="24">
        <v>1</v>
      </c>
      <c r="AE153" s="5">
        <v>1</v>
      </c>
      <c r="AF153" s="5">
        <v>1</v>
      </c>
      <c r="AG153" s="5">
        <v>1</v>
      </c>
      <c r="AH153" s="5">
        <v>1</v>
      </c>
      <c r="AI153" s="5">
        <v>1</v>
      </c>
      <c r="AJ153" s="5">
        <v>1</v>
      </c>
      <c r="AK153" s="25"/>
      <c r="AL153" s="5">
        <v>346</v>
      </c>
      <c r="AM153" s="8"/>
      <c r="AN153" s="8">
        <v>1</v>
      </c>
      <c r="AO153" s="8">
        <v>1</v>
      </c>
      <c r="AP153" s="8">
        <f t="shared" si="4"/>
        <v>28</v>
      </c>
      <c r="AQ153">
        <v>30</v>
      </c>
      <c r="AR153" s="76">
        <f t="shared" si="5"/>
        <v>0.93333333333333335</v>
      </c>
    </row>
    <row r="154" spans="1:44">
      <c r="A154" s="8">
        <v>347</v>
      </c>
      <c r="B154" s="8" t="s">
        <v>141</v>
      </c>
      <c r="C154" s="8" t="s">
        <v>346</v>
      </c>
      <c r="D154" s="8"/>
      <c r="E154" s="8">
        <v>347</v>
      </c>
      <c r="F154" s="24"/>
      <c r="G154" s="5"/>
      <c r="H154" s="5"/>
      <c r="I154" s="5"/>
      <c r="J154" s="5"/>
      <c r="K154" s="5"/>
      <c r="L154" s="5"/>
      <c r="M154" s="25"/>
      <c r="N154" s="24"/>
      <c r="O154" s="5"/>
      <c r="P154" s="5"/>
      <c r="Q154" s="5">
        <v>1</v>
      </c>
      <c r="R154" s="5"/>
      <c r="S154" s="5"/>
      <c r="T154" s="5"/>
      <c r="U154" s="25"/>
      <c r="V154" s="24"/>
      <c r="W154" s="5"/>
      <c r="X154" s="5"/>
      <c r="Y154" s="5"/>
      <c r="Z154" s="5"/>
      <c r="AA154" s="5"/>
      <c r="AB154" s="5"/>
      <c r="AC154" s="25"/>
      <c r="AD154" s="24"/>
      <c r="AE154" s="5"/>
      <c r="AF154" s="5"/>
      <c r="AG154" s="5"/>
      <c r="AH154" s="5"/>
      <c r="AI154" s="5"/>
      <c r="AJ154" s="5"/>
      <c r="AK154" s="25"/>
      <c r="AL154" s="5">
        <v>347</v>
      </c>
      <c r="AM154" s="8"/>
      <c r="AN154" s="8">
        <v>1</v>
      </c>
      <c r="AO154" s="8">
        <v>1</v>
      </c>
      <c r="AP154" s="8">
        <f t="shared" si="4"/>
        <v>1</v>
      </c>
      <c r="AQ154">
        <v>11</v>
      </c>
      <c r="AR154" s="76">
        <f t="shared" si="5"/>
        <v>9.0909090909090912E-2</v>
      </c>
    </row>
    <row r="155" spans="1:44">
      <c r="A155" s="8">
        <v>348</v>
      </c>
      <c r="B155" s="8" t="s">
        <v>106</v>
      </c>
      <c r="C155" s="8" t="s">
        <v>349</v>
      </c>
      <c r="D155" s="8" t="s">
        <v>6</v>
      </c>
      <c r="E155" s="8">
        <v>348</v>
      </c>
      <c r="F155" s="24"/>
      <c r="G155" s="5"/>
      <c r="H155" s="5"/>
      <c r="I155" s="5"/>
      <c r="J155" s="5"/>
      <c r="K155" s="5"/>
      <c r="L155" s="5"/>
      <c r="M155" s="25"/>
      <c r="N155" s="24"/>
      <c r="O155" s="5">
        <v>1</v>
      </c>
      <c r="P155" s="5">
        <v>1</v>
      </c>
      <c r="Q155" s="5"/>
      <c r="R155" s="5">
        <v>1</v>
      </c>
      <c r="S155" s="5">
        <v>1</v>
      </c>
      <c r="T155" s="5"/>
      <c r="U155" s="25"/>
      <c r="V155" s="24"/>
      <c r="W155" s="5"/>
      <c r="X155" s="5"/>
      <c r="Y155" s="5"/>
      <c r="Z155" s="5"/>
      <c r="AA155" s="5">
        <v>1</v>
      </c>
      <c r="AB155" s="5">
        <v>1</v>
      </c>
      <c r="AC155" s="25"/>
      <c r="AD155" s="24"/>
      <c r="AE155" s="5"/>
      <c r="AF155" s="5"/>
      <c r="AG155" s="5"/>
      <c r="AH155" s="5"/>
      <c r="AI155" s="5"/>
      <c r="AJ155" s="5"/>
      <c r="AK155" s="25"/>
      <c r="AL155" s="5">
        <v>348</v>
      </c>
      <c r="AM155" s="8"/>
      <c r="AN155" s="8">
        <v>1</v>
      </c>
      <c r="AO155" s="8">
        <v>2</v>
      </c>
      <c r="AP155" s="8">
        <f t="shared" si="4"/>
        <v>6</v>
      </c>
      <c r="AQ155">
        <v>10</v>
      </c>
      <c r="AR155" s="76">
        <f t="shared" si="5"/>
        <v>0.6</v>
      </c>
    </row>
    <row r="156" spans="1:44">
      <c r="A156" s="8">
        <v>349</v>
      </c>
      <c r="B156" s="8" t="s">
        <v>103</v>
      </c>
      <c r="C156" s="8" t="s">
        <v>357</v>
      </c>
      <c r="D156" s="8" t="s">
        <v>15</v>
      </c>
      <c r="E156" s="8">
        <v>349</v>
      </c>
      <c r="F156" s="24"/>
      <c r="G156" s="5"/>
      <c r="H156" s="5">
        <v>1</v>
      </c>
      <c r="I156" s="5"/>
      <c r="J156" s="5">
        <v>1</v>
      </c>
      <c r="K156" s="5">
        <v>1</v>
      </c>
      <c r="L156" s="5">
        <v>1</v>
      </c>
      <c r="M156" s="25">
        <v>1</v>
      </c>
      <c r="N156" s="24">
        <v>1</v>
      </c>
      <c r="O156" s="5">
        <v>1</v>
      </c>
      <c r="P156" s="5"/>
      <c r="Q156" s="5"/>
      <c r="R156" s="5"/>
      <c r="S156" s="5">
        <v>1</v>
      </c>
      <c r="T156" s="5"/>
      <c r="U156" s="25"/>
      <c r="V156" s="24"/>
      <c r="W156" s="5">
        <v>1</v>
      </c>
      <c r="X156" s="5">
        <v>1</v>
      </c>
      <c r="Y156" s="5"/>
      <c r="Z156" s="5"/>
      <c r="AA156" s="5">
        <v>1</v>
      </c>
      <c r="AB156" s="5">
        <v>1</v>
      </c>
      <c r="AC156" s="25">
        <v>1</v>
      </c>
      <c r="AD156" s="24">
        <v>1</v>
      </c>
      <c r="AE156" s="5">
        <v>1</v>
      </c>
      <c r="AF156" s="5">
        <v>1</v>
      </c>
      <c r="AG156" s="5"/>
      <c r="AH156" s="5"/>
      <c r="AI156" s="5">
        <v>1</v>
      </c>
      <c r="AJ156" s="5">
        <v>1</v>
      </c>
      <c r="AK156" s="25"/>
      <c r="AL156" s="5">
        <v>349</v>
      </c>
      <c r="AM156" s="8"/>
      <c r="AN156" s="8">
        <v>1</v>
      </c>
      <c r="AO156" s="8">
        <v>1</v>
      </c>
      <c r="AP156" s="8">
        <f t="shared" si="4"/>
        <v>18</v>
      </c>
      <c r="AQ156">
        <v>28</v>
      </c>
      <c r="AR156" s="76">
        <f t="shared" si="5"/>
        <v>0.6428571428571429</v>
      </c>
    </row>
    <row r="157" spans="1:44">
      <c r="A157" s="8">
        <v>350</v>
      </c>
      <c r="B157" s="8" t="s">
        <v>80</v>
      </c>
      <c r="C157" s="8" t="s">
        <v>346</v>
      </c>
      <c r="D157" s="8"/>
      <c r="E157" s="8">
        <v>350</v>
      </c>
      <c r="F157" s="24"/>
      <c r="G157" s="5"/>
      <c r="H157" s="5"/>
      <c r="I157" s="5"/>
      <c r="J157" s="5"/>
      <c r="K157" s="5"/>
      <c r="L157" s="5"/>
      <c r="M157" s="25"/>
      <c r="N157" s="24">
        <v>1</v>
      </c>
      <c r="O157" s="5"/>
      <c r="P157" s="5">
        <v>1</v>
      </c>
      <c r="Q157" s="5"/>
      <c r="R157" s="5"/>
      <c r="S157" s="5"/>
      <c r="T157" s="5"/>
      <c r="U157" s="25"/>
      <c r="V157" s="24"/>
      <c r="W157" s="5"/>
      <c r="X157" s="5"/>
      <c r="Y157" s="5">
        <v>1</v>
      </c>
      <c r="Z157" s="5"/>
      <c r="AA157" s="5">
        <v>1</v>
      </c>
      <c r="AB157" s="5">
        <v>1</v>
      </c>
      <c r="AC157" s="25">
        <v>1</v>
      </c>
      <c r="AD157" s="24">
        <v>1</v>
      </c>
      <c r="AE157" s="5">
        <v>1</v>
      </c>
      <c r="AF157" s="5">
        <v>1</v>
      </c>
      <c r="AG157" s="5">
        <v>1</v>
      </c>
      <c r="AH157" s="5">
        <v>1</v>
      </c>
      <c r="AI157" s="5"/>
      <c r="AJ157" s="5"/>
      <c r="AK157" s="25"/>
      <c r="AL157" s="5">
        <v>350</v>
      </c>
      <c r="AM157" s="8"/>
      <c r="AN157" s="8">
        <v>1</v>
      </c>
      <c r="AO157" s="8">
        <v>1</v>
      </c>
      <c r="AP157" s="8">
        <f t="shared" si="4"/>
        <v>11</v>
      </c>
      <c r="AQ157">
        <v>17</v>
      </c>
      <c r="AR157" s="76">
        <f t="shared" si="5"/>
        <v>0.6470588235294118</v>
      </c>
    </row>
    <row r="158" spans="1:44">
      <c r="A158" s="8">
        <v>351</v>
      </c>
      <c r="B158" s="8" t="s">
        <v>106</v>
      </c>
      <c r="C158" s="8" t="s">
        <v>349</v>
      </c>
      <c r="D158" s="8" t="s">
        <v>6</v>
      </c>
      <c r="E158" s="8">
        <v>351</v>
      </c>
      <c r="F158" s="24">
        <v>1</v>
      </c>
      <c r="G158" s="5">
        <v>1</v>
      </c>
      <c r="H158" s="5">
        <v>1</v>
      </c>
      <c r="I158" s="5">
        <v>1</v>
      </c>
      <c r="J158" s="5">
        <v>1</v>
      </c>
      <c r="K158" s="5"/>
      <c r="L158" s="5">
        <v>1</v>
      </c>
      <c r="M158" s="25"/>
      <c r="N158" s="24">
        <v>1</v>
      </c>
      <c r="O158" s="5">
        <v>1</v>
      </c>
      <c r="P158" s="5">
        <v>1</v>
      </c>
      <c r="Q158" s="5">
        <v>1</v>
      </c>
      <c r="R158" s="5">
        <v>1</v>
      </c>
      <c r="S158" s="5">
        <v>1</v>
      </c>
      <c r="T158" s="5">
        <v>1</v>
      </c>
      <c r="U158" s="25">
        <v>1</v>
      </c>
      <c r="V158" s="24">
        <v>1</v>
      </c>
      <c r="W158" s="5">
        <v>1</v>
      </c>
      <c r="X158" s="5">
        <v>1</v>
      </c>
      <c r="Y158" s="5"/>
      <c r="Z158" s="5"/>
      <c r="AA158" s="5">
        <v>1</v>
      </c>
      <c r="AB158" s="5">
        <v>1</v>
      </c>
      <c r="AC158" s="25">
        <v>1</v>
      </c>
      <c r="AD158" s="24">
        <v>1</v>
      </c>
      <c r="AE158" s="5">
        <v>1</v>
      </c>
      <c r="AF158" s="5">
        <v>1</v>
      </c>
      <c r="AG158" s="5">
        <v>1</v>
      </c>
      <c r="AH158" s="5">
        <v>1</v>
      </c>
      <c r="AI158" s="5">
        <v>1</v>
      </c>
      <c r="AJ158" s="5">
        <v>1</v>
      </c>
      <c r="AK158" s="25">
        <v>1</v>
      </c>
      <c r="AL158" s="5">
        <v>351</v>
      </c>
      <c r="AM158" s="8"/>
      <c r="AN158" s="8">
        <v>1</v>
      </c>
      <c r="AO158" s="8">
        <v>1</v>
      </c>
      <c r="AP158" s="8">
        <f t="shared" si="4"/>
        <v>28</v>
      </c>
      <c r="AQ158">
        <v>29</v>
      </c>
      <c r="AR158" s="76">
        <f t="shared" si="5"/>
        <v>0.96551724137931039</v>
      </c>
    </row>
    <row r="159" spans="1:44">
      <c r="A159" s="8">
        <v>354</v>
      </c>
      <c r="B159" s="8" t="s">
        <v>136</v>
      </c>
      <c r="C159" s="8" t="s">
        <v>12</v>
      </c>
      <c r="D159" s="8" t="s">
        <v>42</v>
      </c>
      <c r="E159" s="8">
        <v>354</v>
      </c>
      <c r="F159" s="24"/>
      <c r="G159" s="5">
        <v>1</v>
      </c>
      <c r="H159" s="5">
        <v>1</v>
      </c>
      <c r="I159" s="5"/>
      <c r="J159" s="5"/>
      <c r="K159" s="5"/>
      <c r="L159" s="5">
        <v>1</v>
      </c>
      <c r="M159" s="25"/>
      <c r="N159" s="24">
        <v>1</v>
      </c>
      <c r="O159" s="5">
        <v>1</v>
      </c>
      <c r="P159" s="5">
        <v>1</v>
      </c>
      <c r="Q159" s="5">
        <v>1</v>
      </c>
      <c r="R159" s="5"/>
      <c r="S159" s="5"/>
      <c r="T159" s="5"/>
      <c r="U159" s="25"/>
      <c r="V159" s="24"/>
      <c r="W159" s="5">
        <v>1</v>
      </c>
      <c r="X159" s="5"/>
      <c r="Y159" s="5">
        <v>1</v>
      </c>
      <c r="Z159" s="5"/>
      <c r="AA159" s="5"/>
      <c r="AB159" s="5">
        <v>1</v>
      </c>
      <c r="AC159" s="25">
        <v>1</v>
      </c>
      <c r="AD159" s="24">
        <v>1</v>
      </c>
      <c r="AE159" s="5">
        <v>1</v>
      </c>
      <c r="AF159" s="5">
        <v>1</v>
      </c>
      <c r="AG159" s="5"/>
      <c r="AH159" s="5">
        <v>1</v>
      </c>
      <c r="AI159" s="5">
        <v>1</v>
      </c>
      <c r="AJ159" s="5"/>
      <c r="AK159" s="25"/>
      <c r="AL159" s="5">
        <v>354</v>
      </c>
      <c r="AM159" s="8"/>
      <c r="AN159" s="8">
        <v>1</v>
      </c>
      <c r="AO159" s="8">
        <v>1</v>
      </c>
      <c r="AP159" s="8">
        <f t="shared" si="4"/>
        <v>16</v>
      </c>
      <c r="AQ159">
        <v>31</v>
      </c>
      <c r="AR159" s="76">
        <f t="shared" si="5"/>
        <v>0.5161290322580645</v>
      </c>
    </row>
    <row r="160" spans="1:44">
      <c r="A160" s="8">
        <v>358</v>
      </c>
      <c r="B160" s="8" t="s">
        <v>136</v>
      </c>
      <c r="C160" s="8" t="s">
        <v>12</v>
      </c>
      <c r="D160" s="8" t="s">
        <v>42</v>
      </c>
      <c r="E160" s="8">
        <v>358</v>
      </c>
      <c r="F160" s="24"/>
      <c r="G160" s="5"/>
      <c r="H160" s="5">
        <v>1</v>
      </c>
      <c r="I160" s="5"/>
      <c r="J160" s="5"/>
      <c r="K160" s="5">
        <v>1</v>
      </c>
      <c r="L160" s="5">
        <v>1</v>
      </c>
      <c r="M160" s="25">
        <v>1</v>
      </c>
      <c r="N160" s="24">
        <v>1</v>
      </c>
      <c r="O160" s="5"/>
      <c r="P160" s="5"/>
      <c r="Q160" s="5"/>
      <c r="R160" s="5"/>
      <c r="S160" s="5"/>
      <c r="T160" s="5"/>
      <c r="U160" s="25"/>
      <c r="V160" s="24"/>
      <c r="W160" s="5"/>
      <c r="X160" s="5"/>
      <c r="Y160" s="5"/>
      <c r="Z160" s="5">
        <v>1</v>
      </c>
      <c r="AA160" s="5">
        <v>1</v>
      </c>
      <c r="AB160" s="5">
        <v>1</v>
      </c>
      <c r="AC160" s="25">
        <v>1</v>
      </c>
      <c r="AD160" s="24">
        <v>1</v>
      </c>
      <c r="AE160" s="5">
        <v>1</v>
      </c>
      <c r="AF160" s="5">
        <v>1</v>
      </c>
      <c r="AG160" s="5"/>
      <c r="AH160" s="5">
        <v>1</v>
      </c>
      <c r="AI160" s="5"/>
      <c r="AJ160" s="5"/>
      <c r="AK160" s="25"/>
      <c r="AL160" s="5">
        <v>358</v>
      </c>
      <c r="AM160" s="8"/>
      <c r="AN160" s="8">
        <v>1</v>
      </c>
      <c r="AO160" s="8">
        <v>1</v>
      </c>
      <c r="AP160" s="8">
        <f t="shared" si="4"/>
        <v>13</v>
      </c>
      <c r="AQ160">
        <v>31</v>
      </c>
      <c r="AR160" s="76">
        <f t="shared" si="5"/>
        <v>0.41935483870967744</v>
      </c>
    </row>
    <row r="161" spans="1:44">
      <c r="A161" s="8">
        <v>359</v>
      </c>
      <c r="B161" s="8" t="s">
        <v>78</v>
      </c>
      <c r="C161" s="8" t="s">
        <v>359</v>
      </c>
      <c r="D161" s="8"/>
      <c r="E161" s="8">
        <v>359</v>
      </c>
      <c r="F161" s="24"/>
      <c r="G161" s="5"/>
      <c r="H161" s="5"/>
      <c r="I161" s="5"/>
      <c r="J161" s="5"/>
      <c r="K161" s="5"/>
      <c r="L161" s="5"/>
      <c r="M161" s="25"/>
      <c r="N161" s="24"/>
      <c r="O161" s="5"/>
      <c r="P161" s="5">
        <v>1</v>
      </c>
      <c r="Q161" s="5">
        <v>1</v>
      </c>
      <c r="R161" s="5">
        <v>1</v>
      </c>
      <c r="S161" s="5">
        <v>1</v>
      </c>
      <c r="T161" s="5"/>
      <c r="U161" s="25"/>
      <c r="V161" s="24"/>
      <c r="W161" s="5"/>
      <c r="X161" s="5">
        <v>1</v>
      </c>
      <c r="Y161" s="5"/>
      <c r="Z161" s="5">
        <v>1</v>
      </c>
      <c r="AA161" s="5">
        <v>1</v>
      </c>
      <c r="AB161" s="5"/>
      <c r="AC161" s="25">
        <v>1</v>
      </c>
      <c r="AD161" s="24">
        <v>1</v>
      </c>
      <c r="AE161" s="5"/>
      <c r="AF161" s="5"/>
      <c r="AG161" s="5">
        <v>1</v>
      </c>
      <c r="AH161" s="5">
        <v>1</v>
      </c>
      <c r="AI161" s="5"/>
      <c r="AJ161" s="5"/>
      <c r="AK161" s="25"/>
      <c r="AL161" s="5">
        <v>359</v>
      </c>
      <c r="AM161" s="8"/>
      <c r="AN161" s="8">
        <v>1</v>
      </c>
      <c r="AO161" s="8">
        <v>1</v>
      </c>
      <c r="AP161" s="8">
        <f t="shared" si="4"/>
        <v>11</v>
      </c>
      <c r="AQ161">
        <v>15</v>
      </c>
      <c r="AR161" s="76">
        <f t="shared" si="5"/>
        <v>0.73333333333333328</v>
      </c>
    </row>
    <row r="162" spans="1:44">
      <c r="A162" s="8">
        <v>360</v>
      </c>
      <c r="B162" s="8" t="s">
        <v>71</v>
      </c>
      <c r="C162" s="8" t="s">
        <v>366</v>
      </c>
      <c r="D162" s="8" t="s">
        <v>42</v>
      </c>
      <c r="E162" s="8">
        <v>360</v>
      </c>
      <c r="F162" s="24"/>
      <c r="G162" s="5"/>
      <c r="H162" s="5"/>
      <c r="I162" s="5"/>
      <c r="J162" s="5"/>
      <c r="K162" s="5"/>
      <c r="L162" s="5"/>
      <c r="M162" s="25">
        <v>1</v>
      </c>
      <c r="N162" s="24">
        <v>1</v>
      </c>
      <c r="O162" s="5"/>
      <c r="P162" s="5"/>
      <c r="Q162" s="5"/>
      <c r="R162" s="5"/>
      <c r="S162" s="5">
        <v>1</v>
      </c>
      <c r="T162" s="5">
        <v>1</v>
      </c>
      <c r="U162" s="25"/>
      <c r="V162" s="24"/>
      <c r="W162" s="5"/>
      <c r="X162" s="5"/>
      <c r="Y162" s="5"/>
      <c r="Z162" s="5"/>
      <c r="AA162" s="5"/>
      <c r="AB162" s="5">
        <v>1</v>
      </c>
      <c r="AC162" s="25">
        <v>1</v>
      </c>
      <c r="AD162" s="24">
        <v>1</v>
      </c>
      <c r="AE162" s="5">
        <v>1</v>
      </c>
      <c r="AF162" s="5"/>
      <c r="AG162" s="5"/>
      <c r="AH162" s="5"/>
      <c r="AI162" s="5"/>
      <c r="AJ162" s="5"/>
      <c r="AK162" s="25">
        <v>1</v>
      </c>
      <c r="AL162" s="5">
        <v>360</v>
      </c>
      <c r="AM162" s="8"/>
      <c r="AN162" s="8">
        <v>1</v>
      </c>
      <c r="AO162" s="8">
        <v>1</v>
      </c>
      <c r="AP162" s="8">
        <f t="shared" si="4"/>
        <v>9</v>
      </c>
      <c r="AQ162">
        <v>24</v>
      </c>
      <c r="AR162" s="76">
        <f t="shared" si="5"/>
        <v>0.375</v>
      </c>
    </row>
    <row r="163" spans="1:44">
      <c r="A163" s="8">
        <v>361</v>
      </c>
      <c r="B163" s="8" t="s">
        <v>55</v>
      </c>
      <c r="C163" s="8" t="s">
        <v>346</v>
      </c>
      <c r="D163" s="8"/>
      <c r="E163" s="8">
        <v>361</v>
      </c>
      <c r="F163" s="24"/>
      <c r="G163" s="5"/>
      <c r="H163" s="5"/>
      <c r="I163" s="5"/>
      <c r="J163" s="5"/>
      <c r="K163" s="5"/>
      <c r="L163" s="5"/>
      <c r="M163" s="25"/>
      <c r="N163" s="24"/>
      <c r="O163" s="5"/>
      <c r="P163" s="5"/>
      <c r="Q163" s="5"/>
      <c r="R163" s="5"/>
      <c r="S163" s="5"/>
      <c r="T163" s="5"/>
      <c r="U163" s="25"/>
      <c r="V163" s="24"/>
      <c r="W163" s="5"/>
      <c r="X163" s="5"/>
      <c r="Y163" s="5"/>
      <c r="Z163" s="5"/>
      <c r="AA163" s="5"/>
      <c r="AB163" s="5"/>
      <c r="AC163" s="25"/>
      <c r="AD163" s="24"/>
      <c r="AE163" s="5"/>
      <c r="AF163" s="5"/>
      <c r="AG163" s="5"/>
      <c r="AH163" s="5"/>
      <c r="AI163" s="5"/>
      <c r="AJ163" s="5"/>
      <c r="AK163" s="25"/>
      <c r="AL163" s="5">
        <v>361</v>
      </c>
      <c r="AM163" s="8">
        <v>1</v>
      </c>
      <c r="AN163" s="8"/>
      <c r="AO163" s="8"/>
      <c r="AP163" s="8">
        <f t="shared" si="4"/>
        <v>0</v>
      </c>
      <c r="AQ163">
        <v>18</v>
      </c>
      <c r="AR163" s="76">
        <f t="shared" si="5"/>
        <v>0</v>
      </c>
    </row>
    <row r="164" spans="1:44">
      <c r="A164" s="8">
        <v>363</v>
      </c>
      <c r="B164" s="8" t="s">
        <v>216</v>
      </c>
      <c r="C164" s="8" t="s">
        <v>42</v>
      </c>
      <c r="D164" s="8" t="s">
        <v>6</v>
      </c>
      <c r="E164" s="8">
        <v>363</v>
      </c>
      <c r="F164" s="24">
        <v>1</v>
      </c>
      <c r="G164" s="5">
        <v>1</v>
      </c>
      <c r="H164" s="5">
        <v>1</v>
      </c>
      <c r="I164" s="5">
        <v>1</v>
      </c>
      <c r="J164" s="5">
        <v>1</v>
      </c>
      <c r="K164" s="5">
        <v>1</v>
      </c>
      <c r="L164" s="5">
        <v>1</v>
      </c>
      <c r="M164" s="25"/>
      <c r="N164" s="24">
        <v>1</v>
      </c>
      <c r="O164" s="5">
        <v>1</v>
      </c>
      <c r="P164" s="5">
        <v>1</v>
      </c>
      <c r="Q164" s="5">
        <v>1</v>
      </c>
      <c r="R164" s="5"/>
      <c r="S164" s="5">
        <v>1</v>
      </c>
      <c r="T164" s="5"/>
      <c r="U164" s="25">
        <v>1</v>
      </c>
      <c r="V164" s="24">
        <v>1</v>
      </c>
      <c r="W164" s="5">
        <v>1</v>
      </c>
      <c r="X164" s="5">
        <v>1</v>
      </c>
      <c r="Y164" s="5">
        <v>1</v>
      </c>
      <c r="Z164" s="5">
        <v>1</v>
      </c>
      <c r="AA164" s="5">
        <v>1</v>
      </c>
      <c r="AB164" s="5">
        <v>1</v>
      </c>
      <c r="AC164" s="25">
        <v>1</v>
      </c>
      <c r="AD164" s="24">
        <v>1</v>
      </c>
      <c r="AE164" s="5">
        <v>1</v>
      </c>
      <c r="AF164" s="5">
        <v>1</v>
      </c>
      <c r="AG164" s="5">
        <v>1</v>
      </c>
      <c r="AH164" s="5"/>
      <c r="AI164" s="5">
        <v>1</v>
      </c>
      <c r="AJ164" s="5"/>
      <c r="AK164" s="25">
        <v>1</v>
      </c>
      <c r="AL164" s="5">
        <v>363</v>
      </c>
      <c r="AM164" s="8"/>
      <c r="AN164" s="8">
        <v>1</v>
      </c>
      <c r="AO164" s="8">
        <v>1</v>
      </c>
      <c r="AP164" s="8">
        <f t="shared" si="4"/>
        <v>27</v>
      </c>
      <c r="AQ164">
        <v>30</v>
      </c>
      <c r="AR164" s="76">
        <f t="shared" si="5"/>
        <v>0.9</v>
      </c>
    </row>
    <row r="165" spans="1:44">
      <c r="A165" s="8">
        <v>365</v>
      </c>
      <c r="B165" s="8" t="s">
        <v>197</v>
      </c>
      <c r="C165" s="8" t="s">
        <v>357</v>
      </c>
      <c r="D165" s="8"/>
      <c r="E165" s="8">
        <v>365</v>
      </c>
      <c r="F165" s="24"/>
      <c r="G165" s="5"/>
      <c r="H165" s="5"/>
      <c r="I165" s="5"/>
      <c r="J165" s="5"/>
      <c r="K165" s="5"/>
      <c r="L165" s="5"/>
      <c r="M165" s="25"/>
      <c r="N165" s="24"/>
      <c r="O165" s="5"/>
      <c r="P165" s="5"/>
      <c r="Q165" s="5">
        <v>1</v>
      </c>
      <c r="R165" s="5">
        <v>1</v>
      </c>
      <c r="S165" s="5"/>
      <c r="T165" s="5"/>
      <c r="U165" s="25"/>
      <c r="V165" s="24"/>
      <c r="W165" s="5"/>
      <c r="X165" s="5"/>
      <c r="Y165" s="5"/>
      <c r="Z165" s="5"/>
      <c r="AA165" s="5"/>
      <c r="AB165" s="5"/>
      <c r="AC165" s="25"/>
      <c r="AD165" s="24">
        <v>1</v>
      </c>
      <c r="AE165" s="5"/>
      <c r="AF165" s="5"/>
      <c r="AG165" s="5"/>
      <c r="AH165" s="5"/>
      <c r="AI165" s="5"/>
      <c r="AJ165" s="5"/>
      <c r="AK165" s="25"/>
      <c r="AL165" s="5">
        <v>365</v>
      </c>
      <c r="AM165" s="8"/>
      <c r="AN165" s="8">
        <v>1</v>
      </c>
      <c r="AO165" s="8">
        <v>1</v>
      </c>
      <c r="AP165" s="8">
        <f t="shared" si="4"/>
        <v>3</v>
      </c>
      <c r="AQ165">
        <v>9</v>
      </c>
      <c r="AR165" s="76">
        <f t="shared" si="5"/>
        <v>0.33333333333333331</v>
      </c>
    </row>
    <row r="166" spans="1:44">
      <c r="A166" s="8">
        <v>367</v>
      </c>
      <c r="B166" s="8" t="s">
        <v>80</v>
      </c>
      <c r="C166" s="8" t="s">
        <v>346</v>
      </c>
      <c r="D166" s="8"/>
      <c r="E166" s="8">
        <v>367</v>
      </c>
      <c r="F166" s="24"/>
      <c r="G166" s="5"/>
      <c r="H166" s="5"/>
      <c r="I166" s="5">
        <v>1</v>
      </c>
      <c r="J166" s="5">
        <v>1</v>
      </c>
      <c r="K166" s="5"/>
      <c r="L166" s="5"/>
      <c r="M166" s="25">
        <v>1</v>
      </c>
      <c r="N166" s="24"/>
      <c r="O166" s="5"/>
      <c r="P166" s="5"/>
      <c r="Q166" s="5">
        <v>1</v>
      </c>
      <c r="R166" s="5"/>
      <c r="S166" s="5"/>
      <c r="T166" s="5"/>
      <c r="U166" s="25"/>
      <c r="V166" s="24"/>
      <c r="W166" s="5"/>
      <c r="X166" s="5"/>
      <c r="Y166" s="5"/>
      <c r="Z166" s="5"/>
      <c r="AA166" s="5"/>
      <c r="AB166" s="5"/>
      <c r="AC166" s="25"/>
      <c r="AD166" s="24"/>
      <c r="AE166" s="5"/>
      <c r="AF166" s="5">
        <v>1</v>
      </c>
      <c r="AG166" s="5"/>
      <c r="AH166" s="5">
        <v>1</v>
      </c>
      <c r="AI166" s="5"/>
      <c r="AJ166" s="5"/>
      <c r="AK166" s="25"/>
      <c r="AL166" s="5">
        <v>367</v>
      </c>
      <c r="AM166" s="8"/>
      <c r="AN166" s="8">
        <v>1</v>
      </c>
      <c r="AO166" s="8">
        <v>1</v>
      </c>
      <c r="AP166" s="8">
        <f t="shared" si="4"/>
        <v>6</v>
      </c>
      <c r="AQ166">
        <v>11</v>
      </c>
      <c r="AR166" s="76">
        <f t="shared" si="5"/>
        <v>0.54545454545454541</v>
      </c>
    </row>
    <row r="167" spans="1:44">
      <c r="A167" s="8">
        <v>371</v>
      </c>
      <c r="B167" s="8" t="s">
        <v>73</v>
      </c>
      <c r="C167" s="8" t="s">
        <v>165</v>
      </c>
      <c r="D167" s="8" t="s">
        <v>42</v>
      </c>
      <c r="E167" s="8">
        <v>371</v>
      </c>
      <c r="F167" s="24"/>
      <c r="G167" s="5"/>
      <c r="H167" s="5">
        <v>1</v>
      </c>
      <c r="I167" s="5"/>
      <c r="J167" s="5">
        <v>1</v>
      </c>
      <c r="K167" s="5">
        <v>1</v>
      </c>
      <c r="L167" s="5"/>
      <c r="M167" s="25">
        <v>1</v>
      </c>
      <c r="N167" s="24"/>
      <c r="O167" s="5">
        <v>1</v>
      </c>
      <c r="P167" s="5"/>
      <c r="Q167" s="5"/>
      <c r="R167" s="5"/>
      <c r="S167" s="5"/>
      <c r="T167" s="5">
        <v>1</v>
      </c>
      <c r="U167" s="25">
        <v>1</v>
      </c>
      <c r="V167" s="24">
        <v>1</v>
      </c>
      <c r="W167" s="5">
        <v>1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25">
        <v>1</v>
      </c>
      <c r="AD167" s="24">
        <v>1</v>
      </c>
      <c r="AE167" s="5">
        <v>1</v>
      </c>
      <c r="AF167" s="5">
        <v>1</v>
      </c>
      <c r="AG167" s="5">
        <v>1</v>
      </c>
      <c r="AH167" s="5"/>
      <c r="AI167" s="5"/>
      <c r="AJ167" s="5"/>
      <c r="AK167" s="25">
        <v>1</v>
      </c>
      <c r="AL167" s="5">
        <v>371</v>
      </c>
      <c r="AM167" s="8"/>
      <c r="AN167" s="8">
        <v>1</v>
      </c>
      <c r="AO167" s="8">
        <v>1</v>
      </c>
      <c r="AP167" s="8">
        <f t="shared" si="4"/>
        <v>20</v>
      </c>
      <c r="AQ167">
        <v>32</v>
      </c>
      <c r="AR167" s="76">
        <f t="shared" si="5"/>
        <v>0.625</v>
      </c>
    </row>
    <row r="168" spans="1:44">
      <c r="A168" s="8">
        <v>375</v>
      </c>
      <c r="B168" s="8" t="s">
        <v>44</v>
      </c>
      <c r="C168" s="8" t="s">
        <v>349</v>
      </c>
      <c r="D168" s="8" t="s">
        <v>6</v>
      </c>
      <c r="E168" s="8">
        <v>375</v>
      </c>
      <c r="F168" s="24"/>
      <c r="G168" s="5"/>
      <c r="H168" s="5"/>
      <c r="I168" s="5"/>
      <c r="J168" s="5">
        <v>1</v>
      </c>
      <c r="K168" s="5">
        <v>1</v>
      </c>
      <c r="L168" s="5"/>
      <c r="M168" s="25"/>
      <c r="N168" s="24"/>
      <c r="O168" s="5"/>
      <c r="P168" s="5">
        <v>1</v>
      </c>
      <c r="Q168" s="5">
        <v>1</v>
      </c>
      <c r="R168" s="5">
        <v>1</v>
      </c>
      <c r="S168" s="5">
        <v>1</v>
      </c>
      <c r="T168" s="5"/>
      <c r="U168" s="25"/>
      <c r="V168" s="24"/>
      <c r="W168" s="5"/>
      <c r="X168" s="5"/>
      <c r="Y168" s="5"/>
      <c r="Z168" s="5"/>
      <c r="AA168" s="5"/>
      <c r="AB168" s="5">
        <v>1</v>
      </c>
      <c r="AC168" s="25"/>
      <c r="AD168" s="24">
        <v>1</v>
      </c>
      <c r="AE168" s="5">
        <v>1</v>
      </c>
      <c r="AF168" s="5">
        <v>1</v>
      </c>
      <c r="AG168" s="5"/>
      <c r="AH168" s="5"/>
      <c r="AI168" s="5"/>
      <c r="AJ168" s="5"/>
      <c r="AK168" s="25"/>
      <c r="AL168" s="5">
        <v>375</v>
      </c>
      <c r="AM168" s="8"/>
      <c r="AN168" s="8">
        <v>1</v>
      </c>
      <c r="AO168" s="8">
        <v>1</v>
      </c>
      <c r="AP168" s="8">
        <f t="shared" si="4"/>
        <v>10</v>
      </c>
      <c r="AQ168">
        <v>11</v>
      </c>
      <c r="AR168" s="76">
        <f t="shared" si="5"/>
        <v>0.90909090909090906</v>
      </c>
    </row>
    <row r="169" spans="1:44">
      <c r="A169" s="8">
        <v>376</v>
      </c>
      <c r="B169" s="8" t="s">
        <v>106</v>
      </c>
      <c r="C169" s="8" t="s">
        <v>349</v>
      </c>
      <c r="D169" s="8" t="s">
        <v>6</v>
      </c>
      <c r="E169" s="8">
        <v>376</v>
      </c>
      <c r="F169" s="24"/>
      <c r="G169" s="5"/>
      <c r="H169" s="5"/>
      <c r="I169" s="5"/>
      <c r="J169" s="5"/>
      <c r="K169" s="5"/>
      <c r="L169" s="5"/>
      <c r="M169" s="25"/>
      <c r="N169" s="24"/>
      <c r="O169" s="5"/>
      <c r="P169" s="5"/>
      <c r="Q169" s="5"/>
      <c r="R169" s="5"/>
      <c r="S169" s="5"/>
      <c r="T169" s="5"/>
      <c r="U169" s="25"/>
      <c r="V169" s="24"/>
      <c r="W169" s="5"/>
      <c r="X169" s="5"/>
      <c r="Y169" s="5"/>
      <c r="Z169" s="5"/>
      <c r="AA169" s="5"/>
      <c r="AB169" s="5"/>
      <c r="AC169" s="25"/>
      <c r="AD169" s="24"/>
      <c r="AE169" s="5"/>
      <c r="AF169" s="5"/>
      <c r="AG169" s="5"/>
      <c r="AH169" s="5"/>
      <c r="AI169" s="5"/>
      <c r="AJ169" s="5"/>
      <c r="AK169" s="25"/>
      <c r="AL169" s="5">
        <v>376</v>
      </c>
      <c r="AM169" s="8">
        <v>1</v>
      </c>
      <c r="AN169" s="8"/>
      <c r="AO169" s="8"/>
      <c r="AP169" s="8">
        <f t="shared" si="4"/>
        <v>0</v>
      </c>
      <c r="AQ169">
        <v>2</v>
      </c>
      <c r="AR169" s="76">
        <f t="shared" si="5"/>
        <v>0</v>
      </c>
    </row>
    <row r="170" spans="1:44">
      <c r="A170" s="8">
        <v>377</v>
      </c>
      <c r="B170" s="8" t="s">
        <v>62</v>
      </c>
      <c r="C170" s="8" t="s">
        <v>42</v>
      </c>
      <c r="D170" s="8" t="s">
        <v>6</v>
      </c>
      <c r="E170" s="8">
        <v>377</v>
      </c>
      <c r="F170" s="24">
        <v>1</v>
      </c>
      <c r="G170" s="5">
        <v>1</v>
      </c>
      <c r="H170" s="5">
        <v>1</v>
      </c>
      <c r="I170" s="5">
        <v>1</v>
      </c>
      <c r="J170" s="5"/>
      <c r="K170" s="5">
        <v>1</v>
      </c>
      <c r="L170" s="5">
        <v>1</v>
      </c>
      <c r="M170" s="25"/>
      <c r="N170" s="24"/>
      <c r="O170" s="5">
        <v>1</v>
      </c>
      <c r="P170" s="5">
        <v>1</v>
      </c>
      <c r="Q170" s="5">
        <v>1</v>
      </c>
      <c r="R170" s="5">
        <v>1</v>
      </c>
      <c r="S170" s="5">
        <v>1</v>
      </c>
      <c r="T170" s="5">
        <v>1</v>
      </c>
      <c r="U170" s="25">
        <v>1</v>
      </c>
      <c r="V170" s="24"/>
      <c r="W170" s="5">
        <v>1</v>
      </c>
      <c r="X170" s="5"/>
      <c r="Y170" s="5">
        <v>1</v>
      </c>
      <c r="Z170" s="5">
        <v>1</v>
      </c>
      <c r="AA170" s="5">
        <v>1</v>
      </c>
      <c r="AB170" s="5">
        <v>1</v>
      </c>
      <c r="AC170" s="25">
        <v>1</v>
      </c>
      <c r="AD170" s="24">
        <v>1</v>
      </c>
      <c r="AE170" s="5">
        <v>1</v>
      </c>
      <c r="AF170" s="5">
        <v>1</v>
      </c>
      <c r="AG170" s="5">
        <v>1</v>
      </c>
      <c r="AH170" s="5">
        <v>1</v>
      </c>
      <c r="AI170" s="5"/>
      <c r="AJ170" s="5">
        <v>1</v>
      </c>
      <c r="AK170" s="25"/>
      <c r="AL170" s="5">
        <v>377</v>
      </c>
      <c r="AM170" s="8"/>
      <c r="AN170" s="8">
        <v>1</v>
      </c>
      <c r="AO170" s="8">
        <v>2</v>
      </c>
      <c r="AP170" s="8">
        <f t="shared" si="4"/>
        <v>25</v>
      </c>
      <c r="AQ170">
        <v>28</v>
      </c>
      <c r="AR170" s="76">
        <f t="shared" si="5"/>
        <v>0.8928571428571429</v>
      </c>
    </row>
    <row r="171" spans="1:44">
      <c r="A171" s="8">
        <v>380</v>
      </c>
      <c r="B171" s="8" t="s">
        <v>136</v>
      </c>
      <c r="C171" s="8" t="s">
        <v>12</v>
      </c>
      <c r="D171" s="8" t="s">
        <v>42</v>
      </c>
      <c r="E171" s="8">
        <v>380</v>
      </c>
      <c r="F171" s="24"/>
      <c r="G171" s="5">
        <v>1</v>
      </c>
      <c r="H171" s="5">
        <v>1</v>
      </c>
      <c r="I171" s="5">
        <v>1</v>
      </c>
      <c r="J171" s="5">
        <v>1</v>
      </c>
      <c r="K171" s="5"/>
      <c r="L171" s="5"/>
      <c r="M171" s="25"/>
      <c r="N171" s="24"/>
      <c r="O171" s="5"/>
      <c r="P171" s="5"/>
      <c r="Q171" s="5"/>
      <c r="R171" s="5"/>
      <c r="S171" s="5">
        <v>1</v>
      </c>
      <c r="T171" s="5">
        <v>1</v>
      </c>
      <c r="U171" s="25"/>
      <c r="V171" s="24">
        <v>1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25">
        <v>1</v>
      </c>
      <c r="AD171" s="24">
        <v>1</v>
      </c>
      <c r="AE171" s="5">
        <v>1</v>
      </c>
      <c r="AF171" s="5">
        <v>1</v>
      </c>
      <c r="AG171" s="5">
        <v>1</v>
      </c>
      <c r="AH171" s="5">
        <v>1</v>
      </c>
      <c r="AI171" s="5">
        <v>1</v>
      </c>
      <c r="AJ171" s="5">
        <v>1</v>
      </c>
      <c r="AK171" s="25">
        <v>1</v>
      </c>
      <c r="AL171" s="5">
        <v>380</v>
      </c>
      <c r="AM171" s="8"/>
      <c r="AN171" s="8">
        <v>1</v>
      </c>
      <c r="AO171" s="8">
        <v>1</v>
      </c>
      <c r="AP171" s="8">
        <f t="shared" si="4"/>
        <v>22</v>
      </c>
      <c r="AQ171">
        <v>30</v>
      </c>
      <c r="AR171" s="76">
        <f t="shared" si="5"/>
        <v>0.73333333333333328</v>
      </c>
    </row>
    <row r="172" spans="1:44">
      <c r="A172" s="8">
        <v>386</v>
      </c>
      <c r="B172" s="8" t="s">
        <v>80</v>
      </c>
      <c r="C172" s="8" t="s">
        <v>346</v>
      </c>
      <c r="D172" s="8"/>
      <c r="E172" s="8">
        <v>386</v>
      </c>
      <c r="F172" s="24"/>
      <c r="G172" s="5"/>
      <c r="H172" s="5"/>
      <c r="I172" s="5"/>
      <c r="J172" s="5"/>
      <c r="K172" s="5"/>
      <c r="L172" s="5"/>
      <c r="M172" s="25">
        <v>1</v>
      </c>
      <c r="N172" s="24"/>
      <c r="O172" s="5"/>
      <c r="P172" s="5"/>
      <c r="Q172" s="5"/>
      <c r="R172" s="5">
        <v>1</v>
      </c>
      <c r="S172" s="5"/>
      <c r="T172" s="5"/>
      <c r="U172" s="25"/>
      <c r="V172" s="24"/>
      <c r="W172" s="5"/>
      <c r="X172" s="5"/>
      <c r="Y172" s="5"/>
      <c r="Z172" s="5"/>
      <c r="AA172" s="5">
        <v>1</v>
      </c>
      <c r="AB172" s="5">
        <v>1</v>
      </c>
      <c r="AC172" s="25">
        <v>1</v>
      </c>
      <c r="AD172" s="24">
        <v>1</v>
      </c>
      <c r="AE172" s="5">
        <v>1</v>
      </c>
      <c r="AF172" s="5"/>
      <c r="AG172" s="5">
        <v>1</v>
      </c>
      <c r="AH172" s="5"/>
      <c r="AI172" s="5"/>
      <c r="AJ172" s="5"/>
      <c r="AK172" s="25"/>
      <c r="AL172" s="5">
        <v>386</v>
      </c>
      <c r="AM172" s="8"/>
      <c r="AN172" s="8">
        <v>1</v>
      </c>
      <c r="AO172" s="8">
        <v>1</v>
      </c>
      <c r="AP172" s="8">
        <f t="shared" si="4"/>
        <v>8</v>
      </c>
      <c r="AQ172">
        <v>16</v>
      </c>
      <c r="AR172" s="76">
        <f t="shared" si="5"/>
        <v>0.5</v>
      </c>
    </row>
    <row r="173" spans="1:44">
      <c r="A173" s="8">
        <v>392</v>
      </c>
      <c r="B173" s="8" t="s">
        <v>80</v>
      </c>
      <c r="C173" s="8" t="s">
        <v>346</v>
      </c>
      <c r="D173" s="8"/>
      <c r="E173" s="8">
        <v>392</v>
      </c>
      <c r="F173" s="24"/>
      <c r="G173" s="5"/>
      <c r="H173" s="5"/>
      <c r="I173" s="5"/>
      <c r="J173" s="5"/>
      <c r="K173" s="5"/>
      <c r="L173" s="5"/>
      <c r="M173" s="25"/>
      <c r="N173" s="24"/>
      <c r="O173" s="5"/>
      <c r="P173" s="5"/>
      <c r="Q173" s="5"/>
      <c r="R173" s="5"/>
      <c r="S173" s="5"/>
      <c r="T173" s="5"/>
      <c r="U173" s="25"/>
      <c r="V173" s="24"/>
      <c r="W173" s="5"/>
      <c r="X173" s="5"/>
      <c r="Y173" s="5"/>
      <c r="Z173" s="5"/>
      <c r="AA173" s="5"/>
      <c r="AB173" s="5"/>
      <c r="AC173" s="25"/>
      <c r="AD173" s="24"/>
      <c r="AE173" s="5"/>
      <c r="AF173" s="5"/>
      <c r="AG173" s="5"/>
      <c r="AH173" s="5"/>
      <c r="AI173" s="5"/>
      <c r="AJ173" s="5"/>
      <c r="AK173" s="25"/>
      <c r="AL173" s="5">
        <v>392</v>
      </c>
      <c r="AM173" s="8">
        <v>1</v>
      </c>
      <c r="AN173" s="8"/>
      <c r="AO173" s="8"/>
      <c r="AP173" s="8">
        <f t="shared" si="4"/>
        <v>0</v>
      </c>
      <c r="AQ173">
        <v>16</v>
      </c>
      <c r="AR173" s="76">
        <f t="shared" si="5"/>
        <v>0</v>
      </c>
    </row>
    <row r="174" spans="1:44">
      <c r="A174" s="8">
        <v>401</v>
      </c>
      <c r="B174" s="8" t="s">
        <v>123</v>
      </c>
      <c r="C174" s="8" t="s">
        <v>366</v>
      </c>
      <c r="D174" s="8" t="s">
        <v>42</v>
      </c>
      <c r="E174" s="8">
        <v>401</v>
      </c>
      <c r="F174" s="24">
        <v>1</v>
      </c>
      <c r="G174" s="5">
        <v>1</v>
      </c>
      <c r="H174" s="5">
        <v>1</v>
      </c>
      <c r="I174" s="5">
        <v>1</v>
      </c>
      <c r="J174" s="5"/>
      <c r="K174" s="5"/>
      <c r="L174" s="5">
        <v>1</v>
      </c>
      <c r="M174" s="25">
        <v>1</v>
      </c>
      <c r="N174" s="24">
        <v>1</v>
      </c>
      <c r="O174" s="5">
        <v>1</v>
      </c>
      <c r="P174" s="5">
        <v>1</v>
      </c>
      <c r="Q174" s="5"/>
      <c r="R174" s="5">
        <v>1</v>
      </c>
      <c r="S174" s="5"/>
      <c r="T174" s="5">
        <v>1</v>
      </c>
      <c r="U174" s="25"/>
      <c r="V174" s="24"/>
      <c r="W174" s="5"/>
      <c r="X174" s="5"/>
      <c r="Y174" s="5">
        <v>1</v>
      </c>
      <c r="Z174" s="5">
        <v>1</v>
      </c>
      <c r="AA174" s="5">
        <v>1</v>
      </c>
      <c r="AB174" s="5">
        <v>1</v>
      </c>
      <c r="AC174" s="25">
        <v>1</v>
      </c>
      <c r="AD174" s="24">
        <v>1</v>
      </c>
      <c r="AE174" s="5">
        <v>1</v>
      </c>
      <c r="AF174" s="5">
        <v>1</v>
      </c>
      <c r="AG174" s="5"/>
      <c r="AH174" s="5"/>
      <c r="AI174" s="5"/>
      <c r="AJ174" s="5"/>
      <c r="AK174" s="25"/>
      <c r="AL174" s="5">
        <v>401</v>
      </c>
      <c r="AM174" s="8"/>
      <c r="AN174" s="8">
        <v>1</v>
      </c>
      <c r="AO174" s="8">
        <v>3</v>
      </c>
      <c r="AP174" s="8">
        <f t="shared" si="4"/>
        <v>19</v>
      </c>
      <c r="AQ174">
        <v>23</v>
      </c>
      <c r="AR174" s="76">
        <f t="shared" si="5"/>
        <v>0.82608695652173914</v>
      </c>
    </row>
    <row r="175" spans="1:44">
      <c r="A175" s="8">
        <v>402</v>
      </c>
      <c r="B175" s="8" t="s">
        <v>88</v>
      </c>
      <c r="C175" s="8" t="s">
        <v>12</v>
      </c>
      <c r="D175" s="8" t="s">
        <v>6</v>
      </c>
      <c r="E175" s="8">
        <v>402</v>
      </c>
      <c r="F175" s="24">
        <v>1</v>
      </c>
      <c r="G175" s="5">
        <v>1</v>
      </c>
      <c r="H175" s="5">
        <v>1</v>
      </c>
      <c r="I175" s="5">
        <v>1</v>
      </c>
      <c r="J175" s="5">
        <v>1</v>
      </c>
      <c r="K175" s="5">
        <v>1</v>
      </c>
      <c r="L175" s="5">
        <v>1</v>
      </c>
      <c r="M175" s="25"/>
      <c r="N175" s="24">
        <v>1</v>
      </c>
      <c r="O175" s="5">
        <v>1</v>
      </c>
      <c r="P175" s="5">
        <v>1</v>
      </c>
      <c r="Q175" s="5">
        <v>1</v>
      </c>
      <c r="R175" s="5">
        <v>1</v>
      </c>
      <c r="S175" s="5"/>
      <c r="T175" s="5">
        <v>1</v>
      </c>
      <c r="U175" s="25">
        <v>1</v>
      </c>
      <c r="V175" s="24">
        <v>1</v>
      </c>
      <c r="W175" s="5">
        <v>1</v>
      </c>
      <c r="X175" s="5"/>
      <c r="Y175" s="5">
        <v>1</v>
      </c>
      <c r="Z175" s="5">
        <v>1</v>
      </c>
      <c r="AA175" s="5">
        <v>1</v>
      </c>
      <c r="AB175" s="5">
        <v>1</v>
      </c>
      <c r="AC175" s="25">
        <v>1</v>
      </c>
      <c r="AD175" s="24">
        <v>1</v>
      </c>
      <c r="AE175" s="5">
        <v>1</v>
      </c>
      <c r="AF175" s="5">
        <v>1</v>
      </c>
      <c r="AG175" s="5">
        <v>1</v>
      </c>
      <c r="AH175" s="5">
        <v>1</v>
      </c>
      <c r="AI175" s="5">
        <v>1</v>
      </c>
      <c r="AJ175" s="5">
        <v>1</v>
      </c>
      <c r="AK175" s="25">
        <v>1</v>
      </c>
      <c r="AL175" s="5">
        <v>402</v>
      </c>
      <c r="AM175" s="8"/>
      <c r="AN175" s="8">
        <v>1</v>
      </c>
      <c r="AO175" s="8">
        <v>1</v>
      </c>
      <c r="AP175" s="8">
        <f t="shared" si="4"/>
        <v>29</v>
      </c>
      <c r="AQ175">
        <v>32</v>
      </c>
      <c r="AR175" s="76">
        <f t="shared" si="5"/>
        <v>0.90625</v>
      </c>
    </row>
    <row r="176" spans="1:44">
      <c r="A176" s="8">
        <v>412</v>
      </c>
      <c r="B176" s="8" t="s">
        <v>41</v>
      </c>
      <c r="C176" s="8" t="s">
        <v>42</v>
      </c>
      <c r="D176" s="8" t="s">
        <v>42</v>
      </c>
      <c r="E176" s="8">
        <v>412</v>
      </c>
      <c r="F176" s="24"/>
      <c r="G176" s="5">
        <v>1</v>
      </c>
      <c r="H176" s="5">
        <v>1</v>
      </c>
      <c r="I176" s="5">
        <v>1</v>
      </c>
      <c r="J176" s="5">
        <v>1</v>
      </c>
      <c r="K176" s="5">
        <v>1</v>
      </c>
      <c r="L176" s="5"/>
      <c r="M176" s="25">
        <v>1</v>
      </c>
      <c r="N176" s="24">
        <v>1</v>
      </c>
      <c r="O176" s="5">
        <v>1</v>
      </c>
      <c r="P176" s="5">
        <v>1</v>
      </c>
      <c r="Q176" s="5">
        <v>1</v>
      </c>
      <c r="R176" s="5">
        <v>1</v>
      </c>
      <c r="S176" s="5">
        <v>1</v>
      </c>
      <c r="T176" s="5">
        <v>1</v>
      </c>
      <c r="U176" s="25">
        <v>1</v>
      </c>
      <c r="V176" s="24">
        <v>1</v>
      </c>
      <c r="W176" s="5">
        <v>1</v>
      </c>
      <c r="X176" s="5">
        <v>1</v>
      </c>
      <c r="Y176" s="5">
        <v>1</v>
      </c>
      <c r="Z176" s="5">
        <v>1</v>
      </c>
      <c r="AA176" s="5">
        <v>1</v>
      </c>
      <c r="AB176" s="5">
        <v>1</v>
      </c>
      <c r="AC176" s="25">
        <v>1</v>
      </c>
      <c r="AD176" s="24">
        <v>1</v>
      </c>
      <c r="AE176" s="5">
        <v>1</v>
      </c>
      <c r="AF176" s="5">
        <v>1</v>
      </c>
      <c r="AG176" s="5">
        <v>1</v>
      </c>
      <c r="AH176" s="5">
        <v>1</v>
      </c>
      <c r="AI176" s="5">
        <v>1</v>
      </c>
      <c r="AJ176" s="5"/>
      <c r="AK176" s="25">
        <v>1</v>
      </c>
      <c r="AL176" s="5">
        <v>412</v>
      </c>
      <c r="AM176" s="8"/>
      <c r="AN176" s="8">
        <v>1</v>
      </c>
      <c r="AO176" s="8">
        <v>3</v>
      </c>
      <c r="AP176" s="8">
        <f t="shared" si="4"/>
        <v>29</v>
      </c>
      <c r="AQ176">
        <v>29</v>
      </c>
      <c r="AR176" s="76">
        <f t="shared" si="5"/>
        <v>1</v>
      </c>
    </row>
    <row r="177" spans="1:44">
      <c r="A177" s="8">
        <v>414</v>
      </c>
      <c r="B177" s="8" t="s">
        <v>62</v>
      </c>
      <c r="C177" s="8" t="s">
        <v>42</v>
      </c>
      <c r="D177" s="8" t="s">
        <v>42</v>
      </c>
      <c r="E177" s="8">
        <v>414</v>
      </c>
      <c r="F177" s="24">
        <v>1</v>
      </c>
      <c r="G177" s="5">
        <v>1</v>
      </c>
      <c r="H177" s="5">
        <v>1</v>
      </c>
      <c r="I177" s="5">
        <v>1</v>
      </c>
      <c r="J177" s="5">
        <v>1</v>
      </c>
      <c r="K177" s="5">
        <v>1</v>
      </c>
      <c r="L177" s="5">
        <v>1</v>
      </c>
      <c r="M177" s="25">
        <v>1</v>
      </c>
      <c r="N177" s="24">
        <v>1</v>
      </c>
      <c r="O177" s="5">
        <v>1</v>
      </c>
      <c r="P177" s="5">
        <v>1</v>
      </c>
      <c r="Q177" s="5">
        <v>1</v>
      </c>
      <c r="R177" s="5">
        <v>1</v>
      </c>
      <c r="S177" s="5">
        <v>1</v>
      </c>
      <c r="T177" s="5">
        <v>1</v>
      </c>
      <c r="U177" s="25">
        <v>1</v>
      </c>
      <c r="V177" s="24">
        <v>1</v>
      </c>
      <c r="W177" s="5">
        <v>1</v>
      </c>
      <c r="X177" s="5"/>
      <c r="Y177" s="5">
        <v>1</v>
      </c>
      <c r="Z177" s="5">
        <v>1</v>
      </c>
      <c r="AA177" s="5">
        <v>1</v>
      </c>
      <c r="AB177" s="5">
        <v>1</v>
      </c>
      <c r="AC177" s="25">
        <v>1</v>
      </c>
      <c r="AD177" s="24">
        <v>1</v>
      </c>
      <c r="AE177" s="5">
        <v>1</v>
      </c>
      <c r="AF177" s="5">
        <v>1</v>
      </c>
      <c r="AG177" s="5">
        <v>1</v>
      </c>
      <c r="AH177" s="5">
        <v>1</v>
      </c>
      <c r="AI177" s="5">
        <v>1</v>
      </c>
      <c r="AJ177" s="5">
        <v>1</v>
      </c>
      <c r="AK177" s="25">
        <v>1</v>
      </c>
      <c r="AL177" s="5">
        <v>414</v>
      </c>
      <c r="AM177" s="8"/>
      <c r="AN177" s="8">
        <v>1</v>
      </c>
      <c r="AO177" s="8">
        <v>1</v>
      </c>
      <c r="AP177" s="8">
        <f t="shared" si="4"/>
        <v>31</v>
      </c>
      <c r="AQ177">
        <v>32</v>
      </c>
      <c r="AR177" s="76">
        <f t="shared" si="5"/>
        <v>0.96875</v>
      </c>
    </row>
    <row r="178" spans="1:44">
      <c r="A178" s="8">
        <v>417</v>
      </c>
      <c r="B178" s="8" t="s">
        <v>78</v>
      </c>
      <c r="C178" s="8" t="s">
        <v>359</v>
      </c>
      <c r="D178" s="8"/>
      <c r="E178" s="8">
        <v>417</v>
      </c>
      <c r="F178" s="24"/>
      <c r="G178" s="5"/>
      <c r="H178" s="5"/>
      <c r="I178" s="5"/>
      <c r="J178" s="5"/>
      <c r="K178" s="5"/>
      <c r="L178" s="5"/>
      <c r="M178" s="25"/>
      <c r="N178" s="24"/>
      <c r="O178" s="5"/>
      <c r="P178" s="5"/>
      <c r="Q178" s="5"/>
      <c r="R178" s="5"/>
      <c r="S178" s="5"/>
      <c r="T178" s="5"/>
      <c r="U178" s="25"/>
      <c r="V178" s="24"/>
      <c r="W178" s="5"/>
      <c r="X178" s="5"/>
      <c r="Y178" s="5"/>
      <c r="Z178" s="5"/>
      <c r="AA178" s="5"/>
      <c r="AB178" s="5"/>
      <c r="AC178" s="25"/>
      <c r="AD178" s="24"/>
      <c r="AE178" s="5"/>
      <c r="AF178" s="5"/>
      <c r="AG178" s="5"/>
      <c r="AH178" s="5"/>
      <c r="AI178" s="5"/>
      <c r="AJ178" s="5"/>
      <c r="AK178" s="25"/>
      <c r="AL178" s="5">
        <v>417</v>
      </c>
      <c r="AM178" s="8">
        <v>1</v>
      </c>
      <c r="AN178" s="8"/>
      <c r="AO178" s="8"/>
      <c r="AP178" s="8">
        <f t="shared" si="4"/>
        <v>0</v>
      </c>
      <c r="AQ178">
        <v>23</v>
      </c>
      <c r="AR178" s="76">
        <f t="shared" si="5"/>
        <v>0</v>
      </c>
    </row>
    <row r="179" spans="1:44">
      <c r="A179" s="8">
        <v>418</v>
      </c>
      <c r="B179" s="8" t="s">
        <v>80</v>
      </c>
      <c r="C179" s="8" t="s">
        <v>346</v>
      </c>
      <c r="D179" s="8"/>
      <c r="E179" s="8">
        <v>418</v>
      </c>
      <c r="F179" s="24"/>
      <c r="G179" s="5"/>
      <c r="H179" s="5"/>
      <c r="I179" s="5">
        <v>1</v>
      </c>
      <c r="J179" s="5"/>
      <c r="K179" s="5"/>
      <c r="L179" s="5"/>
      <c r="M179" s="25"/>
      <c r="N179" s="24"/>
      <c r="O179" s="5"/>
      <c r="P179" s="5">
        <v>1</v>
      </c>
      <c r="Q179" s="5"/>
      <c r="R179" s="5"/>
      <c r="S179" s="5"/>
      <c r="T179" s="5"/>
      <c r="U179" s="25"/>
      <c r="V179" s="24"/>
      <c r="W179" s="5"/>
      <c r="X179" s="5"/>
      <c r="Y179" s="5">
        <v>1</v>
      </c>
      <c r="Z179" s="5">
        <v>1</v>
      </c>
      <c r="AA179" s="5">
        <v>1</v>
      </c>
      <c r="AB179" s="5"/>
      <c r="AC179" s="25"/>
      <c r="AD179" s="24"/>
      <c r="AE179" s="5"/>
      <c r="AF179" s="5"/>
      <c r="AG179" s="5">
        <v>1</v>
      </c>
      <c r="AH179" s="5"/>
      <c r="AI179" s="5"/>
      <c r="AJ179" s="5"/>
      <c r="AK179" s="25"/>
      <c r="AL179" s="5">
        <v>418</v>
      </c>
      <c r="AM179" s="8"/>
      <c r="AN179" s="8">
        <v>1</v>
      </c>
      <c r="AO179" s="8">
        <v>1</v>
      </c>
      <c r="AP179" s="8">
        <f t="shared" si="4"/>
        <v>6</v>
      </c>
      <c r="AQ179">
        <v>19</v>
      </c>
      <c r="AR179" s="76">
        <f t="shared" si="5"/>
        <v>0.31578947368421051</v>
      </c>
    </row>
    <row r="180" spans="1:44">
      <c r="A180" s="8">
        <v>419</v>
      </c>
      <c r="B180" s="8" t="s">
        <v>123</v>
      </c>
      <c r="C180" s="8" t="s">
        <v>366</v>
      </c>
      <c r="D180" s="8" t="s">
        <v>6</v>
      </c>
      <c r="E180" s="8">
        <v>419</v>
      </c>
      <c r="F180" s="24"/>
      <c r="G180" s="5">
        <v>1</v>
      </c>
      <c r="H180" s="5">
        <v>1</v>
      </c>
      <c r="I180" s="5">
        <v>1</v>
      </c>
      <c r="J180" s="5">
        <v>1</v>
      </c>
      <c r="K180" s="5">
        <v>1</v>
      </c>
      <c r="L180" s="5">
        <v>1</v>
      </c>
      <c r="M180" s="25">
        <v>1</v>
      </c>
      <c r="N180" s="24">
        <v>1</v>
      </c>
      <c r="O180" s="5">
        <v>1</v>
      </c>
      <c r="P180" s="5">
        <v>1</v>
      </c>
      <c r="Q180" s="5">
        <v>1</v>
      </c>
      <c r="R180" s="5">
        <v>1</v>
      </c>
      <c r="S180" s="5">
        <v>1</v>
      </c>
      <c r="T180" s="5">
        <v>1</v>
      </c>
      <c r="U180" s="25">
        <v>1</v>
      </c>
      <c r="V180" s="24"/>
      <c r="W180" s="5"/>
      <c r="X180" s="5">
        <v>1</v>
      </c>
      <c r="Y180" s="5">
        <v>1</v>
      </c>
      <c r="Z180" s="5">
        <v>1</v>
      </c>
      <c r="AA180" s="5">
        <v>1</v>
      </c>
      <c r="AB180" s="5">
        <v>1</v>
      </c>
      <c r="AC180" s="25">
        <v>1</v>
      </c>
      <c r="AD180" s="24">
        <v>1</v>
      </c>
      <c r="AE180" s="5">
        <v>1</v>
      </c>
      <c r="AF180" s="5">
        <v>1</v>
      </c>
      <c r="AG180" s="5">
        <v>1</v>
      </c>
      <c r="AH180" s="5">
        <v>1</v>
      </c>
      <c r="AI180" s="5">
        <v>1</v>
      </c>
      <c r="AJ180" s="5"/>
      <c r="AK180" s="25"/>
      <c r="AL180" s="5">
        <v>419</v>
      </c>
      <c r="AM180" s="8"/>
      <c r="AN180" s="8">
        <v>1</v>
      </c>
      <c r="AO180" s="8">
        <v>1</v>
      </c>
      <c r="AP180" s="8">
        <f t="shared" si="4"/>
        <v>27</v>
      </c>
      <c r="AQ180">
        <v>27</v>
      </c>
      <c r="AR180" s="76">
        <f t="shared" si="5"/>
        <v>1</v>
      </c>
    </row>
    <row r="181" spans="1:44">
      <c r="A181" s="8">
        <v>421</v>
      </c>
      <c r="B181" s="8" t="s">
        <v>41</v>
      </c>
      <c r="C181" s="8" t="s">
        <v>42</v>
      </c>
      <c r="D181" s="8" t="s">
        <v>6</v>
      </c>
      <c r="E181" s="8">
        <v>421</v>
      </c>
      <c r="F181" s="24">
        <v>1</v>
      </c>
      <c r="G181" s="5">
        <v>1</v>
      </c>
      <c r="H181" s="5">
        <v>1</v>
      </c>
      <c r="I181" s="5">
        <v>1</v>
      </c>
      <c r="J181" s="5">
        <v>1</v>
      </c>
      <c r="K181" s="5">
        <v>1</v>
      </c>
      <c r="L181" s="5">
        <v>1</v>
      </c>
      <c r="M181" s="25">
        <v>1</v>
      </c>
      <c r="N181" s="24">
        <v>1</v>
      </c>
      <c r="O181" s="5">
        <v>1</v>
      </c>
      <c r="P181" s="5">
        <v>1</v>
      </c>
      <c r="Q181" s="5">
        <v>1</v>
      </c>
      <c r="R181" s="5">
        <v>1</v>
      </c>
      <c r="S181" s="5">
        <v>1</v>
      </c>
      <c r="T181" s="5">
        <v>1</v>
      </c>
      <c r="U181" s="25">
        <v>1</v>
      </c>
      <c r="V181" s="24">
        <v>1</v>
      </c>
      <c r="W181" s="5">
        <v>1</v>
      </c>
      <c r="X181" s="5">
        <v>1</v>
      </c>
      <c r="Y181" s="5">
        <v>1</v>
      </c>
      <c r="Z181" s="5">
        <v>1</v>
      </c>
      <c r="AA181" s="5">
        <v>1</v>
      </c>
      <c r="AB181" s="5">
        <v>1</v>
      </c>
      <c r="AC181" s="25">
        <v>1</v>
      </c>
      <c r="AD181" s="24">
        <v>1</v>
      </c>
      <c r="AE181" s="5">
        <v>1</v>
      </c>
      <c r="AF181" s="5">
        <v>1</v>
      </c>
      <c r="AG181" s="5">
        <v>1</v>
      </c>
      <c r="AH181" s="5">
        <v>1</v>
      </c>
      <c r="AI181" s="5">
        <v>1</v>
      </c>
      <c r="AJ181" s="5">
        <v>1</v>
      </c>
      <c r="AK181" s="25">
        <v>1</v>
      </c>
      <c r="AL181" s="5">
        <v>421</v>
      </c>
      <c r="AM181" s="8"/>
      <c r="AN181" s="8">
        <v>1</v>
      </c>
      <c r="AO181" s="8">
        <v>1</v>
      </c>
      <c r="AP181" s="8">
        <f t="shared" si="4"/>
        <v>32</v>
      </c>
      <c r="AQ181">
        <v>32</v>
      </c>
      <c r="AR181" s="76">
        <f t="shared" si="5"/>
        <v>1</v>
      </c>
    </row>
    <row r="182" spans="1:44">
      <c r="A182" s="8">
        <v>424</v>
      </c>
      <c r="B182" s="8" t="s">
        <v>63</v>
      </c>
      <c r="C182" s="8" t="s">
        <v>346</v>
      </c>
      <c r="D182" s="8"/>
      <c r="E182" s="8">
        <v>424</v>
      </c>
      <c r="F182" s="24"/>
      <c r="G182" s="5"/>
      <c r="H182" s="5"/>
      <c r="I182" s="5"/>
      <c r="J182" s="5"/>
      <c r="K182" s="5"/>
      <c r="L182" s="5"/>
      <c r="M182" s="25"/>
      <c r="N182" s="24"/>
      <c r="O182" s="5"/>
      <c r="P182" s="5"/>
      <c r="Q182" s="5"/>
      <c r="R182" s="5"/>
      <c r="S182" s="5"/>
      <c r="T182" s="5"/>
      <c r="U182" s="25"/>
      <c r="V182" s="24"/>
      <c r="W182" s="5"/>
      <c r="X182" s="5"/>
      <c r="Y182" s="5"/>
      <c r="Z182" s="5"/>
      <c r="AA182" s="5"/>
      <c r="AB182" s="5"/>
      <c r="AC182" s="25"/>
      <c r="AD182" s="24"/>
      <c r="AE182" s="5"/>
      <c r="AF182" s="5"/>
      <c r="AG182" s="5"/>
      <c r="AH182" s="5"/>
      <c r="AI182" s="5"/>
      <c r="AJ182" s="5"/>
      <c r="AK182" s="25"/>
      <c r="AL182" s="5">
        <v>424</v>
      </c>
      <c r="AM182" s="8">
        <v>1</v>
      </c>
      <c r="AN182" s="8"/>
      <c r="AO182" s="8"/>
      <c r="AP182" s="8">
        <f t="shared" si="4"/>
        <v>0</v>
      </c>
      <c r="AQ182">
        <v>8</v>
      </c>
      <c r="AR182" s="76">
        <f t="shared" si="5"/>
        <v>0</v>
      </c>
    </row>
    <row r="183" spans="1:44">
      <c r="A183" s="8">
        <v>425</v>
      </c>
      <c r="B183" s="8" t="s">
        <v>63</v>
      </c>
      <c r="C183" s="8" t="s">
        <v>346</v>
      </c>
      <c r="D183" s="8"/>
      <c r="E183" s="8">
        <v>425</v>
      </c>
      <c r="F183" s="24"/>
      <c r="G183" s="5"/>
      <c r="H183" s="5"/>
      <c r="I183" s="5"/>
      <c r="J183" s="5"/>
      <c r="K183" s="5"/>
      <c r="L183" s="5"/>
      <c r="M183" s="25"/>
      <c r="N183" s="24"/>
      <c r="O183" s="5"/>
      <c r="P183" s="5"/>
      <c r="Q183" s="5"/>
      <c r="R183" s="5"/>
      <c r="S183" s="5"/>
      <c r="T183" s="5"/>
      <c r="U183" s="25"/>
      <c r="V183" s="24"/>
      <c r="W183" s="5"/>
      <c r="X183" s="5"/>
      <c r="Y183" s="5"/>
      <c r="Z183" s="5"/>
      <c r="AA183" s="5"/>
      <c r="AB183" s="5"/>
      <c r="AC183" s="25"/>
      <c r="AD183" s="24"/>
      <c r="AE183" s="5"/>
      <c r="AF183" s="5"/>
      <c r="AG183" s="5"/>
      <c r="AH183" s="5"/>
      <c r="AI183" s="5"/>
      <c r="AJ183" s="5"/>
      <c r="AK183" s="25"/>
      <c r="AL183" s="5">
        <v>425</v>
      </c>
      <c r="AM183" s="8">
        <v>1</v>
      </c>
      <c r="AN183" s="8"/>
      <c r="AO183" s="8"/>
      <c r="AP183" s="8">
        <f t="shared" si="4"/>
        <v>0</v>
      </c>
      <c r="AQ183">
        <v>7</v>
      </c>
      <c r="AR183" s="76">
        <f t="shared" si="5"/>
        <v>0</v>
      </c>
    </row>
    <row r="184" spans="1:44">
      <c r="A184" s="8">
        <v>426</v>
      </c>
      <c r="B184" s="8" t="s">
        <v>44</v>
      </c>
      <c r="C184" s="8" t="s">
        <v>349</v>
      </c>
      <c r="D184" s="8" t="s">
        <v>6</v>
      </c>
      <c r="E184" s="8">
        <v>426</v>
      </c>
      <c r="F184" s="24"/>
      <c r="G184" s="5"/>
      <c r="H184" s="5"/>
      <c r="I184" s="5"/>
      <c r="J184" s="5"/>
      <c r="K184" s="5"/>
      <c r="L184" s="5"/>
      <c r="M184" s="25"/>
      <c r="N184" s="24"/>
      <c r="O184" s="5">
        <v>1</v>
      </c>
      <c r="P184" s="5"/>
      <c r="Q184" s="5"/>
      <c r="R184" s="5"/>
      <c r="S184" s="5"/>
      <c r="T184" s="5"/>
      <c r="U184" s="25"/>
      <c r="V184" s="24"/>
      <c r="W184" s="5"/>
      <c r="X184" s="5"/>
      <c r="Y184" s="5">
        <v>1</v>
      </c>
      <c r="Z184" s="5"/>
      <c r="AA184" s="5"/>
      <c r="AB184" s="5"/>
      <c r="AC184" s="25"/>
      <c r="AD184" s="24"/>
      <c r="AE184" s="5"/>
      <c r="AF184" s="5"/>
      <c r="AG184" s="5"/>
      <c r="AH184" s="5"/>
      <c r="AI184" s="5"/>
      <c r="AJ184" s="5"/>
      <c r="AK184" s="25"/>
      <c r="AL184" s="5">
        <v>426</v>
      </c>
      <c r="AM184" s="8"/>
      <c r="AN184" s="8">
        <v>1</v>
      </c>
      <c r="AO184" s="8">
        <v>1</v>
      </c>
      <c r="AP184" s="8">
        <f t="shared" si="4"/>
        <v>2</v>
      </c>
      <c r="AQ184">
        <v>5</v>
      </c>
      <c r="AR184" s="76">
        <f t="shared" si="5"/>
        <v>0.4</v>
      </c>
    </row>
    <row r="185" spans="1:44">
      <c r="A185" s="8">
        <v>429</v>
      </c>
      <c r="B185" s="8" t="s">
        <v>73</v>
      </c>
      <c r="C185" s="8" t="s">
        <v>165</v>
      </c>
      <c r="D185" s="8" t="s">
        <v>6</v>
      </c>
      <c r="E185" s="8">
        <v>429</v>
      </c>
      <c r="F185" s="24">
        <v>1</v>
      </c>
      <c r="G185" s="5">
        <v>1</v>
      </c>
      <c r="H185" s="5">
        <v>1</v>
      </c>
      <c r="I185" s="5">
        <v>1</v>
      </c>
      <c r="J185" s="5">
        <v>1</v>
      </c>
      <c r="K185" s="5">
        <v>1</v>
      </c>
      <c r="L185" s="5">
        <v>1</v>
      </c>
      <c r="M185" s="25">
        <v>1</v>
      </c>
      <c r="N185" s="24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25">
        <v>1</v>
      </c>
      <c r="V185" s="24">
        <v>1</v>
      </c>
      <c r="W185" s="5">
        <v>1</v>
      </c>
      <c r="X185" s="5">
        <v>1</v>
      </c>
      <c r="Y185" s="5">
        <v>1</v>
      </c>
      <c r="Z185" s="5">
        <v>1</v>
      </c>
      <c r="AA185" s="5">
        <v>1</v>
      </c>
      <c r="AB185" s="5">
        <v>1</v>
      </c>
      <c r="AC185" s="25">
        <v>1</v>
      </c>
      <c r="AD185" s="24">
        <v>1</v>
      </c>
      <c r="AE185" s="5">
        <v>1</v>
      </c>
      <c r="AF185" s="5">
        <v>1</v>
      </c>
      <c r="AG185" s="5">
        <v>1</v>
      </c>
      <c r="AH185" s="5">
        <v>1</v>
      </c>
      <c r="AI185" s="5">
        <v>1</v>
      </c>
      <c r="AJ185" s="5">
        <v>1</v>
      </c>
      <c r="AK185" s="25">
        <v>1</v>
      </c>
      <c r="AL185" s="5">
        <v>429</v>
      </c>
      <c r="AM185" s="8"/>
      <c r="AN185" s="8">
        <v>1</v>
      </c>
      <c r="AO185" s="8">
        <v>1</v>
      </c>
      <c r="AP185" s="8">
        <f t="shared" si="4"/>
        <v>32</v>
      </c>
      <c r="AQ185">
        <v>32</v>
      </c>
      <c r="AR185" s="76">
        <f t="shared" si="5"/>
        <v>1</v>
      </c>
    </row>
    <row r="186" spans="1:44">
      <c r="A186" s="8">
        <v>434</v>
      </c>
      <c r="B186" s="8" t="s">
        <v>56</v>
      </c>
      <c r="C186" s="8" t="s">
        <v>360</v>
      </c>
      <c r="D186" s="8"/>
      <c r="E186" s="8">
        <v>434</v>
      </c>
      <c r="F186" s="24"/>
      <c r="G186" s="5"/>
      <c r="H186" s="5"/>
      <c r="I186" s="5"/>
      <c r="J186" s="5"/>
      <c r="K186" s="5"/>
      <c r="L186" s="5"/>
      <c r="M186" s="25"/>
      <c r="N186" s="24"/>
      <c r="O186" s="5"/>
      <c r="P186" s="5"/>
      <c r="Q186" s="5"/>
      <c r="R186" s="5"/>
      <c r="S186" s="5"/>
      <c r="T186" s="5"/>
      <c r="U186" s="25"/>
      <c r="V186" s="24"/>
      <c r="W186" s="5"/>
      <c r="X186" s="5"/>
      <c r="Y186" s="5"/>
      <c r="Z186" s="5"/>
      <c r="AA186" s="5"/>
      <c r="AB186" s="5"/>
      <c r="AC186" s="25"/>
      <c r="AD186" s="24"/>
      <c r="AE186" s="5"/>
      <c r="AF186" s="5"/>
      <c r="AG186" s="5"/>
      <c r="AH186" s="5"/>
      <c r="AI186" s="5"/>
      <c r="AJ186" s="5"/>
      <c r="AK186" s="25"/>
      <c r="AL186" s="5">
        <v>434</v>
      </c>
      <c r="AM186" s="8">
        <v>1</v>
      </c>
      <c r="AN186" s="8"/>
      <c r="AO186" s="8"/>
      <c r="AP186" s="8">
        <f t="shared" si="4"/>
        <v>0</v>
      </c>
      <c r="AQ186">
        <v>4</v>
      </c>
      <c r="AR186" s="76">
        <f t="shared" si="5"/>
        <v>0</v>
      </c>
    </row>
    <row r="187" spans="1:44">
      <c r="A187" s="8">
        <v>435</v>
      </c>
      <c r="B187" s="8" t="s">
        <v>201</v>
      </c>
      <c r="C187" s="8" t="s">
        <v>357</v>
      </c>
      <c r="D187" s="8" t="s">
        <v>15</v>
      </c>
      <c r="E187" s="8">
        <v>435</v>
      </c>
      <c r="F187" s="24"/>
      <c r="G187" s="5"/>
      <c r="H187" s="5"/>
      <c r="I187" s="5"/>
      <c r="J187" s="5"/>
      <c r="K187" s="5"/>
      <c r="L187" s="5">
        <v>1</v>
      </c>
      <c r="M187" s="25"/>
      <c r="N187" s="24"/>
      <c r="O187" s="5">
        <v>1</v>
      </c>
      <c r="P187" s="5"/>
      <c r="Q187" s="5">
        <v>1</v>
      </c>
      <c r="R187" s="5">
        <v>1</v>
      </c>
      <c r="S187" s="5">
        <v>1</v>
      </c>
      <c r="T187" s="5"/>
      <c r="U187" s="25"/>
      <c r="V187" s="24"/>
      <c r="W187" s="5"/>
      <c r="X187" s="5"/>
      <c r="Y187" s="5"/>
      <c r="Z187" s="5"/>
      <c r="AA187" s="5"/>
      <c r="AB187" s="5">
        <v>1</v>
      </c>
      <c r="AC187" s="25">
        <v>1</v>
      </c>
      <c r="AD187" s="24">
        <v>1</v>
      </c>
      <c r="AE187" s="5"/>
      <c r="AF187" s="5">
        <v>1</v>
      </c>
      <c r="AG187" s="5">
        <v>1</v>
      </c>
      <c r="AH187" s="5">
        <v>1</v>
      </c>
      <c r="AI187" s="5"/>
      <c r="AJ187" s="5"/>
      <c r="AK187" s="25"/>
      <c r="AL187" s="5">
        <v>435</v>
      </c>
      <c r="AM187" s="8"/>
      <c r="AN187" s="8">
        <v>1</v>
      </c>
      <c r="AO187" s="8">
        <v>1</v>
      </c>
      <c r="AP187" s="8">
        <f t="shared" si="4"/>
        <v>11</v>
      </c>
      <c r="AQ187">
        <v>27</v>
      </c>
      <c r="AR187" s="76">
        <f t="shared" si="5"/>
        <v>0.40740740740740738</v>
      </c>
    </row>
    <row r="188" spans="1:44">
      <c r="A188" s="8">
        <v>436</v>
      </c>
      <c r="B188" s="8" t="s">
        <v>44</v>
      </c>
      <c r="C188" s="8" t="s">
        <v>349</v>
      </c>
      <c r="D188" s="8" t="s">
        <v>6</v>
      </c>
      <c r="E188" s="8">
        <v>436</v>
      </c>
      <c r="F188" s="24"/>
      <c r="G188" s="5">
        <v>1</v>
      </c>
      <c r="H188" s="5">
        <v>1</v>
      </c>
      <c r="I188" s="5">
        <v>1</v>
      </c>
      <c r="J188" s="5">
        <v>1</v>
      </c>
      <c r="K188" s="5">
        <v>1</v>
      </c>
      <c r="L188" s="5"/>
      <c r="M188" s="25"/>
      <c r="N188" s="24"/>
      <c r="O188" s="5">
        <v>1</v>
      </c>
      <c r="P188" s="5"/>
      <c r="Q188" s="5"/>
      <c r="R188" s="5"/>
      <c r="S188" s="5">
        <v>1</v>
      </c>
      <c r="T188" s="5"/>
      <c r="U188" s="25"/>
      <c r="V188" s="24"/>
      <c r="W188" s="5"/>
      <c r="X188" s="5"/>
      <c r="Y188" s="5"/>
      <c r="Z188" s="5"/>
      <c r="AA188" s="5">
        <v>1</v>
      </c>
      <c r="AB188" s="5"/>
      <c r="AC188" s="25"/>
      <c r="AD188" s="24">
        <v>1</v>
      </c>
      <c r="AE188" s="5">
        <v>1</v>
      </c>
      <c r="AF188" s="5"/>
      <c r="AG188" s="5"/>
      <c r="AH188" s="5"/>
      <c r="AI188" s="5"/>
      <c r="AJ188" s="5"/>
      <c r="AK188" s="25"/>
      <c r="AL188" s="5">
        <v>436</v>
      </c>
      <c r="AM188" s="8"/>
      <c r="AN188" s="8">
        <v>1</v>
      </c>
      <c r="AO188" s="8">
        <v>1</v>
      </c>
      <c r="AP188" s="8">
        <f t="shared" si="4"/>
        <v>10</v>
      </c>
      <c r="AQ188">
        <v>20</v>
      </c>
      <c r="AR188" s="76">
        <f t="shared" si="5"/>
        <v>0.5</v>
      </c>
    </row>
    <row r="189" spans="1:44">
      <c r="A189" s="8">
        <v>437</v>
      </c>
      <c r="B189" s="8" t="s">
        <v>68</v>
      </c>
      <c r="C189" s="8" t="s">
        <v>357</v>
      </c>
      <c r="D189" s="8"/>
      <c r="E189" s="8">
        <v>437</v>
      </c>
      <c r="F189" s="24"/>
      <c r="G189" s="5"/>
      <c r="H189" s="5">
        <v>1</v>
      </c>
      <c r="I189" s="5">
        <v>1</v>
      </c>
      <c r="J189" s="5">
        <v>1</v>
      </c>
      <c r="K189" s="5"/>
      <c r="L189" s="5"/>
      <c r="M189" s="25"/>
      <c r="N189" s="24"/>
      <c r="O189" s="5"/>
      <c r="P189" s="5">
        <v>1</v>
      </c>
      <c r="Q189" s="5">
        <v>1</v>
      </c>
      <c r="R189" s="5"/>
      <c r="S189" s="5">
        <v>1</v>
      </c>
      <c r="T189" s="5"/>
      <c r="U189" s="25"/>
      <c r="V189" s="24"/>
      <c r="W189" s="5"/>
      <c r="X189" s="5">
        <v>1</v>
      </c>
      <c r="Y189" s="5">
        <v>1</v>
      </c>
      <c r="Z189" s="5">
        <v>1</v>
      </c>
      <c r="AA189" s="5"/>
      <c r="AB189" s="5">
        <v>1</v>
      </c>
      <c r="AC189" s="25">
        <v>1</v>
      </c>
      <c r="AD189" s="24">
        <v>1</v>
      </c>
      <c r="AE189" s="5">
        <v>1</v>
      </c>
      <c r="AF189" s="5">
        <v>1</v>
      </c>
      <c r="AG189" s="5">
        <v>1</v>
      </c>
      <c r="AH189" s="5">
        <v>1</v>
      </c>
      <c r="AI189" s="5">
        <v>1</v>
      </c>
      <c r="AJ189" s="5"/>
      <c r="AK189" s="25"/>
      <c r="AL189" s="5">
        <v>437</v>
      </c>
      <c r="AM189" s="8"/>
      <c r="AN189" s="8">
        <v>1</v>
      </c>
      <c r="AO189" s="8">
        <v>1</v>
      </c>
      <c r="AP189" s="8">
        <f t="shared" si="4"/>
        <v>17</v>
      </c>
      <c r="AQ189">
        <v>24</v>
      </c>
      <c r="AR189" s="76">
        <f t="shared" si="5"/>
        <v>0.70833333333333337</v>
      </c>
    </row>
    <row r="190" spans="1:44">
      <c r="A190" s="8">
        <v>440</v>
      </c>
      <c r="B190" s="8" t="s">
        <v>5</v>
      </c>
      <c r="C190" s="8" t="s">
        <v>42</v>
      </c>
      <c r="D190" s="8" t="s">
        <v>42</v>
      </c>
      <c r="E190" s="8">
        <v>440</v>
      </c>
      <c r="F190" s="24"/>
      <c r="G190" s="5">
        <v>1</v>
      </c>
      <c r="H190" s="5"/>
      <c r="I190" s="5"/>
      <c r="J190" s="5">
        <v>1</v>
      </c>
      <c r="K190" s="5">
        <v>1</v>
      </c>
      <c r="L190" s="5">
        <v>1</v>
      </c>
      <c r="M190" s="25">
        <v>1</v>
      </c>
      <c r="N190" s="24"/>
      <c r="O190" s="5">
        <v>1</v>
      </c>
      <c r="P190" s="5">
        <v>1</v>
      </c>
      <c r="Q190" s="5">
        <v>1</v>
      </c>
      <c r="R190" s="5"/>
      <c r="S190" s="5"/>
      <c r="T190" s="5">
        <v>1</v>
      </c>
      <c r="U190" s="25"/>
      <c r="V190" s="24"/>
      <c r="W190" s="5">
        <v>1</v>
      </c>
      <c r="X190" s="5">
        <v>1</v>
      </c>
      <c r="Y190" s="5">
        <v>1</v>
      </c>
      <c r="Z190" s="5">
        <v>1</v>
      </c>
      <c r="AA190" s="5">
        <v>1</v>
      </c>
      <c r="AB190" s="5">
        <v>1</v>
      </c>
      <c r="AC190" s="25">
        <v>1</v>
      </c>
      <c r="AD190" s="24">
        <v>1</v>
      </c>
      <c r="AE190" s="5">
        <v>1</v>
      </c>
      <c r="AF190" s="5">
        <v>1</v>
      </c>
      <c r="AG190" s="5">
        <v>1</v>
      </c>
      <c r="AH190" s="5">
        <v>1</v>
      </c>
      <c r="AI190" s="5">
        <v>1</v>
      </c>
      <c r="AJ190" s="5"/>
      <c r="AK190" s="25"/>
      <c r="AL190" s="5">
        <v>440</v>
      </c>
      <c r="AM190" s="8"/>
      <c r="AN190" s="8">
        <v>1</v>
      </c>
      <c r="AO190" s="8">
        <v>1</v>
      </c>
      <c r="AP190" s="8">
        <f t="shared" si="4"/>
        <v>22</v>
      </c>
      <c r="AQ190">
        <v>26</v>
      </c>
      <c r="AR190" s="76">
        <f t="shared" si="5"/>
        <v>0.84615384615384615</v>
      </c>
    </row>
    <row r="191" spans="1:44">
      <c r="A191" s="8" t="s">
        <v>271</v>
      </c>
      <c r="B191" s="8" t="s">
        <v>55</v>
      </c>
      <c r="C191" s="8" t="s">
        <v>346</v>
      </c>
      <c r="D191" s="8"/>
      <c r="E191" s="8" t="s">
        <v>271</v>
      </c>
      <c r="F191" s="24"/>
      <c r="G191" s="5"/>
      <c r="H191" s="5"/>
      <c r="I191" s="5"/>
      <c r="J191" s="5"/>
      <c r="K191" s="5"/>
      <c r="L191" s="5"/>
      <c r="M191" s="25"/>
      <c r="N191" s="24"/>
      <c r="O191" s="5"/>
      <c r="P191" s="5"/>
      <c r="Q191" s="5"/>
      <c r="R191" s="5"/>
      <c r="S191" s="5"/>
      <c r="T191" s="5"/>
      <c r="U191" s="25"/>
      <c r="V191" s="24"/>
      <c r="W191" s="5"/>
      <c r="X191" s="5"/>
      <c r="Y191" s="5"/>
      <c r="Z191" s="5"/>
      <c r="AA191" s="5"/>
      <c r="AB191" s="5"/>
      <c r="AC191" s="25"/>
      <c r="AD191" s="24"/>
      <c r="AE191" s="5"/>
      <c r="AF191" s="5"/>
      <c r="AG191" s="5"/>
      <c r="AH191" s="5"/>
      <c r="AI191" s="5"/>
      <c r="AJ191" s="5"/>
      <c r="AK191" s="25"/>
      <c r="AL191" s="5" t="s">
        <v>271</v>
      </c>
      <c r="AM191" s="8">
        <v>1</v>
      </c>
      <c r="AN191" s="8"/>
      <c r="AO191" s="8"/>
      <c r="AP191" s="8">
        <f t="shared" si="4"/>
        <v>0</v>
      </c>
      <c r="AQ191">
        <v>20</v>
      </c>
      <c r="AR191" s="76">
        <f t="shared" si="5"/>
        <v>0</v>
      </c>
    </row>
    <row r="192" spans="1:44">
      <c r="A192" s="8">
        <v>444</v>
      </c>
      <c r="B192" s="8" t="s">
        <v>44</v>
      </c>
      <c r="C192" s="8" t="s">
        <v>349</v>
      </c>
      <c r="D192" s="8" t="s">
        <v>6</v>
      </c>
      <c r="E192" s="8">
        <v>444</v>
      </c>
      <c r="F192" s="24"/>
      <c r="G192" s="5">
        <v>1</v>
      </c>
      <c r="H192" s="5">
        <v>1</v>
      </c>
      <c r="I192" s="5">
        <v>1</v>
      </c>
      <c r="J192" s="5"/>
      <c r="K192" s="5"/>
      <c r="L192" s="5"/>
      <c r="M192" s="25"/>
      <c r="N192" s="24"/>
      <c r="O192" s="5"/>
      <c r="P192" s="5"/>
      <c r="Q192" s="5"/>
      <c r="R192" s="5"/>
      <c r="S192" s="5">
        <v>1</v>
      </c>
      <c r="T192" s="5">
        <v>1</v>
      </c>
      <c r="U192" s="25"/>
      <c r="V192" s="24"/>
      <c r="W192" s="5"/>
      <c r="X192" s="5"/>
      <c r="Y192" s="5"/>
      <c r="Z192" s="5"/>
      <c r="AA192" s="5"/>
      <c r="AB192" s="5">
        <v>1</v>
      </c>
      <c r="AC192" s="25"/>
      <c r="AD192" s="24">
        <v>1</v>
      </c>
      <c r="AE192" s="5">
        <v>1</v>
      </c>
      <c r="AF192" s="5">
        <v>1</v>
      </c>
      <c r="AG192" s="5">
        <v>1</v>
      </c>
      <c r="AH192" s="5"/>
      <c r="AI192" s="5"/>
      <c r="AJ192" s="5"/>
      <c r="AK192" s="25"/>
      <c r="AL192" s="5">
        <v>444</v>
      </c>
      <c r="AM192" s="8"/>
      <c r="AN192" s="8">
        <v>1</v>
      </c>
      <c r="AO192" s="8">
        <v>1</v>
      </c>
      <c r="AP192" s="8">
        <f t="shared" si="4"/>
        <v>10</v>
      </c>
      <c r="AQ192">
        <v>12</v>
      </c>
      <c r="AR192" s="76">
        <f t="shared" si="5"/>
        <v>0.83333333333333337</v>
      </c>
    </row>
    <row r="193" spans="1:44">
      <c r="A193" s="8">
        <v>445</v>
      </c>
      <c r="B193" s="8" t="s">
        <v>106</v>
      </c>
      <c r="C193" s="8" t="s">
        <v>349</v>
      </c>
      <c r="D193" s="8" t="s">
        <v>6</v>
      </c>
      <c r="E193" s="8">
        <v>445</v>
      </c>
      <c r="F193" s="24">
        <v>1</v>
      </c>
      <c r="G193" s="5">
        <v>1</v>
      </c>
      <c r="H193" s="5"/>
      <c r="I193" s="5"/>
      <c r="J193" s="5"/>
      <c r="K193" s="5"/>
      <c r="L193" s="5">
        <v>1</v>
      </c>
      <c r="M193" s="25">
        <v>1</v>
      </c>
      <c r="N193" s="24">
        <v>1</v>
      </c>
      <c r="O193" s="5">
        <v>1</v>
      </c>
      <c r="P193" s="5"/>
      <c r="Q193" s="5">
        <v>1</v>
      </c>
      <c r="R193" s="5">
        <v>1</v>
      </c>
      <c r="S193" s="5"/>
      <c r="T193" s="5">
        <v>1</v>
      </c>
      <c r="U193" s="25">
        <v>1</v>
      </c>
      <c r="V193" s="24">
        <v>1</v>
      </c>
      <c r="W193" s="5">
        <v>1</v>
      </c>
      <c r="X193" s="5"/>
      <c r="Y193" s="5">
        <v>1</v>
      </c>
      <c r="Z193" s="5">
        <v>1</v>
      </c>
      <c r="AA193" s="5">
        <v>1</v>
      </c>
      <c r="AB193" s="5">
        <v>1</v>
      </c>
      <c r="AC193" s="25">
        <v>1</v>
      </c>
      <c r="AD193" s="24"/>
      <c r="AE193" s="5"/>
      <c r="AF193" s="5">
        <v>1</v>
      </c>
      <c r="AG193" s="5">
        <v>1</v>
      </c>
      <c r="AH193" s="5">
        <v>1</v>
      </c>
      <c r="AI193" s="5">
        <v>1</v>
      </c>
      <c r="AJ193" s="5">
        <v>1</v>
      </c>
      <c r="AK193" s="25">
        <v>1</v>
      </c>
      <c r="AL193" s="5">
        <v>445</v>
      </c>
      <c r="AM193" s="8"/>
      <c r="AN193" s="8">
        <v>1</v>
      </c>
      <c r="AO193" s="8">
        <v>1</v>
      </c>
      <c r="AP193" s="8">
        <f t="shared" si="4"/>
        <v>23</v>
      </c>
      <c r="AQ193">
        <v>28</v>
      </c>
      <c r="AR193" s="76">
        <f t="shared" si="5"/>
        <v>0.8214285714285714</v>
      </c>
    </row>
    <row r="194" spans="1:44">
      <c r="A194" s="8">
        <v>449</v>
      </c>
      <c r="B194" s="8" t="s">
        <v>62</v>
      </c>
      <c r="C194" s="8" t="s">
        <v>42</v>
      </c>
      <c r="D194" s="8" t="s">
        <v>42</v>
      </c>
      <c r="E194" s="8">
        <v>449</v>
      </c>
      <c r="F194" s="24">
        <v>1</v>
      </c>
      <c r="G194" s="5">
        <v>1</v>
      </c>
      <c r="H194" s="5"/>
      <c r="I194" s="5">
        <v>1</v>
      </c>
      <c r="J194" s="5">
        <v>1</v>
      </c>
      <c r="K194" s="5">
        <v>1</v>
      </c>
      <c r="L194" s="5">
        <v>1</v>
      </c>
      <c r="M194" s="25">
        <v>1</v>
      </c>
      <c r="N194" s="24">
        <v>1</v>
      </c>
      <c r="O194" s="5"/>
      <c r="P194" s="5">
        <v>1</v>
      </c>
      <c r="Q194" s="5">
        <v>1</v>
      </c>
      <c r="R194" s="5">
        <v>1</v>
      </c>
      <c r="S194" s="5"/>
      <c r="T194" s="5">
        <v>1</v>
      </c>
      <c r="U194" s="25">
        <v>1</v>
      </c>
      <c r="V194" s="24">
        <v>1</v>
      </c>
      <c r="W194" s="5">
        <v>1</v>
      </c>
      <c r="X194" s="5">
        <v>1</v>
      </c>
      <c r="Y194" s="5">
        <v>1</v>
      </c>
      <c r="Z194" s="5">
        <v>1</v>
      </c>
      <c r="AA194" s="5">
        <v>1</v>
      </c>
      <c r="AB194" s="5">
        <v>1</v>
      </c>
      <c r="AC194" s="25">
        <v>1</v>
      </c>
      <c r="AD194" s="24">
        <v>1</v>
      </c>
      <c r="AE194" s="5">
        <v>1</v>
      </c>
      <c r="AF194" s="5">
        <v>1</v>
      </c>
      <c r="AG194" s="5">
        <v>1</v>
      </c>
      <c r="AH194" s="5">
        <v>1</v>
      </c>
      <c r="AI194" s="5">
        <v>1</v>
      </c>
      <c r="AJ194" s="5">
        <v>1</v>
      </c>
      <c r="AK194" s="25"/>
      <c r="AL194" s="5">
        <v>449</v>
      </c>
      <c r="AM194" s="8"/>
      <c r="AN194" s="8">
        <v>1</v>
      </c>
      <c r="AO194" s="8">
        <v>1</v>
      </c>
      <c r="AP194" s="8">
        <f t="shared" si="4"/>
        <v>28</v>
      </c>
      <c r="AQ194">
        <v>30</v>
      </c>
      <c r="AR194" s="76">
        <f t="shared" si="5"/>
        <v>0.93333333333333335</v>
      </c>
    </row>
    <row r="195" spans="1:44">
      <c r="A195" s="8">
        <v>450</v>
      </c>
      <c r="B195" s="8" t="s">
        <v>73</v>
      </c>
      <c r="C195" s="8" t="s">
        <v>165</v>
      </c>
      <c r="D195" s="8" t="s">
        <v>6</v>
      </c>
      <c r="E195" s="8">
        <v>450</v>
      </c>
      <c r="F195" s="24"/>
      <c r="G195" s="5">
        <v>1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25">
        <v>1</v>
      </c>
      <c r="N195" s="24">
        <v>1</v>
      </c>
      <c r="O195" s="5">
        <v>1</v>
      </c>
      <c r="P195" s="5">
        <v>1</v>
      </c>
      <c r="Q195" s="5">
        <v>1</v>
      </c>
      <c r="R195" s="5">
        <v>1</v>
      </c>
      <c r="S195" s="5">
        <v>1</v>
      </c>
      <c r="T195" s="5">
        <v>1</v>
      </c>
      <c r="U195" s="25">
        <v>1</v>
      </c>
      <c r="V195" s="24"/>
      <c r="W195" s="5"/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25">
        <v>1</v>
      </c>
      <c r="AD195" s="24">
        <v>1</v>
      </c>
      <c r="AE195" s="5">
        <v>1</v>
      </c>
      <c r="AF195" s="5">
        <v>1</v>
      </c>
      <c r="AG195" s="5">
        <v>1</v>
      </c>
      <c r="AH195" s="5">
        <v>1</v>
      </c>
      <c r="AI195" s="5">
        <v>1</v>
      </c>
      <c r="AJ195" s="5">
        <v>1</v>
      </c>
      <c r="AK195" s="25"/>
      <c r="AL195" s="5">
        <v>450</v>
      </c>
      <c r="AM195" s="8"/>
      <c r="AN195" s="8">
        <v>1</v>
      </c>
      <c r="AO195" s="8">
        <v>1</v>
      </c>
      <c r="AP195" s="8">
        <f t="shared" si="4"/>
        <v>28</v>
      </c>
      <c r="AQ195">
        <v>28</v>
      </c>
      <c r="AR195" s="76">
        <f t="shared" si="5"/>
        <v>1</v>
      </c>
    </row>
    <row r="196" spans="1:44">
      <c r="A196" s="8">
        <v>452</v>
      </c>
      <c r="B196" s="8" t="s">
        <v>63</v>
      </c>
      <c r="C196" s="8" t="s">
        <v>346</v>
      </c>
      <c r="D196" s="8"/>
      <c r="E196" s="8">
        <v>452</v>
      </c>
      <c r="F196" s="24"/>
      <c r="G196" s="5"/>
      <c r="H196" s="5"/>
      <c r="I196" s="5"/>
      <c r="J196" s="5"/>
      <c r="K196" s="5"/>
      <c r="L196" s="5"/>
      <c r="M196" s="25"/>
      <c r="N196" s="24"/>
      <c r="O196" s="5"/>
      <c r="P196" s="5"/>
      <c r="Q196" s="5"/>
      <c r="R196" s="5"/>
      <c r="S196" s="5"/>
      <c r="T196" s="5"/>
      <c r="U196" s="25"/>
      <c r="V196" s="24"/>
      <c r="W196" s="5"/>
      <c r="X196" s="5"/>
      <c r="Y196" s="5"/>
      <c r="Z196" s="5"/>
      <c r="AA196" s="5"/>
      <c r="AB196" s="5"/>
      <c r="AC196" s="25"/>
      <c r="AD196" s="24"/>
      <c r="AE196" s="5"/>
      <c r="AF196" s="5"/>
      <c r="AG196" s="5"/>
      <c r="AH196" s="5"/>
      <c r="AI196" s="5"/>
      <c r="AJ196" s="5"/>
      <c r="AK196" s="25"/>
      <c r="AL196" s="5">
        <v>452</v>
      </c>
      <c r="AM196" s="8">
        <v>1</v>
      </c>
      <c r="AN196" s="8"/>
      <c r="AO196" s="8"/>
      <c r="AP196" s="8">
        <f t="shared" ref="AP196:AP254" si="6">SUM(F196:AK196)</f>
        <v>0</v>
      </c>
      <c r="AQ196">
        <v>10</v>
      </c>
      <c r="AR196" s="76">
        <f t="shared" si="5"/>
        <v>0</v>
      </c>
    </row>
    <row r="197" spans="1:44">
      <c r="A197" s="8">
        <v>454</v>
      </c>
      <c r="B197" s="8" t="s">
        <v>88</v>
      </c>
      <c r="C197" s="8" t="s">
        <v>12</v>
      </c>
      <c r="D197" s="8" t="s">
        <v>42</v>
      </c>
      <c r="E197" s="8">
        <v>454</v>
      </c>
      <c r="F197" s="24"/>
      <c r="G197" s="5">
        <v>1</v>
      </c>
      <c r="H197" s="5">
        <v>1</v>
      </c>
      <c r="I197" s="5"/>
      <c r="J197" s="5"/>
      <c r="K197" s="5">
        <v>1</v>
      </c>
      <c r="L197" s="5"/>
      <c r="M197" s="25"/>
      <c r="N197" s="24"/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  <c r="U197" s="25">
        <v>1</v>
      </c>
      <c r="V197" s="24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1</v>
      </c>
      <c r="AC197" s="25">
        <v>1</v>
      </c>
      <c r="AD197" s="24">
        <v>1</v>
      </c>
      <c r="AE197" s="5">
        <v>1</v>
      </c>
      <c r="AF197" s="5">
        <v>1</v>
      </c>
      <c r="AG197" s="5">
        <v>1</v>
      </c>
      <c r="AH197" s="5">
        <v>1</v>
      </c>
      <c r="AI197" s="5">
        <v>1</v>
      </c>
      <c r="AJ197" s="5">
        <v>1</v>
      </c>
      <c r="AK197" s="25">
        <v>1</v>
      </c>
      <c r="AL197" s="5">
        <v>454</v>
      </c>
      <c r="AM197" s="8"/>
      <c r="AN197" s="8">
        <v>1</v>
      </c>
      <c r="AO197" s="8">
        <v>1</v>
      </c>
      <c r="AP197" s="8">
        <f t="shared" si="6"/>
        <v>26</v>
      </c>
      <c r="AQ197">
        <v>32</v>
      </c>
      <c r="AR197" s="76">
        <f t="shared" ref="AR197:AR255" si="7">AP197/AQ197</f>
        <v>0.8125</v>
      </c>
    </row>
    <row r="198" spans="1:44">
      <c r="A198" s="8">
        <v>459</v>
      </c>
      <c r="B198" s="8" t="s">
        <v>201</v>
      </c>
      <c r="C198" s="8" t="s">
        <v>357</v>
      </c>
      <c r="D198" s="8" t="s">
        <v>42</v>
      </c>
      <c r="E198" s="8">
        <v>459</v>
      </c>
      <c r="F198" s="24"/>
      <c r="G198" s="5">
        <v>1</v>
      </c>
      <c r="H198" s="5">
        <v>1</v>
      </c>
      <c r="I198" s="5">
        <v>1</v>
      </c>
      <c r="J198" s="5">
        <v>1</v>
      </c>
      <c r="K198" s="5">
        <v>1</v>
      </c>
      <c r="L198" s="5">
        <v>1</v>
      </c>
      <c r="M198" s="25">
        <v>1</v>
      </c>
      <c r="N198" s="24">
        <v>1</v>
      </c>
      <c r="O198" s="5">
        <v>1</v>
      </c>
      <c r="P198" s="5">
        <v>1</v>
      </c>
      <c r="Q198" s="5">
        <v>1</v>
      </c>
      <c r="R198" s="5">
        <v>1</v>
      </c>
      <c r="S198" s="5">
        <v>1</v>
      </c>
      <c r="T198" s="5">
        <v>1</v>
      </c>
      <c r="U198" s="25"/>
      <c r="V198" s="24"/>
      <c r="W198" s="5">
        <v>1</v>
      </c>
      <c r="X198" s="5">
        <v>1</v>
      </c>
      <c r="Y198" s="5">
        <v>1</v>
      </c>
      <c r="Z198" s="5">
        <v>1</v>
      </c>
      <c r="AA198" s="5">
        <v>1</v>
      </c>
      <c r="AB198" s="5">
        <v>1</v>
      </c>
      <c r="AC198" s="25">
        <v>1</v>
      </c>
      <c r="AD198" s="24">
        <v>1</v>
      </c>
      <c r="AE198" s="5">
        <v>1</v>
      </c>
      <c r="AF198" s="5">
        <v>1</v>
      </c>
      <c r="AG198" s="5">
        <v>1</v>
      </c>
      <c r="AH198" s="5">
        <v>1</v>
      </c>
      <c r="AI198" s="5">
        <v>1</v>
      </c>
      <c r="AJ198" s="5">
        <v>1</v>
      </c>
      <c r="AK198" s="25"/>
      <c r="AL198" s="5">
        <v>459</v>
      </c>
      <c r="AM198" s="8"/>
      <c r="AN198" s="8">
        <v>1</v>
      </c>
      <c r="AO198" s="8">
        <v>1</v>
      </c>
      <c r="AP198" s="8">
        <f t="shared" si="6"/>
        <v>28</v>
      </c>
      <c r="AQ198">
        <v>28</v>
      </c>
      <c r="AR198" s="76">
        <f t="shared" si="7"/>
        <v>1</v>
      </c>
    </row>
    <row r="199" spans="1:44">
      <c r="A199" s="8">
        <v>464</v>
      </c>
      <c r="B199" s="8" t="s">
        <v>99</v>
      </c>
      <c r="C199" s="8" t="s">
        <v>346</v>
      </c>
      <c r="D199" s="8"/>
      <c r="E199" s="8">
        <v>464</v>
      </c>
      <c r="F199" s="24"/>
      <c r="G199" s="5"/>
      <c r="H199" s="5"/>
      <c r="I199" s="5"/>
      <c r="J199" s="5"/>
      <c r="K199" s="5"/>
      <c r="L199" s="5"/>
      <c r="M199" s="25"/>
      <c r="N199" s="24"/>
      <c r="O199" s="5"/>
      <c r="P199" s="5"/>
      <c r="Q199" s="5"/>
      <c r="R199" s="5"/>
      <c r="S199" s="5"/>
      <c r="T199" s="5"/>
      <c r="U199" s="25"/>
      <c r="V199" s="24"/>
      <c r="W199" s="5"/>
      <c r="X199" s="5"/>
      <c r="Y199" s="5"/>
      <c r="Z199" s="5"/>
      <c r="AA199" s="5"/>
      <c r="AB199" s="5"/>
      <c r="AC199" s="25"/>
      <c r="AD199" s="24">
        <v>1</v>
      </c>
      <c r="AE199" s="5"/>
      <c r="AF199" s="5"/>
      <c r="AG199" s="5"/>
      <c r="AH199" s="5"/>
      <c r="AI199" s="5"/>
      <c r="AJ199" s="5"/>
      <c r="AK199" s="25"/>
      <c r="AL199" s="5">
        <v>464</v>
      </c>
      <c r="AM199" s="8"/>
      <c r="AN199" s="8">
        <v>1</v>
      </c>
      <c r="AO199" s="8">
        <v>1</v>
      </c>
      <c r="AP199" s="8">
        <f t="shared" si="6"/>
        <v>1</v>
      </c>
      <c r="AQ199">
        <v>24</v>
      </c>
      <c r="AR199" s="76">
        <f t="shared" si="7"/>
        <v>4.1666666666666664E-2</v>
      </c>
    </row>
    <row r="200" spans="1:44">
      <c r="A200" s="8">
        <v>466</v>
      </c>
      <c r="B200" s="8" t="s">
        <v>41</v>
      </c>
      <c r="C200" s="8" t="s">
        <v>42</v>
      </c>
      <c r="D200" s="8" t="s">
        <v>6</v>
      </c>
      <c r="E200" s="8">
        <v>466</v>
      </c>
      <c r="F200" s="24">
        <v>1</v>
      </c>
      <c r="G200" s="5">
        <v>1</v>
      </c>
      <c r="H200" s="5">
        <v>1</v>
      </c>
      <c r="I200" s="5">
        <v>1</v>
      </c>
      <c r="J200" s="5">
        <v>1</v>
      </c>
      <c r="K200" s="5">
        <v>1</v>
      </c>
      <c r="L200" s="5">
        <v>1</v>
      </c>
      <c r="M200" s="25">
        <v>1</v>
      </c>
      <c r="N200" s="24">
        <v>1</v>
      </c>
      <c r="O200" s="5">
        <v>1</v>
      </c>
      <c r="P200" s="5">
        <v>1</v>
      </c>
      <c r="Q200" s="5">
        <v>1</v>
      </c>
      <c r="R200" s="5">
        <v>1</v>
      </c>
      <c r="S200" s="5"/>
      <c r="T200" s="5">
        <v>1</v>
      </c>
      <c r="U200" s="25"/>
      <c r="V200" s="24">
        <v>1</v>
      </c>
      <c r="W200" s="5">
        <v>1</v>
      </c>
      <c r="X200" s="5">
        <v>1</v>
      </c>
      <c r="Y200" s="5">
        <v>1</v>
      </c>
      <c r="Z200" s="5">
        <v>1</v>
      </c>
      <c r="AA200" s="5">
        <v>1</v>
      </c>
      <c r="AB200" s="5">
        <v>1</v>
      </c>
      <c r="AC200" s="25">
        <v>1</v>
      </c>
      <c r="AD200" s="24"/>
      <c r="AE200" s="5">
        <v>1</v>
      </c>
      <c r="AF200" s="5">
        <v>1</v>
      </c>
      <c r="AG200" s="5">
        <v>1</v>
      </c>
      <c r="AH200" s="5">
        <v>1</v>
      </c>
      <c r="AI200" s="5">
        <v>1</v>
      </c>
      <c r="AJ200" s="5"/>
      <c r="AK200" s="25">
        <v>1</v>
      </c>
      <c r="AL200" s="5">
        <v>466</v>
      </c>
      <c r="AM200" s="8"/>
      <c r="AN200" s="8">
        <v>1</v>
      </c>
      <c r="AO200" s="8">
        <v>1</v>
      </c>
      <c r="AP200" s="8">
        <f t="shared" si="6"/>
        <v>28</v>
      </c>
      <c r="AQ200">
        <v>29</v>
      </c>
      <c r="AR200" s="76">
        <f t="shared" si="7"/>
        <v>0.96551724137931039</v>
      </c>
    </row>
    <row r="201" spans="1:44">
      <c r="A201" s="8">
        <v>467</v>
      </c>
      <c r="B201" s="8" t="s">
        <v>41</v>
      </c>
      <c r="C201" s="8" t="s">
        <v>42</v>
      </c>
      <c r="D201" s="8" t="s">
        <v>6</v>
      </c>
      <c r="E201" s="8">
        <v>467</v>
      </c>
      <c r="F201" s="24">
        <v>1</v>
      </c>
      <c r="G201" s="5">
        <v>1</v>
      </c>
      <c r="H201" s="5">
        <v>1</v>
      </c>
      <c r="I201" s="5"/>
      <c r="J201" s="5"/>
      <c r="K201" s="5">
        <v>1</v>
      </c>
      <c r="L201" s="5">
        <v>1</v>
      </c>
      <c r="M201" s="25"/>
      <c r="N201" s="24"/>
      <c r="O201" s="5"/>
      <c r="P201" s="5">
        <v>1</v>
      </c>
      <c r="Q201" s="5"/>
      <c r="R201" s="5">
        <v>1</v>
      </c>
      <c r="S201" s="5">
        <v>1</v>
      </c>
      <c r="T201" s="5">
        <v>1</v>
      </c>
      <c r="U201" s="25"/>
      <c r="V201" s="24"/>
      <c r="W201" s="5"/>
      <c r="X201" s="5"/>
      <c r="Y201" s="5">
        <v>1</v>
      </c>
      <c r="Z201" s="5">
        <v>1</v>
      </c>
      <c r="AA201" s="5">
        <v>1</v>
      </c>
      <c r="AB201" s="5">
        <v>1</v>
      </c>
      <c r="AC201" s="25">
        <v>1</v>
      </c>
      <c r="AD201" s="24">
        <v>1</v>
      </c>
      <c r="AE201" s="5">
        <v>1</v>
      </c>
      <c r="AF201" s="5">
        <v>1</v>
      </c>
      <c r="AG201" s="5">
        <v>1</v>
      </c>
      <c r="AH201" s="5">
        <v>1</v>
      </c>
      <c r="AI201" s="5">
        <v>1</v>
      </c>
      <c r="AJ201" s="5">
        <v>1</v>
      </c>
      <c r="AK201" s="25">
        <v>1</v>
      </c>
      <c r="AL201" s="5">
        <v>467</v>
      </c>
      <c r="AM201" s="8"/>
      <c r="AN201" s="8">
        <v>1</v>
      </c>
      <c r="AO201" s="8">
        <v>1</v>
      </c>
      <c r="AP201" s="8">
        <f t="shared" si="6"/>
        <v>22</v>
      </c>
      <c r="AQ201">
        <v>32</v>
      </c>
      <c r="AR201" s="76">
        <f t="shared" si="7"/>
        <v>0.6875</v>
      </c>
    </row>
    <row r="202" spans="1:44">
      <c r="A202" s="8">
        <v>468</v>
      </c>
      <c r="B202" s="8" t="s">
        <v>282</v>
      </c>
      <c r="C202" s="8" t="s">
        <v>358</v>
      </c>
      <c r="D202" s="8" t="s">
        <v>6</v>
      </c>
      <c r="E202" s="8">
        <v>468</v>
      </c>
      <c r="F202" s="24"/>
      <c r="G202" s="5"/>
      <c r="H202" s="5"/>
      <c r="I202" s="5"/>
      <c r="J202" s="5"/>
      <c r="K202" s="5"/>
      <c r="L202" s="5"/>
      <c r="M202" s="25"/>
      <c r="N202" s="24"/>
      <c r="O202" s="5"/>
      <c r="P202" s="5"/>
      <c r="Q202" s="5"/>
      <c r="R202" s="5"/>
      <c r="S202" s="5"/>
      <c r="T202" s="5"/>
      <c r="U202" s="25"/>
      <c r="V202" s="24"/>
      <c r="W202" s="5">
        <v>1</v>
      </c>
      <c r="X202" s="5">
        <v>1</v>
      </c>
      <c r="Y202" s="5">
        <v>1</v>
      </c>
      <c r="Z202" s="5">
        <v>1</v>
      </c>
      <c r="AA202" s="5">
        <v>1</v>
      </c>
      <c r="AB202" s="5">
        <v>1</v>
      </c>
      <c r="AC202" s="25">
        <v>1</v>
      </c>
      <c r="AD202" s="24">
        <v>1</v>
      </c>
      <c r="AE202" s="5">
        <v>1</v>
      </c>
      <c r="AF202" s="5">
        <v>1</v>
      </c>
      <c r="AG202" s="5">
        <v>1</v>
      </c>
      <c r="AH202" s="5">
        <v>1</v>
      </c>
      <c r="AI202" s="5">
        <v>1</v>
      </c>
      <c r="AJ202" s="5">
        <v>1</v>
      </c>
      <c r="AK202" s="25"/>
      <c r="AL202" s="5">
        <v>468</v>
      </c>
      <c r="AM202" s="8"/>
      <c r="AN202" s="8">
        <v>1</v>
      </c>
      <c r="AO202" s="8">
        <v>1</v>
      </c>
      <c r="AP202" s="8">
        <f t="shared" si="6"/>
        <v>14</v>
      </c>
      <c r="AQ202">
        <v>28</v>
      </c>
      <c r="AR202" s="76">
        <f t="shared" si="7"/>
        <v>0.5</v>
      </c>
    </row>
    <row r="203" spans="1:44">
      <c r="A203" s="8">
        <v>469</v>
      </c>
      <c r="B203" s="8" t="s">
        <v>44</v>
      </c>
      <c r="C203" s="8" t="s">
        <v>349</v>
      </c>
      <c r="D203" s="8" t="s">
        <v>42</v>
      </c>
      <c r="E203" s="8">
        <v>469</v>
      </c>
      <c r="F203" s="24"/>
      <c r="G203" s="5">
        <v>1</v>
      </c>
      <c r="H203" s="5"/>
      <c r="I203" s="5"/>
      <c r="J203" s="5">
        <v>1</v>
      </c>
      <c r="K203" s="5"/>
      <c r="L203" s="5"/>
      <c r="M203" s="25"/>
      <c r="N203" s="24"/>
      <c r="O203" s="5"/>
      <c r="P203" s="5"/>
      <c r="Q203" s="5"/>
      <c r="R203" s="5"/>
      <c r="S203" s="5"/>
      <c r="T203" s="5">
        <v>1</v>
      </c>
      <c r="U203" s="25"/>
      <c r="V203" s="24"/>
      <c r="W203" s="5"/>
      <c r="X203" s="5"/>
      <c r="Y203" s="5">
        <v>1</v>
      </c>
      <c r="Z203" s="5"/>
      <c r="AA203" s="5"/>
      <c r="AB203" s="5">
        <v>1</v>
      </c>
      <c r="AC203" s="25">
        <v>1</v>
      </c>
      <c r="AD203" s="24">
        <v>1</v>
      </c>
      <c r="AE203" s="5">
        <v>1</v>
      </c>
      <c r="AF203" s="5">
        <v>1</v>
      </c>
      <c r="AG203" s="5">
        <v>1</v>
      </c>
      <c r="AH203" s="5">
        <v>1</v>
      </c>
      <c r="AI203" s="5"/>
      <c r="AJ203" s="5"/>
      <c r="AK203" s="25"/>
      <c r="AL203" s="5">
        <v>469</v>
      </c>
      <c r="AM203" s="8"/>
      <c r="AN203" s="8">
        <v>1</v>
      </c>
      <c r="AO203" s="8">
        <v>1</v>
      </c>
      <c r="AP203" s="8">
        <f t="shared" si="6"/>
        <v>11</v>
      </c>
      <c r="AQ203">
        <v>19</v>
      </c>
      <c r="AR203" s="76">
        <f t="shared" si="7"/>
        <v>0.57894736842105265</v>
      </c>
    </row>
    <row r="204" spans="1:44">
      <c r="A204" s="8">
        <v>471</v>
      </c>
      <c r="B204" s="8" t="s">
        <v>71</v>
      </c>
      <c r="C204" s="8" t="s">
        <v>366</v>
      </c>
      <c r="D204" s="8" t="s">
        <v>6</v>
      </c>
      <c r="E204" s="8">
        <v>471</v>
      </c>
      <c r="F204" s="24">
        <v>1</v>
      </c>
      <c r="G204" s="5">
        <v>1</v>
      </c>
      <c r="H204" s="5">
        <v>1</v>
      </c>
      <c r="I204" s="5">
        <v>1</v>
      </c>
      <c r="J204" s="5">
        <v>1</v>
      </c>
      <c r="K204" s="5">
        <v>1</v>
      </c>
      <c r="L204" s="5">
        <v>1</v>
      </c>
      <c r="M204" s="25">
        <v>1</v>
      </c>
      <c r="N204" s="24">
        <v>1</v>
      </c>
      <c r="O204" s="5">
        <v>1</v>
      </c>
      <c r="P204" s="5">
        <v>1</v>
      </c>
      <c r="Q204" s="5">
        <v>1</v>
      </c>
      <c r="R204" s="5">
        <v>1</v>
      </c>
      <c r="S204" s="5">
        <v>1</v>
      </c>
      <c r="T204" s="5">
        <v>1</v>
      </c>
      <c r="U204" s="25">
        <v>1</v>
      </c>
      <c r="V204" s="24">
        <v>1</v>
      </c>
      <c r="W204" s="5">
        <v>1</v>
      </c>
      <c r="X204" s="5">
        <v>1</v>
      </c>
      <c r="Y204" s="5">
        <v>1</v>
      </c>
      <c r="Z204" s="5">
        <v>1</v>
      </c>
      <c r="AA204" s="5">
        <v>1</v>
      </c>
      <c r="AB204" s="5">
        <v>1</v>
      </c>
      <c r="AC204" s="25">
        <v>1</v>
      </c>
      <c r="AD204" s="24">
        <v>1</v>
      </c>
      <c r="AE204" s="5">
        <v>1</v>
      </c>
      <c r="AF204" s="5">
        <v>1</v>
      </c>
      <c r="AG204" s="5">
        <v>1</v>
      </c>
      <c r="AH204" s="5">
        <v>1</v>
      </c>
      <c r="AI204" s="5">
        <v>1</v>
      </c>
      <c r="AJ204" s="5">
        <v>1</v>
      </c>
      <c r="AK204" s="25">
        <v>1</v>
      </c>
      <c r="AL204" s="5">
        <v>471</v>
      </c>
      <c r="AM204" s="8"/>
      <c r="AN204" s="8">
        <v>1</v>
      </c>
      <c r="AO204" s="8">
        <v>1</v>
      </c>
      <c r="AP204" s="8">
        <f t="shared" si="6"/>
        <v>32</v>
      </c>
      <c r="AQ204">
        <v>32</v>
      </c>
      <c r="AR204" s="76">
        <f t="shared" si="7"/>
        <v>1</v>
      </c>
    </row>
    <row r="205" spans="1:44">
      <c r="A205" s="8">
        <v>474</v>
      </c>
      <c r="B205" s="8" t="s">
        <v>106</v>
      </c>
      <c r="C205" s="8" t="s">
        <v>349</v>
      </c>
      <c r="D205" s="8" t="s">
        <v>6</v>
      </c>
      <c r="E205" s="8">
        <v>474</v>
      </c>
      <c r="F205" s="24"/>
      <c r="G205" s="5"/>
      <c r="H205" s="5"/>
      <c r="I205" s="5"/>
      <c r="J205" s="5"/>
      <c r="K205" s="5"/>
      <c r="L205" s="5"/>
      <c r="M205" s="25"/>
      <c r="N205" s="24"/>
      <c r="O205" s="5"/>
      <c r="P205" s="5"/>
      <c r="Q205" s="5"/>
      <c r="R205" s="5"/>
      <c r="S205" s="5"/>
      <c r="T205" s="5"/>
      <c r="U205" s="25"/>
      <c r="V205" s="24"/>
      <c r="W205" s="5"/>
      <c r="X205" s="5">
        <v>1</v>
      </c>
      <c r="Y205" s="5">
        <v>1</v>
      </c>
      <c r="Z205" s="5">
        <v>1</v>
      </c>
      <c r="AA205" s="5">
        <v>1</v>
      </c>
      <c r="AB205" s="5">
        <v>1</v>
      </c>
      <c r="AC205" s="25"/>
      <c r="AD205" s="24"/>
      <c r="AE205" s="5"/>
      <c r="AF205" s="5">
        <v>1</v>
      </c>
      <c r="AG205" s="5">
        <v>1</v>
      </c>
      <c r="AH205" s="5"/>
      <c r="AI205" s="5"/>
      <c r="AJ205" s="5"/>
      <c r="AK205" s="25"/>
      <c r="AL205" s="5">
        <v>474</v>
      </c>
      <c r="AM205" s="8"/>
      <c r="AN205" s="8">
        <v>1</v>
      </c>
      <c r="AO205" s="8">
        <v>2</v>
      </c>
      <c r="AP205" s="8">
        <f t="shared" si="6"/>
        <v>7</v>
      </c>
      <c r="AQ205">
        <v>7</v>
      </c>
      <c r="AR205" s="76">
        <f t="shared" si="7"/>
        <v>1</v>
      </c>
    </row>
    <row r="206" spans="1:44">
      <c r="A206" s="8">
        <v>476</v>
      </c>
      <c r="B206" s="8" t="s">
        <v>44</v>
      </c>
      <c r="C206" s="8" t="s">
        <v>349</v>
      </c>
      <c r="D206" s="8" t="s">
        <v>42</v>
      </c>
      <c r="E206" s="8">
        <v>476</v>
      </c>
      <c r="F206" s="24">
        <v>1</v>
      </c>
      <c r="G206" s="5">
        <v>1</v>
      </c>
      <c r="H206" s="5">
        <v>1</v>
      </c>
      <c r="I206" s="5"/>
      <c r="J206" s="5"/>
      <c r="K206" s="5"/>
      <c r="L206" s="5"/>
      <c r="M206" s="25">
        <v>1</v>
      </c>
      <c r="N206" s="24"/>
      <c r="O206" s="5"/>
      <c r="P206" s="5"/>
      <c r="Q206" s="5"/>
      <c r="R206" s="5"/>
      <c r="S206" s="5"/>
      <c r="T206" s="5"/>
      <c r="U206" s="25"/>
      <c r="V206" s="24">
        <v>1</v>
      </c>
      <c r="W206" s="5">
        <v>1</v>
      </c>
      <c r="X206" s="5">
        <v>1</v>
      </c>
      <c r="Y206" s="5">
        <v>1</v>
      </c>
      <c r="Z206" s="5">
        <v>1</v>
      </c>
      <c r="AA206" s="5">
        <v>1</v>
      </c>
      <c r="AB206" s="5">
        <v>1</v>
      </c>
      <c r="AC206" s="25">
        <v>1</v>
      </c>
      <c r="AD206" s="24"/>
      <c r="AE206" s="5">
        <v>1</v>
      </c>
      <c r="AF206" s="5">
        <v>1</v>
      </c>
      <c r="AG206" s="5">
        <v>1</v>
      </c>
      <c r="AH206" s="5">
        <v>1</v>
      </c>
      <c r="AI206" s="5"/>
      <c r="AJ206" s="5"/>
      <c r="AK206" s="25"/>
      <c r="AL206" s="5">
        <v>476</v>
      </c>
      <c r="AM206" s="8"/>
      <c r="AN206" s="8">
        <v>1</v>
      </c>
      <c r="AO206" s="8">
        <v>2</v>
      </c>
      <c r="AP206" s="8">
        <f t="shared" si="6"/>
        <v>16</v>
      </c>
      <c r="AQ206">
        <v>23</v>
      </c>
      <c r="AR206" s="76">
        <f t="shared" si="7"/>
        <v>0.69565217391304346</v>
      </c>
    </row>
    <row r="207" spans="1:44">
      <c r="A207" s="8">
        <v>478</v>
      </c>
      <c r="B207" s="8" t="s">
        <v>62</v>
      </c>
      <c r="C207" s="8" t="s">
        <v>42</v>
      </c>
      <c r="D207" s="8" t="s">
        <v>42</v>
      </c>
      <c r="E207" s="8">
        <v>478</v>
      </c>
      <c r="F207" s="24"/>
      <c r="G207" s="5"/>
      <c r="H207" s="5">
        <v>1</v>
      </c>
      <c r="I207" s="5">
        <v>1</v>
      </c>
      <c r="J207" s="5"/>
      <c r="K207" s="5">
        <v>1</v>
      </c>
      <c r="L207" s="5">
        <v>1</v>
      </c>
      <c r="M207" s="25">
        <v>1</v>
      </c>
      <c r="N207" s="24">
        <v>1</v>
      </c>
      <c r="O207" s="5">
        <v>1</v>
      </c>
      <c r="P207" s="5">
        <v>1</v>
      </c>
      <c r="Q207" s="5">
        <v>1</v>
      </c>
      <c r="R207" s="5">
        <v>1</v>
      </c>
      <c r="S207" s="5"/>
      <c r="T207" s="5"/>
      <c r="U207" s="25">
        <v>1</v>
      </c>
      <c r="V207" s="24"/>
      <c r="W207" s="5"/>
      <c r="X207" s="5"/>
      <c r="Y207" s="5">
        <v>1</v>
      </c>
      <c r="Z207" s="5"/>
      <c r="AA207" s="5">
        <v>1</v>
      </c>
      <c r="AB207" s="5">
        <v>1</v>
      </c>
      <c r="AC207" s="25">
        <v>1</v>
      </c>
      <c r="AD207" s="24"/>
      <c r="AE207" s="5">
        <v>1</v>
      </c>
      <c r="AF207" s="5">
        <v>1</v>
      </c>
      <c r="AG207" s="5">
        <v>1</v>
      </c>
      <c r="AH207" s="5">
        <v>1</v>
      </c>
      <c r="AI207" s="5">
        <v>1</v>
      </c>
      <c r="AJ207" s="5">
        <v>1</v>
      </c>
      <c r="AK207" s="25">
        <v>1</v>
      </c>
      <c r="AL207" s="5">
        <v>478</v>
      </c>
      <c r="AM207" s="8"/>
      <c r="AN207" s="8">
        <v>1</v>
      </c>
      <c r="AO207" s="8">
        <v>2</v>
      </c>
      <c r="AP207" s="8">
        <f t="shared" si="6"/>
        <v>22</v>
      </c>
      <c r="AQ207">
        <v>26</v>
      </c>
      <c r="AR207" s="76">
        <f t="shared" si="7"/>
        <v>0.84615384615384615</v>
      </c>
    </row>
    <row r="208" spans="1:44">
      <c r="A208" s="8">
        <v>480</v>
      </c>
      <c r="B208" s="8" t="s">
        <v>55</v>
      </c>
      <c r="C208" s="8" t="s">
        <v>346</v>
      </c>
      <c r="D208" s="8"/>
      <c r="E208" s="8">
        <v>480</v>
      </c>
      <c r="F208" s="24"/>
      <c r="G208" s="5"/>
      <c r="H208" s="5"/>
      <c r="I208" s="5"/>
      <c r="J208" s="5"/>
      <c r="K208" s="5"/>
      <c r="L208" s="5"/>
      <c r="M208" s="25"/>
      <c r="N208" s="24"/>
      <c r="O208" s="5"/>
      <c r="P208" s="5"/>
      <c r="Q208" s="5"/>
      <c r="R208" s="5"/>
      <c r="S208" s="5"/>
      <c r="T208" s="5"/>
      <c r="U208" s="25"/>
      <c r="V208" s="24"/>
      <c r="W208" s="5"/>
      <c r="X208" s="5"/>
      <c r="Y208" s="5"/>
      <c r="Z208" s="5"/>
      <c r="AA208" s="5"/>
      <c r="AB208" s="5"/>
      <c r="AC208" s="25"/>
      <c r="AD208" s="24"/>
      <c r="AE208" s="5"/>
      <c r="AF208" s="5"/>
      <c r="AG208" s="5"/>
      <c r="AH208" s="5"/>
      <c r="AI208" s="5"/>
      <c r="AJ208" s="5"/>
      <c r="AK208" s="25"/>
      <c r="AL208" s="5">
        <v>480</v>
      </c>
      <c r="AM208" s="8">
        <v>1</v>
      </c>
      <c r="AN208" s="8"/>
      <c r="AO208" s="8"/>
      <c r="AP208" s="8">
        <f t="shared" si="6"/>
        <v>0</v>
      </c>
      <c r="AQ208">
        <v>19</v>
      </c>
      <c r="AR208" s="76">
        <f t="shared" si="7"/>
        <v>0</v>
      </c>
    </row>
    <row r="209" spans="1:44">
      <c r="A209" s="8" t="s">
        <v>287</v>
      </c>
      <c r="B209" s="8" t="s">
        <v>41</v>
      </c>
      <c r="C209" s="8" t="s">
        <v>42</v>
      </c>
      <c r="D209" s="8" t="s">
        <v>6</v>
      </c>
      <c r="E209" s="8" t="s">
        <v>287</v>
      </c>
      <c r="F209" s="24">
        <v>1</v>
      </c>
      <c r="G209" s="5">
        <v>1</v>
      </c>
      <c r="H209" s="5">
        <v>1</v>
      </c>
      <c r="I209" s="5"/>
      <c r="J209" s="5"/>
      <c r="K209" s="5">
        <v>1</v>
      </c>
      <c r="L209" s="5">
        <v>1</v>
      </c>
      <c r="M209" s="25">
        <v>1</v>
      </c>
      <c r="N209" s="24"/>
      <c r="O209" s="5">
        <v>1</v>
      </c>
      <c r="P209" s="5"/>
      <c r="Q209" s="5">
        <v>1</v>
      </c>
      <c r="R209" s="5"/>
      <c r="S209" s="5"/>
      <c r="T209" s="5">
        <v>1</v>
      </c>
      <c r="U209" s="25">
        <v>1</v>
      </c>
      <c r="V209" s="24"/>
      <c r="W209" s="5">
        <v>1</v>
      </c>
      <c r="X209" s="5">
        <v>1</v>
      </c>
      <c r="Y209" s="5">
        <v>1</v>
      </c>
      <c r="Z209" s="5">
        <v>1</v>
      </c>
      <c r="AA209" s="5">
        <v>1</v>
      </c>
      <c r="AB209" s="5">
        <v>1</v>
      </c>
      <c r="AC209" s="25">
        <v>1</v>
      </c>
      <c r="AD209" s="24">
        <v>1</v>
      </c>
      <c r="AE209" s="5">
        <v>1</v>
      </c>
      <c r="AF209" s="5">
        <v>1</v>
      </c>
      <c r="AG209" s="5">
        <v>1</v>
      </c>
      <c r="AH209" s="5">
        <v>1</v>
      </c>
      <c r="AI209" s="5">
        <v>1</v>
      </c>
      <c r="AJ209" s="5"/>
      <c r="AK209" s="25">
        <v>1</v>
      </c>
      <c r="AL209" s="5" t="s">
        <v>287</v>
      </c>
      <c r="AM209" s="8"/>
      <c r="AN209" s="8">
        <v>1</v>
      </c>
      <c r="AO209" s="8">
        <v>1</v>
      </c>
      <c r="AP209" s="8">
        <f t="shared" si="6"/>
        <v>24</v>
      </c>
      <c r="AQ209">
        <v>30</v>
      </c>
      <c r="AR209" s="76">
        <f t="shared" si="7"/>
        <v>0.8</v>
      </c>
    </row>
    <row r="210" spans="1:44">
      <c r="A210" s="8" t="s">
        <v>290</v>
      </c>
      <c r="B210" s="8" t="s">
        <v>5</v>
      </c>
      <c r="C210" s="8" t="s">
        <v>42</v>
      </c>
      <c r="D210" s="8" t="s">
        <v>42</v>
      </c>
      <c r="E210" s="8" t="s">
        <v>290</v>
      </c>
      <c r="F210" s="24"/>
      <c r="G210" s="5">
        <v>1</v>
      </c>
      <c r="H210" s="5">
        <v>1</v>
      </c>
      <c r="I210" s="5">
        <v>1</v>
      </c>
      <c r="J210" s="5">
        <v>1</v>
      </c>
      <c r="K210" s="5">
        <v>1</v>
      </c>
      <c r="L210" s="5"/>
      <c r="M210" s="25">
        <v>1</v>
      </c>
      <c r="N210" s="24">
        <v>1</v>
      </c>
      <c r="O210" s="5">
        <v>1</v>
      </c>
      <c r="P210" s="5">
        <v>1</v>
      </c>
      <c r="Q210" s="5">
        <v>1</v>
      </c>
      <c r="R210" s="5">
        <v>1</v>
      </c>
      <c r="S210" s="5">
        <v>1</v>
      </c>
      <c r="T210" s="5">
        <v>1</v>
      </c>
      <c r="U210" s="25">
        <v>1</v>
      </c>
      <c r="V210" s="24"/>
      <c r="W210" s="5">
        <v>1</v>
      </c>
      <c r="X210" s="5">
        <v>1</v>
      </c>
      <c r="Y210" s="5">
        <v>1</v>
      </c>
      <c r="Z210" s="5">
        <v>1</v>
      </c>
      <c r="AA210" s="5">
        <v>1</v>
      </c>
      <c r="AB210" s="5">
        <v>1</v>
      </c>
      <c r="AC210" s="25">
        <v>1</v>
      </c>
      <c r="AD210" s="24">
        <v>1</v>
      </c>
      <c r="AE210" s="5">
        <v>1</v>
      </c>
      <c r="AF210" s="5">
        <v>1</v>
      </c>
      <c r="AG210" s="5">
        <v>1</v>
      </c>
      <c r="AH210" s="5">
        <v>1</v>
      </c>
      <c r="AI210" s="5"/>
      <c r="AJ210" s="5">
        <v>1</v>
      </c>
      <c r="AK210" s="25"/>
      <c r="AL210" s="5" t="s">
        <v>290</v>
      </c>
      <c r="AM210" s="8"/>
      <c r="AN210" s="8">
        <v>1</v>
      </c>
      <c r="AO210" s="8">
        <v>1</v>
      </c>
      <c r="AP210" s="8">
        <f t="shared" si="6"/>
        <v>27</v>
      </c>
      <c r="AQ210">
        <v>29</v>
      </c>
      <c r="AR210" s="76">
        <f t="shared" si="7"/>
        <v>0.93103448275862066</v>
      </c>
    </row>
    <row r="211" spans="1:44">
      <c r="A211" s="8">
        <v>489</v>
      </c>
      <c r="B211" s="8" t="s">
        <v>99</v>
      </c>
      <c r="C211" s="8" t="s">
        <v>346</v>
      </c>
      <c r="D211" s="8"/>
      <c r="E211" s="8">
        <v>489</v>
      </c>
      <c r="F211" s="24"/>
      <c r="G211" s="5"/>
      <c r="H211" s="5"/>
      <c r="I211" s="5"/>
      <c r="J211" s="5"/>
      <c r="K211" s="5"/>
      <c r="L211" s="5"/>
      <c r="M211" s="25"/>
      <c r="N211" s="24"/>
      <c r="O211" s="5"/>
      <c r="P211" s="5"/>
      <c r="Q211" s="5"/>
      <c r="R211" s="5"/>
      <c r="S211" s="5"/>
      <c r="T211" s="5"/>
      <c r="U211" s="25"/>
      <c r="V211" s="24"/>
      <c r="W211" s="5"/>
      <c r="X211" s="5"/>
      <c r="Y211" s="5"/>
      <c r="Z211" s="5"/>
      <c r="AA211" s="5"/>
      <c r="AB211" s="5"/>
      <c r="AC211" s="25"/>
      <c r="AD211" s="24"/>
      <c r="AE211" s="5"/>
      <c r="AF211" s="5"/>
      <c r="AG211" s="5"/>
      <c r="AH211" s="5"/>
      <c r="AI211" s="5"/>
      <c r="AJ211" s="5"/>
      <c r="AK211" s="25"/>
      <c r="AL211" s="5">
        <v>489</v>
      </c>
      <c r="AM211" s="8">
        <v>1</v>
      </c>
      <c r="AN211" s="8"/>
      <c r="AO211" s="8"/>
      <c r="AP211" s="8">
        <f t="shared" si="6"/>
        <v>0</v>
      </c>
      <c r="AQ211">
        <v>24</v>
      </c>
      <c r="AR211" s="76">
        <f t="shared" si="7"/>
        <v>0</v>
      </c>
    </row>
    <row r="212" spans="1:44">
      <c r="A212" s="8">
        <v>490</v>
      </c>
      <c r="B212" s="8" t="s">
        <v>74</v>
      </c>
      <c r="C212" s="8" t="s">
        <v>346</v>
      </c>
      <c r="D212" s="8"/>
      <c r="E212" s="8">
        <v>490</v>
      </c>
      <c r="F212" s="24"/>
      <c r="G212" s="5"/>
      <c r="H212" s="5"/>
      <c r="I212" s="5"/>
      <c r="J212" s="5"/>
      <c r="K212" s="5"/>
      <c r="L212" s="5"/>
      <c r="M212" s="25"/>
      <c r="N212" s="24"/>
      <c r="O212" s="5"/>
      <c r="P212" s="5"/>
      <c r="Q212" s="5"/>
      <c r="R212" s="5"/>
      <c r="S212" s="5"/>
      <c r="T212" s="5"/>
      <c r="U212" s="25"/>
      <c r="V212" s="24"/>
      <c r="W212" s="5"/>
      <c r="X212" s="5"/>
      <c r="Y212" s="5"/>
      <c r="Z212" s="5"/>
      <c r="AA212" s="5"/>
      <c r="AB212" s="5"/>
      <c r="AC212" s="25"/>
      <c r="AD212" s="24"/>
      <c r="AE212" s="5"/>
      <c r="AF212" s="5"/>
      <c r="AG212" s="5"/>
      <c r="AH212" s="5"/>
      <c r="AI212" s="5"/>
      <c r="AJ212" s="5"/>
      <c r="AK212" s="25"/>
      <c r="AL212" s="5">
        <v>490</v>
      </c>
      <c r="AM212" s="8">
        <v>1</v>
      </c>
      <c r="AN212" s="8"/>
      <c r="AO212" s="8"/>
      <c r="AP212" s="8">
        <f t="shared" si="6"/>
        <v>0</v>
      </c>
      <c r="AQ212">
        <v>16</v>
      </c>
      <c r="AR212" s="76">
        <f t="shared" si="7"/>
        <v>0</v>
      </c>
    </row>
    <row r="213" spans="1:44">
      <c r="A213" s="8">
        <v>492</v>
      </c>
      <c r="B213" s="8" t="s">
        <v>63</v>
      </c>
      <c r="C213" s="8" t="s">
        <v>346</v>
      </c>
      <c r="D213" s="8"/>
      <c r="E213" s="8">
        <v>492</v>
      </c>
      <c r="F213" s="24"/>
      <c r="G213" s="5"/>
      <c r="H213" s="5"/>
      <c r="I213" s="5"/>
      <c r="J213" s="5"/>
      <c r="K213" s="5"/>
      <c r="L213" s="5"/>
      <c r="M213" s="25"/>
      <c r="N213" s="24"/>
      <c r="O213" s="5"/>
      <c r="P213" s="5"/>
      <c r="Q213" s="5"/>
      <c r="R213" s="5"/>
      <c r="S213" s="5"/>
      <c r="T213" s="5"/>
      <c r="U213" s="25"/>
      <c r="V213" s="24"/>
      <c r="W213" s="5"/>
      <c r="X213" s="5"/>
      <c r="Y213" s="5"/>
      <c r="Z213" s="5"/>
      <c r="AA213" s="5"/>
      <c r="AB213" s="5"/>
      <c r="AC213" s="25"/>
      <c r="AD213" s="24"/>
      <c r="AE213" s="5"/>
      <c r="AF213" s="5"/>
      <c r="AG213" s="5"/>
      <c r="AH213" s="5"/>
      <c r="AI213" s="5"/>
      <c r="AJ213" s="5"/>
      <c r="AK213" s="25"/>
      <c r="AL213" s="5">
        <v>492</v>
      </c>
      <c r="AM213" s="8">
        <v>1</v>
      </c>
      <c r="AN213" s="8"/>
      <c r="AO213" s="8"/>
      <c r="AP213" s="8">
        <f t="shared" si="6"/>
        <v>0</v>
      </c>
      <c r="AQ213">
        <v>12</v>
      </c>
      <c r="AR213" s="76">
        <f t="shared" si="7"/>
        <v>0</v>
      </c>
    </row>
    <row r="214" spans="1:44">
      <c r="A214" s="8">
        <v>495</v>
      </c>
      <c r="B214" s="8" t="s">
        <v>63</v>
      </c>
      <c r="C214" s="8" t="s">
        <v>346</v>
      </c>
      <c r="D214" s="8"/>
      <c r="E214" s="8">
        <v>495</v>
      </c>
      <c r="F214" s="24"/>
      <c r="G214" s="5"/>
      <c r="H214" s="5"/>
      <c r="I214" s="5"/>
      <c r="J214" s="5"/>
      <c r="K214" s="5"/>
      <c r="L214" s="5"/>
      <c r="M214" s="25"/>
      <c r="N214" s="24"/>
      <c r="O214" s="5"/>
      <c r="P214" s="5"/>
      <c r="Q214" s="5"/>
      <c r="R214" s="5"/>
      <c r="S214" s="5"/>
      <c r="T214" s="5"/>
      <c r="U214" s="25"/>
      <c r="V214" s="24"/>
      <c r="W214" s="5"/>
      <c r="X214" s="5"/>
      <c r="Y214" s="5"/>
      <c r="Z214" s="5"/>
      <c r="AA214" s="5"/>
      <c r="AB214" s="5"/>
      <c r="AC214" s="25"/>
      <c r="AD214" s="24"/>
      <c r="AE214" s="5"/>
      <c r="AF214" s="5"/>
      <c r="AG214" s="5"/>
      <c r="AH214" s="5"/>
      <c r="AI214" s="5"/>
      <c r="AJ214" s="5"/>
      <c r="AK214" s="25"/>
      <c r="AL214" s="5">
        <v>495</v>
      </c>
      <c r="AM214" s="8">
        <v>1</v>
      </c>
      <c r="AN214" s="8"/>
      <c r="AO214" s="8"/>
      <c r="AP214" s="8">
        <f t="shared" si="6"/>
        <v>0</v>
      </c>
      <c r="AQ214">
        <v>9</v>
      </c>
      <c r="AR214" s="76">
        <f t="shared" si="7"/>
        <v>0</v>
      </c>
    </row>
    <row r="215" spans="1:44">
      <c r="A215" s="8">
        <v>498</v>
      </c>
      <c r="B215" s="8" t="s">
        <v>62</v>
      </c>
      <c r="C215" s="8" t="s">
        <v>42</v>
      </c>
      <c r="D215" s="8" t="s">
        <v>42</v>
      </c>
      <c r="E215" s="8">
        <v>498</v>
      </c>
      <c r="F215" s="24"/>
      <c r="G215" s="5"/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25">
        <v>1</v>
      </c>
      <c r="N215" s="24"/>
      <c r="O215" s="5"/>
      <c r="P215" s="5">
        <v>1</v>
      </c>
      <c r="Q215" s="5"/>
      <c r="R215" s="5"/>
      <c r="S215" s="5"/>
      <c r="T215" s="5"/>
      <c r="U215" s="25"/>
      <c r="V215" s="24">
        <v>1</v>
      </c>
      <c r="W215" s="5">
        <v>1</v>
      </c>
      <c r="X215" s="5">
        <v>1</v>
      </c>
      <c r="Y215" s="5">
        <v>1</v>
      </c>
      <c r="Z215" s="5">
        <v>1</v>
      </c>
      <c r="AA215" s="5">
        <v>1</v>
      </c>
      <c r="AB215" s="5">
        <v>1</v>
      </c>
      <c r="AC215" s="25">
        <v>1</v>
      </c>
      <c r="AD215" s="24">
        <v>1</v>
      </c>
      <c r="AE215" s="5">
        <v>1</v>
      </c>
      <c r="AF215" s="5">
        <v>1</v>
      </c>
      <c r="AG215" s="5">
        <v>1</v>
      </c>
      <c r="AH215" s="5">
        <v>1</v>
      </c>
      <c r="AI215" s="5">
        <v>1</v>
      </c>
      <c r="AJ215" s="5">
        <v>1</v>
      </c>
      <c r="AK215" s="25">
        <v>1</v>
      </c>
      <c r="AL215" s="5">
        <v>498</v>
      </c>
      <c r="AM215" s="8"/>
      <c r="AN215" s="8">
        <v>1</v>
      </c>
      <c r="AO215" s="8">
        <v>1</v>
      </c>
      <c r="AP215" s="8">
        <f t="shared" si="6"/>
        <v>23</v>
      </c>
      <c r="AQ215">
        <v>24</v>
      </c>
      <c r="AR215" s="76">
        <f t="shared" si="7"/>
        <v>0.95833333333333337</v>
      </c>
    </row>
    <row r="216" spans="1:44">
      <c r="A216" s="8">
        <v>499</v>
      </c>
      <c r="B216" s="8" t="s">
        <v>123</v>
      </c>
      <c r="C216" s="8" t="s">
        <v>366</v>
      </c>
      <c r="D216" s="8" t="s">
        <v>6</v>
      </c>
      <c r="E216" s="8">
        <v>499</v>
      </c>
      <c r="F216" s="24"/>
      <c r="G216" s="5"/>
      <c r="H216" s="5"/>
      <c r="I216" s="5"/>
      <c r="J216" s="5"/>
      <c r="K216" s="5">
        <v>1</v>
      </c>
      <c r="L216" s="5">
        <v>1</v>
      </c>
      <c r="M216" s="25">
        <v>1</v>
      </c>
      <c r="N216" s="24">
        <v>1</v>
      </c>
      <c r="O216" s="5">
        <v>1</v>
      </c>
      <c r="P216" s="5"/>
      <c r="Q216" s="5"/>
      <c r="R216" s="5">
        <v>1</v>
      </c>
      <c r="S216" s="5"/>
      <c r="T216" s="5"/>
      <c r="U216" s="25"/>
      <c r="V216" s="24"/>
      <c r="W216" s="5">
        <v>1</v>
      </c>
      <c r="X216" s="5"/>
      <c r="Y216" s="5"/>
      <c r="Z216" s="5">
        <v>1</v>
      </c>
      <c r="AA216" s="5">
        <v>1</v>
      </c>
      <c r="AB216" s="5">
        <v>1</v>
      </c>
      <c r="AC216" s="25">
        <v>1</v>
      </c>
      <c r="AD216" s="24">
        <v>1</v>
      </c>
      <c r="AE216" s="5">
        <v>1</v>
      </c>
      <c r="AF216" s="5">
        <v>1</v>
      </c>
      <c r="AG216" s="5">
        <v>1</v>
      </c>
      <c r="AH216" s="5">
        <v>1</v>
      </c>
      <c r="AI216" s="5"/>
      <c r="AJ216" s="5"/>
      <c r="AK216" s="25">
        <v>1</v>
      </c>
      <c r="AL216" s="5">
        <v>499</v>
      </c>
      <c r="AM216" s="8"/>
      <c r="AN216" s="8">
        <v>1</v>
      </c>
      <c r="AO216" s="8">
        <v>1</v>
      </c>
      <c r="AP216" s="8">
        <f t="shared" si="6"/>
        <v>17</v>
      </c>
      <c r="AQ216">
        <v>21</v>
      </c>
      <c r="AR216" s="76">
        <f t="shared" si="7"/>
        <v>0.80952380952380953</v>
      </c>
    </row>
    <row r="217" spans="1:44">
      <c r="A217" s="8">
        <v>503</v>
      </c>
      <c r="B217" s="8" t="s">
        <v>80</v>
      </c>
      <c r="C217" s="8" t="s">
        <v>346</v>
      </c>
      <c r="D217" s="8"/>
      <c r="E217" s="8">
        <v>503</v>
      </c>
      <c r="F217" s="24"/>
      <c r="G217" s="5"/>
      <c r="H217" s="5"/>
      <c r="I217" s="5"/>
      <c r="J217" s="5"/>
      <c r="K217" s="5"/>
      <c r="L217" s="5"/>
      <c r="M217" s="25"/>
      <c r="N217" s="24"/>
      <c r="O217" s="5"/>
      <c r="P217" s="5"/>
      <c r="Q217" s="5"/>
      <c r="R217" s="5"/>
      <c r="S217" s="5"/>
      <c r="T217" s="5"/>
      <c r="U217" s="25"/>
      <c r="V217" s="24"/>
      <c r="W217" s="5"/>
      <c r="X217" s="5"/>
      <c r="Y217" s="5">
        <v>1</v>
      </c>
      <c r="Z217" s="5"/>
      <c r="AA217" s="5"/>
      <c r="AB217" s="5"/>
      <c r="AC217" s="25"/>
      <c r="AD217" s="24"/>
      <c r="AE217" s="5"/>
      <c r="AF217" s="5"/>
      <c r="AG217" s="5"/>
      <c r="AH217" s="5">
        <v>1</v>
      </c>
      <c r="AI217" s="5"/>
      <c r="AJ217" s="5"/>
      <c r="AK217" s="25"/>
      <c r="AL217" s="5">
        <v>503</v>
      </c>
      <c r="AM217" s="8"/>
      <c r="AN217" s="8">
        <v>1</v>
      </c>
      <c r="AO217" s="8">
        <v>1</v>
      </c>
      <c r="AP217" s="8">
        <f t="shared" si="6"/>
        <v>2</v>
      </c>
      <c r="AQ217">
        <v>19</v>
      </c>
      <c r="AR217" s="76">
        <f t="shared" si="7"/>
        <v>0.10526315789473684</v>
      </c>
    </row>
    <row r="218" spans="1:44">
      <c r="A218" s="8">
        <v>505</v>
      </c>
      <c r="B218" s="8" t="s">
        <v>73</v>
      </c>
      <c r="C218" s="8" t="s">
        <v>165</v>
      </c>
      <c r="D218" s="8" t="s">
        <v>42</v>
      </c>
      <c r="E218" s="8">
        <v>505</v>
      </c>
      <c r="F218" s="24">
        <v>1</v>
      </c>
      <c r="G218" s="5">
        <v>1</v>
      </c>
      <c r="H218" s="5">
        <v>1</v>
      </c>
      <c r="I218" s="5">
        <v>1</v>
      </c>
      <c r="J218" s="5">
        <v>1</v>
      </c>
      <c r="K218" s="5">
        <v>1</v>
      </c>
      <c r="L218" s="5">
        <v>1</v>
      </c>
      <c r="M218" s="25"/>
      <c r="N218" s="24"/>
      <c r="O218" s="5">
        <v>1</v>
      </c>
      <c r="P218" s="5">
        <v>1</v>
      </c>
      <c r="Q218" s="5">
        <v>1</v>
      </c>
      <c r="R218" s="5"/>
      <c r="S218" s="5">
        <v>1</v>
      </c>
      <c r="T218" s="5">
        <v>1</v>
      </c>
      <c r="U218" s="25">
        <v>1</v>
      </c>
      <c r="V218" s="24">
        <v>1</v>
      </c>
      <c r="W218" s="5">
        <v>1</v>
      </c>
      <c r="X218" s="5">
        <v>1</v>
      </c>
      <c r="Y218" s="5">
        <v>1</v>
      </c>
      <c r="Z218" s="5">
        <v>1</v>
      </c>
      <c r="AA218" s="5">
        <v>1</v>
      </c>
      <c r="AB218" s="5">
        <v>1</v>
      </c>
      <c r="AC218" s="25">
        <v>1</v>
      </c>
      <c r="AD218" s="24">
        <v>1</v>
      </c>
      <c r="AE218" s="5">
        <v>1</v>
      </c>
      <c r="AF218" s="5">
        <v>1</v>
      </c>
      <c r="AG218" s="5">
        <v>1</v>
      </c>
      <c r="AH218" s="5">
        <v>1</v>
      </c>
      <c r="AI218" s="5">
        <v>1</v>
      </c>
      <c r="AJ218" s="5"/>
      <c r="AK218" s="25">
        <v>1</v>
      </c>
      <c r="AL218" s="5">
        <v>505</v>
      </c>
      <c r="AM218" s="8"/>
      <c r="AN218" s="8">
        <v>1</v>
      </c>
      <c r="AO218" s="8">
        <v>1</v>
      </c>
      <c r="AP218" s="8">
        <f t="shared" si="6"/>
        <v>28</v>
      </c>
      <c r="AQ218">
        <v>31</v>
      </c>
      <c r="AR218" s="76">
        <f t="shared" si="7"/>
        <v>0.90322580645161288</v>
      </c>
    </row>
    <row r="219" spans="1:44">
      <c r="A219" s="8">
        <v>506</v>
      </c>
      <c r="B219" s="8" t="s">
        <v>240</v>
      </c>
      <c r="C219" s="8" t="s">
        <v>42</v>
      </c>
      <c r="D219" s="8" t="s">
        <v>6</v>
      </c>
      <c r="E219" s="8">
        <v>506</v>
      </c>
      <c r="F219" s="24"/>
      <c r="G219" s="5"/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25"/>
      <c r="N219" s="24"/>
      <c r="O219" s="5">
        <v>1</v>
      </c>
      <c r="P219" s="5">
        <v>1</v>
      </c>
      <c r="Q219" s="5">
        <v>1</v>
      </c>
      <c r="R219" s="5">
        <v>1</v>
      </c>
      <c r="S219" s="5"/>
      <c r="T219" s="5">
        <v>1</v>
      </c>
      <c r="U219" s="25"/>
      <c r="V219" s="24"/>
      <c r="W219" s="5"/>
      <c r="X219" s="5"/>
      <c r="Y219" s="5">
        <v>1</v>
      </c>
      <c r="Z219" s="5">
        <v>1</v>
      </c>
      <c r="AA219" s="5">
        <v>1</v>
      </c>
      <c r="AB219" s="5">
        <v>1</v>
      </c>
      <c r="AC219" s="25">
        <v>1</v>
      </c>
      <c r="AD219" s="24">
        <v>1</v>
      </c>
      <c r="AE219" s="5">
        <v>1</v>
      </c>
      <c r="AF219" s="5"/>
      <c r="AG219" s="5"/>
      <c r="AH219" s="5"/>
      <c r="AI219" s="5"/>
      <c r="AJ219" s="5"/>
      <c r="AK219" s="25">
        <v>1</v>
      </c>
      <c r="AL219" s="5">
        <v>506</v>
      </c>
      <c r="AM219" s="8"/>
      <c r="AN219" s="8">
        <v>1</v>
      </c>
      <c r="AO219" s="8">
        <v>1</v>
      </c>
      <c r="AP219" s="8">
        <f t="shared" si="6"/>
        <v>18</v>
      </c>
      <c r="AQ219">
        <v>26</v>
      </c>
      <c r="AR219" s="76">
        <f t="shared" si="7"/>
        <v>0.69230769230769229</v>
      </c>
    </row>
    <row r="220" spans="1:44">
      <c r="A220" s="8">
        <v>507</v>
      </c>
      <c r="B220" s="8" t="s">
        <v>63</v>
      </c>
      <c r="C220" s="8" t="s">
        <v>346</v>
      </c>
      <c r="D220" s="8"/>
      <c r="E220" s="8">
        <v>507</v>
      </c>
      <c r="F220" s="24"/>
      <c r="G220" s="5"/>
      <c r="H220" s="5"/>
      <c r="I220" s="5"/>
      <c r="J220" s="5"/>
      <c r="K220" s="5"/>
      <c r="L220" s="5"/>
      <c r="M220" s="25"/>
      <c r="N220" s="24"/>
      <c r="O220" s="5"/>
      <c r="P220" s="5"/>
      <c r="Q220" s="5"/>
      <c r="R220" s="5"/>
      <c r="S220" s="5"/>
      <c r="T220" s="5"/>
      <c r="U220" s="25"/>
      <c r="V220" s="24"/>
      <c r="W220" s="5"/>
      <c r="X220" s="5"/>
      <c r="Y220" s="5"/>
      <c r="Z220" s="5"/>
      <c r="AA220" s="5"/>
      <c r="AB220" s="5"/>
      <c r="AC220" s="25"/>
      <c r="AD220" s="24"/>
      <c r="AE220" s="5"/>
      <c r="AF220" s="5"/>
      <c r="AG220" s="5"/>
      <c r="AH220" s="5"/>
      <c r="AI220" s="5"/>
      <c r="AJ220" s="5"/>
      <c r="AK220" s="25"/>
      <c r="AL220" s="5">
        <v>507</v>
      </c>
      <c r="AM220" s="8">
        <v>1</v>
      </c>
      <c r="AN220" s="8"/>
      <c r="AO220" s="8"/>
      <c r="AP220" s="8">
        <f t="shared" si="6"/>
        <v>0</v>
      </c>
      <c r="AQ220">
        <v>8</v>
      </c>
      <c r="AR220" s="76">
        <f t="shared" si="7"/>
        <v>0</v>
      </c>
    </row>
    <row r="221" spans="1:44">
      <c r="A221" s="8">
        <v>508</v>
      </c>
      <c r="B221" s="8" t="s">
        <v>88</v>
      </c>
      <c r="C221" s="8" t="s">
        <v>12</v>
      </c>
      <c r="D221" s="8" t="s">
        <v>42</v>
      </c>
      <c r="E221" s="8">
        <v>508</v>
      </c>
      <c r="F221" s="24"/>
      <c r="G221" s="5">
        <v>1</v>
      </c>
      <c r="H221" s="5">
        <v>1</v>
      </c>
      <c r="I221" s="5">
        <v>1</v>
      </c>
      <c r="J221" s="5">
        <v>1</v>
      </c>
      <c r="K221" s="5">
        <v>1</v>
      </c>
      <c r="L221" s="5">
        <v>1</v>
      </c>
      <c r="M221" s="25">
        <v>1</v>
      </c>
      <c r="N221" s="24">
        <v>1</v>
      </c>
      <c r="O221" s="5">
        <v>1</v>
      </c>
      <c r="P221" s="5">
        <v>1</v>
      </c>
      <c r="Q221" s="5">
        <v>1</v>
      </c>
      <c r="R221" s="5">
        <v>1</v>
      </c>
      <c r="S221" s="5">
        <v>1</v>
      </c>
      <c r="T221" s="5">
        <v>1</v>
      </c>
      <c r="U221" s="25"/>
      <c r="V221" s="24">
        <v>1</v>
      </c>
      <c r="W221" s="5">
        <v>1</v>
      </c>
      <c r="X221" s="5">
        <v>1</v>
      </c>
      <c r="Y221" s="5">
        <v>1</v>
      </c>
      <c r="Z221" s="5">
        <v>1</v>
      </c>
      <c r="AA221" s="5">
        <v>1</v>
      </c>
      <c r="AB221" s="5">
        <v>1</v>
      </c>
      <c r="AC221" s="25">
        <v>1</v>
      </c>
      <c r="AD221" s="24">
        <v>1</v>
      </c>
      <c r="AE221" s="5">
        <v>1</v>
      </c>
      <c r="AF221" s="5">
        <v>1</v>
      </c>
      <c r="AG221" s="5">
        <v>1</v>
      </c>
      <c r="AH221" s="5">
        <v>1</v>
      </c>
      <c r="AI221" s="5">
        <v>1</v>
      </c>
      <c r="AJ221" s="5">
        <v>1</v>
      </c>
      <c r="AK221" s="25">
        <v>1</v>
      </c>
      <c r="AL221" s="5">
        <v>508</v>
      </c>
      <c r="AM221" s="8"/>
      <c r="AN221" s="8">
        <v>1</v>
      </c>
      <c r="AO221" s="8">
        <v>1</v>
      </c>
      <c r="AP221" s="8">
        <f t="shared" si="6"/>
        <v>30</v>
      </c>
      <c r="AQ221">
        <v>32</v>
      </c>
      <c r="AR221" s="76">
        <f t="shared" si="7"/>
        <v>0.9375</v>
      </c>
    </row>
    <row r="222" spans="1:44">
      <c r="A222" s="8">
        <v>513</v>
      </c>
      <c r="B222" s="8" t="s">
        <v>73</v>
      </c>
      <c r="C222" s="8" t="s">
        <v>165</v>
      </c>
      <c r="D222" s="8" t="s">
        <v>6</v>
      </c>
      <c r="E222" s="8">
        <v>513</v>
      </c>
      <c r="F222" s="24"/>
      <c r="G222" s="5">
        <v>1</v>
      </c>
      <c r="H222" s="5"/>
      <c r="I222" s="5"/>
      <c r="J222" s="5">
        <v>1</v>
      </c>
      <c r="K222" s="5"/>
      <c r="L222" s="5"/>
      <c r="M222" s="25">
        <v>1</v>
      </c>
      <c r="N222" s="24">
        <v>1</v>
      </c>
      <c r="O222" s="5"/>
      <c r="P222" s="5">
        <v>1</v>
      </c>
      <c r="Q222" s="5">
        <v>1</v>
      </c>
      <c r="R222" s="5">
        <v>1</v>
      </c>
      <c r="S222" s="5">
        <v>1</v>
      </c>
      <c r="T222" s="5">
        <v>1</v>
      </c>
      <c r="U222" s="25">
        <v>1</v>
      </c>
      <c r="V222" s="24"/>
      <c r="W222" s="5"/>
      <c r="X222" s="5">
        <v>1</v>
      </c>
      <c r="Y222" s="5">
        <v>1</v>
      </c>
      <c r="Z222" s="5">
        <v>1</v>
      </c>
      <c r="AA222" s="5">
        <v>1</v>
      </c>
      <c r="AB222" s="5">
        <v>1</v>
      </c>
      <c r="AC222" s="25">
        <v>1</v>
      </c>
      <c r="AD222" s="24">
        <v>1</v>
      </c>
      <c r="AE222" s="5">
        <v>1</v>
      </c>
      <c r="AF222" s="5">
        <v>1</v>
      </c>
      <c r="AG222" s="5">
        <v>1</v>
      </c>
      <c r="AH222" s="5">
        <v>1</v>
      </c>
      <c r="AI222" s="5">
        <v>1</v>
      </c>
      <c r="AJ222" s="5"/>
      <c r="AK222" s="25"/>
      <c r="AL222" s="5">
        <v>513</v>
      </c>
      <c r="AM222" s="8"/>
      <c r="AN222" s="8">
        <v>1</v>
      </c>
      <c r="AO222" s="8">
        <v>1</v>
      </c>
      <c r="AP222" s="8">
        <f t="shared" si="6"/>
        <v>22</v>
      </c>
      <c r="AQ222">
        <v>28</v>
      </c>
      <c r="AR222" s="76">
        <f t="shared" si="7"/>
        <v>0.7857142857142857</v>
      </c>
    </row>
    <row r="223" spans="1:44">
      <c r="A223" s="8">
        <v>514</v>
      </c>
      <c r="B223" s="8" t="s">
        <v>99</v>
      </c>
      <c r="C223" s="8" t="s">
        <v>346</v>
      </c>
      <c r="D223" s="8"/>
      <c r="E223" s="8">
        <v>514</v>
      </c>
      <c r="F223" s="24"/>
      <c r="G223" s="5"/>
      <c r="H223" s="5"/>
      <c r="I223" s="5"/>
      <c r="J223" s="5"/>
      <c r="K223" s="5"/>
      <c r="L223" s="5"/>
      <c r="M223" s="25"/>
      <c r="N223" s="24"/>
      <c r="O223" s="5"/>
      <c r="P223" s="5"/>
      <c r="Q223" s="5"/>
      <c r="R223" s="5"/>
      <c r="S223" s="5"/>
      <c r="T223" s="5"/>
      <c r="U223" s="25"/>
      <c r="V223" s="24"/>
      <c r="W223" s="5"/>
      <c r="X223" s="5"/>
      <c r="Y223" s="5"/>
      <c r="Z223" s="5"/>
      <c r="AA223" s="5"/>
      <c r="AB223" s="5">
        <v>1</v>
      </c>
      <c r="AC223" s="25"/>
      <c r="AD223" s="24"/>
      <c r="AE223" s="5">
        <v>1</v>
      </c>
      <c r="AF223" s="5"/>
      <c r="AG223" s="5"/>
      <c r="AH223" s="5"/>
      <c r="AI223" s="5"/>
      <c r="AJ223" s="5"/>
      <c r="AK223" s="25"/>
      <c r="AL223" s="5">
        <v>514</v>
      </c>
      <c r="AM223" s="8"/>
      <c r="AN223" s="8">
        <v>1</v>
      </c>
      <c r="AO223" s="8">
        <v>1</v>
      </c>
      <c r="AP223" s="8">
        <f t="shared" si="6"/>
        <v>2</v>
      </c>
      <c r="AQ223">
        <v>16</v>
      </c>
      <c r="AR223" s="76">
        <f t="shared" si="7"/>
        <v>0.125</v>
      </c>
    </row>
    <row r="224" spans="1:44">
      <c r="A224" s="8">
        <v>516</v>
      </c>
      <c r="B224" s="8" t="s">
        <v>99</v>
      </c>
      <c r="C224" s="8" t="s">
        <v>346</v>
      </c>
      <c r="D224" s="8"/>
      <c r="E224" s="8">
        <v>516</v>
      </c>
      <c r="F224" s="24"/>
      <c r="G224" s="5"/>
      <c r="H224" s="5"/>
      <c r="I224" s="5"/>
      <c r="J224" s="5">
        <v>1</v>
      </c>
      <c r="K224" s="5">
        <v>1</v>
      </c>
      <c r="L224" s="5"/>
      <c r="M224" s="25"/>
      <c r="N224" s="24"/>
      <c r="O224" s="5"/>
      <c r="P224" s="5"/>
      <c r="Q224" s="5">
        <v>1</v>
      </c>
      <c r="R224" s="5">
        <v>1</v>
      </c>
      <c r="S224" s="5">
        <v>1</v>
      </c>
      <c r="T224" s="5"/>
      <c r="U224" s="25"/>
      <c r="V224" s="24"/>
      <c r="W224" s="5"/>
      <c r="X224" s="5"/>
      <c r="Y224" s="5"/>
      <c r="Z224" s="5"/>
      <c r="AA224" s="5"/>
      <c r="AB224" s="5"/>
      <c r="AC224" s="25"/>
      <c r="AD224" s="24"/>
      <c r="AE224" s="5">
        <v>1</v>
      </c>
      <c r="AF224" s="5"/>
      <c r="AG224" s="5">
        <v>1</v>
      </c>
      <c r="AH224" s="5">
        <v>1</v>
      </c>
      <c r="AI224" s="5"/>
      <c r="AJ224" s="5"/>
      <c r="AK224" s="25"/>
      <c r="AL224" s="5">
        <v>516</v>
      </c>
      <c r="AM224" s="8"/>
      <c r="AN224" s="8">
        <v>1</v>
      </c>
      <c r="AO224" s="8">
        <v>1</v>
      </c>
      <c r="AP224" s="8">
        <f t="shared" si="6"/>
        <v>8</v>
      </c>
      <c r="AQ224">
        <v>24</v>
      </c>
      <c r="AR224" s="76">
        <f t="shared" si="7"/>
        <v>0.33333333333333331</v>
      </c>
    </row>
    <row r="225" spans="1:44">
      <c r="A225" s="8">
        <v>518</v>
      </c>
      <c r="B225" s="8" t="s">
        <v>99</v>
      </c>
      <c r="C225" s="8" t="s">
        <v>346</v>
      </c>
      <c r="D225" s="8"/>
      <c r="E225" s="8">
        <v>518</v>
      </c>
      <c r="F225" s="24"/>
      <c r="G225" s="5"/>
      <c r="H225" s="5"/>
      <c r="I225" s="5"/>
      <c r="J225" s="5"/>
      <c r="K225" s="5"/>
      <c r="L225" s="5"/>
      <c r="M225" s="25"/>
      <c r="N225" s="24"/>
      <c r="O225" s="5"/>
      <c r="P225" s="5"/>
      <c r="Q225" s="5"/>
      <c r="R225" s="5"/>
      <c r="S225" s="5"/>
      <c r="T225" s="5"/>
      <c r="U225" s="25"/>
      <c r="V225" s="24"/>
      <c r="W225" s="5"/>
      <c r="X225" s="5"/>
      <c r="Y225" s="5">
        <v>1</v>
      </c>
      <c r="Z225" s="5">
        <v>1</v>
      </c>
      <c r="AA225" s="5"/>
      <c r="AB225" s="5"/>
      <c r="AC225" s="25"/>
      <c r="AD225" s="24"/>
      <c r="AE225" s="5"/>
      <c r="AF225" s="5"/>
      <c r="AG225" s="5">
        <v>1</v>
      </c>
      <c r="AH225" s="5">
        <v>1</v>
      </c>
      <c r="AI225" s="5"/>
      <c r="AJ225" s="5"/>
      <c r="AK225" s="25"/>
      <c r="AL225" s="5">
        <v>518</v>
      </c>
      <c r="AM225" s="8"/>
      <c r="AN225" s="8">
        <v>1</v>
      </c>
      <c r="AO225" s="8">
        <v>1</v>
      </c>
      <c r="AP225" s="8">
        <f t="shared" si="6"/>
        <v>4</v>
      </c>
      <c r="AQ225">
        <v>19</v>
      </c>
      <c r="AR225" s="76">
        <f t="shared" si="7"/>
        <v>0.21052631578947367</v>
      </c>
    </row>
    <row r="226" spans="1:44">
      <c r="A226" s="8">
        <v>519</v>
      </c>
      <c r="B226" s="8" t="s">
        <v>62</v>
      </c>
      <c r="C226" s="8" t="s">
        <v>42</v>
      </c>
      <c r="D226" s="8" t="s">
        <v>42</v>
      </c>
      <c r="E226" s="8">
        <v>519</v>
      </c>
      <c r="F226" s="24">
        <v>1</v>
      </c>
      <c r="G226" s="5">
        <v>1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25">
        <v>1</v>
      </c>
      <c r="N226" s="24">
        <v>1</v>
      </c>
      <c r="O226" s="5">
        <v>1</v>
      </c>
      <c r="P226" s="5">
        <v>1</v>
      </c>
      <c r="Q226" s="5"/>
      <c r="R226" s="5"/>
      <c r="S226" s="5"/>
      <c r="T226" s="5">
        <v>1</v>
      </c>
      <c r="U226" s="25">
        <v>1</v>
      </c>
      <c r="V226" s="24"/>
      <c r="W226" s="5"/>
      <c r="X226" s="5">
        <v>1</v>
      </c>
      <c r="Y226" s="5">
        <v>1</v>
      </c>
      <c r="Z226" s="5">
        <v>1</v>
      </c>
      <c r="AA226" s="5">
        <v>1</v>
      </c>
      <c r="AB226" s="5">
        <v>1</v>
      </c>
      <c r="AC226" s="25">
        <v>1</v>
      </c>
      <c r="AD226" s="24">
        <v>1</v>
      </c>
      <c r="AE226" s="5">
        <v>1</v>
      </c>
      <c r="AF226" s="5">
        <v>1</v>
      </c>
      <c r="AG226" s="5">
        <v>1</v>
      </c>
      <c r="AH226" s="5">
        <v>1</v>
      </c>
      <c r="AI226" s="5"/>
      <c r="AJ226" s="5">
        <v>1</v>
      </c>
      <c r="AK226" s="25">
        <v>1</v>
      </c>
      <c r="AL226" s="5">
        <v>519</v>
      </c>
      <c r="AM226" s="8"/>
      <c r="AN226" s="8">
        <v>1</v>
      </c>
      <c r="AO226" s="8">
        <v>1</v>
      </c>
      <c r="AP226" s="8">
        <f t="shared" si="6"/>
        <v>26</v>
      </c>
      <c r="AQ226">
        <v>31</v>
      </c>
      <c r="AR226" s="76">
        <f t="shared" si="7"/>
        <v>0.83870967741935487</v>
      </c>
    </row>
    <row r="227" spans="1:44">
      <c r="A227" s="8">
        <v>521</v>
      </c>
      <c r="B227" s="8" t="s">
        <v>41</v>
      </c>
      <c r="C227" s="8" t="s">
        <v>42</v>
      </c>
      <c r="D227" s="8" t="s">
        <v>42</v>
      </c>
      <c r="E227" s="8">
        <v>521</v>
      </c>
      <c r="F227" s="24"/>
      <c r="G227" s="5"/>
      <c r="H227" s="5"/>
      <c r="I227" s="5">
        <v>1</v>
      </c>
      <c r="J227" s="5">
        <v>1</v>
      </c>
      <c r="K227" s="5">
        <v>1</v>
      </c>
      <c r="L227" s="5">
        <v>1</v>
      </c>
      <c r="M227" s="25">
        <v>1</v>
      </c>
      <c r="N227" s="24">
        <v>1</v>
      </c>
      <c r="O227" s="5">
        <v>1</v>
      </c>
      <c r="P227" s="5">
        <v>1</v>
      </c>
      <c r="Q227" s="5">
        <v>1</v>
      </c>
      <c r="R227" s="5"/>
      <c r="S227" s="5">
        <v>1</v>
      </c>
      <c r="T227" s="5"/>
      <c r="U227" s="25"/>
      <c r="V227" s="24"/>
      <c r="W227" s="5"/>
      <c r="X227" s="5"/>
      <c r="Y227" s="5">
        <v>1</v>
      </c>
      <c r="Z227" s="5">
        <v>1</v>
      </c>
      <c r="AA227" s="5">
        <v>1</v>
      </c>
      <c r="AB227" s="5">
        <v>1</v>
      </c>
      <c r="AC227" s="25">
        <v>1</v>
      </c>
      <c r="AD227" s="24">
        <v>1</v>
      </c>
      <c r="AE227" s="5">
        <v>1</v>
      </c>
      <c r="AF227" s="5">
        <v>1</v>
      </c>
      <c r="AG227" s="5">
        <v>1</v>
      </c>
      <c r="AH227" s="5">
        <v>1</v>
      </c>
      <c r="AI227" s="5"/>
      <c r="AJ227" s="5"/>
      <c r="AK227" s="25">
        <v>1</v>
      </c>
      <c r="AL227" s="5">
        <v>521</v>
      </c>
      <c r="AM227" s="8"/>
      <c r="AN227" s="8">
        <v>1</v>
      </c>
      <c r="AO227" s="8">
        <v>1</v>
      </c>
      <c r="AP227" s="8">
        <f t="shared" si="6"/>
        <v>21</v>
      </c>
      <c r="AQ227">
        <v>29</v>
      </c>
      <c r="AR227" s="76">
        <f t="shared" si="7"/>
        <v>0.72413793103448276</v>
      </c>
    </row>
    <row r="228" spans="1:44">
      <c r="A228" s="8">
        <v>522</v>
      </c>
      <c r="B228" s="8" t="s">
        <v>55</v>
      </c>
      <c r="C228" s="8" t="s">
        <v>346</v>
      </c>
      <c r="D228" s="8"/>
      <c r="E228" s="8">
        <v>522</v>
      </c>
      <c r="F228" s="24"/>
      <c r="G228" s="5"/>
      <c r="H228" s="5"/>
      <c r="I228" s="5"/>
      <c r="J228" s="5"/>
      <c r="K228" s="5"/>
      <c r="L228" s="5"/>
      <c r="M228" s="25"/>
      <c r="N228" s="24">
        <v>1</v>
      </c>
      <c r="O228" s="5">
        <v>1</v>
      </c>
      <c r="P228" s="5"/>
      <c r="Q228" s="5"/>
      <c r="R228" s="5"/>
      <c r="S228" s="5"/>
      <c r="T228" s="5"/>
      <c r="U228" s="25"/>
      <c r="V228" s="24"/>
      <c r="W228" s="5"/>
      <c r="X228" s="5"/>
      <c r="Y228" s="5"/>
      <c r="Z228" s="5"/>
      <c r="AA228" s="5"/>
      <c r="AB228" s="5"/>
      <c r="AC228" s="25"/>
      <c r="AD228" s="24"/>
      <c r="AE228" s="5"/>
      <c r="AF228" s="5"/>
      <c r="AG228" s="5"/>
      <c r="AH228" s="5"/>
      <c r="AI228" s="5"/>
      <c r="AJ228" s="5"/>
      <c r="AK228" s="25"/>
      <c r="AL228" s="5">
        <v>522</v>
      </c>
      <c r="AM228" s="8"/>
      <c r="AN228" s="8">
        <v>1</v>
      </c>
      <c r="AO228" s="8">
        <v>1</v>
      </c>
      <c r="AP228" s="8">
        <f t="shared" si="6"/>
        <v>2</v>
      </c>
      <c r="AQ228">
        <v>13</v>
      </c>
      <c r="AR228" s="76">
        <f t="shared" si="7"/>
        <v>0.15384615384615385</v>
      </c>
    </row>
    <row r="229" spans="1:44">
      <c r="A229" s="8">
        <v>523</v>
      </c>
      <c r="B229" s="8" t="s">
        <v>55</v>
      </c>
      <c r="C229" s="8" t="s">
        <v>346</v>
      </c>
      <c r="D229" s="8"/>
      <c r="E229" s="8">
        <v>523</v>
      </c>
      <c r="F229" s="24"/>
      <c r="G229" s="5"/>
      <c r="H229" s="5"/>
      <c r="I229" s="5"/>
      <c r="J229" s="5"/>
      <c r="K229" s="5"/>
      <c r="L229" s="5"/>
      <c r="M229" s="25"/>
      <c r="N229" s="24"/>
      <c r="O229" s="5"/>
      <c r="P229" s="5"/>
      <c r="Q229" s="5"/>
      <c r="R229" s="5"/>
      <c r="S229" s="5"/>
      <c r="T229" s="5"/>
      <c r="U229" s="25"/>
      <c r="V229" s="24"/>
      <c r="W229" s="5"/>
      <c r="X229" s="5"/>
      <c r="Y229" s="5"/>
      <c r="Z229" s="5"/>
      <c r="AA229" s="5"/>
      <c r="AB229" s="5"/>
      <c r="AC229" s="25"/>
      <c r="AD229" s="24"/>
      <c r="AE229" s="5"/>
      <c r="AF229" s="5"/>
      <c r="AG229" s="5"/>
      <c r="AH229" s="5"/>
      <c r="AI229" s="5"/>
      <c r="AJ229" s="5"/>
      <c r="AK229" s="25"/>
      <c r="AL229" s="5">
        <v>523</v>
      </c>
      <c r="AM229" s="8">
        <v>1</v>
      </c>
      <c r="AN229" s="8"/>
      <c r="AO229" s="8"/>
      <c r="AP229" s="8">
        <f t="shared" si="6"/>
        <v>0</v>
      </c>
      <c r="AQ229">
        <v>9</v>
      </c>
      <c r="AR229" s="76">
        <f t="shared" si="7"/>
        <v>0</v>
      </c>
    </row>
    <row r="230" spans="1:44">
      <c r="A230" s="8">
        <v>524</v>
      </c>
      <c r="B230" s="8" t="s">
        <v>41</v>
      </c>
      <c r="C230" s="8" t="s">
        <v>42</v>
      </c>
      <c r="D230" s="8" t="s">
        <v>6</v>
      </c>
      <c r="E230" s="8">
        <v>524</v>
      </c>
      <c r="F230" s="24">
        <v>1</v>
      </c>
      <c r="G230" s="5">
        <v>1</v>
      </c>
      <c r="H230" s="5">
        <v>1</v>
      </c>
      <c r="I230" s="5">
        <v>1</v>
      </c>
      <c r="J230" s="5">
        <v>1</v>
      </c>
      <c r="K230" s="5">
        <v>1</v>
      </c>
      <c r="L230" s="5">
        <v>1</v>
      </c>
      <c r="M230" s="25">
        <v>1</v>
      </c>
      <c r="N230" s="24">
        <v>1</v>
      </c>
      <c r="O230" s="5">
        <v>1</v>
      </c>
      <c r="P230" s="5">
        <v>1</v>
      </c>
      <c r="Q230" s="5">
        <v>1</v>
      </c>
      <c r="R230" s="5">
        <v>1</v>
      </c>
      <c r="S230" s="5">
        <v>1</v>
      </c>
      <c r="T230" s="5"/>
      <c r="U230" s="25">
        <v>1</v>
      </c>
      <c r="V230" s="24">
        <v>1</v>
      </c>
      <c r="W230" s="5">
        <v>1</v>
      </c>
      <c r="X230" s="5">
        <v>1</v>
      </c>
      <c r="Y230" s="5">
        <v>1</v>
      </c>
      <c r="Z230" s="5">
        <v>1</v>
      </c>
      <c r="AA230" s="5">
        <v>1</v>
      </c>
      <c r="AB230" s="5">
        <v>1</v>
      </c>
      <c r="AC230" s="25">
        <v>1</v>
      </c>
      <c r="AD230" s="24">
        <v>1</v>
      </c>
      <c r="AE230" s="5">
        <v>1</v>
      </c>
      <c r="AF230" s="5">
        <v>1</v>
      </c>
      <c r="AG230" s="5">
        <v>1</v>
      </c>
      <c r="AH230" s="5">
        <v>1</v>
      </c>
      <c r="AI230" s="5">
        <v>1</v>
      </c>
      <c r="AJ230" s="5"/>
      <c r="AK230" s="25"/>
      <c r="AL230" s="5">
        <v>524</v>
      </c>
      <c r="AM230" s="8"/>
      <c r="AN230" s="8">
        <v>1</v>
      </c>
      <c r="AO230" s="8">
        <v>1</v>
      </c>
      <c r="AP230" s="8">
        <f t="shared" si="6"/>
        <v>29</v>
      </c>
      <c r="AQ230">
        <v>29</v>
      </c>
      <c r="AR230" s="76">
        <f t="shared" si="7"/>
        <v>1</v>
      </c>
    </row>
    <row r="231" spans="1:44">
      <c r="A231" s="8">
        <v>525</v>
      </c>
      <c r="B231" s="8" t="s">
        <v>93</v>
      </c>
      <c r="C231" s="8" t="s">
        <v>12</v>
      </c>
      <c r="D231" s="8" t="s">
        <v>6</v>
      </c>
      <c r="E231" s="8">
        <v>525</v>
      </c>
      <c r="F231" s="24"/>
      <c r="G231" s="5">
        <v>1</v>
      </c>
      <c r="H231" s="5">
        <v>1</v>
      </c>
      <c r="I231" s="5">
        <v>1</v>
      </c>
      <c r="J231" s="5"/>
      <c r="K231" s="5"/>
      <c r="L231" s="5">
        <v>1</v>
      </c>
      <c r="M231" s="25">
        <v>1</v>
      </c>
      <c r="N231" s="24">
        <v>1</v>
      </c>
      <c r="O231" s="5">
        <v>1</v>
      </c>
      <c r="P231" s="5"/>
      <c r="Q231" s="5"/>
      <c r="R231" s="5"/>
      <c r="S231" s="5">
        <v>1</v>
      </c>
      <c r="T231" s="5"/>
      <c r="U231" s="25"/>
      <c r="V231" s="24"/>
      <c r="W231" s="5">
        <v>1</v>
      </c>
      <c r="X231" s="5">
        <v>1</v>
      </c>
      <c r="Y231" s="5"/>
      <c r="Z231" s="5"/>
      <c r="AA231" s="5">
        <v>1</v>
      </c>
      <c r="AB231" s="5">
        <v>1</v>
      </c>
      <c r="AC231" s="25">
        <v>1</v>
      </c>
      <c r="AD231" s="24">
        <v>1</v>
      </c>
      <c r="AE231" s="5">
        <v>1</v>
      </c>
      <c r="AF231" s="5">
        <v>1</v>
      </c>
      <c r="AG231" s="5">
        <v>1</v>
      </c>
      <c r="AH231" s="5"/>
      <c r="AI231" s="5">
        <v>1</v>
      </c>
      <c r="AJ231" s="5">
        <v>1</v>
      </c>
      <c r="AK231" s="25"/>
      <c r="AL231" s="5">
        <v>525</v>
      </c>
      <c r="AM231" s="8"/>
      <c r="AN231" s="8">
        <v>1</v>
      </c>
      <c r="AO231" s="8">
        <v>1</v>
      </c>
      <c r="AP231" s="8">
        <f t="shared" si="6"/>
        <v>19</v>
      </c>
      <c r="AQ231">
        <v>28</v>
      </c>
      <c r="AR231" s="76">
        <f t="shared" si="7"/>
        <v>0.6785714285714286</v>
      </c>
    </row>
    <row r="232" spans="1:44">
      <c r="A232" s="8">
        <v>526</v>
      </c>
      <c r="B232" s="8" t="s">
        <v>240</v>
      </c>
      <c r="C232" s="8" t="s">
        <v>42</v>
      </c>
      <c r="D232" s="8" t="s">
        <v>42</v>
      </c>
      <c r="E232" s="8">
        <v>526</v>
      </c>
      <c r="F232" s="24"/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25">
        <v>1</v>
      </c>
      <c r="N232" s="24">
        <v>1</v>
      </c>
      <c r="O232" s="5">
        <v>1</v>
      </c>
      <c r="P232" s="5">
        <v>1</v>
      </c>
      <c r="Q232" s="5">
        <v>1</v>
      </c>
      <c r="R232" s="5">
        <v>1</v>
      </c>
      <c r="S232" s="5">
        <v>1</v>
      </c>
      <c r="T232" s="5">
        <v>1</v>
      </c>
      <c r="U232" s="25"/>
      <c r="V232" s="24"/>
      <c r="W232" s="5"/>
      <c r="X232" s="5"/>
      <c r="Y232" s="5">
        <v>1</v>
      </c>
      <c r="Z232" s="5">
        <v>1</v>
      </c>
      <c r="AA232" s="5">
        <v>1</v>
      </c>
      <c r="AB232" s="5">
        <v>1</v>
      </c>
      <c r="AC232" s="25">
        <v>1</v>
      </c>
      <c r="AD232" s="24">
        <v>1</v>
      </c>
      <c r="AE232" s="5">
        <v>1</v>
      </c>
      <c r="AF232" s="5">
        <v>1</v>
      </c>
      <c r="AG232" s="5">
        <v>1</v>
      </c>
      <c r="AH232" s="5">
        <v>1</v>
      </c>
      <c r="AI232" s="5">
        <v>1</v>
      </c>
      <c r="AJ232" s="5">
        <v>1</v>
      </c>
      <c r="AK232" s="25"/>
      <c r="AL232" s="5">
        <v>526</v>
      </c>
      <c r="AM232" s="8"/>
      <c r="AN232" s="8">
        <v>1</v>
      </c>
      <c r="AO232" s="8">
        <v>2</v>
      </c>
      <c r="AP232" s="8">
        <f t="shared" si="6"/>
        <v>26</v>
      </c>
      <c r="AQ232">
        <v>28</v>
      </c>
      <c r="AR232" s="76">
        <f t="shared" si="7"/>
        <v>0.9285714285714286</v>
      </c>
    </row>
    <row r="233" spans="1:44">
      <c r="A233" s="8">
        <v>527</v>
      </c>
      <c r="B233" s="8" t="s">
        <v>65</v>
      </c>
      <c r="C233" s="8" t="s">
        <v>12</v>
      </c>
      <c r="D233" s="8" t="s">
        <v>6</v>
      </c>
      <c r="E233" s="8">
        <v>527</v>
      </c>
      <c r="F233" s="24"/>
      <c r="G233" s="5">
        <v>1</v>
      </c>
      <c r="H233" s="5">
        <v>1</v>
      </c>
      <c r="I233" s="5">
        <v>1</v>
      </c>
      <c r="J233" s="5">
        <v>1</v>
      </c>
      <c r="K233" s="5"/>
      <c r="L233" s="5">
        <v>1</v>
      </c>
      <c r="M233" s="25"/>
      <c r="N233" s="24">
        <v>1</v>
      </c>
      <c r="O233" s="5">
        <v>1</v>
      </c>
      <c r="P233" s="5"/>
      <c r="Q233" s="5">
        <v>1</v>
      </c>
      <c r="R233" s="5"/>
      <c r="S233" s="5">
        <v>1</v>
      </c>
      <c r="T233" s="5"/>
      <c r="U233" s="25"/>
      <c r="V233" s="24"/>
      <c r="W233" s="5">
        <v>1</v>
      </c>
      <c r="X233" s="5">
        <v>1</v>
      </c>
      <c r="Y233" s="5">
        <v>1</v>
      </c>
      <c r="Z233" s="5">
        <v>1</v>
      </c>
      <c r="AA233" s="5"/>
      <c r="AB233" s="5"/>
      <c r="AC233" s="25">
        <v>1</v>
      </c>
      <c r="AD233" s="24">
        <v>1</v>
      </c>
      <c r="AE233" s="5">
        <v>1</v>
      </c>
      <c r="AF233" s="5">
        <v>1</v>
      </c>
      <c r="AG233" s="5">
        <v>1</v>
      </c>
      <c r="AH233" s="5">
        <v>1</v>
      </c>
      <c r="AI233" s="5">
        <v>1</v>
      </c>
      <c r="AJ233" s="5"/>
      <c r="AK233" s="25"/>
      <c r="AL233" s="5">
        <v>527</v>
      </c>
      <c r="AM233" s="8"/>
      <c r="AN233" s="8">
        <v>1</v>
      </c>
      <c r="AO233" s="8">
        <v>1</v>
      </c>
      <c r="AP233" s="8">
        <f t="shared" si="6"/>
        <v>20</v>
      </c>
      <c r="AQ233">
        <v>23</v>
      </c>
      <c r="AR233" s="76">
        <f t="shared" si="7"/>
        <v>0.86956521739130432</v>
      </c>
    </row>
    <row r="234" spans="1:44">
      <c r="A234" s="8">
        <v>528</v>
      </c>
      <c r="B234" s="8" t="s">
        <v>75</v>
      </c>
      <c r="C234" s="8" t="s">
        <v>12</v>
      </c>
      <c r="D234" s="8" t="s">
        <v>6</v>
      </c>
      <c r="E234" s="8">
        <v>528</v>
      </c>
      <c r="F234" s="24">
        <v>1</v>
      </c>
      <c r="G234" s="5">
        <v>1</v>
      </c>
      <c r="H234" s="5">
        <v>1</v>
      </c>
      <c r="I234" s="5"/>
      <c r="J234" s="5"/>
      <c r="K234" s="5"/>
      <c r="L234" s="5"/>
      <c r="M234" s="25"/>
      <c r="N234" s="24"/>
      <c r="O234" s="5"/>
      <c r="P234" s="5"/>
      <c r="Q234" s="5">
        <v>1</v>
      </c>
      <c r="R234" s="5">
        <v>1</v>
      </c>
      <c r="S234" s="5">
        <v>1</v>
      </c>
      <c r="T234" s="5"/>
      <c r="U234" s="25"/>
      <c r="V234" s="24"/>
      <c r="W234" s="5"/>
      <c r="X234" s="5"/>
      <c r="Y234" s="5"/>
      <c r="Z234" s="5"/>
      <c r="AA234" s="5">
        <v>1</v>
      </c>
      <c r="AB234" s="5">
        <v>1</v>
      </c>
      <c r="AC234" s="25">
        <v>1</v>
      </c>
      <c r="AD234" s="24">
        <v>1</v>
      </c>
      <c r="AE234" s="5">
        <v>1</v>
      </c>
      <c r="AF234" s="5"/>
      <c r="AG234" s="5"/>
      <c r="AH234" s="5"/>
      <c r="AI234" s="5">
        <v>1</v>
      </c>
      <c r="AJ234" s="5"/>
      <c r="AK234" s="25"/>
      <c r="AL234" s="5">
        <v>528</v>
      </c>
      <c r="AM234" s="8"/>
      <c r="AN234" s="8">
        <v>1</v>
      </c>
      <c r="AO234" s="8">
        <v>1</v>
      </c>
      <c r="AP234" s="8">
        <f t="shared" si="6"/>
        <v>12</v>
      </c>
      <c r="AQ234">
        <v>29</v>
      </c>
      <c r="AR234" s="76">
        <f t="shared" si="7"/>
        <v>0.41379310344827586</v>
      </c>
    </row>
    <row r="235" spans="1:44">
      <c r="A235" s="8">
        <v>529</v>
      </c>
      <c r="B235" s="8" t="s">
        <v>62</v>
      </c>
      <c r="C235" s="8" t="s">
        <v>42</v>
      </c>
      <c r="D235" s="8" t="s">
        <v>42</v>
      </c>
      <c r="E235" s="8">
        <v>529</v>
      </c>
      <c r="F235" s="24"/>
      <c r="G235" s="5">
        <v>1</v>
      </c>
      <c r="H235" s="5">
        <v>1</v>
      </c>
      <c r="I235" s="5"/>
      <c r="J235" s="5"/>
      <c r="K235" s="5">
        <v>1</v>
      </c>
      <c r="L235" s="5">
        <v>1</v>
      </c>
      <c r="M235" s="25">
        <v>1</v>
      </c>
      <c r="N235" s="24"/>
      <c r="O235" s="5"/>
      <c r="P235" s="5"/>
      <c r="Q235" s="5"/>
      <c r="R235" s="5"/>
      <c r="S235" s="5">
        <v>1</v>
      </c>
      <c r="T235" s="5">
        <v>1</v>
      </c>
      <c r="U235" s="25"/>
      <c r="V235" s="24"/>
      <c r="W235" s="5">
        <v>1</v>
      </c>
      <c r="X235" s="5"/>
      <c r="Y235" s="5">
        <v>1</v>
      </c>
      <c r="Z235" s="5">
        <v>1</v>
      </c>
      <c r="AA235" s="5">
        <v>1</v>
      </c>
      <c r="AB235" s="5">
        <v>1</v>
      </c>
      <c r="AC235" s="25">
        <v>1</v>
      </c>
      <c r="AD235" s="24">
        <v>1</v>
      </c>
      <c r="AE235" s="5">
        <v>1</v>
      </c>
      <c r="AF235" s="5">
        <v>1</v>
      </c>
      <c r="AG235" s="5">
        <v>1</v>
      </c>
      <c r="AH235" s="5"/>
      <c r="AI235" s="5"/>
      <c r="AJ235" s="5">
        <v>1</v>
      </c>
      <c r="AK235" s="25"/>
      <c r="AL235" s="5">
        <v>529</v>
      </c>
      <c r="AM235" s="8"/>
      <c r="AN235" s="8">
        <v>1</v>
      </c>
      <c r="AO235" s="8">
        <v>1</v>
      </c>
      <c r="AP235" s="8">
        <f t="shared" si="6"/>
        <v>18</v>
      </c>
      <c r="AQ235">
        <v>25</v>
      </c>
      <c r="AR235" s="76">
        <f t="shared" si="7"/>
        <v>0.72</v>
      </c>
    </row>
    <row r="236" spans="1:44">
      <c r="A236" s="8">
        <v>530</v>
      </c>
      <c r="B236" s="8" t="s">
        <v>63</v>
      </c>
      <c r="C236" s="8" t="s">
        <v>346</v>
      </c>
      <c r="D236" s="8"/>
      <c r="E236" s="8">
        <v>530</v>
      </c>
      <c r="F236" s="24"/>
      <c r="G236" s="5"/>
      <c r="H236" s="5"/>
      <c r="I236" s="5"/>
      <c r="J236" s="5"/>
      <c r="K236" s="5"/>
      <c r="L236" s="5"/>
      <c r="M236" s="25"/>
      <c r="N236" s="24"/>
      <c r="O236" s="5"/>
      <c r="P236" s="5"/>
      <c r="Q236" s="5"/>
      <c r="R236" s="5"/>
      <c r="S236" s="5"/>
      <c r="T236" s="5"/>
      <c r="U236" s="25"/>
      <c r="V236" s="24"/>
      <c r="W236" s="5"/>
      <c r="X236" s="5"/>
      <c r="Y236" s="5"/>
      <c r="Z236" s="5"/>
      <c r="AA236" s="5"/>
      <c r="AB236" s="5"/>
      <c r="AC236" s="25"/>
      <c r="AD236" s="24"/>
      <c r="AE236" s="5"/>
      <c r="AF236" s="5"/>
      <c r="AG236" s="5"/>
      <c r="AH236" s="5"/>
      <c r="AI236" s="5"/>
      <c r="AJ236" s="5"/>
      <c r="AK236" s="25"/>
      <c r="AL236" s="5">
        <v>530</v>
      </c>
      <c r="AM236" s="8">
        <v>1</v>
      </c>
      <c r="AN236" s="8"/>
      <c r="AO236" s="8"/>
      <c r="AP236" s="8">
        <f t="shared" si="6"/>
        <v>0</v>
      </c>
      <c r="AQ236">
        <v>3</v>
      </c>
      <c r="AR236" s="76">
        <f t="shared" si="7"/>
        <v>0</v>
      </c>
    </row>
    <row r="237" spans="1:44">
      <c r="A237" s="8">
        <v>531</v>
      </c>
      <c r="B237" s="8" t="s">
        <v>54</v>
      </c>
      <c r="C237" s="8" t="s">
        <v>345</v>
      </c>
      <c r="D237" s="8"/>
      <c r="E237" s="8">
        <v>531</v>
      </c>
      <c r="F237" s="24"/>
      <c r="G237" s="5"/>
      <c r="H237" s="5"/>
      <c r="I237" s="5"/>
      <c r="J237" s="5"/>
      <c r="K237" s="5"/>
      <c r="L237" s="5"/>
      <c r="M237" s="25"/>
      <c r="N237" s="24"/>
      <c r="O237" s="5"/>
      <c r="P237" s="5"/>
      <c r="Q237" s="5"/>
      <c r="R237" s="5"/>
      <c r="S237" s="5"/>
      <c r="T237" s="5"/>
      <c r="U237" s="25"/>
      <c r="V237" s="24"/>
      <c r="W237" s="5"/>
      <c r="X237" s="5"/>
      <c r="Y237" s="5"/>
      <c r="Z237" s="5"/>
      <c r="AA237" s="5"/>
      <c r="AB237" s="5"/>
      <c r="AC237" s="25"/>
      <c r="AD237" s="24"/>
      <c r="AE237" s="5"/>
      <c r="AF237" s="5"/>
      <c r="AG237" s="5"/>
      <c r="AH237" s="5"/>
      <c r="AI237" s="5"/>
      <c r="AJ237" s="5"/>
      <c r="AK237" s="25"/>
      <c r="AL237" s="5">
        <v>531</v>
      </c>
      <c r="AM237" s="8">
        <v>1</v>
      </c>
      <c r="AN237" s="8"/>
      <c r="AO237" s="8"/>
      <c r="AP237" s="8">
        <f t="shared" si="6"/>
        <v>0</v>
      </c>
      <c r="AQ237">
        <v>8</v>
      </c>
      <c r="AR237" s="76">
        <f t="shared" si="7"/>
        <v>0</v>
      </c>
    </row>
    <row r="238" spans="1:44">
      <c r="A238" s="8">
        <v>539</v>
      </c>
      <c r="B238" s="8" t="s">
        <v>240</v>
      </c>
      <c r="C238" s="8" t="s">
        <v>42</v>
      </c>
      <c r="D238" s="8" t="s">
        <v>42</v>
      </c>
      <c r="E238" s="8">
        <v>539</v>
      </c>
      <c r="F238" s="24">
        <v>1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25"/>
      <c r="N238" s="24">
        <v>1</v>
      </c>
      <c r="O238" s="5">
        <v>1</v>
      </c>
      <c r="P238" s="5">
        <v>1</v>
      </c>
      <c r="Q238" s="5">
        <v>1</v>
      </c>
      <c r="R238" s="5">
        <v>1</v>
      </c>
      <c r="S238" s="5">
        <v>1</v>
      </c>
      <c r="T238" s="5">
        <v>1</v>
      </c>
      <c r="U238" s="25">
        <v>1</v>
      </c>
      <c r="V238" s="24">
        <v>1</v>
      </c>
      <c r="W238" s="5">
        <v>1</v>
      </c>
      <c r="X238" s="5">
        <v>1</v>
      </c>
      <c r="Y238" s="5">
        <v>1</v>
      </c>
      <c r="Z238" s="5">
        <v>1</v>
      </c>
      <c r="AA238" s="5">
        <v>1</v>
      </c>
      <c r="AB238" s="5">
        <v>1</v>
      </c>
      <c r="AC238" s="25">
        <v>1</v>
      </c>
      <c r="AD238" s="24">
        <v>1</v>
      </c>
      <c r="AE238" s="5">
        <v>1</v>
      </c>
      <c r="AF238" s="5">
        <v>1</v>
      </c>
      <c r="AG238" s="5">
        <v>1</v>
      </c>
      <c r="AH238" s="5"/>
      <c r="AI238" s="5"/>
      <c r="AJ238" s="5"/>
      <c r="AK238" s="25"/>
      <c r="AL238" s="5">
        <v>539</v>
      </c>
      <c r="AM238" s="8"/>
      <c r="AN238" s="8">
        <v>1</v>
      </c>
      <c r="AO238" s="8">
        <v>1</v>
      </c>
      <c r="AP238" s="8">
        <f t="shared" si="6"/>
        <v>27</v>
      </c>
      <c r="AQ238">
        <v>30</v>
      </c>
      <c r="AR238" s="76">
        <f t="shared" si="7"/>
        <v>0.9</v>
      </c>
    </row>
    <row r="239" spans="1:44">
      <c r="A239" s="8">
        <v>540</v>
      </c>
      <c r="B239" s="8" t="s">
        <v>240</v>
      </c>
      <c r="C239" s="8" t="s">
        <v>42</v>
      </c>
      <c r="D239" s="8" t="s">
        <v>42</v>
      </c>
      <c r="E239" s="8">
        <v>540</v>
      </c>
      <c r="F239" s="24">
        <v>1</v>
      </c>
      <c r="G239" s="5">
        <v>1</v>
      </c>
      <c r="H239" s="5">
        <v>1</v>
      </c>
      <c r="I239" s="5">
        <v>1</v>
      </c>
      <c r="J239" s="5">
        <v>1</v>
      </c>
      <c r="K239" s="5">
        <v>1</v>
      </c>
      <c r="L239" s="5">
        <v>1</v>
      </c>
      <c r="M239" s="25">
        <v>1</v>
      </c>
      <c r="N239" s="24">
        <v>1</v>
      </c>
      <c r="O239" s="5">
        <v>1</v>
      </c>
      <c r="P239" s="5">
        <v>1</v>
      </c>
      <c r="Q239" s="5">
        <v>1</v>
      </c>
      <c r="R239" s="5">
        <v>1</v>
      </c>
      <c r="S239" s="5">
        <v>1</v>
      </c>
      <c r="T239" s="5">
        <v>1</v>
      </c>
      <c r="U239" s="25">
        <v>1</v>
      </c>
      <c r="V239" s="24"/>
      <c r="W239" s="5">
        <v>1</v>
      </c>
      <c r="X239" s="5">
        <v>1</v>
      </c>
      <c r="Y239" s="5">
        <v>1</v>
      </c>
      <c r="Z239" s="5">
        <v>1</v>
      </c>
      <c r="AA239" s="5">
        <v>1</v>
      </c>
      <c r="AB239" s="5">
        <v>1</v>
      </c>
      <c r="AC239" s="25">
        <v>1</v>
      </c>
      <c r="AD239" s="24">
        <v>1</v>
      </c>
      <c r="AE239" s="5">
        <v>1</v>
      </c>
      <c r="AF239" s="5">
        <v>1</v>
      </c>
      <c r="AG239" s="5">
        <v>1</v>
      </c>
      <c r="AH239" s="5">
        <v>1</v>
      </c>
      <c r="AI239" s="5">
        <v>1</v>
      </c>
      <c r="AJ239" s="5">
        <v>1</v>
      </c>
      <c r="AK239" s="25">
        <v>1</v>
      </c>
      <c r="AL239" s="5">
        <v>540</v>
      </c>
      <c r="AM239" s="8"/>
      <c r="AN239" s="8">
        <v>1</v>
      </c>
      <c r="AO239" s="8">
        <v>2</v>
      </c>
      <c r="AP239" s="8">
        <f t="shared" si="6"/>
        <v>31</v>
      </c>
      <c r="AQ239">
        <v>31</v>
      </c>
      <c r="AR239" s="76">
        <f t="shared" si="7"/>
        <v>1</v>
      </c>
    </row>
    <row r="240" spans="1:44">
      <c r="A240" s="8">
        <v>544</v>
      </c>
      <c r="B240" s="8" t="s">
        <v>54</v>
      </c>
      <c r="C240" s="8" t="s">
        <v>345</v>
      </c>
      <c r="D240" s="8"/>
      <c r="E240" s="8">
        <v>544</v>
      </c>
      <c r="F240" s="24"/>
      <c r="G240" s="5"/>
      <c r="H240" s="5"/>
      <c r="I240" s="5"/>
      <c r="J240" s="5"/>
      <c r="K240" s="5"/>
      <c r="L240" s="5"/>
      <c r="M240" s="25"/>
      <c r="N240" s="24"/>
      <c r="O240" s="5"/>
      <c r="P240" s="5"/>
      <c r="Q240" s="5"/>
      <c r="R240" s="5"/>
      <c r="S240" s="5"/>
      <c r="T240" s="5"/>
      <c r="U240" s="25"/>
      <c r="V240" s="24"/>
      <c r="W240" s="5"/>
      <c r="X240" s="5"/>
      <c r="Y240" s="5"/>
      <c r="Z240" s="5"/>
      <c r="AA240" s="5"/>
      <c r="AB240" s="5"/>
      <c r="AC240" s="25"/>
      <c r="AD240" s="24"/>
      <c r="AE240" s="5"/>
      <c r="AF240" s="5"/>
      <c r="AG240" s="5"/>
      <c r="AH240" s="5"/>
      <c r="AI240" s="5"/>
      <c r="AJ240" s="5"/>
      <c r="AK240" s="25"/>
      <c r="AL240" s="5">
        <v>544</v>
      </c>
      <c r="AM240" s="8">
        <v>1</v>
      </c>
      <c r="AN240" s="8"/>
      <c r="AO240" s="8"/>
      <c r="AP240" s="8">
        <f t="shared" si="6"/>
        <v>0</v>
      </c>
      <c r="AQ240">
        <v>1</v>
      </c>
      <c r="AR240" s="76">
        <f t="shared" si="7"/>
        <v>0</v>
      </c>
    </row>
    <row r="241" spans="1:44">
      <c r="A241" s="8">
        <v>547</v>
      </c>
      <c r="B241" s="8" t="s">
        <v>201</v>
      </c>
      <c r="C241" s="8" t="s">
        <v>357</v>
      </c>
      <c r="D241" s="8"/>
      <c r="E241" s="8">
        <v>547</v>
      </c>
      <c r="F241" s="24"/>
      <c r="G241" s="5"/>
      <c r="H241" s="5">
        <v>1</v>
      </c>
      <c r="I241" s="5">
        <v>1</v>
      </c>
      <c r="J241" s="5">
        <v>1</v>
      </c>
      <c r="K241" s="5">
        <v>1</v>
      </c>
      <c r="L241" s="5">
        <v>1</v>
      </c>
      <c r="M241" s="25">
        <v>1</v>
      </c>
      <c r="N241" s="24">
        <v>1</v>
      </c>
      <c r="O241" s="5">
        <v>1</v>
      </c>
      <c r="P241" s="5">
        <v>1</v>
      </c>
      <c r="Q241" s="5">
        <v>1</v>
      </c>
      <c r="R241" s="5"/>
      <c r="S241" s="5">
        <v>1</v>
      </c>
      <c r="T241" s="5">
        <v>1</v>
      </c>
      <c r="U241" s="25"/>
      <c r="V241" s="24"/>
      <c r="W241" s="5">
        <v>1</v>
      </c>
      <c r="X241" s="5">
        <v>1</v>
      </c>
      <c r="Y241" s="5"/>
      <c r="Z241" s="5">
        <v>1</v>
      </c>
      <c r="AA241" s="5">
        <v>1</v>
      </c>
      <c r="AB241" s="5">
        <v>1</v>
      </c>
      <c r="AC241" s="25">
        <v>1</v>
      </c>
      <c r="AD241" s="24">
        <v>1</v>
      </c>
      <c r="AE241" s="5">
        <v>1</v>
      </c>
      <c r="AF241" s="5">
        <v>1</v>
      </c>
      <c r="AG241" s="5">
        <v>1</v>
      </c>
      <c r="AH241" s="5">
        <v>1</v>
      </c>
      <c r="AI241" s="5">
        <v>1</v>
      </c>
      <c r="AJ241" s="5">
        <v>1</v>
      </c>
      <c r="AK241" s="25"/>
      <c r="AL241" s="5">
        <v>547</v>
      </c>
      <c r="AM241" s="8"/>
      <c r="AN241" s="8">
        <v>1</v>
      </c>
      <c r="AO241" s="8">
        <v>1</v>
      </c>
      <c r="AP241" s="8">
        <f t="shared" si="6"/>
        <v>25</v>
      </c>
      <c r="AQ241">
        <v>28</v>
      </c>
      <c r="AR241" s="76">
        <f t="shared" si="7"/>
        <v>0.8928571428571429</v>
      </c>
    </row>
    <row r="242" spans="1:44">
      <c r="A242" s="8">
        <v>548</v>
      </c>
      <c r="B242" s="8" t="s">
        <v>56</v>
      </c>
      <c r="C242" s="8" t="s">
        <v>360</v>
      </c>
      <c r="D242" s="8"/>
      <c r="E242" s="8">
        <v>548</v>
      </c>
      <c r="F242" s="24"/>
      <c r="G242" s="5"/>
      <c r="H242" s="5"/>
      <c r="I242" s="5"/>
      <c r="J242" s="5"/>
      <c r="K242" s="5"/>
      <c r="L242" s="5"/>
      <c r="M242" s="25"/>
      <c r="N242" s="24"/>
      <c r="O242" s="5"/>
      <c r="P242" s="5"/>
      <c r="Q242" s="5"/>
      <c r="R242" s="5"/>
      <c r="S242" s="5"/>
      <c r="T242" s="5"/>
      <c r="U242" s="25"/>
      <c r="V242" s="24"/>
      <c r="W242" s="5"/>
      <c r="X242" s="5"/>
      <c r="Y242" s="5"/>
      <c r="Z242" s="5"/>
      <c r="AA242" s="5"/>
      <c r="AB242" s="5"/>
      <c r="AC242" s="25"/>
      <c r="AD242" s="24"/>
      <c r="AE242" s="5"/>
      <c r="AF242" s="5"/>
      <c r="AG242" s="5"/>
      <c r="AH242" s="5"/>
      <c r="AI242" s="5"/>
      <c r="AJ242" s="5"/>
      <c r="AK242" s="25"/>
      <c r="AL242" s="5">
        <v>548</v>
      </c>
      <c r="AM242" s="8">
        <v>1</v>
      </c>
      <c r="AN242" s="8"/>
      <c r="AO242" s="8"/>
      <c r="AP242" s="8">
        <f t="shared" si="6"/>
        <v>0</v>
      </c>
      <c r="AQ242">
        <v>3</v>
      </c>
      <c r="AR242" s="76">
        <f t="shared" si="7"/>
        <v>0</v>
      </c>
    </row>
    <row r="243" spans="1:44">
      <c r="A243" s="8">
        <v>551</v>
      </c>
      <c r="B243" s="8" t="s">
        <v>78</v>
      </c>
      <c r="C243" s="8" t="s">
        <v>359</v>
      </c>
      <c r="D243" s="8"/>
      <c r="E243" s="8">
        <v>551</v>
      </c>
      <c r="F243" s="24"/>
      <c r="G243" s="5"/>
      <c r="H243" s="5"/>
      <c r="I243" s="5"/>
      <c r="J243" s="5"/>
      <c r="K243" s="5"/>
      <c r="L243" s="5"/>
      <c r="M243" s="25">
        <v>1</v>
      </c>
      <c r="N243" s="24">
        <v>1</v>
      </c>
      <c r="O243" s="5">
        <v>1</v>
      </c>
      <c r="P243" s="5">
        <v>1</v>
      </c>
      <c r="Q243" s="5"/>
      <c r="R243" s="5">
        <v>1</v>
      </c>
      <c r="S243" s="5"/>
      <c r="T243" s="5"/>
      <c r="U243" s="25"/>
      <c r="V243" s="24"/>
      <c r="W243" s="5"/>
      <c r="X243" s="5"/>
      <c r="Y243" s="5"/>
      <c r="Z243" s="5"/>
      <c r="AA243" s="5"/>
      <c r="AB243" s="5"/>
      <c r="AC243" s="25"/>
      <c r="AD243" s="24"/>
      <c r="AE243" s="5"/>
      <c r="AF243" s="5"/>
      <c r="AG243" s="5"/>
      <c r="AH243" s="5"/>
      <c r="AI243" s="5"/>
      <c r="AJ243" s="5"/>
      <c r="AK243" s="25"/>
      <c r="AL243" s="5">
        <v>551</v>
      </c>
      <c r="AM243" s="8"/>
      <c r="AN243" s="8">
        <v>1</v>
      </c>
      <c r="AO243" s="8">
        <v>1</v>
      </c>
      <c r="AP243" s="8">
        <f t="shared" si="6"/>
        <v>5</v>
      </c>
      <c r="AQ243">
        <v>21</v>
      </c>
      <c r="AR243" s="76">
        <f t="shared" si="7"/>
        <v>0.23809523809523808</v>
      </c>
    </row>
    <row r="244" spans="1:44">
      <c r="A244" s="8">
        <v>553</v>
      </c>
      <c r="B244" s="8" t="s">
        <v>106</v>
      </c>
      <c r="C244" s="8" t="s">
        <v>349</v>
      </c>
      <c r="D244" s="8" t="s">
        <v>6</v>
      </c>
      <c r="E244" s="8">
        <v>553</v>
      </c>
      <c r="F244" s="24"/>
      <c r="G244" s="5"/>
      <c r="H244" s="5"/>
      <c r="I244" s="5"/>
      <c r="J244" s="5"/>
      <c r="K244" s="5"/>
      <c r="L244" s="5"/>
      <c r="M244" s="25">
        <v>1</v>
      </c>
      <c r="N244" s="24"/>
      <c r="O244" s="5"/>
      <c r="P244" s="5"/>
      <c r="Q244" s="5"/>
      <c r="R244" s="5"/>
      <c r="S244" s="5"/>
      <c r="T244" s="5"/>
      <c r="U244" s="25"/>
      <c r="V244" s="24"/>
      <c r="W244" s="5"/>
      <c r="X244" s="5"/>
      <c r="Y244" s="5"/>
      <c r="Z244" s="5"/>
      <c r="AA244" s="5"/>
      <c r="AB244" s="5"/>
      <c r="AC244" s="25"/>
      <c r="AD244" s="24"/>
      <c r="AE244" s="5"/>
      <c r="AF244" s="5"/>
      <c r="AG244" s="5"/>
      <c r="AH244" s="5"/>
      <c r="AI244" s="5"/>
      <c r="AJ244" s="5"/>
      <c r="AK244" s="25"/>
      <c r="AL244" s="5">
        <v>553</v>
      </c>
      <c r="AM244" s="8"/>
      <c r="AN244" s="8">
        <v>1</v>
      </c>
      <c r="AO244" s="8">
        <v>1</v>
      </c>
      <c r="AP244" s="8">
        <f t="shared" si="6"/>
        <v>1</v>
      </c>
      <c r="AQ244">
        <v>6</v>
      </c>
      <c r="AR244" s="76">
        <f t="shared" si="7"/>
        <v>0.16666666666666666</v>
      </c>
    </row>
    <row r="245" spans="1:44">
      <c r="A245" s="8">
        <v>555</v>
      </c>
      <c r="B245" s="8" t="s">
        <v>73</v>
      </c>
      <c r="C245" s="8" t="s">
        <v>165</v>
      </c>
      <c r="D245" s="8" t="s">
        <v>42</v>
      </c>
      <c r="E245" s="8">
        <v>555</v>
      </c>
      <c r="F245" s="24"/>
      <c r="G245" s="5"/>
      <c r="H245" s="5"/>
      <c r="I245" s="5"/>
      <c r="J245" s="5"/>
      <c r="K245" s="5"/>
      <c r="L245" s="5"/>
      <c r="M245" s="25"/>
      <c r="N245" s="24"/>
      <c r="O245" s="5"/>
      <c r="P245" s="5"/>
      <c r="Q245" s="5"/>
      <c r="R245" s="5"/>
      <c r="S245" s="5"/>
      <c r="T245" s="5"/>
      <c r="U245" s="25"/>
      <c r="V245" s="24"/>
      <c r="W245" s="5">
        <v>1</v>
      </c>
      <c r="X245" s="5">
        <v>1</v>
      </c>
      <c r="Y245" s="5"/>
      <c r="Z245" s="5">
        <v>1</v>
      </c>
      <c r="AA245" s="5">
        <v>1</v>
      </c>
      <c r="AB245" s="5">
        <v>1</v>
      </c>
      <c r="AC245" s="25">
        <v>1</v>
      </c>
      <c r="AD245" s="24">
        <v>1</v>
      </c>
      <c r="AE245" s="5">
        <v>1</v>
      </c>
      <c r="AF245" s="5">
        <v>1</v>
      </c>
      <c r="AG245" s="5">
        <v>1</v>
      </c>
      <c r="AH245" s="5"/>
      <c r="AI245" s="5">
        <v>1</v>
      </c>
      <c r="AJ245" s="5">
        <v>1</v>
      </c>
      <c r="AK245" s="25"/>
      <c r="AL245" s="5">
        <v>555</v>
      </c>
      <c r="AM245" s="8"/>
      <c r="AN245" s="8">
        <v>1</v>
      </c>
      <c r="AO245" s="8">
        <v>1</v>
      </c>
      <c r="AP245" s="8">
        <f t="shared" si="6"/>
        <v>12</v>
      </c>
      <c r="AQ245">
        <v>23</v>
      </c>
      <c r="AR245" s="76">
        <f t="shared" si="7"/>
        <v>0.52173913043478259</v>
      </c>
    </row>
    <row r="246" spans="1:44">
      <c r="A246" s="8">
        <v>559</v>
      </c>
      <c r="B246" s="8" t="s">
        <v>74</v>
      </c>
      <c r="C246" s="8" t="s">
        <v>346</v>
      </c>
      <c r="D246" s="8"/>
      <c r="E246" s="8">
        <v>559</v>
      </c>
      <c r="F246" s="24"/>
      <c r="G246" s="5"/>
      <c r="H246" s="5"/>
      <c r="I246" s="5"/>
      <c r="J246" s="5"/>
      <c r="K246" s="5"/>
      <c r="L246" s="5"/>
      <c r="M246" s="25"/>
      <c r="N246" s="24"/>
      <c r="O246" s="5"/>
      <c r="P246" s="5"/>
      <c r="Q246" s="5"/>
      <c r="R246" s="5"/>
      <c r="S246" s="5"/>
      <c r="T246" s="5"/>
      <c r="U246" s="25"/>
      <c r="V246" s="24"/>
      <c r="W246" s="5"/>
      <c r="X246" s="5"/>
      <c r="Y246" s="5"/>
      <c r="Z246" s="5"/>
      <c r="AA246" s="5"/>
      <c r="AB246" s="5"/>
      <c r="AC246" s="25"/>
      <c r="AD246" s="24"/>
      <c r="AE246" s="5"/>
      <c r="AF246" s="5"/>
      <c r="AG246" s="5"/>
      <c r="AH246" s="5"/>
      <c r="AI246" s="5"/>
      <c r="AJ246" s="5"/>
      <c r="AK246" s="25"/>
      <c r="AL246" s="5">
        <v>559</v>
      </c>
      <c r="AM246" s="8">
        <v>1</v>
      </c>
      <c r="AN246" s="8"/>
      <c r="AO246" s="8"/>
      <c r="AP246" s="8">
        <f t="shared" si="6"/>
        <v>0</v>
      </c>
      <c r="AQ246">
        <v>14</v>
      </c>
      <c r="AR246" s="76">
        <f t="shared" si="7"/>
        <v>0</v>
      </c>
    </row>
    <row r="247" spans="1:44">
      <c r="A247" s="8">
        <v>563</v>
      </c>
      <c r="B247" s="8" t="s">
        <v>80</v>
      </c>
      <c r="C247" s="8" t="s">
        <v>346</v>
      </c>
      <c r="D247" s="8"/>
      <c r="E247" s="8">
        <v>563</v>
      </c>
      <c r="F247" s="24"/>
      <c r="G247" s="5"/>
      <c r="H247" s="5"/>
      <c r="I247" s="5">
        <v>1</v>
      </c>
      <c r="J247" s="5">
        <v>1</v>
      </c>
      <c r="K247" s="5">
        <v>1</v>
      </c>
      <c r="L247" s="5"/>
      <c r="M247" s="25"/>
      <c r="N247" s="24"/>
      <c r="O247" s="5">
        <v>1</v>
      </c>
      <c r="P247" s="5">
        <v>1</v>
      </c>
      <c r="Q247" s="5">
        <v>1</v>
      </c>
      <c r="R247" s="5"/>
      <c r="S247" s="5"/>
      <c r="T247" s="5"/>
      <c r="U247" s="25"/>
      <c r="V247" s="24"/>
      <c r="W247" s="5"/>
      <c r="X247" s="5"/>
      <c r="Y247" s="5">
        <v>1</v>
      </c>
      <c r="Z247" s="5">
        <v>1</v>
      </c>
      <c r="AA247" s="5">
        <v>1</v>
      </c>
      <c r="AB247" s="5"/>
      <c r="AC247" s="25"/>
      <c r="AD247" s="24"/>
      <c r="AE247" s="5"/>
      <c r="AF247" s="5">
        <v>1</v>
      </c>
      <c r="AG247" s="5">
        <v>1</v>
      </c>
      <c r="AH247" s="5">
        <v>1</v>
      </c>
      <c r="AI247" s="5"/>
      <c r="AJ247" s="5"/>
      <c r="AK247" s="25"/>
      <c r="AL247" s="5">
        <v>563</v>
      </c>
      <c r="AM247" s="8"/>
      <c r="AN247" s="8">
        <v>1</v>
      </c>
      <c r="AO247" s="8">
        <v>1</v>
      </c>
      <c r="AP247" s="8">
        <f t="shared" si="6"/>
        <v>12</v>
      </c>
      <c r="AQ247">
        <v>17</v>
      </c>
      <c r="AR247" s="76">
        <f t="shared" si="7"/>
        <v>0.70588235294117652</v>
      </c>
    </row>
    <row r="248" spans="1:44">
      <c r="A248" s="8">
        <v>564</v>
      </c>
      <c r="B248" s="8" t="s">
        <v>62</v>
      </c>
      <c r="C248" s="8" t="s">
        <v>42</v>
      </c>
      <c r="D248" s="8" t="s">
        <v>6</v>
      </c>
      <c r="E248" s="8">
        <v>564</v>
      </c>
      <c r="F248" s="24">
        <v>1</v>
      </c>
      <c r="G248" s="5"/>
      <c r="H248" s="5"/>
      <c r="I248" s="5"/>
      <c r="J248" s="5"/>
      <c r="K248" s="5"/>
      <c r="L248" s="5"/>
      <c r="M248" s="25"/>
      <c r="N248" s="24"/>
      <c r="O248" s="5"/>
      <c r="P248" s="5"/>
      <c r="Q248" s="5"/>
      <c r="R248" s="5">
        <v>1</v>
      </c>
      <c r="S248" s="5"/>
      <c r="T248" s="5"/>
      <c r="U248" s="25"/>
      <c r="V248" s="24"/>
      <c r="W248" s="5"/>
      <c r="X248" s="5"/>
      <c r="Y248" s="5"/>
      <c r="Z248" s="5"/>
      <c r="AA248" s="5"/>
      <c r="AB248" s="5">
        <v>1</v>
      </c>
      <c r="AC248" s="25"/>
      <c r="AD248" s="24"/>
      <c r="AE248" s="5"/>
      <c r="AF248" s="5"/>
      <c r="AG248" s="5"/>
      <c r="AH248" s="5"/>
      <c r="AI248" s="5"/>
      <c r="AJ248" s="5"/>
      <c r="AK248" s="25"/>
      <c r="AL248" s="5">
        <v>564</v>
      </c>
      <c r="AM248" s="8"/>
      <c r="AN248" s="8">
        <v>1</v>
      </c>
      <c r="AO248" s="8">
        <v>1</v>
      </c>
      <c r="AP248" s="8">
        <f t="shared" si="6"/>
        <v>3</v>
      </c>
      <c r="AQ248">
        <v>29</v>
      </c>
      <c r="AR248" s="76">
        <f t="shared" si="7"/>
        <v>0.10344827586206896</v>
      </c>
    </row>
    <row r="249" spans="1:44">
      <c r="A249" s="8">
        <v>567</v>
      </c>
      <c r="B249" s="8" t="s">
        <v>56</v>
      </c>
      <c r="C249" s="8" t="s">
        <v>360</v>
      </c>
      <c r="D249" s="8"/>
      <c r="E249" s="8">
        <v>567</v>
      </c>
      <c r="F249" s="24"/>
      <c r="G249" s="5"/>
      <c r="H249" s="5"/>
      <c r="I249" s="5"/>
      <c r="J249" s="5"/>
      <c r="K249" s="5"/>
      <c r="L249" s="5"/>
      <c r="M249" s="25"/>
      <c r="N249" s="24"/>
      <c r="O249" s="5"/>
      <c r="P249" s="5"/>
      <c r="Q249" s="5"/>
      <c r="R249" s="5"/>
      <c r="S249" s="5"/>
      <c r="T249" s="5"/>
      <c r="U249" s="25"/>
      <c r="V249" s="24"/>
      <c r="W249" s="5"/>
      <c r="X249" s="5"/>
      <c r="Y249" s="5"/>
      <c r="Z249" s="5"/>
      <c r="AA249" s="5"/>
      <c r="AB249" s="5"/>
      <c r="AC249" s="25"/>
      <c r="AD249" s="24"/>
      <c r="AE249" s="5"/>
      <c r="AF249" s="5"/>
      <c r="AG249" s="5"/>
      <c r="AH249" s="5"/>
      <c r="AI249" s="5"/>
      <c r="AJ249" s="5"/>
      <c r="AK249" s="25"/>
      <c r="AL249" s="5">
        <v>567</v>
      </c>
      <c r="AM249" s="8">
        <v>1</v>
      </c>
      <c r="AN249" s="8"/>
      <c r="AO249" s="8"/>
      <c r="AP249" s="8">
        <f t="shared" si="6"/>
        <v>0</v>
      </c>
      <c r="AQ249">
        <v>3</v>
      </c>
      <c r="AR249" s="76">
        <f t="shared" si="7"/>
        <v>0</v>
      </c>
    </row>
    <row r="250" spans="1:44">
      <c r="A250" s="8">
        <v>568</v>
      </c>
      <c r="B250" s="8" t="s">
        <v>65</v>
      </c>
      <c r="C250" s="8" t="s">
        <v>12</v>
      </c>
      <c r="D250" s="8" t="s">
        <v>42</v>
      </c>
      <c r="E250" s="8">
        <v>568</v>
      </c>
      <c r="F250" s="24">
        <v>1</v>
      </c>
      <c r="G250" s="5">
        <v>1</v>
      </c>
      <c r="H250" s="5">
        <v>1</v>
      </c>
      <c r="I250" s="5">
        <v>1</v>
      </c>
      <c r="J250" s="5">
        <v>1</v>
      </c>
      <c r="K250" s="5">
        <v>1</v>
      </c>
      <c r="L250" s="5">
        <v>1</v>
      </c>
      <c r="M250" s="25">
        <v>1</v>
      </c>
      <c r="N250" s="24"/>
      <c r="O250" s="5">
        <v>1</v>
      </c>
      <c r="P250" s="5">
        <v>1</v>
      </c>
      <c r="Q250" s="5">
        <v>1</v>
      </c>
      <c r="R250" s="5">
        <v>1</v>
      </c>
      <c r="S250" s="5">
        <v>1</v>
      </c>
      <c r="T250" s="5">
        <v>1</v>
      </c>
      <c r="U250" s="25"/>
      <c r="V250" s="24"/>
      <c r="W250" s="5">
        <v>1</v>
      </c>
      <c r="X250" s="5">
        <v>1</v>
      </c>
      <c r="Y250" s="5">
        <v>1</v>
      </c>
      <c r="Z250" s="5">
        <v>1</v>
      </c>
      <c r="AA250" s="5">
        <v>1</v>
      </c>
      <c r="AB250" s="5">
        <v>1</v>
      </c>
      <c r="AC250" s="25">
        <v>1</v>
      </c>
      <c r="AD250" s="24">
        <v>1</v>
      </c>
      <c r="AE250" s="5">
        <v>1</v>
      </c>
      <c r="AF250" s="5">
        <v>1</v>
      </c>
      <c r="AG250" s="5">
        <v>1</v>
      </c>
      <c r="AH250" s="5">
        <v>1</v>
      </c>
      <c r="AI250" s="5">
        <v>1</v>
      </c>
      <c r="AJ250" s="5">
        <v>1</v>
      </c>
      <c r="AK250" s="25"/>
      <c r="AL250" s="5">
        <v>568</v>
      </c>
      <c r="AM250" s="8"/>
      <c r="AN250" s="8">
        <v>1</v>
      </c>
      <c r="AO250" s="8">
        <v>1</v>
      </c>
      <c r="AP250" s="8">
        <f t="shared" si="6"/>
        <v>28</v>
      </c>
      <c r="AQ250">
        <v>28</v>
      </c>
      <c r="AR250" s="76">
        <f t="shared" si="7"/>
        <v>1</v>
      </c>
    </row>
    <row r="251" spans="1:44">
      <c r="A251" s="8">
        <v>569</v>
      </c>
      <c r="B251" s="8" t="s">
        <v>59</v>
      </c>
      <c r="C251" s="8" t="s">
        <v>346</v>
      </c>
      <c r="D251" s="8"/>
      <c r="E251" s="8">
        <v>569</v>
      </c>
      <c r="F251" s="24"/>
      <c r="G251" s="5"/>
      <c r="H251" s="5"/>
      <c r="I251" s="5">
        <v>1</v>
      </c>
      <c r="J251" s="5">
        <v>1</v>
      </c>
      <c r="K251" s="5"/>
      <c r="L251" s="5"/>
      <c r="M251" s="25"/>
      <c r="N251" s="24">
        <v>1</v>
      </c>
      <c r="O251" s="5"/>
      <c r="P251" s="5">
        <v>1</v>
      </c>
      <c r="Q251" s="5"/>
      <c r="R251" s="5"/>
      <c r="S251" s="5"/>
      <c r="T251" s="5"/>
      <c r="U251" s="25"/>
      <c r="V251" s="24"/>
      <c r="W251" s="5"/>
      <c r="X251" s="5"/>
      <c r="Y251" s="5"/>
      <c r="Z251" s="5"/>
      <c r="AA251" s="5"/>
      <c r="AB251" s="5">
        <v>1</v>
      </c>
      <c r="AC251" s="25">
        <v>1</v>
      </c>
      <c r="AD251" s="24">
        <v>1</v>
      </c>
      <c r="AE251" s="5">
        <v>1</v>
      </c>
      <c r="AF251" s="5">
        <v>1</v>
      </c>
      <c r="AG251" s="5"/>
      <c r="AH251" s="5"/>
      <c r="AI251" s="5"/>
      <c r="AJ251" s="5"/>
      <c r="AK251" s="25"/>
      <c r="AL251" s="5">
        <v>569</v>
      </c>
      <c r="AM251" s="8"/>
      <c r="AN251" s="8">
        <v>1</v>
      </c>
      <c r="AO251" s="8">
        <v>1</v>
      </c>
      <c r="AP251" s="8">
        <f t="shared" si="6"/>
        <v>9</v>
      </c>
      <c r="AQ251">
        <v>18</v>
      </c>
      <c r="AR251" s="76">
        <f t="shared" si="7"/>
        <v>0.5</v>
      </c>
    </row>
    <row r="252" spans="1:44">
      <c r="A252" s="8">
        <v>570</v>
      </c>
      <c r="B252" s="8" t="s">
        <v>73</v>
      </c>
      <c r="C252" s="8" t="s">
        <v>165</v>
      </c>
      <c r="D252" s="8" t="s">
        <v>6</v>
      </c>
      <c r="E252" s="8">
        <v>570</v>
      </c>
      <c r="F252" s="24"/>
      <c r="G252" s="5">
        <v>1</v>
      </c>
      <c r="H252" s="5">
        <v>1</v>
      </c>
      <c r="I252" s="5">
        <v>1</v>
      </c>
      <c r="J252" s="5">
        <v>1</v>
      </c>
      <c r="K252" s="5">
        <v>1</v>
      </c>
      <c r="L252" s="5">
        <v>1</v>
      </c>
      <c r="M252" s="25">
        <v>1</v>
      </c>
      <c r="N252" s="24">
        <v>1</v>
      </c>
      <c r="O252" s="5">
        <v>1</v>
      </c>
      <c r="P252" s="5">
        <v>1</v>
      </c>
      <c r="Q252" s="5">
        <v>1</v>
      </c>
      <c r="R252" s="5">
        <v>1</v>
      </c>
      <c r="S252" s="5"/>
      <c r="T252" s="5">
        <v>1</v>
      </c>
      <c r="U252" s="25"/>
      <c r="V252" s="24"/>
      <c r="W252" s="5">
        <v>1</v>
      </c>
      <c r="X252" s="5">
        <v>1</v>
      </c>
      <c r="Y252" s="5">
        <v>1</v>
      </c>
      <c r="Z252" s="5">
        <v>1</v>
      </c>
      <c r="AA252" s="5">
        <v>1</v>
      </c>
      <c r="AB252" s="5">
        <v>1</v>
      </c>
      <c r="AC252" s="25">
        <v>1</v>
      </c>
      <c r="AD252" s="24">
        <v>1</v>
      </c>
      <c r="AE252" s="5">
        <v>1</v>
      </c>
      <c r="AF252" s="5">
        <v>1</v>
      </c>
      <c r="AG252" s="5">
        <v>1</v>
      </c>
      <c r="AH252" s="5">
        <v>1</v>
      </c>
      <c r="AI252" s="5"/>
      <c r="AJ252" s="5">
        <v>1</v>
      </c>
      <c r="AK252" s="25"/>
      <c r="AL252" s="5">
        <v>570</v>
      </c>
      <c r="AM252" s="8"/>
      <c r="AN252" s="8">
        <v>1</v>
      </c>
      <c r="AO252" s="8">
        <v>1</v>
      </c>
      <c r="AP252" s="8">
        <f t="shared" si="6"/>
        <v>26</v>
      </c>
      <c r="AQ252">
        <v>27</v>
      </c>
      <c r="AR252" s="76">
        <f t="shared" si="7"/>
        <v>0.96296296296296291</v>
      </c>
    </row>
    <row r="253" spans="1:44">
      <c r="A253" s="8">
        <v>571</v>
      </c>
      <c r="B253" s="8" t="s">
        <v>62</v>
      </c>
      <c r="C253" s="8" t="s">
        <v>42</v>
      </c>
      <c r="D253" s="8" t="s">
        <v>6</v>
      </c>
      <c r="E253" s="8">
        <v>571</v>
      </c>
      <c r="F253" s="24">
        <v>1</v>
      </c>
      <c r="G253" s="5">
        <v>1</v>
      </c>
      <c r="H253" s="5">
        <v>1</v>
      </c>
      <c r="I253" s="5"/>
      <c r="J253" s="5"/>
      <c r="K253" s="5">
        <v>1</v>
      </c>
      <c r="L253" s="5">
        <v>1</v>
      </c>
      <c r="M253" s="25"/>
      <c r="N253" s="24"/>
      <c r="O253" s="5">
        <v>1</v>
      </c>
      <c r="P253" s="5">
        <v>1</v>
      </c>
      <c r="Q253" s="5">
        <v>1</v>
      </c>
      <c r="R253" s="5">
        <v>1</v>
      </c>
      <c r="S253" s="5">
        <v>1</v>
      </c>
      <c r="T253" s="5">
        <v>1</v>
      </c>
      <c r="U253" s="25">
        <v>1</v>
      </c>
      <c r="V253" s="24">
        <v>1</v>
      </c>
      <c r="W253" s="5">
        <v>1</v>
      </c>
      <c r="X253" s="5"/>
      <c r="Y253" s="5">
        <v>1</v>
      </c>
      <c r="Z253" s="5">
        <v>1</v>
      </c>
      <c r="AA253" s="5">
        <v>1</v>
      </c>
      <c r="AB253" s="5">
        <v>1</v>
      </c>
      <c r="AC253" s="25">
        <v>1</v>
      </c>
      <c r="AD253" s="24">
        <v>1</v>
      </c>
      <c r="AE253" s="5">
        <v>1</v>
      </c>
      <c r="AF253" s="5">
        <v>1</v>
      </c>
      <c r="AG253" s="5"/>
      <c r="AH253" s="5"/>
      <c r="AI253" s="5"/>
      <c r="AJ253" s="5">
        <v>1</v>
      </c>
      <c r="AK253" s="25">
        <v>1</v>
      </c>
      <c r="AL253" s="5">
        <v>571</v>
      </c>
      <c r="AM253" s="8"/>
      <c r="AN253" s="8">
        <v>1</v>
      </c>
      <c r="AO253" s="8">
        <v>1</v>
      </c>
      <c r="AP253" s="8">
        <f t="shared" si="6"/>
        <v>24</v>
      </c>
      <c r="AQ253">
        <v>31</v>
      </c>
      <c r="AR253" s="76">
        <f t="shared" si="7"/>
        <v>0.77419354838709675</v>
      </c>
    </row>
    <row r="254" spans="1:44">
      <c r="A254" s="8">
        <v>572</v>
      </c>
      <c r="B254" s="8" t="s">
        <v>74</v>
      </c>
      <c r="C254" s="8" t="s">
        <v>346</v>
      </c>
      <c r="D254" s="8"/>
      <c r="E254" s="8">
        <v>572</v>
      </c>
      <c r="F254" s="24"/>
      <c r="G254" s="5"/>
      <c r="H254" s="5"/>
      <c r="I254" s="5"/>
      <c r="J254" s="5">
        <v>1</v>
      </c>
      <c r="K254" s="5">
        <v>1</v>
      </c>
      <c r="L254" s="5"/>
      <c r="M254" s="25"/>
      <c r="N254" s="24"/>
      <c r="O254" s="5">
        <v>1</v>
      </c>
      <c r="P254" s="5">
        <v>1</v>
      </c>
      <c r="Q254" s="5"/>
      <c r="R254" s="5"/>
      <c r="S254" s="5"/>
      <c r="T254" s="5"/>
      <c r="U254" s="25"/>
      <c r="V254" s="24"/>
      <c r="W254" s="5"/>
      <c r="X254" s="5"/>
      <c r="Y254" s="5"/>
      <c r="Z254" s="5"/>
      <c r="AA254" s="5">
        <v>1</v>
      </c>
      <c r="AB254" s="5">
        <v>1</v>
      </c>
      <c r="AC254" s="25"/>
      <c r="AD254" s="24">
        <v>1</v>
      </c>
      <c r="AE254" s="5">
        <v>1</v>
      </c>
      <c r="AF254" s="5">
        <v>1</v>
      </c>
      <c r="AG254" s="5">
        <v>1</v>
      </c>
      <c r="AH254" s="5"/>
      <c r="AI254" s="5"/>
      <c r="AJ254" s="5"/>
      <c r="AK254" s="25"/>
      <c r="AL254" s="5">
        <v>572</v>
      </c>
      <c r="AM254" s="8"/>
      <c r="AN254" s="8">
        <v>1</v>
      </c>
      <c r="AO254" s="8">
        <v>1</v>
      </c>
      <c r="AP254" s="8">
        <f t="shared" si="6"/>
        <v>10</v>
      </c>
      <c r="AQ254">
        <v>18</v>
      </c>
      <c r="AR254" s="76">
        <f t="shared" si="7"/>
        <v>0.55555555555555558</v>
      </c>
    </row>
    <row r="255" spans="1:44">
      <c r="A255" s="60" t="s">
        <v>342</v>
      </c>
      <c r="B255" s="60"/>
      <c r="C255" s="60"/>
      <c r="D255" s="60"/>
      <c r="E255" s="60" t="s">
        <v>342</v>
      </c>
      <c r="F255" s="151">
        <f t="shared" ref="F255:AK255" si="8">COUNT(F4:F254)</f>
        <v>48</v>
      </c>
      <c r="G255" s="152">
        <f t="shared" si="8"/>
        <v>82</v>
      </c>
      <c r="H255" s="152">
        <f t="shared" si="8"/>
        <v>100</v>
      </c>
      <c r="I255" s="152">
        <f t="shared" si="8"/>
        <v>93</v>
      </c>
      <c r="J255" s="152">
        <f t="shared" si="8"/>
        <v>94</v>
      </c>
      <c r="K255" s="152">
        <f t="shared" si="8"/>
        <v>97</v>
      </c>
      <c r="L255" s="152">
        <f t="shared" si="8"/>
        <v>92</v>
      </c>
      <c r="M255" s="153">
        <f t="shared" si="8"/>
        <v>94</v>
      </c>
      <c r="N255" s="151">
        <f t="shared" si="8"/>
        <v>88</v>
      </c>
      <c r="O255" s="152">
        <f t="shared" si="8"/>
        <v>104</v>
      </c>
      <c r="P255" s="152">
        <f t="shared" si="8"/>
        <v>106</v>
      </c>
      <c r="Q255" s="152">
        <f t="shared" si="8"/>
        <v>93</v>
      </c>
      <c r="R255" s="152">
        <f t="shared" si="8"/>
        <v>84</v>
      </c>
      <c r="S255" s="152">
        <f t="shared" si="8"/>
        <v>86</v>
      </c>
      <c r="T255" s="152">
        <f t="shared" si="8"/>
        <v>83</v>
      </c>
      <c r="U255" s="153">
        <f t="shared" si="8"/>
        <v>48</v>
      </c>
      <c r="V255" s="151">
        <f t="shared" si="8"/>
        <v>55</v>
      </c>
      <c r="W255" s="152">
        <f t="shared" si="8"/>
        <v>77</v>
      </c>
      <c r="X255" s="152">
        <f t="shared" si="8"/>
        <v>87</v>
      </c>
      <c r="Y255" s="152">
        <f t="shared" si="8"/>
        <v>102</v>
      </c>
      <c r="Z255" s="152">
        <f t="shared" si="8"/>
        <v>116</v>
      </c>
      <c r="AA255" s="152">
        <f t="shared" si="8"/>
        <v>129</v>
      </c>
      <c r="AB255" s="152">
        <f t="shared" si="8"/>
        <v>141</v>
      </c>
      <c r="AC255" s="153">
        <f t="shared" si="8"/>
        <v>136</v>
      </c>
      <c r="AD255" s="151">
        <f t="shared" si="8"/>
        <v>139</v>
      </c>
      <c r="AE255" s="152">
        <f t="shared" si="8"/>
        <v>144</v>
      </c>
      <c r="AF255" s="152">
        <f t="shared" si="8"/>
        <v>135</v>
      </c>
      <c r="AG255" s="152">
        <f t="shared" si="8"/>
        <v>127</v>
      </c>
      <c r="AH255" s="152">
        <f t="shared" si="8"/>
        <v>108</v>
      </c>
      <c r="AI255" s="152">
        <f t="shared" si="8"/>
        <v>84</v>
      </c>
      <c r="AJ255" s="152">
        <f t="shared" si="8"/>
        <v>70</v>
      </c>
      <c r="AK255" s="153">
        <f t="shared" si="8"/>
        <v>63</v>
      </c>
      <c r="AL255" s="60" t="s">
        <v>342</v>
      </c>
      <c r="AM255" s="60">
        <f>COUNT(AM4:AM254)</f>
        <v>61</v>
      </c>
      <c r="AN255" s="60">
        <f>SUM(AN4:AN254)</f>
        <v>190</v>
      </c>
      <c r="AO255" s="60"/>
      <c r="AP255" s="60">
        <f>SUM(AP4:AP254)</f>
        <v>3105</v>
      </c>
      <c r="AQ255" s="60">
        <f>SUM(AQ4:AQ254)</f>
        <v>5188</v>
      </c>
      <c r="AR255" s="156">
        <f t="shared" si="7"/>
        <v>0.59849653045489593</v>
      </c>
    </row>
    <row r="256" spans="1:44" s="8" customFormat="1">
      <c r="F256" s="439">
        <f>F255+G255+H255</f>
        <v>230</v>
      </c>
      <c r="G256" s="425"/>
      <c r="H256" s="425"/>
      <c r="I256" s="426">
        <f>I255+J255</f>
        <v>187</v>
      </c>
      <c r="J256" s="426"/>
      <c r="K256" s="78">
        <f>K255</f>
        <v>97</v>
      </c>
      <c r="L256" s="427">
        <f>L255+M255</f>
        <v>186</v>
      </c>
      <c r="M256" s="440"/>
      <c r="N256" s="441">
        <f>N255+O255</f>
        <v>192</v>
      </c>
      <c r="O256" s="427"/>
      <c r="P256" s="78">
        <f>P255</f>
        <v>106</v>
      </c>
      <c r="Q256" s="426">
        <f>Q255+R255</f>
        <v>177</v>
      </c>
      <c r="R256" s="426"/>
      <c r="S256" s="425">
        <f>S255+T255+U255</f>
        <v>217</v>
      </c>
      <c r="T256" s="425"/>
      <c r="U256" s="438"/>
      <c r="V256" s="439">
        <f>V255+W255+X255</f>
        <v>219</v>
      </c>
      <c r="W256" s="425"/>
      <c r="X256" s="425"/>
      <c r="Y256" s="426">
        <f>Y255+Z255</f>
        <v>218</v>
      </c>
      <c r="Z256" s="426"/>
      <c r="AA256" s="78">
        <f>AA255</f>
        <v>129</v>
      </c>
      <c r="AB256" s="427">
        <f>AB255+AC255</f>
        <v>277</v>
      </c>
      <c r="AC256" s="440"/>
      <c r="AD256" s="441">
        <f>AD255+AE255</f>
        <v>283</v>
      </c>
      <c r="AE256" s="427"/>
      <c r="AF256" s="78">
        <f>AF255</f>
        <v>135</v>
      </c>
      <c r="AG256" s="426">
        <f>AG255+AH255</f>
        <v>235</v>
      </c>
      <c r="AH256" s="426"/>
      <c r="AI256" s="425">
        <f>AI255+AJ255+AK255</f>
        <v>217</v>
      </c>
      <c r="AJ256" s="425"/>
      <c r="AK256" s="438"/>
    </row>
    <row r="257" spans="6:37">
      <c r="F257" s="446">
        <f>SUM(F255:M255)</f>
        <v>700</v>
      </c>
      <c r="G257" s="437"/>
      <c r="H257" s="437"/>
      <c r="I257" s="437"/>
      <c r="J257" s="437"/>
      <c r="K257" s="437"/>
      <c r="L257" s="437"/>
      <c r="M257" s="447"/>
      <c r="N257" s="446">
        <f>SUM(N255:U255)</f>
        <v>692</v>
      </c>
      <c r="O257" s="437"/>
      <c r="P257" s="437"/>
      <c r="Q257" s="437"/>
      <c r="R257" s="437"/>
      <c r="S257" s="437"/>
      <c r="T257" s="437"/>
      <c r="U257" s="447"/>
      <c r="V257" s="446">
        <f>SUM(V255:AC255)</f>
        <v>843</v>
      </c>
      <c r="W257" s="437"/>
      <c r="X257" s="437"/>
      <c r="Y257" s="437"/>
      <c r="Z257" s="437"/>
      <c r="AA257" s="437"/>
      <c r="AB257" s="437"/>
      <c r="AC257" s="447"/>
      <c r="AD257" s="446">
        <f>SUM(AD255:AK255)</f>
        <v>870</v>
      </c>
      <c r="AE257" s="437"/>
      <c r="AF257" s="437"/>
      <c r="AG257" s="437"/>
      <c r="AH257" s="437"/>
      <c r="AI257" s="437"/>
      <c r="AJ257" s="437"/>
      <c r="AK257" s="447"/>
    </row>
    <row r="258" spans="6:37">
      <c r="F258" s="442">
        <f>SUM(F257,N257)</f>
        <v>1392</v>
      </c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4"/>
      <c r="V258" s="442">
        <f>SUM(V257,AD257)</f>
        <v>1713</v>
      </c>
      <c r="W258" s="443"/>
      <c r="X258" s="443"/>
      <c r="Y258" s="443"/>
      <c r="Z258" s="443"/>
      <c r="AA258" s="443"/>
      <c r="AB258" s="443"/>
      <c r="AC258" s="443"/>
      <c r="AD258" s="443"/>
      <c r="AE258" s="443"/>
      <c r="AF258" s="443"/>
      <c r="AG258" s="443"/>
      <c r="AH258" s="443"/>
      <c r="AI258" s="443"/>
      <c r="AJ258" s="443"/>
      <c r="AK258" s="444"/>
    </row>
    <row r="259" spans="6:37">
      <c r="F259" s="442">
        <f>SUM(F258,V258)</f>
        <v>3105</v>
      </c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  <c r="AA259" s="443"/>
      <c r="AB259" s="443"/>
      <c r="AC259" s="443"/>
      <c r="AD259" s="443"/>
      <c r="AE259" s="443"/>
      <c r="AF259" s="443"/>
      <c r="AG259" s="443"/>
      <c r="AH259" s="443"/>
      <c r="AI259" s="443"/>
      <c r="AJ259" s="443"/>
      <c r="AK259" s="444"/>
    </row>
    <row r="260" spans="6:37">
      <c r="F260" s="425">
        <f>SUM(F256:H256,S256:X256,AI256:AK256)</f>
        <v>883</v>
      </c>
      <c r="G260" s="425"/>
      <c r="H260" s="425"/>
      <c r="I260" s="426">
        <f>SUM(I256:J256,Q256:R256,Y256:Z256,AG256:AH256)</f>
        <v>817</v>
      </c>
      <c r="J260" s="426"/>
      <c r="K260" s="78">
        <f>SUM(K256,P256,AA256,AF256)</f>
        <v>467</v>
      </c>
      <c r="L260" s="427">
        <f>SUM(L256:O256,AB256:AE256)</f>
        <v>938</v>
      </c>
      <c r="M260" s="427"/>
    </row>
    <row r="261" spans="6:37">
      <c r="F261" s="145"/>
      <c r="G261" s="145"/>
    </row>
    <row r="262" spans="6:37">
      <c r="F262" s="145"/>
      <c r="G262" s="145"/>
    </row>
    <row r="263" spans="6:37">
      <c r="F263" s="145"/>
      <c r="G263" s="145"/>
    </row>
    <row r="264" spans="6:37">
      <c r="F264" s="137"/>
      <c r="G264" s="137"/>
    </row>
    <row r="265" spans="6:37">
      <c r="F265" s="137"/>
      <c r="G265" s="137"/>
    </row>
    <row r="268" spans="6:37">
      <c r="F268" s="145"/>
      <c r="G268" s="145"/>
      <c r="H268" s="145"/>
      <c r="I268" s="145"/>
      <c r="J268" s="145"/>
    </row>
    <row r="269" spans="6:37">
      <c r="F269" s="145"/>
      <c r="G269" s="145"/>
      <c r="H269" s="145"/>
      <c r="I269" s="145"/>
      <c r="J269" s="145"/>
    </row>
    <row r="270" spans="6:37">
      <c r="F270" s="145"/>
      <c r="G270" s="145"/>
      <c r="H270" s="145"/>
      <c r="I270" s="145"/>
      <c r="J270" s="145"/>
    </row>
  </sheetData>
  <mergeCells count="26">
    <mergeCell ref="F260:H260"/>
    <mergeCell ref="I260:J260"/>
    <mergeCell ref="L260:M260"/>
    <mergeCell ref="F1:M1"/>
    <mergeCell ref="N1:U1"/>
    <mergeCell ref="N256:O256"/>
    <mergeCell ref="L256:M256"/>
    <mergeCell ref="F257:M257"/>
    <mergeCell ref="N257:U257"/>
    <mergeCell ref="F259:AK259"/>
    <mergeCell ref="V257:AC257"/>
    <mergeCell ref="AD257:AK257"/>
    <mergeCell ref="S256:U256"/>
    <mergeCell ref="V1:AC1"/>
    <mergeCell ref="F258:U258"/>
    <mergeCell ref="F256:H256"/>
    <mergeCell ref="I256:J256"/>
    <mergeCell ref="Q256:R256"/>
    <mergeCell ref="V258:AK258"/>
    <mergeCell ref="AD1:AK1"/>
    <mergeCell ref="AG256:AH256"/>
    <mergeCell ref="AI256:AK256"/>
    <mergeCell ref="AD256:AE256"/>
    <mergeCell ref="V256:X256"/>
    <mergeCell ref="Y256:Z256"/>
    <mergeCell ref="AB256:AC256"/>
  </mergeCells>
  <conditionalFormatting sqref="B40:D40">
    <cfRule type="duplicateValues" dxfId="7" priority="1" stopIfTrue="1"/>
  </conditionalFormatting>
  <pageMargins left="0.7" right="0.7" top="0.75" bottom="0.75" header="0.3" footer="0.3"/>
  <pageSetup paperSize="9" orientation="portrait" horizontalDpi="0" verticalDpi="0" r:id="rId1"/>
  <ignoredErrors>
    <ignoredError sqref="AP4:AP254" formulaRange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T10" sqref="AT10"/>
    </sheetView>
  </sheetViews>
  <sheetFormatPr defaultRowHeight="15"/>
  <cols>
    <col min="1" max="1" width="5" bestFit="1" customWidth="1"/>
    <col min="2" max="2" width="9.5703125" bestFit="1" customWidth="1"/>
    <col min="3" max="3" width="5" bestFit="1" customWidth="1"/>
    <col min="4" max="4" width="4.5703125" bestFit="1" customWidth="1"/>
    <col min="5" max="5" width="5" bestFit="1" customWidth="1"/>
    <col min="6" max="6" width="2.5703125" style="20" bestFit="1" customWidth="1"/>
    <col min="7" max="7" width="3" style="20" bestFit="1" customWidth="1"/>
    <col min="8" max="8" width="4" style="20" bestFit="1" customWidth="1"/>
    <col min="9" max="11" width="3" style="20" bestFit="1" customWidth="1"/>
    <col min="12" max="13" width="2" style="20" bestFit="1" customWidth="1"/>
    <col min="14" max="14" width="3" style="20" bestFit="1" customWidth="1"/>
    <col min="15" max="15" width="2" style="20" bestFit="1" customWidth="1"/>
    <col min="16" max="16" width="2.140625" style="20" bestFit="1" customWidth="1"/>
    <col min="17" max="20" width="3" style="20" bestFit="1" customWidth="1"/>
    <col min="21" max="22" width="2.5703125" style="20" bestFit="1" customWidth="1"/>
    <col min="23" max="25" width="3" style="20" bestFit="1" customWidth="1"/>
    <col min="26" max="26" width="2.42578125" style="20" bestFit="1" customWidth="1"/>
    <col min="27" max="27" width="2.140625" style="20" bestFit="1" customWidth="1"/>
    <col min="28" max="29" width="2" style="20" bestFit="1" customWidth="1"/>
    <col min="30" max="30" width="3" style="20" bestFit="1" customWidth="1"/>
    <col min="31" max="31" width="2" style="20" bestFit="1" customWidth="1"/>
    <col min="32" max="32" width="2.140625" style="20" bestFit="1" customWidth="1"/>
    <col min="33" max="33" width="2.42578125" style="20" bestFit="1" customWidth="1"/>
    <col min="34" max="36" width="3" style="20" bestFit="1" customWidth="1"/>
    <col min="37" max="37" width="2.5703125" style="20" bestFit="1" customWidth="1"/>
    <col min="38" max="38" width="5" style="20" bestFit="1" customWidth="1"/>
    <col min="39" max="39" width="7.85546875" bestFit="1" customWidth="1"/>
    <col min="41" max="41" width="9.7109375" bestFit="1" customWidth="1"/>
    <col min="42" max="42" width="15.140625" customWidth="1"/>
    <col min="44" max="44" width="13.85546875" customWidth="1"/>
  </cols>
  <sheetData>
    <row r="1" spans="1:44">
      <c r="F1" s="433" t="s">
        <v>336</v>
      </c>
      <c r="G1" s="433"/>
      <c r="H1" s="433"/>
      <c r="I1" s="433"/>
      <c r="J1" s="433"/>
      <c r="K1" s="433"/>
      <c r="L1" s="433"/>
      <c r="M1" s="433"/>
      <c r="N1" s="428" t="s">
        <v>337</v>
      </c>
      <c r="O1" s="428"/>
      <c r="P1" s="428"/>
      <c r="Q1" s="428"/>
      <c r="R1" s="428"/>
      <c r="S1" s="428"/>
      <c r="T1" s="428"/>
      <c r="U1" s="428"/>
      <c r="V1" s="430" t="s">
        <v>339</v>
      </c>
      <c r="W1" s="430"/>
      <c r="X1" s="430"/>
      <c r="Y1" s="430"/>
      <c r="Z1" s="430"/>
      <c r="AA1" s="430"/>
      <c r="AB1" s="430"/>
      <c r="AC1" s="430"/>
      <c r="AD1" s="432" t="s">
        <v>338</v>
      </c>
      <c r="AE1" s="432"/>
      <c r="AF1" s="432"/>
      <c r="AG1" s="432"/>
      <c r="AH1" s="432"/>
      <c r="AI1" s="432"/>
      <c r="AJ1" s="432"/>
      <c r="AK1" s="432"/>
    </row>
    <row r="2" spans="1:44">
      <c r="F2" s="27" t="s">
        <v>42</v>
      </c>
      <c r="G2" s="27" t="s">
        <v>42</v>
      </c>
      <c r="H2" s="27" t="s">
        <v>42</v>
      </c>
      <c r="I2" s="27" t="s">
        <v>340</v>
      </c>
      <c r="J2" s="27" t="s">
        <v>341</v>
      </c>
      <c r="K2" s="27" t="s">
        <v>334</v>
      </c>
      <c r="L2" s="27" t="s">
        <v>335</v>
      </c>
      <c r="M2" s="27" t="s">
        <v>335</v>
      </c>
      <c r="N2" s="33" t="s">
        <v>335</v>
      </c>
      <c r="O2" s="33" t="s">
        <v>335</v>
      </c>
      <c r="P2" s="33" t="s">
        <v>334</v>
      </c>
      <c r="Q2" s="33" t="s">
        <v>341</v>
      </c>
      <c r="R2" s="33" t="s">
        <v>341</v>
      </c>
      <c r="S2" s="33" t="s">
        <v>42</v>
      </c>
      <c r="T2" s="33" t="s">
        <v>42</v>
      </c>
      <c r="U2" s="33" t="s">
        <v>42</v>
      </c>
      <c r="V2" s="39" t="s">
        <v>42</v>
      </c>
      <c r="W2" s="39" t="s">
        <v>42</v>
      </c>
      <c r="X2" s="39" t="s">
        <v>42</v>
      </c>
      <c r="Y2" s="39" t="s">
        <v>341</v>
      </c>
      <c r="Z2" s="39" t="s">
        <v>341</v>
      </c>
      <c r="AA2" s="39" t="s">
        <v>334</v>
      </c>
      <c r="AB2" s="39" t="s">
        <v>335</v>
      </c>
      <c r="AC2" s="39" t="s">
        <v>335</v>
      </c>
      <c r="AD2" s="45" t="s">
        <v>335</v>
      </c>
      <c r="AE2" s="45" t="s">
        <v>335</v>
      </c>
      <c r="AF2" s="45" t="s">
        <v>334</v>
      </c>
      <c r="AG2" s="45" t="s">
        <v>341</v>
      </c>
      <c r="AH2" s="45" t="s">
        <v>341</v>
      </c>
      <c r="AI2" s="45" t="s">
        <v>42</v>
      </c>
      <c r="AJ2" s="45" t="s">
        <v>42</v>
      </c>
      <c r="AK2" s="45" t="s">
        <v>42</v>
      </c>
    </row>
    <row r="3" spans="1:44" ht="30">
      <c r="B3" t="s">
        <v>1</v>
      </c>
      <c r="C3" t="s">
        <v>363</v>
      </c>
      <c r="D3" t="s">
        <v>2</v>
      </c>
      <c r="F3" s="27">
        <v>8</v>
      </c>
      <c r="G3" s="27">
        <v>7</v>
      </c>
      <c r="H3" s="27">
        <v>6</v>
      </c>
      <c r="I3" s="27">
        <v>5</v>
      </c>
      <c r="J3" s="27">
        <v>4</v>
      </c>
      <c r="K3" s="27">
        <v>3</v>
      </c>
      <c r="L3" s="27">
        <v>2</v>
      </c>
      <c r="M3" s="27">
        <v>1</v>
      </c>
      <c r="N3" s="33">
        <v>1</v>
      </c>
      <c r="O3" s="33">
        <v>2</v>
      </c>
      <c r="P3" s="33">
        <v>3</v>
      </c>
      <c r="Q3" s="33">
        <v>4</v>
      </c>
      <c r="R3" s="33">
        <v>5</v>
      </c>
      <c r="S3" s="33">
        <v>6</v>
      </c>
      <c r="T3" s="33">
        <v>7</v>
      </c>
      <c r="U3" s="33">
        <v>8</v>
      </c>
      <c r="V3" s="39">
        <v>8</v>
      </c>
      <c r="W3" s="39">
        <v>7</v>
      </c>
      <c r="X3" s="39">
        <v>6</v>
      </c>
      <c r="Y3" s="39">
        <v>5</v>
      </c>
      <c r="Z3" s="39">
        <v>4</v>
      </c>
      <c r="AA3" s="39">
        <v>3</v>
      </c>
      <c r="AB3" s="39">
        <v>2</v>
      </c>
      <c r="AC3" s="39">
        <v>1</v>
      </c>
      <c r="AD3" s="45">
        <v>1</v>
      </c>
      <c r="AE3" s="45">
        <v>2</v>
      </c>
      <c r="AF3" s="45">
        <v>3</v>
      </c>
      <c r="AG3" s="45">
        <v>4</v>
      </c>
      <c r="AH3" s="45">
        <v>5</v>
      </c>
      <c r="AI3" s="45">
        <v>6</v>
      </c>
      <c r="AJ3" s="45">
        <v>7</v>
      </c>
      <c r="AK3" s="45">
        <v>8</v>
      </c>
      <c r="AL3" s="20" t="s">
        <v>0</v>
      </c>
      <c r="AM3" t="s">
        <v>343</v>
      </c>
      <c r="AN3" t="s">
        <v>7</v>
      </c>
      <c r="AO3" t="s">
        <v>203</v>
      </c>
      <c r="AP3" s="100" t="s">
        <v>384</v>
      </c>
      <c r="AQ3" s="100" t="s">
        <v>369</v>
      </c>
      <c r="AR3" s="100" t="s">
        <v>383</v>
      </c>
    </row>
    <row r="4" spans="1:44">
      <c r="A4" s="8">
        <v>1</v>
      </c>
      <c r="B4" s="8" t="s">
        <v>5</v>
      </c>
      <c r="C4" s="8" t="s">
        <v>42</v>
      </c>
      <c r="D4" s="8" t="s">
        <v>6</v>
      </c>
      <c r="E4" s="8">
        <v>1</v>
      </c>
      <c r="F4" s="24"/>
      <c r="G4" s="5"/>
      <c r="H4" s="5"/>
      <c r="I4" s="5"/>
      <c r="J4" s="5"/>
      <c r="K4" s="5"/>
      <c r="L4" s="5"/>
      <c r="M4" s="25"/>
      <c r="N4" s="24"/>
      <c r="O4" s="5"/>
      <c r="P4" s="5"/>
      <c r="Q4" s="5"/>
      <c r="R4" s="5"/>
      <c r="S4" s="5"/>
      <c r="T4" s="5"/>
      <c r="U4" s="25"/>
      <c r="V4" s="24"/>
      <c r="W4" s="5">
        <v>1</v>
      </c>
      <c r="X4" s="5">
        <v>1</v>
      </c>
      <c r="Y4" s="5">
        <v>1</v>
      </c>
      <c r="Z4" s="5"/>
      <c r="AA4" s="5"/>
      <c r="AB4" s="5"/>
      <c r="AC4" s="25"/>
      <c r="AD4" s="24"/>
      <c r="AE4" s="5"/>
      <c r="AF4" s="5"/>
      <c r="AG4" s="5"/>
      <c r="AH4" s="5"/>
      <c r="AI4" s="5">
        <v>1</v>
      </c>
      <c r="AJ4" s="5"/>
      <c r="AK4" s="25"/>
      <c r="AL4" s="5">
        <v>1</v>
      </c>
      <c r="AM4" s="8"/>
      <c r="AN4" s="8">
        <v>1</v>
      </c>
      <c r="AO4" s="8"/>
      <c r="AP4" s="8">
        <f>SUM(F4:AK4)</f>
        <v>4</v>
      </c>
      <c r="AQ4">
        <v>32</v>
      </c>
      <c r="AR4" s="76">
        <f>AP4/AQ4</f>
        <v>0.125</v>
      </c>
    </row>
    <row r="5" spans="1:44">
      <c r="A5" s="8">
        <v>30</v>
      </c>
      <c r="B5" s="8" t="s">
        <v>41</v>
      </c>
      <c r="C5" s="8" t="s">
        <v>42</v>
      </c>
      <c r="D5" s="8" t="s">
        <v>42</v>
      </c>
      <c r="E5" s="8">
        <v>30</v>
      </c>
      <c r="F5" s="24"/>
      <c r="G5" s="5"/>
      <c r="H5" s="5"/>
      <c r="I5" s="5"/>
      <c r="J5" s="5"/>
      <c r="K5" s="5"/>
      <c r="L5" s="5"/>
      <c r="M5" s="25"/>
      <c r="N5" s="24"/>
      <c r="O5" s="5"/>
      <c r="P5" s="5"/>
      <c r="Q5" s="5"/>
      <c r="R5" s="5"/>
      <c r="S5" s="5">
        <v>1</v>
      </c>
      <c r="T5" s="5"/>
      <c r="U5" s="25"/>
      <c r="V5" s="24"/>
      <c r="W5" s="5"/>
      <c r="X5" s="5"/>
      <c r="Y5" s="5"/>
      <c r="Z5" s="5"/>
      <c r="AA5" s="5"/>
      <c r="AB5" s="5"/>
      <c r="AC5" s="25"/>
      <c r="AD5" s="24"/>
      <c r="AE5" s="5"/>
      <c r="AF5" s="5"/>
      <c r="AG5" s="5"/>
      <c r="AH5" s="5"/>
      <c r="AI5" s="5"/>
      <c r="AJ5" s="5"/>
      <c r="AK5" s="25"/>
      <c r="AL5" s="5">
        <v>30</v>
      </c>
      <c r="AM5" s="8"/>
      <c r="AN5" s="8">
        <v>1</v>
      </c>
      <c r="AO5" s="8"/>
      <c r="AP5" s="8">
        <f>SUM(F5:AK5)</f>
        <v>1</v>
      </c>
      <c r="AQ5">
        <v>32</v>
      </c>
      <c r="AR5" s="76">
        <f>AP5/AQ5</f>
        <v>3.125E-2</v>
      </c>
    </row>
    <row r="6" spans="1:44">
      <c r="A6" s="8">
        <v>34</v>
      </c>
      <c r="B6" s="8" t="s">
        <v>44</v>
      </c>
      <c r="C6" s="8" t="s">
        <v>349</v>
      </c>
      <c r="D6" s="8" t="s">
        <v>6</v>
      </c>
      <c r="E6" s="8">
        <v>34</v>
      </c>
      <c r="F6" s="24"/>
      <c r="G6" s="5"/>
      <c r="H6" s="5"/>
      <c r="I6" s="5"/>
      <c r="J6" s="5"/>
      <c r="K6" s="5"/>
      <c r="L6" s="5"/>
      <c r="M6" s="25"/>
      <c r="N6" s="24"/>
      <c r="O6" s="5"/>
      <c r="P6" s="5"/>
      <c r="Q6" s="5"/>
      <c r="R6" s="5"/>
      <c r="S6" s="5"/>
      <c r="T6" s="5"/>
      <c r="U6" s="25"/>
      <c r="V6" s="24"/>
      <c r="W6" s="5">
        <v>1</v>
      </c>
      <c r="X6" s="5"/>
      <c r="Y6" s="5">
        <v>1</v>
      </c>
      <c r="Z6" s="5"/>
      <c r="AA6" s="5"/>
      <c r="AB6" s="5"/>
      <c r="AC6" s="25"/>
      <c r="AD6" s="24"/>
      <c r="AE6" s="5"/>
      <c r="AF6" s="5"/>
      <c r="AG6" s="5"/>
      <c r="AH6" s="5"/>
      <c r="AI6" s="5"/>
      <c r="AJ6" s="5"/>
      <c r="AK6" s="25"/>
      <c r="AL6" s="5">
        <v>34</v>
      </c>
      <c r="AM6" s="8"/>
      <c r="AN6" s="8">
        <v>1</v>
      </c>
      <c r="AO6" s="8"/>
      <c r="AP6" s="8">
        <f>SUM(F6:AK6)</f>
        <v>2</v>
      </c>
      <c r="AQ6">
        <v>6</v>
      </c>
      <c r="AR6" s="76">
        <f>AP6/AQ6</f>
        <v>0.33333333333333331</v>
      </c>
    </row>
    <row r="7" spans="1:44">
      <c r="A7" s="8">
        <v>38</v>
      </c>
      <c r="B7" s="8" t="s">
        <v>48</v>
      </c>
      <c r="C7" s="8" t="s">
        <v>357</v>
      </c>
      <c r="D7" s="8"/>
      <c r="E7" s="8">
        <v>38</v>
      </c>
      <c r="F7" s="24"/>
      <c r="G7" s="5"/>
      <c r="H7" s="5"/>
      <c r="I7" s="5"/>
      <c r="J7" s="5"/>
      <c r="K7" s="5"/>
      <c r="L7" s="5"/>
      <c r="M7" s="25"/>
      <c r="N7" s="24"/>
      <c r="O7" s="5"/>
      <c r="P7" s="5"/>
      <c r="Q7" s="5"/>
      <c r="R7" s="5"/>
      <c r="S7" s="5"/>
      <c r="T7" s="5"/>
      <c r="U7" s="25"/>
      <c r="V7" s="24"/>
      <c r="W7" s="5"/>
      <c r="X7" s="5"/>
      <c r="Y7" s="5"/>
      <c r="Z7" s="5"/>
      <c r="AA7" s="5"/>
      <c r="AB7" s="5"/>
      <c r="AC7" s="25"/>
      <c r="AD7" s="24"/>
      <c r="AE7" s="5"/>
      <c r="AF7" s="5"/>
      <c r="AG7" s="5"/>
      <c r="AH7" s="5"/>
      <c r="AI7" s="5"/>
      <c r="AJ7" s="5"/>
      <c r="AK7" s="25"/>
      <c r="AL7" s="5">
        <v>38</v>
      </c>
      <c r="AM7" s="8">
        <v>1</v>
      </c>
      <c r="AN7" s="8"/>
      <c r="AO7" s="8"/>
      <c r="AP7" s="8"/>
      <c r="AQ7" s="67">
        <v>12</v>
      </c>
    </row>
    <row r="8" spans="1:44">
      <c r="A8" s="8">
        <v>41</v>
      </c>
      <c r="B8" s="8" t="s">
        <v>5</v>
      </c>
      <c r="C8" s="8" t="s">
        <v>42</v>
      </c>
      <c r="D8" s="8" t="s">
        <v>6</v>
      </c>
      <c r="E8" s="8">
        <v>41</v>
      </c>
      <c r="F8" s="24"/>
      <c r="G8" s="5"/>
      <c r="H8" s="5"/>
      <c r="I8" s="5"/>
      <c r="J8" s="5"/>
      <c r="K8" s="5"/>
      <c r="L8" s="5"/>
      <c r="M8" s="25"/>
      <c r="N8" s="24"/>
      <c r="O8" s="5"/>
      <c r="P8" s="5"/>
      <c r="Q8" s="5"/>
      <c r="R8" s="5"/>
      <c r="S8" s="5"/>
      <c r="T8" s="5"/>
      <c r="U8" s="25"/>
      <c r="V8" s="24"/>
      <c r="W8" s="5"/>
      <c r="X8" s="5">
        <v>1</v>
      </c>
      <c r="Y8" s="5"/>
      <c r="Z8" s="5"/>
      <c r="AA8" s="5"/>
      <c r="AB8" s="5"/>
      <c r="AC8" s="25"/>
      <c r="AD8" s="24"/>
      <c r="AE8" s="5"/>
      <c r="AF8" s="5"/>
      <c r="AG8" s="5"/>
      <c r="AH8" s="5"/>
      <c r="AI8" s="5">
        <v>1</v>
      </c>
      <c r="AJ8" s="5"/>
      <c r="AK8" s="25"/>
      <c r="AL8" s="5">
        <v>41</v>
      </c>
      <c r="AM8" s="8"/>
      <c r="AN8" s="8">
        <v>1</v>
      </c>
      <c r="AO8" s="8"/>
      <c r="AP8" s="8">
        <f>SUM(F8:AK8)</f>
        <v>2</v>
      </c>
      <c r="AQ8">
        <v>29</v>
      </c>
      <c r="AR8" s="76">
        <f>AP8/AQ8</f>
        <v>6.8965517241379309E-2</v>
      </c>
    </row>
    <row r="9" spans="1:44">
      <c r="A9" s="8">
        <v>42</v>
      </c>
      <c r="B9" s="8" t="s">
        <v>53</v>
      </c>
      <c r="C9" s="8" t="s">
        <v>346</v>
      </c>
      <c r="D9" s="8"/>
      <c r="E9" s="8">
        <v>42</v>
      </c>
      <c r="F9" s="24"/>
      <c r="G9" s="5"/>
      <c r="H9" s="5"/>
      <c r="I9" s="5"/>
      <c r="J9" s="5"/>
      <c r="K9" s="5"/>
      <c r="L9" s="5"/>
      <c r="M9" s="25"/>
      <c r="N9" s="24"/>
      <c r="O9" s="5"/>
      <c r="P9" s="5"/>
      <c r="Q9" s="5"/>
      <c r="R9" s="5"/>
      <c r="S9" s="5"/>
      <c r="T9" s="5"/>
      <c r="U9" s="25"/>
      <c r="V9" s="24"/>
      <c r="W9" s="5"/>
      <c r="X9" s="5"/>
      <c r="Y9" s="5"/>
      <c r="Z9" s="5"/>
      <c r="AA9" s="5"/>
      <c r="AB9" s="5"/>
      <c r="AC9" s="25"/>
      <c r="AD9" s="24"/>
      <c r="AE9" s="5"/>
      <c r="AF9" s="5"/>
      <c r="AG9" s="5"/>
      <c r="AH9" s="5"/>
      <c r="AI9" s="5"/>
      <c r="AJ9" s="5"/>
      <c r="AK9" s="25"/>
      <c r="AL9" s="5">
        <v>42</v>
      </c>
      <c r="AM9" s="8">
        <v>1</v>
      </c>
      <c r="AN9" s="8"/>
      <c r="AO9" s="8"/>
      <c r="AP9" s="8"/>
      <c r="AQ9" s="67">
        <v>20</v>
      </c>
    </row>
    <row r="10" spans="1:44">
      <c r="A10" s="8">
        <v>45</v>
      </c>
      <c r="B10" s="8" t="s">
        <v>55</v>
      </c>
      <c r="C10" s="8" t="s">
        <v>346</v>
      </c>
      <c r="D10" s="8"/>
      <c r="E10" s="8">
        <v>45</v>
      </c>
      <c r="F10" s="24"/>
      <c r="G10" s="5"/>
      <c r="H10" s="5"/>
      <c r="I10" s="5"/>
      <c r="J10" s="5"/>
      <c r="K10" s="5"/>
      <c r="L10" s="5"/>
      <c r="M10" s="25"/>
      <c r="N10" s="24"/>
      <c r="O10" s="5"/>
      <c r="P10" s="5"/>
      <c r="Q10" s="5"/>
      <c r="R10" s="5"/>
      <c r="S10" s="5"/>
      <c r="T10" s="5"/>
      <c r="U10" s="25"/>
      <c r="V10" s="24"/>
      <c r="W10" s="5"/>
      <c r="X10" s="5"/>
      <c r="Y10" s="5"/>
      <c r="Z10" s="5"/>
      <c r="AA10" s="5"/>
      <c r="AB10" s="5"/>
      <c r="AC10" s="25"/>
      <c r="AD10" s="24"/>
      <c r="AE10" s="5"/>
      <c r="AF10" s="5"/>
      <c r="AG10" s="5"/>
      <c r="AH10" s="5"/>
      <c r="AI10" s="5"/>
      <c r="AJ10" s="5"/>
      <c r="AK10" s="25"/>
      <c r="AL10" s="5">
        <v>45</v>
      </c>
      <c r="AM10" s="8">
        <v>1</v>
      </c>
      <c r="AN10" s="8"/>
      <c r="AO10" s="8"/>
      <c r="AP10" s="8"/>
      <c r="AQ10" s="67">
        <v>9</v>
      </c>
    </row>
    <row r="11" spans="1:44">
      <c r="A11" s="8">
        <v>46</v>
      </c>
      <c r="B11" s="55" t="s">
        <v>56</v>
      </c>
      <c r="C11" s="8" t="s">
        <v>360</v>
      </c>
      <c r="D11" s="8"/>
      <c r="E11" s="8">
        <v>46</v>
      </c>
      <c r="F11" s="24"/>
      <c r="G11" s="5"/>
      <c r="H11" s="5"/>
      <c r="I11" s="5"/>
      <c r="J11" s="5"/>
      <c r="K11" s="5"/>
      <c r="L11" s="5"/>
      <c r="M11" s="25"/>
      <c r="N11" s="24"/>
      <c r="O11" s="5"/>
      <c r="P11" s="5"/>
      <c r="Q11" s="5"/>
      <c r="R11" s="5"/>
      <c r="S11" s="5"/>
      <c r="T11" s="5"/>
      <c r="U11" s="25"/>
      <c r="V11" s="24"/>
      <c r="W11" s="5"/>
      <c r="X11" s="5"/>
      <c r="Y11" s="5"/>
      <c r="Z11" s="5"/>
      <c r="AA11" s="5"/>
      <c r="AB11" s="5"/>
      <c r="AC11" s="25"/>
      <c r="AD11" s="24"/>
      <c r="AE11" s="5"/>
      <c r="AF11" s="5"/>
      <c r="AG11" s="5"/>
      <c r="AH11" s="5"/>
      <c r="AI11" s="5"/>
      <c r="AJ11" s="5"/>
      <c r="AK11" s="25"/>
      <c r="AL11" s="5">
        <v>46</v>
      </c>
      <c r="AM11" s="8">
        <v>1</v>
      </c>
      <c r="AN11" s="8"/>
      <c r="AO11" s="8"/>
      <c r="AP11" s="8"/>
      <c r="AQ11" s="67">
        <v>7</v>
      </c>
    </row>
    <row r="12" spans="1:44">
      <c r="A12" s="8">
        <v>48</v>
      </c>
      <c r="B12" s="8" t="s">
        <v>57</v>
      </c>
      <c r="C12" s="8" t="s">
        <v>12</v>
      </c>
      <c r="D12" s="8" t="s">
        <v>6</v>
      </c>
      <c r="E12" s="8">
        <v>48</v>
      </c>
      <c r="F12" s="24"/>
      <c r="G12" s="5"/>
      <c r="H12" s="5"/>
      <c r="I12" s="5"/>
      <c r="J12" s="5"/>
      <c r="K12" s="5"/>
      <c r="L12" s="5"/>
      <c r="M12" s="25"/>
      <c r="N12" s="24"/>
      <c r="O12" s="5"/>
      <c r="P12" s="5"/>
      <c r="Q12" s="5"/>
      <c r="R12" s="5"/>
      <c r="S12" s="5"/>
      <c r="T12" s="5"/>
      <c r="U12" s="25"/>
      <c r="V12" s="24"/>
      <c r="W12" s="5"/>
      <c r="X12" s="5"/>
      <c r="Y12" s="5"/>
      <c r="Z12" s="5"/>
      <c r="AA12" s="5"/>
      <c r="AB12" s="5"/>
      <c r="AC12" s="25"/>
      <c r="AD12" s="24"/>
      <c r="AE12" s="5"/>
      <c r="AF12" s="5"/>
      <c r="AG12" s="5"/>
      <c r="AH12" s="5"/>
      <c r="AI12" s="5"/>
      <c r="AJ12" s="5"/>
      <c r="AK12" s="25"/>
      <c r="AL12" s="5">
        <v>48</v>
      </c>
      <c r="AM12" s="8">
        <v>1</v>
      </c>
      <c r="AN12" s="8"/>
      <c r="AO12" s="8"/>
      <c r="AP12" s="8"/>
      <c r="AQ12" s="67">
        <v>5</v>
      </c>
    </row>
    <row r="13" spans="1:44">
      <c r="A13" s="8">
        <v>49</v>
      </c>
      <c r="B13" s="8" t="s">
        <v>58</v>
      </c>
      <c r="C13" s="8" t="s">
        <v>358</v>
      </c>
      <c r="D13" s="8" t="s">
        <v>6</v>
      </c>
      <c r="E13" s="8">
        <v>49</v>
      </c>
      <c r="F13" s="24"/>
      <c r="G13" s="5"/>
      <c r="H13" s="5"/>
      <c r="I13" s="5"/>
      <c r="J13" s="5"/>
      <c r="K13" s="5"/>
      <c r="L13" s="5"/>
      <c r="M13" s="25"/>
      <c r="N13" s="24"/>
      <c r="O13" s="5"/>
      <c r="P13" s="5"/>
      <c r="Q13" s="5"/>
      <c r="R13" s="5"/>
      <c r="S13" s="5"/>
      <c r="T13" s="5"/>
      <c r="U13" s="25"/>
      <c r="V13" s="24"/>
      <c r="W13" s="5"/>
      <c r="X13" s="5"/>
      <c r="Y13" s="5"/>
      <c r="Z13" s="5"/>
      <c r="AA13" s="5"/>
      <c r="AB13" s="5"/>
      <c r="AC13" s="25"/>
      <c r="AD13" s="24"/>
      <c r="AE13" s="5"/>
      <c r="AF13" s="5"/>
      <c r="AG13" s="5"/>
      <c r="AH13" s="5"/>
      <c r="AI13" s="5"/>
      <c r="AJ13" s="5"/>
      <c r="AK13" s="25"/>
      <c r="AL13" s="5">
        <v>49</v>
      </c>
      <c r="AM13" s="8">
        <v>1</v>
      </c>
      <c r="AN13" s="8"/>
      <c r="AO13" s="8"/>
      <c r="AP13" s="8"/>
      <c r="AQ13" s="67">
        <v>32</v>
      </c>
    </row>
    <row r="14" spans="1:44">
      <c r="A14" s="8">
        <v>52</v>
      </c>
      <c r="B14" s="8" t="s">
        <v>41</v>
      </c>
      <c r="C14" s="8" t="s">
        <v>42</v>
      </c>
      <c r="D14" s="8" t="s">
        <v>6</v>
      </c>
      <c r="E14" s="8">
        <v>52</v>
      </c>
      <c r="F14" s="24"/>
      <c r="G14" s="5"/>
      <c r="H14" s="5"/>
      <c r="I14" s="5"/>
      <c r="J14" s="5"/>
      <c r="K14" s="5"/>
      <c r="L14" s="5"/>
      <c r="M14" s="25"/>
      <c r="N14" s="24"/>
      <c r="O14" s="5"/>
      <c r="P14" s="5"/>
      <c r="Q14" s="5"/>
      <c r="R14" s="5"/>
      <c r="S14" s="5"/>
      <c r="T14" s="5"/>
      <c r="U14" s="25"/>
      <c r="V14" s="24"/>
      <c r="W14" s="5"/>
      <c r="X14" s="5">
        <v>1</v>
      </c>
      <c r="Y14" s="5"/>
      <c r="Z14" s="5"/>
      <c r="AA14" s="5"/>
      <c r="AB14" s="5"/>
      <c r="AC14" s="25"/>
      <c r="AD14" s="24"/>
      <c r="AE14" s="5"/>
      <c r="AF14" s="5"/>
      <c r="AG14" s="5"/>
      <c r="AH14" s="5"/>
      <c r="AI14" s="5"/>
      <c r="AJ14" s="5">
        <v>1</v>
      </c>
      <c r="AK14" s="25"/>
      <c r="AL14" s="5">
        <v>52</v>
      </c>
      <c r="AM14" s="8"/>
      <c r="AN14" s="8">
        <v>1</v>
      </c>
      <c r="AO14" s="8"/>
      <c r="AP14" s="8">
        <f>SUM(F14:AK14)</f>
        <v>2</v>
      </c>
      <c r="AQ14">
        <v>31</v>
      </c>
      <c r="AR14" s="76">
        <f>AP14/AQ14</f>
        <v>6.4516129032258063E-2</v>
      </c>
    </row>
    <row r="15" spans="1:44">
      <c r="A15" s="8">
        <v>53</v>
      </c>
      <c r="B15" s="8" t="s">
        <v>62</v>
      </c>
      <c r="C15" s="8" t="s">
        <v>42</v>
      </c>
      <c r="D15" s="8" t="s">
        <v>42</v>
      </c>
      <c r="E15" s="8">
        <v>53</v>
      </c>
      <c r="F15" s="24"/>
      <c r="G15" s="5"/>
      <c r="H15" s="5"/>
      <c r="I15" s="5"/>
      <c r="J15" s="5"/>
      <c r="K15" s="5"/>
      <c r="L15" s="5"/>
      <c r="M15" s="25"/>
      <c r="N15" s="24"/>
      <c r="O15" s="5"/>
      <c r="P15" s="5"/>
      <c r="Q15" s="5"/>
      <c r="R15" s="5"/>
      <c r="S15" s="5"/>
      <c r="T15" s="5"/>
      <c r="U15" s="25"/>
      <c r="V15" s="24"/>
      <c r="W15" s="5"/>
      <c r="X15" s="5"/>
      <c r="Y15" s="5"/>
      <c r="Z15" s="5"/>
      <c r="AA15" s="5"/>
      <c r="AB15" s="5"/>
      <c r="AC15" s="25"/>
      <c r="AD15" s="24"/>
      <c r="AE15" s="5"/>
      <c r="AF15" s="5"/>
      <c r="AG15" s="5"/>
      <c r="AH15" s="5"/>
      <c r="AI15" s="5">
        <v>1</v>
      </c>
      <c r="AJ15" s="5"/>
      <c r="AK15" s="25"/>
      <c r="AL15" s="5">
        <v>53</v>
      </c>
      <c r="AM15" s="8"/>
      <c r="AN15" s="8">
        <v>1</v>
      </c>
      <c r="AO15" s="8"/>
      <c r="AP15" s="8">
        <f>SUM(F15:AK15)</f>
        <v>1</v>
      </c>
      <c r="AQ15">
        <v>32</v>
      </c>
      <c r="AR15" s="76">
        <f>AP15/AQ15</f>
        <v>3.125E-2</v>
      </c>
    </row>
    <row r="16" spans="1:44">
      <c r="A16" s="8">
        <v>54</v>
      </c>
      <c r="B16" s="8" t="s">
        <v>63</v>
      </c>
      <c r="C16" s="8" t="s">
        <v>346</v>
      </c>
      <c r="D16" s="8"/>
      <c r="E16" s="8">
        <v>54</v>
      </c>
      <c r="F16" s="24"/>
      <c r="G16" s="5"/>
      <c r="H16" s="5"/>
      <c r="I16" s="5"/>
      <c r="J16" s="5"/>
      <c r="K16" s="5"/>
      <c r="L16" s="5"/>
      <c r="M16" s="25"/>
      <c r="N16" s="24"/>
      <c r="O16" s="5"/>
      <c r="P16" s="5"/>
      <c r="Q16" s="5"/>
      <c r="R16" s="5"/>
      <c r="S16" s="5"/>
      <c r="T16" s="5"/>
      <c r="U16" s="25"/>
      <c r="V16" s="24"/>
      <c r="W16" s="5"/>
      <c r="X16" s="5"/>
      <c r="Y16" s="5"/>
      <c r="Z16" s="5"/>
      <c r="AA16" s="5"/>
      <c r="AB16" s="5"/>
      <c r="AC16" s="25"/>
      <c r="AD16" s="24"/>
      <c r="AE16" s="5"/>
      <c r="AF16" s="5"/>
      <c r="AG16" s="5"/>
      <c r="AH16" s="5"/>
      <c r="AI16" s="5"/>
      <c r="AJ16" s="5"/>
      <c r="AK16" s="25"/>
      <c r="AL16" s="5">
        <v>54</v>
      </c>
      <c r="AM16" s="8">
        <v>1</v>
      </c>
      <c r="AN16" s="8"/>
      <c r="AO16" s="8"/>
      <c r="AP16" s="8"/>
      <c r="AQ16" s="67">
        <v>16</v>
      </c>
    </row>
    <row r="17" spans="1:44">
      <c r="A17" s="8">
        <v>56</v>
      </c>
      <c r="B17" s="8" t="s">
        <v>53</v>
      </c>
      <c r="C17" s="8" t="s">
        <v>346</v>
      </c>
      <c r="D17" s="8"/>
      <c r="E17" s="8">
        <v>56</v>
      </c>
      <c r="F17" s="24"/>
      <c r="G17" s="5"/>
      <c r="H17" s="5"/>
      <c r="I17" s="5"/>
      <c r="J17" s="5"/>
      <c r="K17" s="5"/>
      <c r="L17" s="5"/>
      <c r="M17" s="25"/>
      <c r="N17" s="24"/>
      <c r="O17" s="5"/>
      <c r="P17" s="5"/>
      <c r="Q17" s="5"/>
      <c r="R17" s="5"/>
      <c r="S17" s="5"/>
      <c r="T17" s="5"/>
      <c r="U17" s="25"/>
      <c r="V17" s="24"/>
      <c r="W17" s="5"/>
      <c r="X17" s="5"/>
      <c r="Y17" s="5"/>
      <c r="Z17" s="5"/>
      <c r="AA17" s="5"/>
      <c r="AB17" s="5"/>
      <c r="AC17" s="25"/>
      <c r="AD17" s="24"/>
      <c r="AE17" s="5"/>
      <c r="AF17" s="5"/>
      <c r="AG17" s="5"/>
      <c r="AH17" s="5"/>
      <c r="AI17" s="5"/>
      <c r="AJ17" s="5"/>
      <c r="AK17" s="25"/>
      <c r="AL17" s="5">
        <v>56</v>
      </c>
      <c r="AM17" s="8">
        <v>1</v>
      </c>
      <c r="AN17" s="8"/>
      <c r="AO17" s="8"/>
      <c r="AP17" s="8"/>
      <c r="AQ17" s="67">
        <v>20</v>
      </c>
    </row>
    <row r="18" spans="1:44">
      <c r="A18" s="8">
        <v>57</v>
      </c>
      <c r="B18" s="8" t="s">
        <v>44</v>
      </c>
      <c r="C18" s="8" t="s">
        <v>349</v>
      </c>
      <c r="D18" s="8" t="s">
        <v>6</v>
      </c>
      <c r="E18" s="8">
        <v>57</v>
      </c>
      <c r="F18" s="24"/>
      <c r="G18" s="5">
        <v>1</v>
      </c>
      <c r="H18" s="5">
        <v>1</v>
      </c>
      <c r="I18" s="5"/>
      <c r="J18" s="5">
        <v>1</v>
      </c>
      <c r="K18" s="5"/>
      <c r="L18" s="5"/>
      <c r="M18" s="25"/>
      <c r="N18" s="24"/>
      <c r="O18" s="5"/>
      <c r="P18" s="5"/>
      <c r="Q18" s="5">
        <v>1</v>
      </c>
      <c r="R18" s="5"/>
      <c r="S18" s="5">
        <v>1</v>
      </c>
      <c r="T18" s="5"/>
      <c r="U18" s="25"/>
      <c r="V18" s="24"/>
      <c r="W18" s="5">
        <v>1</v>
      </c>
      <c r="X18" s="5">
        <v>1</v>
      </c>
      <c r="Y18" s="5">
        <v>1</v>
      </c>
      <c r="Z18" s="5">
        <v>1</v>
      </c>
      <c r="AA18" s="5"/>
      <c r="AB18" s="5"/>
      <c r="AC18" s="25">
        <v>1</v>
      </c>
      <c r="AD18" s="24">
        <v>1</v>
      </c>
      <c r="AE18" s="5"/>
      <c r="AF18" s="5"/>
      <c r="AG18" s="5"/>
      <c r="AH18" s="5"/>
      <c r="AI18" s="5">
        <v>1</v>
      </c>
      <c r="AJ18" s="5">
        <v>1</v>
      </c>
      <c r="AK18" s="25"/>
      <c r="AL18" s="5">
        <v>57</v>
      </c>
      <c r="AM18" s="8"/>
      <c r="AN18" s="8">
        <v>1</v>
      </c>
      <c r="AO18" s="8"/>
      <c r="AP18" s="8">
        <f>SUM(F18:AK18)</f>
        <v>13</v>
      </c>
      <c r="AQ18">
        <v>28</v>
      </c>
      <c r="AR18" s="76">
        <f>AP18/AQ18</f>
        <v>0.4642857142857143</v>
      </c>
    </row>
    <row r="19" spans="1:44">
      <c r="A19" s="8">
        <v>59</v>
      </c>
      <c r="B19" s="55" t="s">
        <v>56</v>
      </c>
      <c r="C19" s="8" t="s">
        <v>360</v>
      </c>
      <c r="D19" s="8"/>
      <c r="E19" s="8">
        <v>59</v>
      </c>
      <c r="F19" s="24"/>
      <c r="G19" s="5"/>
      <c r="H19" s="5"/>
      <c r="I19" s="5"/>
      <c r="J19" s="5"/>
      <c r="K19" s="5"/>
      <c r="L19" s="5"/>
      <c r="M19" s="25"/>
      <c r="N19" s="24"/>
      <c r="O19" s="5"/>
      <c r="P19" s="5"/>
      <c r="Q19" s="5"/>
      <c r="R19" s="5"/>
      <c r="S19" s="5"/>
      <c r="T19" s="5"/>
      <c r="U19" s="25"/>
      <c r="V19" s="24"/>
      <c r="W19" s="5"/>
      <c r="X19" s="5"/>
      <c r="Y19" s="5"/>
      <c r="Z19" s="5"/>
      <c r="AA19" s="5"/>
      <c r="AB19" s="5"/>
      <c r="AC19" s="25"/>
      <c r="AD19" s="24"/>
      <c r="AE19" s="5"/>
      <c r="AF19" s="5"/>
      <c r="AG19" s="5"/>
      <c r="AH19" s="5"/>
      <c r="AI19" s="5"/>
      <c r="AJ19" s="5"/>
      <c r="AK19" s="25"/>
      <c r="AL19" s="5">
        <v>59</v>
      </c>
      <c r="AM19" s="8">
        <v>1</v>
      </c>
      <c r="AN19" s="8"/>
      <c r="AO19" s="8"/>
      <c r="AP19" s="8"/>
      <c r="AQ19" s="67">
        <v>8</v>
      </c>
    </row>
    <row r="20" spans="1:44">
      <c r="A20" s="8">
        <v>60</v>
      </c>
      <c r="B20" s="8" t="s">
        <v>48</v>
      </c>
      <c r="C20" s="8" t="s">
        <v>357</v>
      </c>
      <c r="D20" s="8"/>
      <c r="E20" s="8">
        <v>60</v>
      </c>
      <c r="F20" s="24"/>
      <c r="G20" s="5"/>
      <c r="H20" s="5"/>
      <c r="I20" s="5"/>
      <c r="J20" s="5"/>
      <c r="K20" s="5"/>
      <c r="L20" s="5"/>
      <c r="M20" s="25"/>
      <c r="N20" s="24"/>
      <c r="O20" s="5"/>
      <c r="P20" s="5"/>
      <c r="Q20" s="5"/>
      <c r="R20" s="5"/>
      <c r="S20" s="5"/>
      <c r="T20" s="5"/>
      <c r="U20" s="25"/>
      <c r="V20" s="24"/>
      <c r="W20" s="5"/>
      <c r="X20" s="5"/>
      <c r="Y20" s="5"/>
      <c r="Z20" s="5"/>
      <c r="AA20" s="5"/>
      <c r="AB20" s="5"/>
      <c r="AC20" s="25"/>
      <c r="AD20" s="24"/>
      <c r="AE20" s="5"/>
      <c r="AF20" s="5"/>
      <c r="AG20" s="5"/>
      <c r="AH20" s="5"/>
      <c r="AI20" s="5"/>
      <c r="AJ20" s="5"/>
      <c r="AK20" s="25"/>
      <c r="AL20" s="5">
        <v>60</v>
      </c>
      <c r="AM20" s="8">
        <v>1</v>
      </c>
      <c r="AN20" s="8"/>
      <c r="AO20" s="8"/>
      <c r="AP20" s="8"/>
      <c r="AQ20">
        <v>24</v>
      </c>
    </row>
    <row r="21" spans="1:44">
      <c r="A21" s="8">
        <v>61</v>
      </c>
      <c r="B21" s="8" t="s">
        <v>99</v>
      </c>
      <c r="C21" s="8" t="s">
        <v>346</v>
      </c>
      <c r="D21" s="8"/>
      <c r="E21" s="8">
        <v>61</v>
      </c>
      <c r="F21" s="24"/>
      <c r="G21" s="5"/>
      <c r="H21" s="5"/>
      <c r="I21" s="5"/>
      <c r="J21" s="5"/>
      <c r="K21" s="5"/>
      <c r="L21" s="5"/>
      <c r="M21" s="25"/>
      <c r="N21" s="24"/>
      <c r="O21" s="5"/>
      <c r="P21" s="5"/>
      <c r="Q21" s="5"/>
      <c r="R21" s="5"/>
      <c r="S21" s="5"/>
      <c r="T21" s="5"/>
      <c r="U21" s="25"/>
      <c r="V21" s="24"/>
      <c r="W21" s="5"/>
      <c r="X21" s="5"/>
      <c r="Y21" s="5"/>
      <c r="Z21" s="5"/>
      <c r="AA21" s="5"/>
      <c r="AB21" s="5"/>
      <c r="AC21" s="25"/>
      <c r="AD21" s="24"/>
      <c r="AE21" s="5"/>
      <c r="AF21" s="5"/>
      <c r="AG21" s="5"/>
      <c r="AH21" s="5"/>
      <c r="AI21" s="5"/>
      <c r="AJ21" s="5"/>
      <c r="AK21" s="25"/>
      <c r="AL21" s="5">
        <v>61</v>
      </c>
      <c r="AM21" s="8">
        <v>1</v>
      </c>
      <c r="AN21" s="8"/>
      <c r="AO21" s="8"/>
      <c r="AP21" s="8"/>
      <c r="AQ21">
        <v>22</v>
      </c>
    </row>
    <row r="22" spans="1:44">
      <c r="A22" s="8">
        <v>62</v>
      </c>
      <c r="B22" s="8" t="s">
        <v>68</v>
      </c>
      <c r="C22" s="8" t="s">
        <v>357</v>
      </c>
      <c r="D22" s="8"/>
      <c r="E22" s="8">
        <v>62</v>
      </c>
      <c r="F22" s="24"/>
      <c r="G22" s="5"/>
      <c r="H22" s="5"/>
      <c r="I22" s="5"/>
      <c r="J22" s="5"/>
      <c r="K22" s="5"/>
      <c r="L22" s="5"/>
      <c r="M22" s="25"/>
      <c r="N22" s="24"/>
      <c r="O22" s="5"/>
      <c r="P22" s="5"/>
      <c r="Q22" s="5"/>
      <c r="R22" s="5"/>
      <c r="S22" s="5"/>
      <c r="T22" s="5"/>
      <c r="U22" s="25"/>
      <c r="V22" s="24"/>
      <c r="W22" s="5"/>
      <c r="X22" s="5"/>
      <c r="Y22" s="5"/>
      <c r="Z22" s="5"/>
      <c r="AA22" s="5"/>
      <c r="AB22" s="5"/>
      <c r="AC22" s="25"/>
      <c r="AD22" s="24"/>
      <c r="AE22" s="5"/>
      <c r="AF22" s="5"/>
      <c r="AG22" s="5"/>
      <c r="AH22" s="5"/>
      <c r="AI22" s="5"/>
      <c r="AJ22" s="5"/>
      <c r="AK22" s="25"/>
      <c r="AL22" s="5">
        <v>62</v>
      </c>
      <c r="AM22" s="8">
        <v>1</v>
      </c>
      <c r="AN22" s="8"/>
      <c r="AO22" s="8"/>
      <c r="AP22" s="8"/>
      <c r="AQ22">
        <v>28</v>
      </c>
    </row>
    <row r="23" spans="1:44">
      <c r="A23" s="8">
        <v>63</v>
      </c>
      <c r="B23" s="8" t="s">
        <v>71</v>
      </c>
      <c r="C23" s="8" t="s">
        <v>366</v>
      </c>
      <c r="D23" s="8" t="s">
        <v>42</v>
      </c>
      <c r="E23" s="8">
        <v>63</v>
      </c>
      <c r="F23" s="24"/>
      <c r="G23" s="5"/>
      <c r="H23" s="5"/>
      <c r="I23" s="5"/>
      <c r="J23" s="5"/>
      <c r="K23" s="5"/>
      <c r="L23" s="5"/>
      <c r="M23" s="25"/>
      <c r="N23" s="24"/>
      <c r="O23" s="5"/>
      <c r="P23" s="5"/>
      <c r="Q23" s="5"/>
      <c r="R23" s="5"/>
      <c r="S23" s="5"/>
      <c r="T23" s="5"/>
      <c r="U23" s="25"/>
      <c r="V23" s="24"/>
      <c r="W23" s="5"/>
      <c r="X23" s="5"/>
      <c r="Y23" s="5"/>
      <c r="Z23" s="5"/>
      <c r="AA23" s="5"/>
      <c r="AB23" s="5"/>
      <c r="AC23" s="25"/>
      <c r="AD23" s="24"/>
      <c r="AE23" s="5"/>
      <c r="AF23" s="5"/>
      <c r="AG23" s="5"/>
      <c r="AH23" s="5"/>
      <c r="AI23" s="5"/>
      <c r="AJ23" s="5"/>
      <c r="AK23" s="25"/>
      <c r="AL23" s="5">
        <v>63</v>
      </c>
      <c r="AM23" s="8">
        <v>1</v>
      </c>
      <c r="AN23" s="8"/>
      <c r="AO23" s="8"/>
      <c r="AP23" s="8"/>
      <c r="AQ23">
        <v>32</v>
      </c>
    </row>
    <row r="24" spans="1:44">
      <c r="A24" s="8">
        <v>64</v>
      </c>
      <c r="B24" s="8" t="s">
        <v>73</v>
      </c>
      <c r="C24" s="8" t="s">
        <v>165</v>
      </c>
      <c r="D24" s="8" t="s">
        <v>42</v>
      </c>
      <c r="E24" s="8">
        <v>64</v>
      </c>
      <c r="F24" s="24"/>
      <c r="G24" s="5"/>
      <c r="H24" s="5"/>
      <c r="I24" s="5"/>
      <c r="J24" s="5"/>
      <c r="K24" s="5"/>
      <c r="L24" s="5"/>
      <c r="M24" s="25"/>
      <c r="N24" s="24"/>
      <c r="O24" s="5"/>
      <c r="P24" s="5"/>
      <c r="Q24" s="5"/>
      <c r="R24" s="5"/>
      <c r="S24" s="5"/>
      <c r="T24" s="5"/>
      <c r="U24" s="25"/>
      <c r="V24" s="24"/>
      <c r="W24" s="5"/>
      <c r="X24" s="5"/>
      <c r="Y24" s="5"/>
      <c r="Z24" s="5"/>
      <c r="AA24" s="5"/>
      <c r="AB24" s="5"/>
      <c r="AC24" s="25"/>
      <c r="AD24" s="24"/>
      <c r="AE24" s="5"/>
      <c r="AF24" s="5"/>
      <c r="AG24" s="5"/>
      <c r="AH24" s="5"/>
      <c r="AI24" s="5"/>
      <c r="AJ24" s="5">
        <v>1</v>
      </c>
      <c r="AK24" s="25"/>
      <c r="AL24" s="5">
        <v>64</v>
      </c>
      <c r="AM24" s="8"/>
      <c r="AN24" s="8">
        <v>1</v>
      </c>
      <c r="AO24" s="8"/>
      <c r="AP24" s="8">
        <f>SUM(F24:AK24)</f>
        <v>1</v>
      </c>
      <c r="AQ24">
        <v>32</v>
      </c>
      <c r="AR24" s="76">
        <f>AP24/AQ24</f>
        <v>3.125E-2</v>
      </c>
    </row>
    <row r="25" spans="1:44">
      <c r="A25" s="8">
        <v>65</v>
      </c>
      <c r="B25" s="8" t="s">
        <v>74</v>
      </c>
      <c r="C25" s="8" t="s">
        <v>346</v>
      </c>
      <c r="D25" s="8"/>
      <c r="E25" s="8">
        <v>65</v>
      </c>
      <c r="F25" s="24"/>
      <c r="G25" s="5"/>
      <c r="H25" s="5"/>
      <c r="I25" s="5"/>
      <c r="J25" s="5"/>
      <c r="K25" s="5"/>
      <c r="L25" s="5"/>
      <c r="M25" s="25"/>
      <c r="N25" s="24"/>
      <c r="O25" s="5"/>
      <c r="P25" s="5"/>
      <c r="Q25" s="5"/>
      <c r="R25" s="5"/>
      <c r="S25" s="5"/>
      <c r="T25" s="5"/>
      <c r="U25" s="25"/>
      <c r="V25" s="24"/>
      <c r="W25" s="5"/>
      <c r="X25" s="5"/>
      <c r="Y25" s="5"/>
      <c r="Z25" s="5"/>
      <c r="AA25" s="5"/>
      <c r="AB25" s="5"/>
      <c r="AC25" s="25"/>
      <c r="AD25" s="24"/>
      <c r="AE25" s="5"/>
      <c r="AF25" s="5"/>
      <c r="AG25" s="5"/>
      <c r="AH25" s="5"/>
      <c r="AI25" s="5"/>
      <c r="AJ25" s="5"/>
      <c r="AK25" s="25"/>
      <c r="AL25" s="5">
        <v>65</v>
      </c>
      <c r="AM25" s="8">
        <v>1</v>
      </c>
      <c r="AN25" s="8"/>
      <c r="AO25" s="8"/>
      <c r="AP25" s="8"/>
      <c r="AQ25">
        <v>12</v>
      </c>
    </row>
    <row r="26" spans="1:44">
      <c r="A26" s="8">
        <v>68</v>
      </c>
      <c r="B26" s="8" t="s">
        <v>65</v>
      </c>
      <c r="C26" s="8" t="s">
        <v>12</v>
      </c>
      <c r="D26" s="8" t="s">
        <v>42</v>
      </c>
      <c r="E26" s="8">
        <v>68</v>
      </c>
      <c r="F26" s="24"/>
      <c r="G26" s="5"/>
      <c r="H26" s="5"/>
      <c r="I26" s="5"/>
      <c r="J26" s="5"/>
      <c r="K26" s="5"/>
      <c r="L26" s="5"/>
      <c r="M26" s="25"/>
      <c r="N26" s="24"/>
      <c r="O26" s="5"/>
      <c r="P26" s="5"/>
      <c r="Q26" s="5"/>
      <c r="R26" s="5"/>
      <c r="S26" s="5"/>
      <c r="T26" s="5"/>
      <c r="U26" s="25"/>
      <c r="V26" s="24"/>
      <c r="W26" s="5"/>
      <c r="X26" s="5"/>
      <c r="Y26" s="5"/>
      <c r="Z26" s="5"/>
      <c r="AA26" s="5"/>
      <c r="AB26" s="5"/>
      <c r="AC26" s="25"/>
      <c r="AD26" s="24"/>
      <c r="AE26" s="5"/>
      <c r="AF26" s="5"/>
      <c r="AG26" s="5"/>
      <c r="AH26" s="5"/>
      <c r="AI26" s="5"/>
      <c r="AJ26" s="5"/>
      <c r="AK26" s="25"/>
      <c r="AL26" s="5">
        <v>68</v>
      </c>
      <c r="AM26" s="8">
        <v>1</v>
      </c>
      <c r="AN26" s="8"/>
      <c r="AO26" s="8"/>
      <c r="AP26" s="8"/>
      <c r="AQ26">
        <v>32</v>
      </c>
    </row>
    <row r="27" spans="1:44">
      <c r="A27" s="8">
        <v>69</v>
      </c>
      <c r="B27" s="8" t="s">
        <v>78</v>
      </c>
      <c r="C27" s="8" t="s">
        <v>359</v>
      </c>
      <c r="D27" s="8"/>
      <c r="E27" s="8">
        <v>69</v>
      </c>
      <c r="F27" s="24"/>
      <c r="G27" s="5"/>
      <c r="H27" s="5"/>
      <c r="I27" s="5"/>
      <c r="J27" s="5"/>
      <c r="K27" s="5"/>
      <c r="L27" s="5"/>
      <c r="M27" s="25"/>
      <c r="N27" s="24"/>
      <c r="O27" s="5"/>
      <c r="P27" s="5"/>
      <c r="Q27" s="5"/>
      <c r="R27" s="5"/>
      <c r="S27" s="5"/>
      <c r="T27" s="5"/>
      <c r="U27" s="25"/>
      <c r="V27" s="24"/>
      <c r="W27" s="5"/>
      <c r="X27" s="5"/>
      <c r="Y27" s="5"/>
      <c r="Z27" s="5"/>
      <c r="AA27" s="5"/>
      <c r="AB27" s="5"/>
      <c r="AC27" s="25"/>
      <c r="AD27" s="24"/>
      <c r="AE27" s="5"/>
      <c r="AF27" s="5"/>
      <c r="AG27" s="5"/>
      <c r="AH27" s="5"/>
      <c r="AI27" s="5"/>
      <c r="AJ27" s="5"/>
      <c r="AK27" s="25"/>
      <c r="AL27" s="5">
        <v>69</v>
      </c>
      <c r="AM27" s="8">
        <v>1</v>
      </c>
      <c r="AN27" s="8"/>
      <c r="AO27" s="8"/>
      <c r="AP27" s="8"/>
      <c r="AQ27">
        <v>24</v>
      </c>
    </row>
    <row r="28" spans="1:44">
      <c r="A28" s="8">
        <v>70</v>
      </c>
      <c r="B28" s="8" t="s">
        <v>80</v>
      </c>
      <c r="C28" s="8" t="s">
        <v>346</v>
      </c>
      <c r="D28" s="8"/>
      <c r="E28" s="8">
        <v>70</v>
      </c>
      <c r="F28" s="24"/>
      <c r="G28" s="5"/>
      <c r="H28" s="5"/>
      <c r="I28" s="5"/>
      <c r="J28" s="5"/>
      <c r="K28" s="5"/>
      <c r="L28" s="5"/>
      <c r="M28" s="25"/>
      <c r="N28" s="24"/>
      <c r="O28" s="5"/>
      <c r="P28" s="5"/>
      <c r="Q28" s="5"/>
      <c r="R28" s="5"/>
      <c r="S28" s="5"/>
      <c r="T28" s="5"/>
      <c r="U28" s="25"/>
      <c r="V28" s="24"/>
      <c r="W28" s="5"/>
      <c r="X28" s="5"/>
      <c r="Y28" s="5"/>
      <c r="Z28" s="5"/>
      <c r="AA28" s="5"/>
      <c r="AB28" s="5"/>
      <c r="AC28" s="25"/>
      <c r="AD28" s="24"/>
      <c r="AE28" s="5"/>
      <c r="AF28" s="5"/>
      <c r="AG28" s="5"/>
      <c r="AH28" s="5"/>
      <c r="AI28" s="5"/>
      <c r="AJ28" s="5"/>
      <c r="AK28" s="25"/>
      <c r="AL28" s="5">
        <v>70</v>
      </c>
      <c r="AM28" s="8">
        <v>1</v>
      </c>
      <c r="AN28" s="8"/>
      <c r="AO28" s="8"/>
      <c r="AP28" s="8"/>
      <c r="AQ28">
        <v>20</v>
      </c>
    </row>
    <row r="29" spans="1:44">
      <c r="A29" s="8" t="s">
        <v>82</v>
      </c>
      <c r="B29" s="8" t="s">
        <v>55</v>
      </c>
      <c r="C29" s="8" t="s">
        <v>346</v>
      </c>
      <c r="D29" s="8"/>
      <c r="E29" s="8" t="s">
        <v>82</v>
      </c>
      <c r="F29" s="24"/>
      <c r="G29" s="5"/>
      <c r="H29" s="5"/>
      <c r="I29" s="5"/>
      <c r="J29" s="5"/>
      <c r="K29" s="5"/>
      <c r="L29" s="5"/>
      <c r="M29" s="25"/>
      <c r="N29" s="24"/>
      <c r="O29" s="5"/>
      <c r="P29" s="5"/>
      <c r="Q29" s="5"/>
      <c r="R29" s="5"/>
      <c r="S29" s="5"/>
      <c r="T29" s="5"/>
      <c r="U29" s="25"/>
      <c r="V29" s="24"/>
      <c r="W29" s="5"/>
      <c r="X29" s="5"/>
      <c r="Y29" s="5"/>
      <c r="Z29" s="5"/>
      <c r="AA29" s="5"/>
      <c r="AB29" s="5"/>
      <c r="AC29" s="25"/>
      <c r="AD29" s="24"/>
      <c r="AE29" s="5"/>
      <c r="AF29" s="5"/>
      <c r="AG29" s="5"/>
      <c r="AH29" s="5"/>
      <c r="AI29" s="5"/>
      <c r="AJ29" s="5"/>
      <c r="AK29" s="25"/>
      <c r="AL29" s="5" t="s">
        <v>82</v>
      </c>
      <c r="AM29" s="8">
        <v>1</v>
      </c>
      <c r="AN29" s="8"/>
      <c r="AO29" s="8"/>
      <c r="AP29" s="8"/>
      <c r="AQ29">
        <v>20</v>
      </c>
    </row>
    <row r="30" spans="1:44">
      <c r="A30" s="8">
        <v>72</v>
      </c>
      <c r="B30" s="8" t="s">
        <v>5</v>
      </c>
      <c r="C30" s="8" t="s">
        <v>42</v>
      </c>
      <c r="D30" s="8" t="s">
        <v>42</v>
      </c>
      <c r="E30" s="8">
        <v>72</v>
      </c>
      <c r="F30" s="24"/>
      <c r="G30" s="5"/>
      <c r="H30" s="5">
        <v>1</v>
      </c>
      <c r="I30" s="5"/>
      <c r="J30" s="5"/>
      <c r="K30" s="5"/>
      <c r="L30" s="5"/>
      <c r="M30" s="25"/>
      <c r="N30" s="24"/>
      <c r="O30" s="5"/>
      <c r="P30" s="5"/>
      <c r="Q30" s="5"/>
      <c r="R30" s="5">
        <v>1</v>
      </c>
      <c r="S30" s="5">
        <v>1</v>
      </c>
      <c r="T30" s="5"/>
      <c r="U30" s="25"/>
      <c r="V30" s="24"/>
      <c r="W30" s="5"/>
      <c r="X30" s="5"/>
      <c r="Y30" s="5"/>
      <c r="Z30" s="5"/>
      <c r="AA30" s="5"/>
      <c r="AB30" s="5"/>
      <c r="AC30" s="25"/>
      <c r="AD30" s="24"/>
      <c r="AE30" s="5"/>
      <c r="AF30" s="5"/>
      <c r="AG30" s="5"/>
      <c r="AH30" s="5"/>
      <c r="AI30" s="5"/>
      <c r="AJ30" s="5"/>
      <c r="AK30" s="25"/>
      <c r="AL30" s="5">
        <v>72</v>
      </c>
      <c r="AM30" s="8"/>
      <c r="AN30" s="8">
        <v>1</v>
      </c>
      <c r="AO30" s="8"/>
      <c r="AP30" s="8">
        <f>SUM(F30:AK30)</f>
        <v>3</v>
      </c>
      <c r="AQ30">
        <v>31</v>
      </c>
      <c r="AR30" s="76">
        <f>AP30/AQ30</f>
        <v>9.6774193548387094E-2</v>
      </c>
    </row>
    <row r="31" spans="1:44">
      <c r="A31" s="8">
        <v>73</v>
      </c>
      <c r="B31" s="8" t="s">
        <v>44</v>
      </c>
      <c r="C31" s="8" t="s">
        <v>349</v>
      </c>
      <c r="D31" s="8" t="s">
        <v>6</v>
      </c>
      <c r="E31" s="8">
        <v>73</v>
      </c>
      <c r="F31" s="24"/>
      <c r="G31" s="5">
        <v>1</v>
      </c>
      <c r="H31" s="5">
        <v>1</v>
      </c>
      <c r="I31" s="5">
        <v>1</v>
      </c>
      <c r="J31" s="5">
        <v>1</v>
      </c>
      <c r="K31" s="5"/>
      <c r="L31" s="5">
        <v>1</v>
      </c>
      <c r="M31" s="25">
        <v>1</v>
      </c>
      <c r="N31" s="24">
        <v>1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25"/>
      <c r="V31" s="24"/>
      <c r="W31" s="5">
        <v>1</v>
      </c>
      <c r="X31" s="5">
        <v>1</v>
      </c>
      <c r="Y31" s="5">
        <v>1</v>
      </c>
      <c r="Z31" s="5">
        <v>1</v>
      </c>
      <c r="AA31" s="5"/>
      <c r="AB31" s="5"/>
      <c r="AC31" s="25"/>
      <c r="AD31" s="24">
        <v>1</v>
      </c>
      <c r="AE31" s="5"/>
      <c r="AF31" s="5"/>
      <c r="AG31" s="5"/>
      <c r="AH31" s="5">
        <v>1</v>
      </c>
      <c r="AI31" s="5">
        <v>1</v>
      </c>
      <c r="AJ31" s="5">
        <v>1</v>
      </c>
      <c r="AK31" s="25"/>
      <c r="AL31" s="5">
        <v>73</v>
      </c>
      <c r="AM31" s="8"/>
      <c r="AN31" s="8">
        <v>1</v>
      </c>
      <c r="AO31" s="8"/>
      <c r="AP31" s="8">
        <f>SUM(F31:AK31)</f>
        <v>21</v>
      </c>
      <c r="AQ31">
        <v>28</v>
      </c>
      <c r="AR31" s="76">
        <f>AP31/AQ31</f>
        <v>0.75</v>
      </c>
    </row>
    <row r="32" spans="1:44">
      <c r="A32" s="8">
        <v>74</v>
      </c>
      <c r="B32" s="8" t="s">
        <v>88</v>
      </c>
      <c r="C32" s="8" t="s">
        <v>12</v>
      </c>
      <c r="D32" s="8" t="s">
        <v>6</v>
      </c>
      <c r="E32" s="8">
        <v>74</v>
      </c>
      <c r="F32" s="24"/>
      <c r="G32" s="5"/>
      <c r="H32" s="5"/>
      <c r="I32" s="5"/>
      <c r="J32" s="5"/>
      <c r="K32" s="5"/>
      <c r="L32" s="5"/>
      <c r="M32" s="25"/>
      <c r="N32" s="24"/>
      <c r="O32" s="5"/>
      <c r="P32" s="5"/>
      <c r="Q32" s="5"/>
      <c r="R32" s="5"/>
      <c r="S32" s="5"/>
      <c r="T32" s="5"/>
      <c r="U32" s="25"/>
      <c r="V32" s="24"/>
      <c r="W32" s="5"/>
      <c r="X32" s="5"/>
      <c r="Y32" s="5"/>
      <c r="Z32" s="5"/>
      <c r="AA32" s="5"/>
      <c r="AB32" s="5"/>
      <c r="AC32" s="25"/>
      <c r="AD32" s="24"/>
      <c r="AE32" s="5"/>
      <c r="AF32" s="5"/>
      <c r="AG32" s="5"/>
      <c r="AH32" s="5"/>
      <c r="AI32" s="5"/>
      <c r="AJ32" s="5"/>
      <c r="AK32" s="25"/>
      <c r="AL32" s="5">
        <v>74</v>
      </c>
      <c r="AM32" s="8">
        <v>1</v>
      </c>
      <c r="AN32" s="8"/>
      <c r="AO32" s="8"/>
      <c r="AP32" s="8"/>
      <c r="AQ32">
        <v>32</v>
      </c>
    </row>
    <row r="33" spans="1:44">
      <c r="A33" s="8">
        <v>76</v>
      </c>
      <c r="B33" s="8" t="s">
        <v>73</v>
      </c>
      <c r="C33" s="8" t="s">
        <v>165</v>
      </c>
      <c r="D33" s="8" t="s">
        <v>42</v>
      </c>
      <c r="E33" s="8">
        <v>76</v>
      </c>
      <c r="F33" s="24"/>
      <c r="G33" s="5"/>
      <c r="H33" s="5"/>
      <c r="I33" s="5"/>
      <c r="J33" s="5"/>
      <c r="K33" s="5"/>
      <c r="L33" s="5"/>
      <c r="M33" s="25"/>
      <c r="N33" s="24"/>
      <c r="O33" s="5"/>
      <c r="P33" s="5"/>
      <c r="Q33" s="5"/>
      <c r="R33" s="5"/>
      <c r="S33" s="5"/>
      <c r="T33" s="5"/>
      <c r="U33" s="25"/>
      <c r="V33" s="24"/>
      <c r="W33" s="5"/>
      <c r="X33" s="5"/>
      <c r="Y33" s="5"/>
      <c r="Z33" s="5"/>
      <c r="AA33" s="5"/>
      <c r="AB33" s="5"/>
      <c r="AC33" s="25"/>
      <c r="AD33" s="24"/>
      <c r="AE33" s="5"/>
      <c r="AF33" s="5"/>
      <c r="AG33" s="5"/>
      <c r="AH33" s="5"/>
      <c r="AI33" s="5">
        <v>1</v>
      </c>
      <c r="AJ33" s="5"/>
      <c r="AK33" s="25"/>
      <c r="AL33" s="5">
        <v>76</v>
      </c>
      <c r="AM33" s="8"/>
      <c r="AN33" s="8">
        <v>1</v>
      </c>
      <c r="AO33" s="8"/>
      <c r="AP33" s="8">
        <f>SUM(F33:AK33)</f>
        <v>1</v>
      </c>
      <c r="AQ33">
        <v>32</v>
      </c>
      <c r="AR33" s="76">
        <f>AP33/AQ33</f>
        <v>3.125E-2</v>
      </c>
    </row>
    <row r="34" spans="1:44">
      <c r="A34" s="8">
        <v>77</v>
      </c>
      <c r="B34" s="8" t="s">
        <v>78</v>
      </c>
      <c r="C34" s="8" t="s">
        <v>359</v>
      </c>
      <c r="D34" s="8"/>
      <c r="E34" s="8">
        <v>77</v>
      </c>
      <c r="F34" s="24"/>
      <c r="G34" s="5"/>
      <c r="H34" s="5"/>
      <c r="I34" s="5"/>
      <c r="J34" s="5"/>
      <c r="K34" s="5"/>
      <c r="L34" s="5"/>
      <c r="M34" s="25"/>
      <c r="N34" s="24"/>
      <c r="O34" s="5"/>
      <c r="P34" s="5"/>
      <c r="Q34" s="5"/>
      <c r="R34" s="5"/>
      <c r="S34" s="5"/>
      <c r="T34" s="5"/>
      <c r="U34" s="25"/>
      <c r="V34" s="24"/>
      <c r="W34" s="5"/>
      <c r="X34" s="5"/>
      <c r="Y34" s="5"/>
      <c r="Z34" s="5"/>
      <c r="AA34" s="5"/>
      <c r="AB34" s="5"/>
      <c r="AC34" s="25"/>
      <c r="AD34" s="24"/>
      <c r="AE34" s="5"/>
      <c r="AF34" s="5"/>
      <c r="AG34" s="5"/>
      <c r="AH34" s="5"/>
      <c r="AI34" s="5"/>
      <c r="AJ34" s="5"/>
      <c r="AK34" s="25"/>
      <c r="AL34" s="5">
        <v>77</v>
      </c>
      <c r="AM34" s="8">
        <v>1</v>
      </c>
      <c r="AN34" s="8"/>
      <c r="AO34" s="8"/>
      <c r="AP34" s="8"/>
      <c r="AQ34">
        <v>22</v>
      </c>
    </row>
    <row r="35" spans="1:44">
      <c r="A35" s="8">
        <v>79</v>
      </c>
      <c r="B35" s="8" t="s">
        <v>71</v>
      </c>
      <c r="C35" s="8" t="s">
        <v>366</v>
      </c>
      <c r="D35" s="8" t="s">
        <v>42</v>
      </c>
      <c r="E35" s="8">
        <v>79</v>
      </c>
      <c r="F35" s="24"/>
      <c r="G35" s="5"/>
      <c r="H35" s="5"/>
      <c r="I35" s="5"/>
      <c r="J35" s="5"/>
      <c r="K35" s="5"/>
      <c r="L35" s="5"/>
      <c r="M35" s="25"/>
      <c r="N35" s="24"/>
      <c r="O35" s="5"/>
      <c r="P35" s="5"/>
      <c r="Q35" s="5"/>
      <c r="R35" s="5"/>
      <c r="S35" s="5"/>
      <c r="T35" s="5"/>
      <c r="U35" s="25"/>
      <c r="V35" s="24"/>
      <c r="W35" s="5"/>
      <c r="X35" s="5"/>
      <c r="Y35" s="5"/>
      <c r="Z35" s="5"/>
      <c r="AA35" s="5"/>
      <c r="AB35" s="5"/>
      <c r="AC35" s="25"/>
      <c r="AD35" s="24"/>
      <c r="AE35" s="5"/>
      <c r="AF35" s="5"/>
      <c r="AG35" s="5"/>
      <c r="AH35" s="5"/>
      <c r="AI35" s="5"/>
      <c r="AJ35" s="5"/>
      <c r="AK35" s="25"/>
      <c r="AL35" s="5">
        <v>79</v>
      </c>
      <c r="AM35" s="8">
        <v>1</v>
      </c>
      <c r="AN35" s="8"/>
      <c r="AO35" s="8"/>
      <c r="AP35" s="8"/>
      <c r="AQ35">
        <v>30</v>
      </c>
    </row>
    <row r="36" spans="1:44">
      <c r="A36" s="8">
        <v>82</v>
      </c>
      <c r="B36" s="55" t="s">
        <v>56</v>
      </c>
      <c r="C36" s="8" t="s">
        <v>360</v>
      </c>
      <c r="D36" s="8"/>
      <c r="E36" s="8">
        <v>82</v>
      </c>
      <c r="F36" s="24"/>
      <c r="G36" s="5"/>
      <c r="H36" s="5"/>
      <c r="I36" s="5"/>
      <c r="J36" s="5"/>
      <c r="K36" s="5"/>
      <c r="L36" s="5"/>
      <c r="M36" s="25"/>
      <c r="N36" s="24"/>
      <c r="O36" s="5"/>
      <c r="P36" s="5"/>
      <c r="Q36" s="5"/>
      <c r="R36" s="5"/>
      <c r="S36" s="5"/>
      <c r="T36" s="5"/>
      <c r="U36" s="25"/>
      <c r="V36" s="24"/>
      <c r="W36" s="5"/>
      <c r="X36" s="5"/>
      <c r="Y36" s="5"/>
      <c r="Z36" s="5"/>
      <c r="AA36" s="5"/>
      <c r="AB36" s="5"/>
      <c r="AC36" s="25"/>
      <c r="AD36" s="24"/>
      <c r="AE36" s="5"/>
      <c r="AF36" s="5"/>
      <c r="AG36" s="5"/>
      <c r="AH36" s="5"/>
      <c r="AI36" s="5"/>
      <c r="AJ36" s="5"/>
      <c r="AK36" s="25"/>
      <c r="AL36" s="5">
        <v>82</v>
      </c>
      <c r="AM36" s="8">
        <v>1</v>
      </c>
      <c r="AN36" s="8"/>
      <c r="AO36" s="8"/>
      <c r="AP36" s="8"/>
      <c r="AQ36">
        <v>8</v>
      </c>
    </row>
    <row r="37" spans="1:44">
      <c r="A37" s="8">
        <v>85</v>
      </c>
      <c r="B37" s="8" t="s">
        <v>93</v>
      </c>
      <c r="C37" s="8" t="s">
        <v>12</v>
      </c>
      <c r="D37" s="8" t="s">
        <v>6</v>
      </c>
      <c r="E37" s="8">
        <v>85</v>
      </c>
      <c r="F37" s="24"/>
      <c r="G37" s="5"/>
      <c r="H37" s="5"/>
      <c r="I37" s="5"/>
      <c r="J37" s="5"/>
      <c r="K37" s="5"/>
      <c r="L37" s="5"/>
      <c r="M37" s="25"/>
      <c r="N37" s="24"/>
      <c r="O37" s="5"/>
      <c r="P37" s="5"/>
      <c r="Q37" s="5"/>
      <c r="R37" s="5"/>
      <c r="S37" s="5"/>
      <c r="T37" s="5"/>
      <c r="U37" s="25"/>
      <c r="V37" s="24"/>
      <c r="W37" s="5"/>
      <c r="X37" s="5"/>
      <c r="Y37" s="5">
        <v>1</v>
      </c>
      <c r="Z37" s="5"/>
      <c r="AA37" s="5"/>
      <c r="AB37" s="5"/>
      <c r="AC37" s="25"/>
      <c r="AD37" s="24"/>
      <c r="AE37" s="5"/>
      <c r="AF37" s="5"/>
      <c r="AG37" s="5"/>
      <c r="AH37" s="5"/>
      <c r="AI37" s="5"/>
      <c r="AJ37" s="5"/>
      <c r="AK37" s="25"/>
      <c r="AL37" s="5">
        <v>85</v>
      </c>
      <c r="AM37" s="8"/>
      <c r="AN37" s="8">
        <v>1</v>
      </c>
      <c r="AO37" s="8"/>
      <c r="AP37" s="8">
        <f>SUM(F37:AK37)</f>
        <v>1</v>
      </c>
      <c r="AQ37">
        <v>32</v>
      </c>
      <c r="AR37" s="76">
        <f>AP37/AQ37</f>
        <v>3.125E-2</v>
      </c>
    </row>
    <row r="38" spans="1:44">
      <c r="A38" s="8">
        <v>86</v>
      </c>
      <c r="B38" s="8" t="s">
        <v>44</v>
      </c>
      <c r="C38" s="8" t="s">
        <v>349</v>
      </c>
      <c r="D38" s="8" t="s">
        <v>6</v>
      </c>
      <c r="E38" s="8">
        <v>86</v>
      </c>
      <c r="F38" s="24"/>
      <c r="G38" s="5"/>
      <c r="H38" s="5"/>
      <c r="I38" s="5"/>
      <c r="J38" s="5"/>
      <c r="K38" s="5"/>
      <c r="L38" s="5"/>
      <c r="M38" s="25"/>
      <c r="N38" s="24">
        <v>1</v>
      </c>
      <c r="O38" s="5"/>
      <c r="P38" s="5"/>
      <c r="Q38" s="5"/>
      <c r="R38" s="5">
        <v>1</v>
      </c>
      <c r="S38" s="5"/>
      <c r="T38" s="5"/>
      <c r="U38" s="25"/>
      <c r="V38" s="24"/>
      <c r="W38" s="5">
        <v>1</v>
      </c>
      <c r="X38" s="5"/>
      <c r="Y38" s="5"/>
      <c r="Z38" s="5"/>
      <c r="AA38" s="5"/>
      <c r="AB38" s="5"/>
      <c r="AC38" s="25"/>
      <c r="AD38" s="24"/>
      <c r="AE38" s="5"/>
      <c r="AF38" s="5"/>
      <c r="AG38" s="5"/>
      <c r="AH38" s="5"/>
      <c r="AI38" s="5">
        <v>1</v>
      </c>
      <c r="AJ38" s="5">
        <v>1</v>
      </c>
      <c r="AK38" s="25"/>
      <c r="AL38" s="5">
        <v>86</v>
      </c>
      <c r="AM38" s="8"/>
      <c r="AN38" s="8">
        <v>1</v>
      </c>
      <c r="AO38" s="8"/>
      <c r="AP38" s="8">
        <f>SUM(F38:AK38)</f>
        <v>5</v>
      </c>
      <c r="AQ38">
        <v>28</v>
      </c>
      <c r="AR38" s="76">
        <f>AP38/AQ38</f>
        <v>0.17857142857142858</v>
      </c>
    </row>
    <row r="39" spans="1:44">
      <c r="A39" s="8">
        <v>88</v>
      </c>
      <c r="B39" s="8" t="s">
        <v>55</v>
      </c>
      <c r="C39" s="8" t="s">
        <v>346</v>
      </c>
      <c r="D39" s="8"/>
      <c r="E39" s="8">
        <v>88</v>
      </c>
      <c r="F39" s="24"/>
      <c r="G39" s="5"/>
      <c r="H39" s="5"/>
      <c r="I39" s="5"/>
      <c r="J39" s="5"/>
      <c r="K39" s="5"/>
      <c r="L39" s="5"/>
      <c r="M39" s="25"/>
      <c r="N39" s="24"/>
      <c r="O39" s="5"/>
      <c r="P39" s="5"/>
      <c r="Q39" s="5"/>
      <c r="R39" s="5"/>
      <c r="S39" s="5"/>
      <c r="T39" s="5"/>
      <c r="U39" s="25"/>
      <c r="V39" s="24"/>
      <c r="W39" s="5"/>
      <c r="X39" s="5"/>
      <c r="Y39" s="5"/>
      <c r="Z39" s="5"/>
      <c r="AA39" s="5"/>
      <c r="AB39" s="5"/>
      <c r="AC39" s="25"/>
      <c r="AD39" s="24"/>
      <c r="AE39" s="5"/>
      <c r="AF39" s="5"/>
      <c r="AG39" s="5"/>
      <c r="AH39" s="5"/>
      <c r="AI39" s="5"/>
      <c r="AJ39" s="5"/>
      <c r="AK39" s="25"/>
      <c r="AL39" s="5">
        <v>88</v>
      </c>
      <c r="AM39" s="8">
        <v>1</v>
      </c>
      <c r="AN39" s="8"/>
      <c r="AO39" s="8"/>
      <c r="AP39" s="8"/>
      <c r="AQ39">
        <v>20</v>
      </c>
    </row>
    <row r="40" spans="1:44">
      <c r="A40" s="8">
        <v>93</v>
      </c>
      <c r="B40" s="8" t="s">
        <v>63</v>
      </c>
      <c r="C40" s="8" t="s">
        <v>346</v>
      </c>
      <c r="D40" s="8"/>
      <c r="E40" s="8">
        <v>93</v>
      </c>
      <c r="F40" s="24"/>
      <c r="G40" s="5"/>
      <c r="H40" s="5"/>
      <c r="I40" s="5"/>
      <c r="J40" s="5"/>
      <c r="K40" s="5"/>
      <c r="L40" s="5"/>
      <c r="M40" s="25"/>
      <c r="N40" s="24"/>
      <c r="O40" s="5"/>
      <c r="P40" s="5"/>
      <c r="Q40" s="5"/>
      <c r="R40" s="5"/>
      <c r="S40" s="5"/>
      <c r="T40" s="5"/>
      <c r="U40" s="25"/>
      <c r="V40" s="24"/>
      <c r="W40" s="5"/>
      <c r="X40" s="5"/>
      <c r="Y40" s="5"/>
      <c r="Z40" s="5"/>
      <c r="AA40" s="5"/>
      <c r="AB40" s="5"/>
      <c r="AC40" s="25"/>
      <c r="AD40" s="24"/>
      <c r="AE40" s="5"/>
      <c r="AF40" s="5"/>
      <c r="AG40" s="5"/>
      <c r="AH40" s="5"/>
      <c r="AI40" s="5"/>
      <c r="AJ40" s="5"/>
      <c r="AK40" s="25"/>
      <c r="AL40" s="5">
        <v>93</v>
      </c>
      <c r="AM40" s="8">
        <v>1</v>
      </c>
      <c r="AN40" s="8"/>
      <c r="AO40" s="8"/>
      <c r="AP40" s="8"/>
      <c r="AQ40">
        <v>16</v>
      </c>
    </row>
    <row r="41" spans="1:44">
      <c r="A41" s="8">
        <v>95</v>
      </c>
      <c r="B41" s="8" t="s">
        <v>53</v>
      </c>
      <c r="C41" s="8" t="s">
        <v>346</v>
      </c>
      <c r="D41" s="8"/>
      <c r="E41" s="8">
        <v>95</v>
      </c>
      <c r="F41" s="24"/>
      <c r="G41" s="5"/>
      <c r="H41" s="5"/>
      <c r="I41" s="5"/>
      <c r="J41" s="5"/>
      <c r="K41" s="5"/>
      <c r="L41" s="5"/>
      <c r="M41" s="25"/>
      <c r="N41" s="24"/>
      <c r="O41" s="5"/>
      <c r="P41" s="5"/>
      <c r="Q41" s="5"/>
      <c r="R41" s="5"/>
      <c r="S41" s="5"/>
      <c r="T41" s="5"/>
      <c r="U41" s="25"/>
      <c r="V41" s="24"/>
      <c r="W41" s="5"/>
      <c r="X41" s="5"/>
      <c r="Y41" s="5"/>
      <c r="Z41" s="5"/>
      <c r="AA41" s="5"/>
      <c r="AB41" s="5"/>
      <c r="AC41" s="25"/>
      <c r="AD41" s="24"/>
      <c r="AE41" s="5"/>
      <c r="AF41" s="5"/>
      <c r="AG41" s="5"/>
      <c r="AH41" s="5"/>
      <c r="AI41" s="5"/>
      <c r="AJ41" s="5"/>
      <c r="AK41" s="25"/>
      <c r="AL41" s="5">
        <v>95</v>
      </c>
      <c r="AM41" s="8">
        <v>1</v>
      </c>
      <c r="AN41" s="8"/>
      <c r="AO41" s="8"/>
      <c r="AP41" s="8"/>
      <c r="AQ41">
        <v>24</v>
      </c>
    </row>
    <row r="42" spans="1:44">
      <c r="A42" s="8">
        <v>97</v>
      </c>
      <c r="B42" s="8" t="s">
        <v>44</v>
      </c>
      <c r="C42" s="8" t="s">
        <v>349</v>
      </c>
      <c r="D42" s="8" t="s">
        <v>42</v>
      </c>
      <c r="E42" s="8">
        <v>97</v>
      </c>
      <c r="F42" s="24"/>
      <c r="G42" s="5"/>
      <c r="H42" s="5">
        <v>1</v>
      </c>
      <c r="I42" s="5"/>
      <c r="J42" s="5"/>
      <c r="K42" s="5"/>
      <c r="L42" s="5"/>
      <c r="M42" s="25"/>
      <c r="N42" s="24"/>
      <c r="O42" s="5"/>
      <c r="P42" s="5"/>
      <c r="Q42" s="5"/>
      <c r="R42" s="5"/>
      <c r="S42" s="5"/>
      <c r="T42" s="5"/>
      <c r="U42" s="25"/>
      <c r="V42" s="24">
        <v>1</v>
      </c>
      <c r="W42" s="5">
        <v>1</v>
      </c>
      <c r="X42" s="5"/>
      <c r="Y42" s="5"/>
      <c r="Z42" s="5"/>
      <c r="AA42" s="5"/>
      <c r="AB42" s="5"/>
      <c r="AC42" s="25"/>
      <c r="AD42" s="24"/>
      <c r="AE42" s="5"/>
      <c r="AF42" s="5"/>
      <c r="AG42" s="5"/>
      <c r="AH42" s="5"/>
      <c r="AI42" s="5"/>
      <c r="AJ42" s="5">
        <v>1</v>
      </c>
      <c r="AK42" s="25">
        <v>1</v>
      </c>
      <c r="AL42" s="5">
        <v>97</v>
      </c>
      <c r="AM42" s="8"/>
      <c r="AN42" s="8">
        <v>1</v>
      </c>
      <c r="AO42" s="8"/>
      <c r="AP42" s="8">
        <f>SUM(F42:AK42)</f>
        <v>5</v>
      </c>
      <c r="AQ42">
        <v>32</v>
      </c>
      <c r="AR42" s="76">
        <f>AP42/AQ42</f>
        <v>0.15625</v>
      </c>
    </row>
    <row r="43" spans="1:44">
      <c r="A43" s="8">
        <v>98</v>
      </c>
      <c r="B43" s="8" t="s">
        <v>62</v>
      </c>
      <c r="C43" s="8" t="s">
        <v>42</v>
      </c>
      <c r="D43" s="8" t="s">
        <v>42</v>
      </c>
      <c r="E43" s="8">
        <v>98</v>
      </c>
      <c r="F43" s="24"/>
      <c r="G43" s="5"/>
      <c r="H43" s="5"/>
      <c r="I43" s="5"/>
      <c r="J43" s="5"/>
      <c r="K43" s="5"/>
      <c r="L43" s="5"/>
      <c r="M43" s="25"/>
      <c r="N43" s="24"/>
      <c r="O43" s="5"/>
      <c r="P43" s="5"/>
      <c r="Q43" s="5"/>
      <c r="R43" s="5"/>
      <c r="S43" s="5"/>
      <c r="T43" s="5"/>
      <c r="U43" s="25"/>
      <c r="V43" s="24"/>
      <c r="W43" s="5"/>
      <c r="X43" s="5"/>
      <c r="Y43" s="5"/>
      <c r="Z43" s="5"/>
      <c r="AA43" s="5"/>
      <c r="AB43" s="5"/>
      <c r="AC43" s="25"/>
      <c r="AD43" s="24"/>
      <c r="AE43" s="5"/>
      <c r="AF43" s="5"/>
      <c r="AG43" s="5"/>
      <c r="AH43" s="5"/>
      <c r="AI43" s="5"/>
      <c r="AJ43" s="5"/>
      <c r="AK43" s="25"/>
      <c r="AL43" s="5">
        <v>98</v>
      </c>
      <c r="AM43" s="8">
        <v>1</v>
      </c>
      <c r="AN43" s="8"/>
      <c r="AO43" s="8"/>
      <c r="AP43" s="8"/>
      <c r="AQ43">
        <v>11</v>
      </c>
    </row>
    <row r="44" spans="1:44">
      <c r="A44" s="8">
        <v>100</v>
      </c>
      <c r="B44" s="8" t="s">
        <v>62</v>
      </c>
      <c r="C44" s="8" t="s">
        <v>42</v>
      </c>
      <c r="D44" s="8" t="s">
        <v>42</v>
      </c>
      <c r="E44" s="8">
        <v>100</v>
      </c>
      <c r="F44" s="24"/>
      <c r="G44" s="5"/>
      <c r="H44" s="5"/>
      <c r="I44" s="5"/>
      <c r="J44" s="5"/>
      <c r="K44" s="5"/>
      <c r="L44" s="5"/>
      <c r="M44" s="25"/>
      <c r="N44" s="24"/>
      <c r="O44" s="5"/>
      <c r="P44" s="5"/>
      <c r="Q44" s="5"/>
      <c r="R44" s="5"/>
      <c r="S44" s="5"/>
      <c r="T44" s="5"/>
      <c r="U44" s="25"/>
      <c r="V44" s="24"/>
      <c r="W44" s="5"/>
      <c r="X44" s="5"/>
      <c r="Y44" s="5"/>
      <c r="Z44" s="5"/>
      <c r="AA44" s="5"/>
      <c r="AB44" s="5"/>
      <c r="AC44" s="25"/>
      <c r="AD44" s="24"/>
      <c r="AE44" s="5"/>
      <c r="AF44" s="5"/>
      <c r="AG44" s="5"/>
      <c r="AH44" s="5"/>
      <c r="AI44" s="5"/>
      <c r="AJ44" s="5"/>
      <c r="AK44" s="25"/>
      <c r="AL44" s="5">
        <v>100</v>
      </c>
      <c r="AM44" s="8">
        <v>1</v>
      </c>
      <c r="AN44" s="8"/>
      <c r="AO44" s="8"/>
      <c r="AP44" s="8"/>
      <c r="AQ44">
        <v>32</v>
      </c>
    </row>
    <row r="45" spans="1:44">
      <c r="A45" s="8">
        <v>104</v>
      </c>
      <c r="B45" s="8" t="s">
        <v>106</v>
      </c>
      <c r="C45" s="8" t="s">
        <v>349</v>
      </c>
      <c r="D45" s="8" t="s">
        <v>42</v>
      </c>
      <c r="E45" s="8">
        <v>104</v>
      </c>
      <c r="F45" s="24"/>
      <c r="G45" s="5">
        <v>1</v>
      </c>
      <c r="H45" s="5">
        <v>1</v>
      </c>
      <c r="I45" s="5"/>
      <c r="J45" s="5"/>
      <c r="K45" s="5"/>
      <c r="L45" s="5">
        <v>1</v>
      </c>
      <c r="M45" s="25">
        <v>1</v>
      </c>
      <c r="N45" s="24"/>
      <c r="O45" s="5"/>
      <c r="P45" s="5"/>
      <c r="Q45" s="5"/>
      <c r="R45" s="5">
        <v>1</v>
      </c>
      <c r="S45" s="5">
        <v>1</v>
      </c>
      <c r="T45" s="5">
        <v>1</v>
      </c>
      <c r="U45" s="25"/>
      <c r="V45" s="24">
        <v>1</v>
      </c>
      <c r="W45" s="5"/>
      <c r="X45" s="5">
        <v>1</v>
      </c>
      <c r="Y45" s="5">
        <v>1</v>
      </c>
      <c r="Z45" s="5"/>
      <c r="AA45" s="5"/>
      <c r="AB45" s="5"/>
      <c r="AC45" s="25"/>
      <c r="AD45" s="24"/>
      <c r="AE45" s="5"/>
      <c r="AF45" s="5"/>
      <c r="AG45" s="5"/>
      <c r="AH45" s="5"/>
      <c r="AI45" s="5">
        <v>1</v>
      </c>
      <c r="AJ45" s="5">
        <v>1</v>
      </c>
      <c r="AK45" s="25"/>
      <c r="AL45" s="5">
        <v>104</v>
      </c>
      <c r="AM45" s="8"/>
      <c r="AN45" s="8">
        <v>1</v>
      </c>
      <c r="AO45" s="8"/>
      <c r="AP45" s="8">
        <f>SUM(F45:AK45)</f>
        <v>12</v>
      </c>
      <c r="AQ45">
        <v>30</v>
      </c>
      <c r="AR45" s="76">
        <f>AP45/AQ45</f>
        <v>0.4</v>
      </c>
    </row>
    <row r="46" spans="1:44">
      <c r="A46" s="8">
        <v>105</v>
      </c>
      <c r="B46" s="8" t="s">
        <v>55</v>
      </c>
      <c r="C46" s="8" t="s">
        <v>346</v>
      </c>
      <c r="D46" s="8"/>
      <c r="E46" s="8">
        <v>105</v>
      </c>
      <c r="F46" s="24"/>
      <c r="G46" s="5"/>
      <c r="H46" s="5"/>
      <c r="I46" s="5"/>
      <c r="J46" s="5"/>
      <c r="K46" s="5"/>
      <c r="L46" s="5"/>
      <c r="M46" s="25"/>
      <c r="N46" s="24"/>
      <c r="O46" s="5"/>
      <c r="P46" s="5"/>
      <c r="Q46" s="5"/>
      <c r="R46" s="5"/>
      <c r="S46" s="5"/>
      <c r="T46" s="5"/>
      <c r="U46" s="25"/>
      <c r="V46" s="24"/>
      <c r="W46" s="5"/>
      <c r="X46" s="5"/>
      <c r="Y46" s="5"/>
      <c r="Z46" s="5"/>
      <c r="AA46" s="5"/>
      <c r="AB46" s="5"/>
      <c r="AC46" s="25"/>
      <c r="AD46" s="24"/>
      <c r="AE46" s="5"/>
      <c r="AF46" s="5"/>
      <c r="AG46" s="5"/>
      <c r="AH46" s="5"/>
      <c r="AI46" s="5"/>
      <c r="AJ46" s="5"/>
      <c r="AK46" s="25"/>
      <c r="AL46" s="5">
        <v>105</v>
      </c>
      <c r="AM46" s="8">
        <v>1</v>
      </c>
      <c r="AN46" s="8"/>
      <c r="AO46" s="8"/>
      <c r="AP46" s="8"/>
      <c r="AQ46">
        <v>20</v>
      </c>
    </row>
    <row r="47" spans="1:44">
      <c r="A47" s="8">
        <v>106</v>
      </c>
      <c r="B47" s="8" t="s">
        <v>55</v>
      </c>
      <c r="C47" s="8" t="s">
        <v>346</v>
      </c>
      <c r="D47" s="8"/>
      <c r="E47" s="8">
        <v>106</v>
      </c>
      <c r="F47" s="24"/>
      <c r="G47" s="5"/>
      <c r="H47" s="5"/>
      <c r="I47" s="5"/>
      <c r="J47" s="5"/>
      <c r="K47" s="5"/>
      <c r="L47" s="5"/>
      <c r="M47" s="25"/>
      <c r="N47" s="24"/>
      <c r="O47" s="5"/>
      <c r="P47" s="5"/>
      <c r="Q47" s="5"/>
      <c r="R47" s="5"/>
      <c r="S47" s="5"/>
      <c r="T47" s="5"/>
      <c r="U47" s="25"/>
      <c r="V47" s="24"/>
      <c r="W47" s="5"/>
      <c r="X47" s="5"/>
      <c r="Y47" s="5"/>
      <c r="Z47" s="5"/>
      <c r="AA47" s="5"/>
      <c r="AB47" s="5"/>
      <c r="AC47" s="25"/>
      <c r="AD47" s="24"/>
      <c r="AE47" s="5"/>
      <c r="AF47" s="5"/>
      <c r="AG47" s="5"/>
      <c r="AH47" s="5"/>
      <c r="AI47" s="5"/>
      <c r="AJ47" s="5"/>
      <c r="AK47" s="25"/>
      <c r="AL47" s="5">
        <v>106</v>
      </c>
      <c r="AM47" s="8">
        <v>1</v>
      </c>
      <c r="AN47" s="8"/>
      <c r="AO47" s="8"/>
      <c r="AP47" s="8"/>
      <c r="AQ47">
        <v>20</v>
      </c>
    </row>
    <row r="48" spans="1:44">
      <c r="A48" s="8">
        <v>108</v>
      </c>
      <c r="B48" s="8" t="s">
        <v>99</v>
      </c>
      <c r="C48" s="8" t="s">
        <v>346</v>
      </c>
      <c r="D48" s="8"/>
      <c r="E48" s="8">
        <v>108</v>
      </c>
      <c r="F48" s="24"/>
      <c r="G48" s="5"/>
      <c r="H48" s="5"/>
      <c r="I48" s="5"/>
      <c r="J48" s="5"/>
      <c r="K48" s="5"/>
      <c r="L48" s="5"/>
      <c r="M48" s="25"/>
      <c r="N48" s="24"/>
      <c r="O48" s="5"/>
      <c r="P48" s="5"/>
      <c r="Q48" s="5"/>
      <c r="R48" s="5"/>
      <c r="S48" s="5"/>
      <c r="T48" s="5"/>
      <c r="U48" s="25"/>
      <c r="V48" s="24"/>
      <c r="W48" s="5"/>
      <c r="X48" s="5"/>
      <c r="Y48" s="5"/>
      <c r="Z48" s="5"/>
      <c r="AA48" s="5"/>
      <c r="AB48" s="5"/>
      <c r="AC48" s="25"/>
      <c r="AD48" s="24"/>
      <c r="AE48" s="5"/>
      <c r="AF48" s="5"/>
      <c r="AG48" s="5"/>
      <c r="AH48" s="5"/>
      <c r="AI48" s="5"/>
      <c r="AJ48" s="5"/>
      <c r="AK48" s="25"/>
      <c r="AL48" s="5">
        <v>108</v>
      </c>
      <c r="AM48" s="8">
        <v>1</v>
      </c>
      <c r="AN48" s="8"/>
      <c r="AO48" s="8"/>
      <c r="AP48" s="8"/>
      <c r="AQ48">
        <v>24</v>
      </c>
    </row>
    <row r="49" spans="1:44">
      <c r="A49" s="8">
        <v>109</v>
      </c>
      <c r="B49" s="8" t="s">
        <v>107</v>
      </c>
      <c r="C49" s="8" t="s">
        <v>358</v>
      </c>
      <c r="D49" s="8" t="s">
        <v>6</v>
      </c>
      <c r="E49" s="8">
        <v>109</v>
      </c>
      <c r="F49" s="24"/>
      <c r="G49" s="5"/>
      <c r="H49" s="5"/>
      <c r="I49" s="5"/>
      <c r="J49" s="5"/>
      <c r="K49" s="5"/>
      <c r="L49" s="5"/>
      <c r="M49" s="25"/>
      <c r="N49" s="24"/>
      <c r="O49" s="5"/>
      <c r="P49" s="5"/>
      <c r="Q49" s="5"/>
      <c r="R49" s="5"/>
      <c r="S49" s="5"/>
      <c r="T49" s="5"/>
      <c r="U49" s="25"/>
      <c r="V49" s="24"/>
      <c r="W49" s="5"/>
      <c r="X49" s="5"/>
      <c r="Y49" s="5"/>
      <c r="Z49" s="5"/>
      <c r="AA49" s="5"/>
      <c r="AB49" s="5"/>
      <c r="AC49" s="25"/>
      <c r="AD49" s="24"/>
      <c r="AE49" s="5"/>
      <c r="AF49" s="5"/>
      <c r="AG49" s="5"/>
      <c r="AH49" s="5"/>
      <c r="AI49" s="5"/>
      <c r="AJ49" s="5"/>
      <c r="AK49" s="25"/>
      <c r="AL49" s="5">
        <v>109</v>
      </c>
      <c r="AM49" s="8">
        <v>1</v>
      </c>
      <c r="AN49" s="8"/>
      <c r="AO49" s="8"/>
      <c r="AP49" s="8"/>
      <c r="AQ49">
        <v>28</v>
      </c>
    </row>
    <row r="50" spans="1:44">
      <c r="A50" s="8">
        <v>112</v>
      </c>
      <c r="B50" s="8" t="s">
        <v>62</v>
      </c>
      <c r="C50" s="8" t="s">
        <v>42</v>
      </c>
      <c r="D50" s="8" t="s">
        <v>42</v>
      </c>
      <c r="E50" s="8">
        <v>112</v>
      </c>
      <c r="F50" s="24"/>
      <c r="G50" s="5">
        <v>1</v>
      </c>
      <c r="H50" s="5">
        <v>1</v>
      </c>
      <c r="I50" s="5"/>
      <c r="J50" s="5"/>
      <c r="K50" s="5">
        <v>1</v>
      </c>
      <c r="L50" s="5"/>
      <c r="M50" s="25"/>
      <c r="N50" s="24"/>
      <c r="O50" s="5"/>
      <c r="P50" s="5">
        <v>1</v>
      </c>
      <c r="Q50" s="5"/>
      <c r="R50" s="5"/>
      <c r="S50" s="5">
        <v>1</v>
      </c>
      <c r="T50" s="5">
        <v>1</v>
      </c>
      <c r="U50" s="25"/>
      <c r="V50" s="24"/>
      <c r="W50" s="5"/>
      <c r="X50" s="5"/>
      <c r="Y50" s="5"/>
      <c r="Z50" s="5"/>
      <c r="AA50" s="5"/>
      <c r="AB50" s="5"/>
      <c r="AC50" s="25"/>
      <c r="AD50" s="24"/>
      <c r="AE50" s="5"/>
      <c r="AF50" s="5"/>
      <c r="AG50" s="5"/>
      <c r="AH50" s="5"/>
      <c r="AI50" s="5"/>
      <c r="AJ50" s="5"/>
      <c r="AK50" s="25"/>
      <c r="AL50" s="5">
        <v>112</v>
      </c>
      <c r="AM50" s="8"/>
      <c r="AN50" s="8">
        <v>1</v>
      </c>
      <c r="AO50" s="8"/>
      <c r="AP50" s="8">
        <f>SUM(F50:AK50)</f>
        <v>6</v>
      </c>
      <c r="AQ50">
        <v>31</v>
      </c>
      <c r="AR50" s="76">
        <f>AP50/AQ50</f>
        <v>0.19354838709677419</v>
      </c>
    </row>
    <row r="51" spans="1:44">
      <c r="A51" s="8">
        <v>115</v>
      </c>
      <c r="B51" s="8" t="s">
        <v>68</v>
      </c>
      <c r="C51" s="8" t="s">
        <v>357</v>
      </c>
      <c r="D51" s="8"/>
      <c r="E51" s="8">
        <v>115</v>
      </c>
      <c r="F51" s="24"/>
      <c r="G51" s="5"/>
      <c r="H51" s="5"/>
      <c r="I51" s="5"/>
      <c r="J51" s="5"/>
      <c r="K51" s="5"/>
      <c r="L51" s="5"/>
      <c r="M51" s="25"/>
      <c r="N51" s="24"/>
      <c r="O51" s="5"/>
      <c r="P51" s="5"/>
      <c r="Q51" s="5"/>
      <c r="R51" s="5"/>
      <c r="S51" s="5"/>
      <c r="T51" s="5"/>
      <c r="U51" s="25"/>
      <c r="V51" s="24"/>
      <c r="W51" s="5"/>
      <c r="X51" s="5"/>
      <c r="Y51" s="5"/>
      <c r="Z51" s="5"/>
      <c r="AA51" s="5"/>
      <c r="AB51" s="5"/>
      <c r="AC51" s="25"/>
      <c r="AD51" s="24"/>
      <c r="AE51" s="5"/>
      <c r="AF51" s="5"/>
      <c r="AG51" s="5"/>
      <c r="AH51" s="5"/>
      <c r="AI51" s="5"/>
      <c r="AJ51" s="5"/>
      <c r="AK51" s="25"/>
      <c r="AL51" s="5">
        <v>115</v>
      </c>
      <c r="AM51" s="8">
        <v>1</v>
      </c>
      <c r="AN51" s="8"/>
      <c r="AO51" s="8"/>
      <c r="AP51" s="8"/>
      <c r="AQ51">
        <v>24</v>
      </c>
    </row>
    <row r="52" spans="1:44">
      <c r="A52" s="8">
        <v>116</v>
      </c>
      <c r="B52" s="8" t="s">
        <v>62</v>
      </c>
      <c r="C52" s="8" t="s">
        <v>42</v>
      </c>
      <c r="D52" s="8" t="s">
        <v>42</v>
      </c>
      <c r="E52" s="8">
        <v>116</v>
      </c>
      <c r="F52" s="24"/>
      <c r="G52" s="5"/>
      <c r="H52" s="5"/>
      <c r="I52" s="5"/>
      <c r="J52" s="5"/>
      <c r="K52" s="5"/>
      <c r="L52" s="5"/>
      <c r="M52" s="25"/>
      <c r="N52" s="24"/>
      <c r="O52" s="5"/>
      <c r="P52" s="5"/>
      <c r="Q52" s="5"/>
      <c r="R52" s="5"/>
      <c r="S52" s="5"/>
      <c r="T52" s="5"/>
      <c r="U52" s="25"/>
      <c r="V52" s="24"/>
      <c r="W52" s="5"/>
      <c r="X52" s="5"/>
      <c r="Y52" s="5"/>
      <c r="Z52" s="5"/>
      <c r="AA52" s="5"/>
      <c r="AB52" s="5"/>
      <c r="AC52" s="25"/>
      <c r="AD52" s="24"/>
      <c r="AE52" s="5"/>
      <c r="AF52" s="5"/>
      <c r="AG52" s="5"/>
      <c r="AH52" s="5"/>
      <c r="AI52" s="5"/>
      <c r="AJ52" s="5"/>
      <c r="AK52" s="25"/>
      <c r="AL52" s="5">
        <v>116</v>
      </c>
      <c r="AM52" s="8">
        <v>1</v>
      </c>
      <c r="AN52" s="8"/>
      <c r="AO52" s="8"/>
      <c r="AP52" s="8"/>
      <c r="AQ52">
        <v>31</v>
      </c>
    </row>
    <row r="53" spans="1:44">
      <c r="A53" s="8">
        <v>117</v>
      </c>
      <c r="B53" s="8" t="s">
        <v>55</v>
      </c>
      <c r="C53" s="8" t="s">
        <v>346</v>
      </c>
      <c r="D53" s="8"/>
      <c r="E53" s="8">
        <v>117</v>
      </c>
      <c r="F53" s="24"/>
      <c r="G53" s="5"/>
      <c r="H53" s="5"/>
      <c r="I53" s="5"/>
      <c r="J53" s="5"/>
      <c r="K53" s="5"/>
      <c r="L53" s="5"/>
      <c r="M53" s="25"/>
      <c r="N53" s="24"/>
      <c r="O53" s="5"/>
      <c r="P53" s="5"/>
      <c r="Q53" s="5"/>
      <c r="R53" s="5"/>
      <c r="S53" s="5"/>
      <c r="T53" s="5"/>
      <c r="U53" s="25"/>
      <c r="V53" s="24"/>
      <c r="W53" s="5"/>
      <c r="X53" s="5"/>
      <c r="Y53" s="5"/>
      <c r="Z53" s="5"/>
      <c r="AA53" s="5"/>
      <c r="AB53" s="5"/>
      <c r="AC53" s="25"/>
      <c r="AD53" s="24"/>
      <c r="AE53" s="5"/>
      <c r="AF53" s="5"/>
      <c r="AG53" s="5"/>
      <c r="AH53" s="5"/>
      <c r="AI53" s="5"/>
      <c r="AJ53" s="5"/>
      <c r="AK53" s="25"/>
      <c r="AL53" s="5">
        <v>117</v>
      </c>
      <c r="AM53" s="8">
        <v>1</v>
      </c>
      <c r="AN53" s="8"/>
      <c r="AO53" s="8"/>
      <c r="AP53" s="8"/>
      <c r="AQ53">
        <v>20</v>
      </c>
    </row>
    <row r="54" spans="1:44">
      <c r="A54" s="8">
        <v>120</v>
      </c>
      <c r="B54" s="8" t="s">
        <v>73</v>
      </c>
      <c r="C54" s="8" t="s">
        <v>165</v>
      </c>
      <c r="D54" s="8" t="s">
        <v>42</v>
      </c>
      <c r="E54" s="8">
        <v>120</v>
      </c>
      <c r="F54" s="24"/>
      <c r="G54" s="5"/>
      <c r="H54" s="5"/>
      <c r="I54" s="5">
        <v>1</v>
      </c>
      <c r="J54" s="5"/>
      <c r="K54" s="5"/>
      <c r="L54" s="5"/>
      <c r="M54" s="25"/>
      <c r="N54" s="24"/>
      <c r="O54" s="5"/>
      <c r="P54" s="5"/>
      <c r="Q54" s="5"/>
      <c r="R54" s="5"/>
      <c r="S54" s="5">
        <v>1</v>
      </c>
      <c r="T54" s="5"/>
      <c r="U54" s="25"/>
      <c r="V54" s="24"/>
      <c r="W54" s="5"/>
      <c r="X54" s="5"/>
      <c r="Y54" s="5"/>
      <c r="Z54" s="5"/>
      <c r="AA54" s="5"/>
      <c r="AB54" s="5"/>
      <c r="AC54" s="25"/>
      <c r="AD54" s="24"/>
      <c r="AE54" s="5"/>
      <c r="AF54" s="5"/>
      <c r="AG54" s="5"/>
      <c r="AH54" s="5"/>
      <c r="AI54" s="5"/>
      <c r="AJ54" s="5"/>
      <c r="AK54" s="25"/>
      <c r="AL54" s="5">
        <v>120</v>
      </c>
      <c r="AM54" s="8"/>
      <c r="AN54" s="8">
        <v>1</v>
      </c>
      <c r="AO54" s="8"/>
      <c r="AP54" s="8">
        <f>SUM(F54:AK54)</f>
        <v>2</v>
      </c>
      <c r="AQ54">
        <v>21</v>
      </c>
      <c r="AR54" s="76">
        <f>AP54/AQ54</f>
        <v>9.5238095238095233E-2</v>
      </c>
    </row>
    <row r="55" spans="1:44">
      <c r="A55" s="8">
        <v>121</v>
      </c>
      <c r="B55" s="8" t="s">
        <v>113</v>
      </c>
      <c r="C55" s="8" t="s">
        <v>357</v>
      </c>
      <c r="D55" s="8"/>
      <c r="E55" s="8">
        <v>121</v>
      </c>
      <c r="F55" s="24"/>
      <c r="G55" s="5"/>
      <c r="H55" s="5"/>
      <c r="I55" s="5"/>
      <c r="J55" s="5"/>
      <c r="K55" s="5"/>
      <c r="L55" s="5"/>
      <c r="M55" s="25"/>
      <c r="N55" s="24"/>
      <c r="O55" s="5"/>
      <c r="P55" s="5"/>
      <c r="Q55" s="5"/>
      <c r="R55" s="5"/>
      <c r="S55" s="5"/>
      <c r="T55" s="5"/>
      <c r="U55" s="25"/>
      <c r="V55" s="24"/>
      <c r="W55" s="5"/>
      <c r="X55" s="5"/>
      <c r="Y55" s="5"/>
      <c r="Z55" s="5"/>
      <c r="AA55" s="5"/>
      <c r="AB55" s="5"/>
      <c r="AC55" s="25"/>
      <c r="AD55" s="24"/>
      <c r="AE55" s="5"/>
      <c r="AF55" s="5"/>
      <c r="AG55" s="5"/>
      <c r="AH55" s="5"/>
      <c r="AI55" s="5"/>
      <c r="AJ55" s="5"/>
      <c r="AK55" s="25"/>
      <c r="AL55" s="5">
        <v>121</v>
      </c>
      <c r="AM55" s="8">
        <v>1</v>
      </c>
      <c r="AN55" s="8"/>
      <c r="AO55" s="8"/>
      <c r="AP55" s="8"/>
      <c r="AQ55">
        <v>28</v>
      </c>
    </row>
    <row r="56" spans="1:44">
      <c r="A56" s="8">
        <v>122</v>
      </c>
      <c r="B56" s="8" t="s">
        <v>115</v>
      </c>
      <c r="C56" s="8" t="s">
        <v>357</v>
      </c>
      <c r="D56" s="8" t="s">
        <v>6</v>
      </c>
      <c r="E56" s="8">
        <v>122</v>
      </c>
      <c r="F56" s="24"/>
      <c r="G56" s="5"/>
      <c r="H56" s="5"/>
      <c r="I56" s="5"/>
      <c r="J56" s="5"/>
      <c r="K56" s="5"/>
      <c r="L56" s="5"/>
      <c r="M56" s="25"/>
      <c r="N56" s="24"/>
      <c r="O56" s="5"/>
      <c r="P56" s="5"/>
      <c r="Q56" s="5"/>
      <c r="R56" s="5"/>
      <c r="S56" s="5"/>
      <c r="T56" s="5"/>
      <c r="U56" s="25"/>
      <c r="V56" s="24"/>
      <c r="W56" s="5"/>
      <c r="X56" s="5"/>
      <c r="Y56" s="5"/>
      <c r="Z56" s="5"/>
      <c r="AA56" s="5"/>
      <c r="AB56" s="5"/>
      <c r="AC56" s="25"/>
      <c r="AD56" s="24"/>
      <c r="AE56" s="5"/>
      <c r="AF56" s="5"/>
      <c r="AG56" s="5"/>
      <c r="AH56" s="5"/>
      <c r="AI56" s="5"/>
      <c r="AJ56" s="5"/>
      <c r="AK56" s="25"/>
      <c r="AL56" s="5">
        <v>122</v>
      </c>
      <c r="AM56" s="8">
        <v>1</v>
      </c>
      <c r="AN56" s="8"/>
      <c r="AO56" s="8"/>
      <c r="AP56" s="8"/>
      <c r="AQ56">
        <v>28</v>
      </c>
    </row>
    <row r="57" spans="1:44">
      <c r="A57" s="8">
        <v>125</v>
      </c>
      <c r="B57" s="8" t="s">
        <v>78</v>
      </c>
      <c r="C57" s="8" t="s">
        <v>359</v>
      </c>
      <c r="D57" s="8"/>
      <c r="E57" s="8">
        <v>125</v>
      </c>
      <c r="F57" s="24"/>
      <c r="G57" s="5"/>
      <c r="H57" s="5"/>
      <c r="I57" s="5"/>
      <c r="J57" s="5"/>
      <c r="K57" s="5"/>
      <c r="L57" s="5"/>
      <c r="M57" s="25"/>
      <c r="N57" s="24"/>
      <c r="O57" s="5"/>
      <c r="P57" s="5"/>
      <c r="Q57" s="5"/>
      <c r="R57" s="5"/>
      <c r="S57" s="5"/>
      <c r="T57" s="5"/>
      <c r="U57" s="25"/>
      <c r="V57" s="24"/>
      <c r="W57" s="5"/>
      <c r="X57" s="5"/>
      <c r="Y57" s="5"/>
      <c r="Z57" s="5"/>
      <c r="AA57" s="5"/>
      <c r="AB57" s="5"/>
      <c r="AC57" s="25"/>
      <c r="AD57" s="24"/>
      <c r="AE57" s="5"/>
      <c r="AF57" s="5"/>
      <c r="AG57" s="5"/>
      <c r="AH57" s="5"/>
      <c r="AI57" s="5"/>
      <c r="AJ57" s="5"/>
      <c r="AK57" s="25"/>
      <c r="AL57" s="5">
        <v>125</v>
      </c>
      <c r="AM57" s="8">
        <v>1</v>
      </c>
      <c r="AN57" s="8"/>
      <c r="AO57" s="8"/>
      <c r="AP57" s="8"/>
      <c r="AQ57">
        <v>20</v>
      </c>
    </row>
    <row r="58" spans="1:44">
      <c r="A58" s="8">
        <v>127</v>
      </c>
      <c r="B58" s="8" t="s">
        <v>62</v>
      </c>
      <c r="C58" s="8" t="s">
        <v>42</v>
      </c>
      <c r="D58" s="8" t="s">
        <v>42</v>
      </c>
      <c r="E58" s="8">
        <v>127</v>
      </c>
      <c r="F58" s="24"/>
      <c r="G58" s="5"/>
      <c r="H58" s="5"/>
      <c r="I58" s="5"/>
      <c r="J58" s="5"/>
      <c r="K58" s="5"/>
      <c r="L58" s="5"/>
      <c r="M58" s="25"/>
      <c r="N58" s="24"/>
      <c r="O58" s="5"/>
      <c r="P58" s="5"/>
      <c r="Q58" s="5"/>
      <c r="R58" s="5"/>
      <c r="S58" s="5"/>
      <c r="T58" s="5"/>
      <c r="U58" s="25"/>
      <c r="V58" s="24"/>
      <c r="W58" s="5"/>
      <c r="X58" s="5"/>
      <c r="Y58" s="5"/>
      <c r="Z58" s="5"/>
      <c r="AA58" s="5"/>
      <c r="AB58" s="5"/>
      <c r="AC58" s="25"/>
      <c r="AD58" s="24"/>
      <c r="AE58" s="5"/>
      <c r="AF58" s="5"/>
      <c r="AG58" s="5"/>
      <c r="AH58" s="5"/>
      <c r="AI58" s="5"/>
      <c r="AJ58" s="5"/>
      <c r="AK58" s="25"/>
      <c r="AL58" s="5">
        <v>127</v>
      </c>
      <c r="AM58" s="8">
        <v>1</v>
      </c>
      <c r="AN58" s="8"/>
      <c r="AO58" s="8"/>
      <c r="AP58" s="8"/>
      <c r="AQ58">
        <v>32</v>
      </c>
    </row>
    <row r="59" spans="1:44">
      <c r="A59" s="8">
        <v>129</v>
      </c>
      <c r="B59" s="8" t="s">
        <v>88</v>
      </c>
      <c r="C59" s="8" t="s">
        <v>12</v>
      </c>
      <c r="D59" s="8" t="s">
        <v>6</v>
      </c>
      <c r="E59" s="8">
        <v>129</v>
      </c>
      <c r="F59" s="24"/>
      <c r="G59" s="5"/>
      <c r="H59" s="5"/>
      <c r="I59" s="5"/>
      <c r="J59" s="5"/>
      <c r="K59" s="5"/>
      <c r="L59" s="5"/>
      <c r="M59" s="25"/>
      <c r="N59" s="24"/>
      <c r="O59" s="5"/>
      <c r="P59" s="5"/>
      <c r="Q59" s="5"/>
      <c r="R59" s="5"/>
      <c r="S59" s="5"/>
      <c r="T59" s="5"/>
      <c r="U59" s="25"/>
      <c r="V59" s="24"/>
      <c r="W59" s="5"/>
      <c r="X59" s="5"/>
      <c r="Y59" s="5"/>
      <c r="Z59" s="5"/>
      <c r="AA59" s="5"/>
      <c r="AB59" s="5"/>
      <c r="AC59" s="25"/>
      <c r="AD59" s="24"/>
      <c r="AE59" s="5"/>
      <c r="AF59" s="5"/>
      <c r="AG59" s="5"/>
      <c r="AH59" s="5"/>
      <c r="AI59" s="5"/>
      <c r="AJ59" s="5"/>
      <c r="AK59" s="25"/>
      <c r="AL59" s="5">
        <v>129</v>
      </c>
      <c r="AM59" s="8">
        <v>1</v>
      </c>
      <c r="AN59" s="8"/>
      <c r="AO59" s="8"/>
      <c r="AP59" s="8"/>
      <c r="AQ59">
        <v>26</v>
      </c>
    </row>
    <row r="60" spans="1:44">
      <c r="A60" s="8">
        <v>130</v>
      </c>
      <c r="B60" s="8" t="s">
        <v>41</v>
      </c>
      <c r="C60" s="8" t="s">
        <v>42</v>
      </c>
      <c r="D60" s="8" t="s">
        <v>42</v>
      </c>
      <c r="E60" s="8">
        <v>130</v>
      </c>
      <c r="F60" s="24"/>
      <c r="G60" s="5"/>
      <c r="H60" s="5"/>
      <c r="I60" s="5"/>
      <c r="J60" s="5"/>
      <c r="K60" s="5"/>
      <c r="L60" s="5"/>
      <c r="M60" s="25"/>
      <c r="N60" s="24"/>
      <c r="O60" s="5"/>
      <c r="P60" s="5"/>
      <c r="Q60" s="5"/>
      <c r="R60" s="5"/>
      <c r="S60" s="5"/>
      <c r="T60" s="5"/>
      <c r="U60" s="25"/>
      <c r="V60" s="24"/>
      <c r="W60" s="5"/>
      <c r="X60" s="5"/>
      <c r="Y60" s="5"/>
      <c r="Z60" s="5"/>
      <c r="AA60" s="5"/>
      <c r="AB60" s="5"/>
      <c r="AC60" s="25"/>
      <c r="AD60" s="24"/>
      <c r="AE60" s="5"/>
      <c r="AF60" s="5"/>
      <c r="AG60" s="5"/>
      <c r="AH60" s="5"/>
      <c r="AI60" s="5"/>
      <c r="AJ60" s="5"/>
      <c r="AK60" s="25"/>
      <c r="AL60" s="5">
        <v>130</v>
      </c>
      <c r="AM60" s="8">
        <v>1</v>
      </c>
      <c r="AN60" s="8"/>
      <c r="AO60" s="8"/>
      <c r="AP60" s="8"/>
      <c r="AQ60">
        <v>30</v>
      </c>
    </row>
    <row r="61" spans="1:44">
      <c r="A61" s="8">
        <v>131</v>
      </c>
      <c r="B61" s="8" t="s">
        <v>63</v>
      </c>
      <c r="C61" s="8" t="s">
        <v>346</v>
      </c>
      <c r="D61" s="8"/>
      <c r="E61" s="8">
        <v>131</v>
      </c>
      <c r="F61" s="24"/>
      <c r="G61" s="5"/>
      <c r="H61" s="5"/>
      <c r="I61" s="5"/>
      <c r="J61" s="5"/>
      <c r="K61" s="5"/>
      <c r="L61" s="5"/>
      <c r="M61" s="25"/>
      <c r="N61" s="24"/>
      <c r="O61" s="5"/>
      <c r="P61" s="5"/>
      <c r="Q61" s="5"/>
      <c r="R61" s="5"/>
      <c r="S61" s="5"/>
      <c r="T61" s="5"/>
      <c r="U61" s="25"/>
      <c r="V61" s="24"/>
      <c r="W61" s="5"/>
      <c r="X61" s="5"/>
      <c r="Y61" s="5"/>
      <c r="Z61" s="5"/>
      <c r="AA61" s="5"/>
      <c r="AB61" s="5"/>
      <c r="AC61" s="25"/>
      <c r="AD61" s="24"/>
      <c r="AE61" s="5"/>
      <c r="AF61" s="5"/>
      <c r="AG61" s="5"/>
      <c r="AH61" s="5"/>
      <c r="AI61" s="5"/>
      <c r="AJ61" s="5"/>
      <c r="AK61" s="25"/>
      <c r="AL61" s="5">
        <v>131</v>
      </c>
      <c r="AM61" s="8">
        <v>1</v>
      </c>
      <c r="AN61" s="8"/>
      <c r="AO61" s="8"/>
      <c r="AP61" s="8"/>
      <c r="AQ61">
        <v>8</v>
      </c>
    </row>
    <row r="62" spans="1:44">
      <c r="A62" s="8">
        <v>132</v>
      </c>
      <c r="B62" s="8" t="s">
        <v>99</v>
      </c>
      <c r="C62" s="8" t="s">
        <v>346</v>
      </c>
      <c r="D62" s="8"/>
      <c r="E62" s="8">
        <v>132</v>
      </c>
      <c r="F62" s="24"/>
      <c r="G62" s="5"/>
      <c r="H62" s="5"/>
      <c r="I62" s="5"/>
      <c r="J62" s="5"/>
      <c r="K62" s="5"/>
      <c r="L62" s="5"/>
      <c r="M62" s="25"/>
      <c r="N62" s="24"/>
      <c r="O62" s="5"/>
      <c r="P62" s="5"/>
      <c r="Q62" s="5"/>
      <c r="R62" s="5"/>
      <c r="S62" s="5"/>
      <c r="T62" s="5"/>
      <c r="U62" s="25"/>
      <c r="V62" s="24"/>
      <c r="W62" s="5"/>
      <c r="X62" s="5"/>
      <c r="Y62" s="5"/>
      <c r="Z62" s="5"/>
      <c r="AA62" s="5"/>
      <c r="AB62" s="5"/>
      <c r="AC62" s="25"/>
      <c r="AD62" s="24"/>
      <c r="AE62" s="5"/>
      <c r="AF62" s="5"/>
      <c r="AG62" s="5"/>
      <c r="AH62" s="5"/>
      <c r="AI62" s="5"/>
      <c r="AJ62" s="5"/>
      <c r="AK62" s="25"/>
      <c r="AL62" s="5">
        <v>132</v>
      </c>
      <c r="AM62" s="8">
        <v>1</v>
      </c>
      <c r="AN62" s="8"/>
      <c r="AO62" s="8"/>
      <c r="AP62" s="8"/>
      <c r="AQ62">
        <v>24</v>
      </c>
    </row>
    <row r="63" spans="1:44">
      <c r="A63" s="8">
        <v>133</v>
      </c>
      <c r="B63" s="8" t="s">
        <v>41</v>
      </c>
      <c r="C63" s="8" t="s">
        <v>42</v>
      </c>
      <c r="D63" s="8" t="s">
        <v>6</v>
      </c>
      <c r="E63" s="8">
        <v>133</v>
      </c>
      <c r="F63" s="24"/>
      <c r="G63" s="5"/>
      <c r="H63" s="5"/>
      <c r="I63" s="5"/>
      <c r="J63" s="5"/>
      <c r="K63" s="5"/>
      <c r="L63" s="5"/>
      <c r="M63" s="25"/>
      <c r="N63" s="24"/>
      <c r="O63" s="5"/>
      <c r="P63" s="5"/>
      <c r="Q63" s="5"/>
      <c r="R63" s="5"/>
      <c r="S63" s="5"/>
      <c r="T63" s="5"/>
      <c r="U63" s="25"/>
      <c r="V63" s="24"/>
      <c r="W63" s="5"/>
      <c r="X63" s="5"/>
      <c r="Y63" s="5"/>
      <c r="Z63" s="5"/>
      <c r="AA63" s="5"/>
      <c r="AB63" s="5"/>
      <c r="AC63" s="25"/>
      <c r="AD63" s="24"/>
      <c r="AE63" s="5"/>
      <c r="AF63" s="5"/>
      <c r="AG63" s="5"/>
      <c r="AH63" s="5"/>
      <c r="AI63" s="5"/>
      <c r="AJ63" s="5"/>
      <c r="AK63" s="25"/>
      <c r="AL63" s="5">
        <v>133</v>
      </c>
      <c r="AM63" s="8">
        <v>1</v>
      </c>
      <c r="AN63" s="8"/>
      <c r="AO63" s="8"/>
      <c r="AP63" s="8"/>
      <c r="AQ63">
        <v>28</v>
      </c>
    </row>
    <row r="64" spans="1:44">
      <c r="A64" s="8">
        <v>134</v>
      </c>
      <c r="B64" s="8" t="s">
        <v>74</v>
      </c>
      <c r="C64" s="8" t="s">
        <v>346</v>
      </c>
      <c r="D64" s="8"/>
      <c r="E64" s="8">
        <v>134</v>
      </c>
      <c r="F64" s="24"/>
      <c r="G64" s="5"/>
      <c r="H64" s="5"/>
      <c r="I64" s="5"/>
      <c r="J64" s="5"/>
      <c r="K64" s="5"/>
      <c r="L64" s="5"/>
      <c r="M64" s="25"/>
      <c r="N64" s="24"/>
      <c r="O64" s="5"/>
      <c r="P64" s="5"/>
      <c r="Q64" s="5"/>
      <c r="R64" s="5"/>
      <c r="S64" s="5"/>
      <c r="T64" s="5"/>
      <c r="U64" s="25"/>
      <c r="V64" s="24"/>
      <c r="W64" s="5"/>
      <c r="X64" s="5"/>
      <c r="Y64" s="5"/>
      <c r="Z64" s="5"/>
      <c r="AA64" s="5"/>
      <c r="AB64" s="5"/>
      <c r="AC64" s="25"/>
      <c r="AD64" s="24"/>
      <c r="AE64" s="5"/>
      <c r="AF64" s="5"/>
      <c r="AG64" s="5"/>
      <c r="AH64" s="5"/>
      <c r="AI64" s="5"/>
      <c r="AJ64" s="5"/>
      <c r="AK64" s="25"/>
      <c r="AL64" s="5">
        <v>134</v>
      </c>
      <c r="AM64" s="8">
        <v>1</v>
      </c>
      <c r="AN64" s="8"/>
      <c r="AO64" s="8"/>
      <c r="AP64" s="8"/>
      <c r="AQ64">
        <v>20</v>
      </c>
    </row>
    <row r="65" spans="1:44">
      <c r="A65" s="8">
        <v>135</v>
      </c>
      <c r="B65" s="8" t="s">
        <v>63</v>
      </c>
      <c r="C65" s="8" t="s">
        <v>346</v>
      </c>
      <c r="D65" s="8"/>
      <c r="E65" s="8">
        <v>135</v>
      </c>
      <c r="F65" s="24"/>
      <c r="G65" s="5"/>
      <c r="H65" s="5"/>
      <c r="I65" s="5"/>
      <c r="J65" s="5"/>
      <c r="K65" s="5"/>
      <c r="L65" s="5"/>
      <c r="M65" s="25"/>
      <c r="N65" s="24"/>
      <c r="O65" s="5"/>
      <c r="P65" s="5"/>
      <c r="Q65" s="5"/>
      <c r="R65" s="5"/>
      <c r="S65" s="5"/>
      <c r="T65" s="5"/>
      <c r="U65" s="25"/>
      <c r="V65" s="24"/>
      <c r="W65" s="5"/>
      <c r="X65" s="5"/>
      <c r="Y65" s="5"/>
      <c r="Z65" s="5"/>
      <c r="AA65" s="5"/>
      <c r="AB65" s="5"/>
      <c r="AC65" s="25"/>
      <c r="AD65" s="24"/>
      <c r="AE65" s="5"/>
      <c r="AF65" s="5"/>
      <c r="AG65" s="5"/>
      <c r="AH65" s="5"/>
      <c r="AI65" s="5"/>
      <c r="AJ65" s="5"/>
      <c r="AK65" s="25"/>
      <c r="AL65" s="5">
        <v>135</v>
      </c>
      <c r="AM65" s="8">
        <v>1</v>
      </c>
      <c r="AN65" s="8"/>
      <c r="AO65" s="8"/>
      <c r="AP65" s="8"/>
      <c r="AQ65">
        <v>12</v>
      </c>
    </row>
    <row r="66" spans="1:44">
      <c r="A66" s="8">
        <v>136</v>
      </c>
      <c r="B66" s="8" t="s">
        <v>54</v>
      </c>
      <c r="C66" s="8" t="s">
        <v>345</v>
      </c>
      <c r="D66" s="8"/>
      <c r="E66" s="8">
        <v>136</v>
      </c>
      <c r="F66" s="24"/>
      <c r="G66" s="5"/>
      <c r="H66" s="5"/>
      <c r="I66" s="5"/>
      <c r="J66" s="5"/>
      <c r="K66" s="5"/>
      <c r="L66" s="5"/>
      <c r="M66" s="25"/>
      <c r="N66" s="24"/>
      <c r="O66" s="5"/>
      <c r="P66" s="5"/>
      <c r="Q66" s="5"/>
      <c r="R66" s="5"/>
      <c r="S66" s="5"/>
      <c r="T66" s="5"/>
      <c r="U66" s="25"/>
      <c r="V66" s="24"/>
      <c r="W66" s="5"/>
      <c r="X66" s="5"/>
      <c r="Y66" s="5"/>
      <c r="Z66" s="5"/>
      <c r="AA66" s="5"/>
      <c r="AB66" s="5"/>
      <c r="AC66" s="25"/>
      <c r="AD66" s="24"/>
      <c r="AE66" s="5"/>
      <c r="AF66" s="5"/>
      <c r="AG66" s="5"/>
      <c r="AH66" s="5"/>
      <c r="AI66" s="5"/>
      <c r="AJ66" s="5"/>
      <c r="AK66" s="25"/>
      <c r="AL66" s="5">
        <v>136</v>
      </c>
      <c r="AM66" s="8">
        <v>1</v>
      </c>
      <c r="AN66" s="8"/>
      <c r="AO66" s="8"/>
      <c r="AP66" s="8"/>
      <c r="AQ66">
        <v>8</v>
      </c>
    </row>
    <row r="67" spans="1:44">
      <c r="A67" s="8">
        <v>139</v>
      </c>
      <c r="B67" s="8" t="s">
        <v>123</v>
      </c>
      <c r="C67" s="8" t="s">
        <v>366</v>
      </c>
      <c r="D67" s="8" t="s">
        <v>42</v>
      </c>
      <c r="E67" s="8">
        <v>139</v>
      </c>
      <c r="F67" s="24"/>
      <c r="G67" s="5"/>
      <c r="H67" s="5"/>
      <c r="I67" s="5"/>
      <c r="J67" s="5"/>
      <c r="K67" s="5"/>
      <c r="L67" s="5"/>
      <c r="M67" s="25"/>
      <c r="N67" s="24"/>
      <c r="O67" s="5"/>
      <c r="P67" s="5"/>
      <c r="Q67" s="5"/>
      <c r="R67" s="5"/>
      <c r="S67" s="5"/>
      <c r="T67" s="5"/>
      <c r="U67" s="25"/>
      <c r="V67" s="24"/>
      <c r="W67" s="5"/>
      <c r="X67" s="5"/>
      <c r="Y67" s="5"/>
      <c r="Z67" s="5"/>
      <c r="AA67" s="5"/>
      <c r="AB67" s="5"/>
      <c r="AC67" s="25"/>
      <c r="AD67" s="24"/>
      <c r="AE67" s="5"/>
      <c r="AF67" s="5"/>
      <c r="AG67" s="5"/>
      <c r="AH67" s="5"/>
      <c r="AI67" s="5"/>
      <c r="AJ67" s="5"/>
      <c r="AK67" s="25"/>
      <c r="AL67" s="5">
        <v>139</v>
      </c>
      <c r="AM67" s="8">
        <v>1</v>
      </c>
      <c r="AN67" s="8"/>
      <c r="AO67" s="8"/>
      <c r="AP67" s="8"/>
      <c r="AQ67">
        <v>32</v>
      </c>
    </row>
    <row r="68" spans="1:44">
      <c r="A68" s="8">
        <v>140</v>
      </c>
      <c r="B68" s="8" t="s">
        <v>216</v>
      </c>
      <c r="C68" s="8" t="s">
        <v>42</v>
      </c>
      <c r="D68" s="8" t="s">
        <v>42</v>
      </c>
      <c r="E68" s="8">
        <v>140</v>
      </c>
      <c r="F68" s="24"/>
      <c r="G68" s="5"/>
      <c r="H68" s="5"/>
      <c r="I68" s="5"/>
      <c r="J68" s="5"/>
      <c r="K68" s="5"/>
      <c r="L68" s="5"/>
      <c r="M68" s="25"/>
      <c r="N68" s="24"/>
      <c r="O68" s="5"/>
      <c r="P68" s="5"/>
      <c r="Q68" s="5"/>
      <c r="R68" s="5"/>
      <c r="S68" s="5"/>
      <c r="T68" s="5"/>
      <c r="U68" s="25"/>
      <c r="V68" s="24"/>
      <c r="W68" s="5"/>
      <c r="X68" s="5"/>
      <c r="Y68" s="5"/>
      <c r="Z68" s="5"/>
      <c r="AA68" s="5"/>
      <c r="AB68" s="5"/>
      <c r="AC68" s="25"/>
      <c r="AD68" s="24"/>
      <c r="AE68" s="5"/>
      <c r="AF68" s="5"/>
      <c r="AG68" s="5"/>
      <c r="AH68" s="5"/>
      <c r="AI68" s="5"/>
      <c r="AJ68" s="5"/>
      <c r="AK68" s="25"/>
      <c r="AL68" s="5">
        <v>140</v>
      </c>
      <c r="AM68" s="8">
        <v>1</v>
      </c>
      <c r="AN68" s="8"/>
      <c r="AO68" s="8"/>
      <c r="AP68" s="8"/>
      <c r="AQ68">
        <v>17</v>
      </c>
    </row>
    <row r="69" spans="1:44">
      <c r="A69" s="8">
        <v>141</v>
      </c>
      <c r="B69" s="8" t="s">
        <v>65</v>
      </c>
      <c r="C69" s="8" t="s">
        <v>12</v>
      </c>
      <c r="D69" s="8" t="s">
        <v>6</v>
      </c>
      <c r="E69" s="8">
        <v>141</v>
      </c>
      <c r="F69" s="24"/>
      <c r="G69" s="5"/>
      <c r="H69" s="5"/>
      <c r="I69" s="5"/>
      <c r="J69" s="5"/>
      <c r="K69" s="5"/>
      <c r="L69" s="5"/>
      <c r="M69" s="25"/>
      <c r="N69" s="24"/>
      <c r="O69" s="5"/>
      <c r="P69" s="5"/>
      <c r="Q69" s="5"/>
      <c r="R69" s="5"/>
      <c r="S69" s="5"/>
      <c r="T69" s="5"/>
      <c r="U69" s="25"/>
      <c r="V69" s="24"/>
      <c r="W69" s="5"/>
      <c r="X69" s="5"/>
      <c r="Y69" s="5"/>
      <c r="Z69" s="5"/>
      <c r="AA69" s="5"/>
      <c r="AB69" s="5"/>
      <c r="AC69" s="25"/>
      <c r="AD69" s="24"/>
      <c r="AE69" s="5"/>
      <c r="AF69" s="5"/>
      <c r="AG69" s="5"/>
      <c r="AH69" s="5"/>
      <c r="AI69" s="5">
        <v>1</v>
      </c>
      <c r="AJ69" s="5"/>
      <c r="AK69" s="25"/>
      <c r="AL69" s="5">
        <v>141</v>
      </c>
      <c r="AM69" s="8"/>
      <c r="AN69" s="8">
        <v>1</v>
      </c>
      <c r="AO69" s="8"/>
      <c r="AP69" s="8">
        <f>SUM(F69:AK69)</f>
        <v>1</v>
      </c>
      <c r="AQ69">
        <v>32</v>
      </c>
      <c r="AR69" s="76">
        <f>AP69/AQ69</f>
        <v>3.125E-2</v>
      </c>
    </row>
    <row r="70" spans="1:44">
      <c r="A70" s="8">
        <v>142</v>
      </c>
      <c r="B70" s="8" t="s">
        <v>71</v>
      </c>
      <c r="C70" s="8" t="s">
        <v>366</v>
      </c>
      <c r="D70" s="8" t="s">
        <v>42</v>
      </c>
      <c r="E70" s="8">
        <v>142</v>
      </c>
      <c r="F70" s="24"/>
      <c r="G70" s="5"/>
      <c r="H70" s="5"/>
      <c r="I70" s="5"/>
      <c r="J70" s="5"/>
      <c r="K70" s="5"/>
      <c r="L70" s="5"/>
      <c r="M70" s="25"/>
      <c r="N70" s="24"/>
      <c r="O70" s="5"/>
      <c r="P70" s="5"/>
      <c r="Q70" s="5"/>
      <c r="R70" s="5"/>
      <c r="S70" s="5"/>
      <c r="T70" s="5"/>
      <c r="U70" s="25"/>
      <c r="V70" s="24"/>
      <c r="W70" s="5">
        <v>1</v>
      </c>
      <c r="X70" s="5"/>
      <c r="Y70" s="5"/>
      <c r="Z70" s="5"/>
      <c r="AA70" s="5"/>
      <c r="AB70" s="5"/>
      <c r="AC70" s="25"/>
      <c r="AD70" s="24"/>
      <c r="AE70" s="5"/>
      <c r="AF70" s="5"/>
      <c r="AG70" s="5"/>
      <c r="AH70" s="5"/>
      <c r="AI70" s="5"/>
      <c r="AJ70" s="5"/>
      <c r="AK70" s="25"/>
      <c r="AL70" s="5">
        <v>142</v>
      </c>
      <c r="AM70" s="8"/>
      <c r="AN70" s="8">
        <v>1</v>
      </c>
      <c r="AO70" s="8"/>
      <c r="AP70" s="8">
        <f>SUM(F70:AK70)</f>
        <v>1</v>
      </c>
      <c r="AQ70">
        <v>31</v>
      </c>
      <c r="AR70" s="76">
        <f>AP70/AQ70</f>
        <v>3.2258064516129031E-2</v>
      </c>
    </row>
    <row r="71" spans="1:44">
      <c r="A71" s="8">
        <v>143</v>
      </c>
      <c r="B71" s="8" t="s">
        <v>106</v>
      </c>
      <c r="C71" s="8" t="s">
        <v>349</v>
      </c>
      <c r="D71" s="8" t="s">
        <v>42</v>
      </c>
      <c r="E71" s="8">
        <v>143</v>
      </c>
      <c r="F71" s="24"/>
      <c r="G71" s="5">
        <v>1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25">
        <v>1</v>
      </c>
      <c r="N71" s="24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/>
      <c r="U71" s="25"/>
      <c r="V71" s="24"/>
      <c r="W71" s="5">
        <v>1</v>
      </c>
      <c r="X71" s="5">
        <v>1</v>
      </c>
      <c r="Y71" s="5">
        <v>1</v>
      </c>
      <c r="Z71" s="5"/>
      <c r="AA71" s="5"/>
      <c r="AB71" s="5"/>
      <c r="AC71" s="25"/>
      <c r="AD71" s="24"/>
      <c r="AE71" s="5"/>
      <c r="AF71" s="5"/>
      <c r="AG71" s="5"/>
      <c r="AH71" s="5"/>
      <c r="AI71" s="5">
        <v>1</v>
      </c>
      <c r="AJ71" s="5">
        <v>1</v>
      </c>
      <c r="AK71" s="25">
        <v>1</v>
      </c>
      <c r="AL71" s="5">
        <v>143</v>
      </c>
      <c r="AM71" s="8"/>
      <c r="AN71" s="8">
        <v>1</v>
      </c>
      <c r="AO71" s="8"/>
      <c r="AP71" s="8">
        <f>SUM(F71:AK71)</f>
        <v>19</v>
      </c>
      <c r="AQ71">
        <v>28</v>
      </c>
      <c r="AR71" s="76">
        <f>AP71/AQ71</f>
        <v>0.6785714285714286</v>
      </c>
    </row>
    <row r="72" spans="1:44">
      <c r="A72" s="8">
        <v>144</v>
      </c>
      <c r="B72" s="8" t="s">
        <v>80</v>
      </c>
      <c r="C72" s="8" t="s">
        <v>346</v>
      </c>
      <c r="D72" s="8"/>
      <c r="E72" s="8">
        <v>144</v>
      </c>
      <c r="F72" s="24"/>
      <c r="G72" s="5"/>
      <c r="H72" s="5"/>
      <c r="I72" s="5"/>
      <c r="J72" s="5"/>
      <c r="K72" s="5"/>
      <c r="L72" s="5"/>
      <c r="M72" s="25"/>
      <c r="N72" s="24"/>
      <c r="O72" s="5"/>
      <c r="P72" s="5"/>
      <c r="Q72" s="5"/>
      <c r="R72" s="5"/>
      <c r="S72" s="5"/>
      <c r="T72" s="5"/>
      <c r="U72" s="25"/>
      <c r="V72" s="24"/>
      <c r="W72" s="5"/>
      <c r="X72" s="5"/>
      <c r="Y72" s="5"/>
      <c r="Z72" s="5"/>
      <c r="AA72" s="5"/>
      <c r="AB72" s="5"/>
      <c r="AC72" s="25"/>
      <c r="AD72" s="24"/>
      <c r="AE72" s="5"/>
      <c r="AF72" s="5"/>
      <c r="AG72" s="5"/>
      <c r="AH72" s="5"/>
      <c r="AI72" s="5"/>
      <c r="AJ72" s="5"/>
      <c r="AK72" s="25"/>
      <c r="AL72" s="5">
        <v>144</v>
      </c>
      <c r="AM72" s="8">
        <v>1</v>
      </c>
      <c r="AN72" s="8"/>
      <c r="AO72" s="8"/>
      <c r="AP72" s="8"/>
      <c r="AQ72">
        <v>20</v>
      </c>
    </row>
    <row r="73" spans="1:44">
      <c r="A73" s="8">
        <v>145</v>
      </c>
      <c r="B73" s="8" t="s">
        <v>63</v>
      </c>
      <c r="C73" s="8" t="s">
        <v>346</v>
      </c>
      <c r="D73" s="8"/>
      <c r="E73" s="8">
        <v>145</v>
      </c>
      <c r="F73" s="24"/>
      <c r="G73" s="5"/>
      <c r="H73" s="5"/>
      <c r="I73" s="5"/>
      <c r="J73" s="5"/>
      <c r="K73" s="5"/>
      <c r="L73" s="5"/>
      <c r="M73" s="25"/>
      <c r="N73" s="24"/>
      <c r="O73" s="5"/>
      <c r="P73" s="5"/>
      <c r="Q73" s="5"/>
      <c r="R73" s="5"/>
      <c r="S73" s="5"/>
      <c r="T73" s="5"/>
      <c r="U73" s="25"/>
      <c r="V73" s="24"/>
      <c r="W73" s="5"/>
      <c r="X73" s="5"/>
      <c r="Y73" s="5"/>
      <c r="Z73" s="5"/>
      <c r="AA73" s="5"/>
      <c r="AB73" s="5"/>
      <c r="AC73" s="25"/>
      <c r="AD73" s="24"/>
      <c r="AE73" s="5"/>
      <c r="AF73" s="5"/>
      <c r="AG73" s="5"/>
      <c r="AH73" s="5"/>
      <c r="AI73" s="5"/>
      <c r="AJ73" s="5"/>
      <c r="AK73" s="25"/>
      <c r="AL73" s="5">
        <v>145</v>
      </c>
      <c r="AM73" s="8">
        <v>1</v>
      </c>
      <c r="AN73" s="8"/>
      <c r="AO73" s="8"/>
      <c r="AP73" s="8"/>
      <c r="AQ73">
        <v>15</v>
      </c>
    </row>
    <row r="74" spans="1:44">
      <c r="A74" s="8">
        <v>147</v>
      </c>
      <c r="B74" s="8" t="s">
        <v>68</v>
      </c>
      <c r="C74" s="8" t="s">
        <v>357</v>
      </c>
      <c r="D74" s="8" t="s">
        <v>15</v>
      </c>
      <c r="E74" s="8">
        <v>147</v>
      </c>
      <c r="F74" s="24"/>
      <c r="G74" s="5"/>
      <c r="H74" s="5"/>
      <c r="I74" s="5"/>
      <c r="J74" s="5"/>
      <c r="K74" s="5"/>
      <c r="L74" s="5"/>
      <c r="M74" s="25"/>
      <c r="N74" s="24"/>
      <c r="O74" s="5"/>
      <c r="P74" s="5"/>
      <c r="Q74" s="5"/>
      <c r="R74" s="5"/>
      <c r="S74" s="5"/>
      <c r="T74" s="5"/>
      <c r="U74" s="25"/>
      <c r="V74" s="24"/>
      <c r="W74" s="5"/>
      <c r="X74" s="5"/>
      <c r="Y74" s="5"/>
      <c r="Z74" s="5"/>
      <c r="AA74" s="5"/>
      <c r="AB74" s="5"/>
      <c r="AC74" s="25"/>
      <c r="AD74" s="24"/>
      <c r="AE74" s="5"/>
      <c r="AF74" s="5"/>
      <c r="AG74" s="5"/>
      <c r="AH74" s="5"/>
      <c r="AI74" s="5"/>
      <c r="AJ74" s="5"/>
      <c r="AK74" s="25"/>
      <c r="AL74" s="5">
        <v>147</v>
      </c>
      <c r="AM74" s="8">
        <v>1</v>
      </c>
      <c r="AN74" s="8"/>
      <c r="AO74" s="8"/>
      <c r="AP74" s="8"/>
      <c r="AQ74">
        <v>24</v>
      </c>
    </row>
    <row r="75" spans="1:44">
      <c r="A75" s="8">
        <v>148</v>
      </c>
      <c r="B75" s="8" t="s">
        <v>68</v>
      </c>
      <c r="C75" s="8" t="s">
        <v>357</v>
      </c>
      <c r="D75" s="8" t="s">
        <v>15</v>
      </c>
      <c r="E75" s="8">
        <v>148</v>
      </c>
      <c r="F75" s="24"/>
      <c r="G75" s="5"/>
      <c r="H75" s="5"/>
      <c r="I75" s="5"/>
      <c r="J75" s="5"/>
      <c r="K75" s="5"/>
      <c r="L75" s="5"/>
      <c r="M75" s="25"/>
      <c r="N75" s="24"/>
      <c r="O75" s="5"/>
      <c r="P75" s="5"/>
      <c r="Q75" s="5"/>
      <c r="R75" s="5"/>
      <c r="S75" s="5"/>
      <c r="T75" s="5"/>
      <c r="U75" s="25"/>
      <c r="V75" s="24"/>
      <c r="W75" s="5"/>
      <c r="X75" s="5"/>
      <c r="Y75" s="5"/>
      <c r="Z75" s="5"/>
      <c r="AA75" s="5"/>
      <c r="AB75" s="5"/>
      <c r="AC75" s="25"/>
      <c r="AD75" s="24"/>
      <c r="AE75" s="5"/>
      <c r="AF75" s="5"/>
      <c r="AG75" s="5"/>
      <c r="AH75" s="5"/>
      <c r="AI75" s="5"/>
      <c r="AJ75" s="5"/>
      <c r="AK75" s="25"/>
      <c r="AL75" s="5">
        <v>148</v>
      </c>
      <c r="AM75" s="8">
        <v>1</v>
      </c>
      <c r="AN75" s="8"/>
      <c r="AO75" s="8"/>
      <c r="AP75" s="8"/>
      <c r="AQ75">
        <v>23</v>
      </c>
    </row>
    <row r="76" spans="1:44">
      <c r="A76" s="8">
        <v>149</v>
      </c>
      <c r="B76" s="8" t="s">
        <v>80</v>
      </c>
      <c r="C76" s="8" t="s">
        <v>346</v>
      </c>
      <c r="D76" s="8"/>
      <c r="E76" s="8">
        <v>149</v>
      </c>
      <c r="F76" s="24"/>
      <c r="G76" s="5"/>
      <c r="H76" s="5"/>
      <c r="I76" s="5"/>
      <c r="J76" s="5"/>
      <c r="K76" s="5"/>
      <c r="L76" s="5"/>
      <c r="M76" s="25"/>
      <c r="N76" s="24"/>
      <c r="O76" s="5"/>
      <c r="P76" s="5"/>
      <c r="Q76" s="5"/>
      <c r="R76" s="5"/>
      <c r="S76" s="5"/>
      <c r="T76" s="5"/>
      <c r="U76" s="25"/>
      <c r="V76" s="24"/>
      <c r="W76" s="5"/>
      <c r="X76" s="5"/>
      <c r="Y76" s="5"/>
      <c r="Z76" s="5"/>
      <c r="AA76" s="5"/>
      <c r="AB76" s="5"/>
      <c r="AC76" s="25"/>
      <c r="AD76" s="24"/>
      <c r="AE76" s="5"/>
      <c r="AF76" s="5"/>
      <c r="AG76" s="5"/>
      <c r="AH76" s="5"/>
      <c r="AI76" s="5"/>
      <c r="AJ76" s="5"/>
      <c r="AK76" s="25"/>
      <c r="AL76" s="5">
        <v>149</v>
      </c>
      <c r="AM76" s="8">
        <v>1</v>
      </c>
      <c r="AN76" s="8"/>
      <c r="AO76" s="8"/>
      <c r="AP76" s="8"/>
      <c r="AQ76">
        <v>20</v>
      </c>
    </row>
    <row r="77" spans="1:44">
      <c r="A77" s="8">
        <v>151</v>
      </c>
      <c r="B77" s="8" t="s">
        <v>130</v>
      </c>
      <c r="C77" s="8" t="s">
        <v>357</v>
      </c>
      <c r="D77" s="8"/>
      <c r="E77" s="8">
        <v>151</v>
      </c>
      <c r="F77" s="24"/>
      <c r="G77" s="5"/>
      <c r="H77" s="5"/>
      <c r="I77" s="5"/>
      <c r="J77" s="5"/>
      <c r="K77" s="5"/>
      <c r="L77" s="5"/>
      <c r="M77" s="25"/>
      <c r="N77" s="24"/>
      <c r="O77" s="5"/>
      <c r="P77" s="5"/>
      <c r="Q77" s="5"/>
      <c r="R77" s="5"/>
      <c r="S77" s="5"/>
      <c r="T77" s="5"/>
      <c r="U77" s="25"/>
      <c r="V77" s="24"/>
      <c r="W77" s="5"/>
      <c r="X77" s="5"/>
      <c r="Y77" s="5"/>
      <c r="Z77" s="5"/>
      <c r="AA77" s="5"/>
      <c r="AB77" s="5"/>
      <c r="AC77" s="25"/>
      <c r="AD77" s="24"/>
      <c r="AE77" s="5"/>
      <c r="AF77" s="5"/>
      <c r="AG77" s="5"/>
      <c r="AH77" s="5"/>
      <c r="AI77" s="5"/>
      <c r="AJ77" s="5"/>
      <c r="AK77" s="25"/>
      <c r="AL77" s="5">
        <v>151</v>
      </c>
      <c r="AM77" s="8">
        <v>1</v>
      </c>
      <c r="AN77" s="8"/>
      <c r="AO77" s="8"/>
      <c r="AP77" s="8"/>
      <c r="AQ77">
        <v>28</v>
      </c>
    </row>
    <row r="78" spans="1:44">
      <c r="A78" s="8">
        <v>157</v>
      </c>
      <c r="B78" s="8" t="s">
        <v>55</v>
      </c>
      <c r="C78" s="8" t="s">
        <v>346</v>
      </c>
      <c r="D78" s="8"/>
      <c r="E78" s="8">
        <v>157</v>
      </c>
      <c r="F78" s="24"/>
      <c r="G78" s="5"/>
      <c r="H78" s="5"/>
      <c r="I78" s="5"/>
      <c r="J78" s="5"/>
      <c r="K78" s="5"/>
      <c r="L78" s="5"/>
      <c r="M78" s="25"/>
      <c r="N78" s="24"/>
      <c r="O78" s="5"/>
      <c r="P78" s="5"/>
      <c r="Q78" s="5"/>
      <c r="R78" s="5"/>
      <c r="S78" s="5"/>
      <c r="T78" s="5"/>
      <c r="U78" s="25"/>
      <c r="V78" s="24"/>
      <c r="W78" s="5"/>
      <c r="X78" s="5"/>
      <c r="Y78" s="5"/>
      <c r="Z78" s="5"/>
      <c r="AA78" s="5"/>
      <c r="AB78" s="5"/>
      <c r="AC78" s="25"/>
      <c r="AD78" s="24"/>
      <c r="AE78" s="5"/>
      <c r="AF78" s="5"/>
      <c r="AG78" s="5"/>
      <c r="AH78" s="5"/>
      <c r="AI78" s="5"/>
      <c r="AJ78" s="5"/>
      <c r="AK78" s="25"/>
      <c r="AL78" s="5">
        <v>157</v>
      </c>
      <c r="AM78" s="8">
        <v>1</v>
      </c>
      <c r="AN78" s="8"/>
      <c r="AO78" s="8"/>
      <c r="AP78" s="8"/>
      <c r="AQ78">
        <v>10</v>
      </c>
    </row>
    <row r="79" spans="1:44">
      <c r="A79" s="8">
        <v>162</v>
      </c>
      <c r="B79" s="8" t="s">
        <v>80</v>
      </c>
      <c r="C79" s="8" t="s">
        <v>346</v>
      </c>
      <c r="D79" s="8"/>
      <c r="E79" s="8">
        <v>162</v>
      </c>
      <c r="F79" s="24"/>
      <c r="G79" s="5"/>
      <c r="H79" s="5"/>
      <c r="I79" s="5"/>
      <c r="J79" s="5"/>
      <c r="K79" s="5"/>
      <c r="L79" s="5"/>
      <c r="M79" s="25"/>
      <c r="N79" s="24"/>
      <c r="O79" s="5"/>
      <c r="P79" s="5"/>
      <c r="Q79" s="5"/>
      <c r="R79" s="5"/>
      <c r="S79" s="5"/>
      <c r="T79" s="5"/>
      <c r="U79" s="25"/>
      <c r="V79" s="24"/>
      <c r="W79" s="5"/>
      <c r="X79" s="5"/>
      <c r="Y79" s="5"/>
      <c r="Z79" s="5"/>
      <c r="AA79" s="5"/>
      <c r="AB79" s="5"/>
      <c r="AC79" s="25"/>
      <c r="AD79" s="24"/>
      <c r="AE79" s="5"/>
      <c r="AF79" s="5"/>
      <c r="AG79" s="5"/>
      <c r="AH79" s="5"/>
      <c r="AI79" s="5"/>
      <c r="AJ79" s="5"/>
      <c r="AK79" s="25"/>
      <c r="AL79" s="5">
        <v>162</v>
      </c>
      <c r="AM79" s="8">
        <v>1</v>
      </c>
      <c r="AN79" s="8"/>
      <c r="AO79" s="8"/>
      <c r="AP79" s="8"/>
      <c r="AQ79">
        <v>20</v>
      </c>
    </row>
    <row r="80" spans="1:44">
      <c r="A80" s="8">
        <v>163</v>
      </c>
      <c r="B80" s="8" t="s">
        <v>62</v>
      </c>
      <c r="C80" s="8" t="s">
        <v>42</v>
      </c>
      <c r="D80" s="8" t="s">
        <v>42</v>
      </c>
      <c r="E80" s="8">
        <v>163</v>
      </c>
      <c r="F80" s="24"/>
      <c r="G80" s="5"/>
      <c r="H80" s="5"/>
      <c r="I80" s="5"/>
      <c r="J80" s="5"/>
      <c r="K80" s="5"/>
      <c r="L80" s="5"/>
      <c r="M80" s="25"/>
      <c r="N80" s="24"/>
      <c r="O80" s="5"/>
      <c r="P80" s="5"/>
      <c r="Q80" s="5"/>
      <c r="R80" s="5"/>
      <c r="S80" s="5"/>
      <c r="T80" s="5"/>
      <c r="U80" s="25"/>
      <c r="V80" s="24"/>
      <c r="W80" s="5"/>
      <c r="X80" s="5"/>
      <c r="Y80" s="5"/>
      <c r="Z80" s="5"/>
      <c r="AA80" s="5"/>
      <c r="AB80" s="5"/>
      <c r="AC80" s="25"/>
      <c r="AD80" s="24"/>
      <c r="AE80" s="5"/>
      <c r="AF80" s="5"/>
      <c r="AG80" s="5"/>
      <c r="AH80" s="5"/>
      <c r="AI80" s="5"/>
      <c r="AJ80" s="5"/>
      <c r="AK80" s="25"/>
      <c r="AL80" s="5">
        <v>163</v>
      </c>
      <c r="AM80" s="8">
        <v>1</v>
      </c>
      <c r="AN80" s="8"/>
      <c r="AO80" s="8"/>
      <c r="AP80" s="8"/>
      <c r="AQ80">
        <v>28</v>
      </c>
    </row>
    <row r="81" spans="1:44">
      <c r="A81" s="8">
        <v>166</v>
      </c>
      <c r="B81" s="8" t="s">
        <v>136</v>
      </c>
      <c r="C81" s="8" t="s">
        <v>12</v>
      </c>
      <c r="D81" s="8" t="s">
        <v>6</v>
      </c>
      <c r="E81" s="8">
        <v>166</v>
      </c>
      <c r="F81" s="24"/>
      <c r="G81" s="5"/>
      <c r="H81" s="5"/>
      <c r="I81" s="5"/>
      <c r="J81" s="5"/>
      <c r="K81" s="5"/>
      <c r="L81" s="5"/>
      <c r="M81" s="25"/>
      <c r="N81" s="24"/>
      <c r="O81" s="5"/>
      <c r="P81" s="5"/>
      <c r="Q81" s="5"/>
      <c r="R81" s="5"/>
      <c r="S81" s="5"/>
      <c r="T81" s="5"/>
      <c r="U81" s="25"/>
      <c r="V81" s="24"/>
      <c r="W81" s="5"/>
      <c r="X81" s="5"/>
      <c r="Y81" s="5"/>
      <c r="Z81" s="5"/>
      <c r="AA81" s="5"/>
      <c r="AB81" s="5"/>
      <c r="AC81" s="25"/>
      <c r="AD81" s="24"/>
      <c r="AE81" s="5"/>
      <c r="AF81" s="5"/>
      <c r="AG81" s="5"/>
      <c r="AH81" s="5"/>
      <c r="AI81" s="5"/>
      <c r="AJ81" s="5"/>
      <c r="AK81" s="25"/>
      <c r="AL81" s="5">
        <v>166</v>
      </c>
      <c r="AM81" s="8">
        <v>1</v>
      </c>
      <c r="AN81" s="8"/>
      <c r="AO81" s="8"/>
      <c r="AP81" s="8"/>
      <c r="AQ81">
        <v>32</v>
      </c>
    </row>
    <row r="82" spans="1:44">
      <c r="A82" s="8">
        <v>169</v>
      </c>
      <c r="B82" s="8" t="s">
        <v>139</v>
      </c>
      <c r="C82" s="8" t="s">
        <v>357</v>
      </c>
      <c r="D82" s="8"/>
      <c r="E82" s="8">
        <v>169</v>
      </c>
      <c r="F82" s="24"/>
      <c r="G82" s="5"/>
      <c r="H82" s="5"/>
      <c r="I82" s="5"/>
      <c r="J82" s="5"/>
      <c r="K82" s="5"/>
      <c r="L82" s="5"/>
      <c r="M82" s="25"/>
      <c r="N82" s="24"/>
      <c r="O82" s="5"/>
      <c r="P82" s="5"/>
      <c r="Q82" s="5"/>
      <c r="R82" s="5"/>
      <c r="S82" s="5"/>
      <c r="T82" s="5"/>
      <c r="U82" s="25"/>
      <c r="V82" s="24"/>
      <c r="W82" s="5"/>
      <c r="X82" s="5"/>
      <c r="Y82" s="5"/>
      <c r="Z82" s="5"/>
      <c r="AA82" s="5"/>
      <c r="AB82" s="5"/>
      <c r="AC82" s="25"/>
      <c r="AD82" s="24"/>
      <c r="AE82" s="5"/>
      <c r="AF82" s="5"/>
      <c r="AG82" s="5"/>
      <c r="AH82" s="5"/>
      <c r="AI82" s="5"/>
      <c r="AJ82" s="5"/>
      <c r="AK82" s="25"/>
      <c r="AL82" s="5">
        <v>169</v>
      </c>
      <c r="AM82" s="8">
        <v>1</v>
      </c>
      <c r="AN82" s="8"/>
      <c r="AO82" s="8"/>
      <c r="AP82" s="8"/>
      <c r="AQ82">
        <v>24</v>
      </c>
    </row>
    <row r="83" spans="1:44">
      <c r="A83" s="8">
        <v>170</v>
      </c>
      <c r="B83" s="8" t="s">
        <v>5</v>
      </c>
      <c r="C83" s="8" t="s">
        <v>42</v>
      </c>
      <c r="D83" s="8" t="s">
        <v>6</v>
      </c>
      <c r="E83" s="8">
        <v>170</v>
      </c>
      <c r="F83" s="24"/>
      <c r="G83" s="5"/>
      <c r="H83" s="5"/>
      <c r="I83" s="5"/>
      <c r="J83" s="5"/>
      <c r="K83" s="5"/>
      <c r="L83" s="5"/>
      <c r="M83" s="25"/>
      <c r="N83" s="24"/>
      <c r="O83" s="5"/>
      <c r="P83" s="5"/>
      <c r="Q83" s="5"/>
      <c r="R83" s="5"/>
      <c r="S83" s="5"/>
      <c r="T83" s="5"/>
      <c r="U83" s="25"/>
      <c r="V83" s="24"/>
      <c r="W83" s="5">
        <v>1</v>
      </c>
      <c r="X83" s="5"/>
      <c r="Y83" s="5"/>
      <c r="Z83" s="5"/>
      <c r="AA83" s="5"/>
      <c r="AB83" s="5"/>
      <c r="AC83" s="25"/>
      <c r="AD83" s="24"/>
      <c r="AE83" s="5"/>
      <c r="AF83" s="5"/>
      <c r="AG83" s="5"/>
      <c r="AH83" s="5"/>
      <c r="AI83" s="5"/>
      <c r="AJ83" s="5"/>
      <c r="AK83" s="25"/>
      <c r="AL83" s="5">
        <v>170</v>
      </c>
      <c r="AM83" s="8"/>
      <c r="AN83" s="8">
        <v>1</v>
      </c>
      <c r="AO83" s="8"/>
      <c r="AP83" s="8">
        <f>SUM(F83:AK83)</f>
        <v>1</v>
      </c>
      <c r="AQ83">
        <v>32</v>
      </c>
      <c r="AR83" s="76">
        <f>AP83/AQ83</f>
        <v>3.125E-2</v>
      </c>
    </row>
    <row r="84" spans="1:44">
      <c r="A84" s="8">
        <v>171</v>
      </c>
      <c r="B84" s="8" t="s">
        <v>58</v>
      </c>
      <c r="C84" s="8" t="s">
        <v>358</v>
      </c>
      <c r="D84" s="8" t="s">
        <v>6</v>
      </c>
      <c r="E84" s="8">
        <v>171</v>
      </c>
      <c r="F84" s="24"/>
      <c r="G84" s="5"/>
      <c r="H84" s="5"/>
      <c r="I84" s="5"/>
      <c r="J84" s="5"/>
      <c r="K84" s="5"/>
      <c r="L84" s="5"/>
      <c r="M84" s="25"/>
      <c r="N84" s="24"/>
      <c r="O84" s="5"/>
      <c r="P84" s="5"/>
      <c r="Q84" s="5"/>
      <c r="R84" s="5"/>
      <c r="S84" s="5"/>
      <c r="T84" s="5"/>
      <c r="U84" s="25"/>
      <c r="V84" s="24"/>
      <c r="W84" s="5"/>
      <c r="X84" s="5"/>
      <c r="Y84" s="5"/>
      <c r="Z84" s="5"/>
      <c r="AA84" s="5"/>
      <c r="AB84" s="5"/>
      <c r="AC84" s="25"/>
      <c r="AD84" s="24"/>
      <c r="AE84" s="5"/>
      <c r="AF84" s="5"/>
      <c r="AG84" s="5"/>
      <c r="AH84" s="5"/>
      <c r="AI84" s="5"/>
      <c r="AJ84" s="5"/>
      <c r="AK84" s="25"/>
      <c r="AL84" s="5">
        <v>171</v>
      </c>
      <c r="AM84" s="8">
        <v>1</v>
      </c>
      <c r="AN84" s="8"/>
      <c r="AO84" s="8"/>
      <c r="AP84" s="8"/>
      <c r="AQ84">
        <v>28</v>
      </c>
    </row>
    <row r="85" spans="1:44">
      <c r="A85" s="8">
        <v>172</v>
      </c>
      <c r="B85" s="8" t="s">
        <v>71</v>
      </c>
      <c r="C85" s="8" t="s">
        <v>366</v>
      </c>
      <c r="D85" s="8" t="s">
        <v>6</v>
      </c>
      <c r="E85" s="8">
        <v>172</v>
      </c>
      <c r="F85" s="24"/>
      <c r="G85" s="5"/>
      <c r="H85" s="5"/>
      <c r="I85" s="5"/>
      <c r="J85" s="5"/>
      <c r="K85" s="5"/>
      <c r="L85" s="5"/>
      <c r="M85" s="25"/>
      <c r="N85" s="24"/>
      <c r="O85" s="5"/>
      <c r="P85" s="5"/>
      <c r="Q85" s="5"/>
      <c r="R85" s="5"/>
      <c r="S85" s="5"/>
      <c r="T85" s="5"/>
      <c r="U85" s="25"/>
      <c r="V85" s="24"/>
      <c r="W85" s="5"/>
      <c r="X85" s="5"/>
      <c r="Y85" s="5"/>
      <c r="Z85" s="5"/>
      <c r="AA85" s="5"/>
      <c r="AB85" s="5"/>
      <c r="AC85" s="25"/>
      <c r="AD85" s="24"/>
      <c r="AE85" s="5"/>
      <c r="AF85" s="5"/>
      <c r="AG85" s="5"/>
      <c r="AH85" s="5"/>
      <c r="AI85" s="5">
        <v>1</v>
      </c>
      <c r="AJ85" s="5"/>
      <c r="AK85" s="25"/>
      <c r="AL85" s="5">
        <v>172</v>
      </c>
      <c r="AM85" s="8"/>
      <c r="AN85" s="8">
        <v>1</v>
      </c>
      <c r="AO85" s="8"/>
      <c r="AP85" s="8">
        <f>SUM(F85:AK85)</f>
        <v>1</v>
      </c>
      <c r="AQ85">
        <v>32</v>
      </c>
      <c r="AR85" s="76">
        <f>AP85/AQ85</f>
        <v>3.125E-2</v>
      </c>
    </row>
    <row r="86" spans="1:44">
      <c r="A86" s="8">
        <v>174</v>
      </c>
      <c r="B86" s="8" t="s">
        <v>141</v>
      </c>
      <c r="C86" s="8" t="s">
        <v>346</v>
      </c>
      <c r="D86" s="8"/>
      <c r="E86" s="8">
        <v>174</v>
      </c>
      <c r="F86" s="24"/>
      <c r="G86" s="5"/>
      <c r="H86" s="5"/>
      <c r="I86" s="5"/>
      <c r="J86" s="5"/>
      <c r="K86" s="5"/>
      <c r="L86" s="5"/>
      <c r="M86" s="25"/>
      <c r="N86" s="24"/>
      <c r="O86" s="5"/>
      <c r="P86" s="5"/>
      <c r="Q86" s="5"/>
      <c r="R86" s="5"/>
      <c r="S86" s="5"/>
      <c r="T86" s="5"/>
      <c r="U86" s="25"/>
      <c r="V86" s="24"/>
      <c r="W86" s="5"/>
      <c r="X86" s="5"/>
      <c r="Y86" s="5"/>
      <c r="Z86" s="5"/>
      <c r="AA86" s="5"/>
      <c r="AB86" s="5"/>
      <c r="AC86" s="25"/>
      <c r="AD86" s="24"/>
      <c r="AE86" s="5"/>
      <c r="AF86" s="5"/>
      <c r="AG86" s="5"/>
      <c r="AH86" s="5"/>
      <c r="AI86" s="5"/>
      <c r="AJ86" s="5"/>
      <c r="AK86" s="25"/>
      <c r="AL86" s="5">
        <v>174</v>
      </c>
      <c r="AM86" s="8">
        <v>1</v>
      </c>
      <c r="AN86" s="8"/>
      <c r="AO86" s="8"/>
      <c r="AP86" s="8"/>
      <c r="AQ86">
        <v>20</v>
      </c>
    </row>
    <row r="87" spans="1:44">
      <c r="A87" s="8">
        <v>176</v>
      </c>
      <c r="B87" s="8" t="s">
        <v>44</v>
      </c>
      <c r="C87" s="8" t="s">
        <v>349</v>
      </c>
      <c r="D87" s="8" t="s">
        <v>42</v>
      </c>
      <c r="E87" s="8">
        <v>176</v>
      </c>
      <c r="F87" s="24"/>
      <c r="G87" s="5">
        <v>1</v>
      </c>
      <c r="H87" s="5"/>
      <c r="I87" s="5"/>
      <c r="J87" s="5"/>
      <c r="K87" s="5"/>
      <c r="L87" s="5"/>
      <c r="M87" s="25">
        <v>1</v>
      </c>
      <c r="N87" s="24">
        <v>1</v>
      </c>
      <c r="O87" s="5"/>
      <c r="P87" s="5"/>
      <c r="Q87" s="5"/>
      <c r="R87" s="5"/>
      <c r="S87" s="5">
        <v>1</v>
      </c>
      <c r="T87" s="5"/>
      <c r="U87" s="25"/>
      <c r="V87" s="24"/>
      <c r="W87" s="5"/>
      <c r="X87" s="5">
        <v>1</v>
      </c>
      <c r="Y87" s="5"/>
      <c r="Z87" s="5"/>
      <c r="AA87" s="5"/>
      <c r="AB87" s="5"/>
      <c r="AC87" s="25"/>
      <c r="AD87" s="24"/>
      <c r="AE87" s="5"/>
      <c r="AF87" s="5"/>
      <c r="AG87" s="5"/>
      <c r="AH87" s="5"/>
      <c r="AI87" s="5"/>
      <c r="AJ87" s="5">
        <v>1</v>
      </c>
      <c r="AK87" s="25"/>
      <c r="AL87" s="5">
        <v>176</v>
      </c>
      <c r="AM87" s="8"/>
      <c r="AN87" s="8">
        <v>1</v>
      </c>
      <c r="AO87" s="8"/>
      <c r="AP87" s="8">
        <f>SUM(F87:AK87)</f>
        <v>6</v>
      </c>
      <c r="AQ87">
        <v>29</v>
      </c>
      <c r="AR87" s="76">
        <f>AP87/AQ87</f>
        <v>0.20689655172413793</v>
      </c>
    </row>
    <row r="88" spans="1:44">
      <c r="A88" s="8">
        <v>178</v>
      </c>
      <c r="B88" s="8" t="s">
        <v>5</v>
      </c>
      <c r="C88" s="8" t="s">
        <v>42</v>
      </c>
      <c r="D88" s="8" t="s">
        <v>6</v>
      </c>
      <c r="E88" s="8">
        <v>178</v>
      </c>
      <c r="F88" s="24"/>
      <c r="G88" s="5"/>
      <c r="H88" s="5"/>
      <c r="I88" s="5"/>
      <c r="J88" s="5"/>
      <c r="K88" s="5"/>
      <c r="L88" s="5"/>
      <c r="M88" s="25"/>
      <c r="N88" s="24"/>
      <c r="O88" s="5"/>
      <c r="P88" s="5"/>
      <c r="Q88" s="5"/>
      <c r="R88" s="5"/>
      <c r="S88" s="5"/>
      <c r="T88" s="5"/>
      <c r="U88" s="25"/>
      <c r="V88" s="24"/>
      <c r="W88" s="5"/>
      <c r="X88" s="5"/>
      <c r="Y88" s="5"/>
      <c r="Z88" s="5"/>
      <c r="AA88" s="5"/>
      <c r="AB88" s="5"/>
      <c r="AC88" s="25"/>
      <c r="AD88" s="24"/>
      <c r="AE88" s="5"/>
      <c r="AF88" s="5"/>
      <c r="AG88" s="5"/>
      <c r="AH88" s="5"/>
      <c r="AI88" s="5">
        <v>1</v>
      </c>
      <c r="AJ88" s="5">
        <v>1</v>
      </c>
      <c r="AK88" s="25"/>
      <c r="AL88" s="5">
        <v>178</v>
      </c>
      <c r="AM88" s="8"/>
      <c r="AN88" s="8">
        <v>1</v>
      </c>
      <c r="AO88" s="8"/>
      <c r="AP88" s="8">
        <f>SUM(F88:AK88)</f>
        <v>2</v>
      </c>
      <c r="AQ88">
        <v>31</v>
      </c>
      <c r="AR88" s="76">
        <f>AP88/AQ88</f>
        <v>6.4516129032258063E-2</v>
      </c>
    </row>
    <row r="89" spans="1:44">
      <c r="A89" s="8">
        <v>179</v>
      </c>
      <c r="B89" s="8" t="s">
        <v>48</v>
      </c>
      <c r="C89" s="8" t="s">
        <v>357</v>
      </c>
      <c r="D89" s="8"/>
      <c r="E89" s="8">
        <v>179</v>
      </c>
      <c r="F89" s="24"/>
      <c r="G89" s="5"/>
      <c r="H89" s="5"/>
      <c r="I89" s="5"/>
      <c r="J89" s="5"/>
      <c r="K89" s="5"/>
      <c r="L89" s="5"/>
      <c r="M89" s="25"/>
      <c r="N89" s="24"/>
      <c r="O89" s="5"/>
      <c r="P89" s="5"/>
      <c r="Q89" s="5"/>
      <c r="R89" s="5"/>
      <c r="S89" s="5"/>
      <c r="T89" s="5"/>
      <c r="U89" s="25"/>
      <c r="V89" s="24"/>
      <c r="W89" s="5"/>
      <c r="X89" s="5"/>
      <c r="Y89" s="5"/>
      <c r="Z89" s="5"/>
      <c r="AA89" s="5"/>
      <c r="AB89" s="5"/>
      <c r="AC89" s="25"/>
      <c r="AD89" s="24"/>
      <c r="AE89" s="5"/>
      <c r="AF89" s="5"/>
      <c r="AG89" s="5"/>
      <c r="AH89" s="5"/>
      <c r="AI89" s="5"/>
      <c r="AJ89" s="5"/>
      <c r="AK89" s="25"/>
      <c r="AL89" s="5">
        <v>179</v>
      </c>
      <c r="AM89" s="8">
        <v>1</v>
      </c>
      <c r="AN89" s="8"/>
      <c r="AO89" s="8"/>
      <c r="AP89" s="8"/>
      <c r="AQ89">
        <v>23</v>
      </c>
    </row>
    <row r="90" spans="1:44">
      <c r="A90" s="8">
        <v>180</v>
      </c>
      <c r="B90" s="8" t="s">
        <v>143</v>
      </c>
      <c r="C90" s="8" t="s">
        <v>357</v>
      </c>
      <c r="D90" s="8"/>
      <c r="E90" s="8">
        <v>180</v>
      </c>
      <c r="F90" s="24"/>
      <c r="G90" s="5"/>
      <c r="H90" s="5"/>
      <c r="I90" s="5"/>
      <c r="J90" s="5"/>
      <c r="K90" s="5"/>
      <c r="L90" s="5"/>
      <c r="M90" s="25"/>
      <c r="N90" s="24"/>
      <c r="O90" s="5"/>
      <c r="P90" s="5"/>
      <c r="Q90" s="5"/>
      <c r="R90" s="5"/>
      <c r="S90" s="5"/>
      <c r="T90" s="5"/>
      <c r="U90" s="25"/>
      <c r="V90" s="24"/>
      <c r="W90" s="5"/>
      <c r="X90" s="5"/>
      <c r="Y90" s="5"/>
      <c r="Z90" s="5"/>
      <c r="AA90" s="5"/>
      <c r="AB90" s="5"/>
      <c r="AC90" s="25"/>
      <c r="AD90" s="24"/>
      <c r="AE90" s="5"/>
      <c r="AF90" s="5"/>
      <c r="AG90" s="5"/>
      <c r="AH90" s="5"/>
      <c r="AI90" s="5"/>
      <c r="AJ90" s="5"/>
      <c r="AK90" s="25"/>
      <c r="AL90" s="5">
        <v>180</v>
      </c>
      <c r="AM90" s="8">
        <v>1</v>
      </c>
      <c r="AN90" s="8"/>
      <c r="AO90" s="8"/>
      <c r="AP90" s="8"/>
      <c r="AQ90">
        <v>22</v>
      </c>
    </row>
    <row r="91" spans="1:44">
      <c r="A91" s="8">
        <v>181</v>
      </c>
      <c r="B91" s="8" t="s">
        <v>145</v>
      </c>
      <c r="C91" s="8" t="s">
        <v>357</v>
      </c>
      <c r="D91" s="8" t="s">
        <v>15</v>
      </c>
      <c r="E91" s="8">
        <v>181</v>
      </c>
      <c r="F91" s="24"/>
      <c r="G91" s="5"/>
      <c r="H91" s="5"/>
      <c r="I91" s="5"/>
      <c r="J91" s="5"/>
      <c r="K91" s="5"/>
      <c r="L91" s="5"/>
      <c r="M91" s="25"/>
      <c r="N91" s="24"/>
      <c r="O91" s="5"/>
      <c r="P91" s="5"/>
      <c r="Q91" s="5"/>
      <c r="R91" s="5"/>
      <c r="S91" s="5"/>
      <c r="T91" s="5"/>
      <c r="U91" s="25"/>
      <c r="V91" s="24"/>
      <c r="W91" s="5"/>
      <c r="X91" s="5"/>
      <c r="Y91" s="5"/>
      <c r="Z91" s="5"/>
      <c r="AA91" s="5"/>
      <c r="AB91" s="5"/>
      <c r="AC91" s="25"/>
      <c r="AD91" s="24"/>
      <c r="AE91" s="5"/>
      <c r="AF91" s="5"/>
      <c r="AG91" s="5"/>
      <c r="AH91" s="5"/>
      <c r="AI91" s="5"/>
      <c r="AJ91" s="5"/>
      <c r="AK91" s="25"/>
      <c r="AL91" s="5">
        <v>181</v>
      </c>
      <c r="AM91" s="8">
        <v>1</v>
      </c>
      <c r="AN91" s="8"/>
      <c r="AO91" s="8"/>
      <c r="AP91" s="8"/>
      <c r="AQ91">
        <v>28</v>
      </c>
    </row>
    <row r="92" spans="1:44">
      <c r="A92" s="8">
        <v>185</v>
      </c>
      <c r="B92" s="8" t="s">
        <v>5</v>
      </c>
      <c r="C92" s="8" t="s">
        <v>42</v>
      </c>
      <c r="D92" s="8" t="s">
        <v>42</v>
      </c>
      <c r="E92" s="8">
        <v>185</v>
      </c>
      <c r="F92" s="24"/>
      <c r="G92" s="5"/>
      <c r="H92" s="5"/>
      <c r="I92" s="5"/>
      <c r="J92" s="5"/>
      <c r="K92" s="5"/>
      <c r="L92" s="5"/>
      <c r="M92" s="25"/>
      <c r="N92" s="24"/>
      <c r="O92" s="5"/>
      <c r="P92" s="5"/>
      <c r="Q92" s="5"/>
      <c r="R92" s="5"/>
      <c r="S92" s="5"/>
      <c r="T92" s="5"/>
      <c r="U92" s="25"/>
      <c r="V92" s="24"/>
      <c r="W92" s="5"/>
      <c r="X92" s="5"/>
      <c r="Y92" s="5"/>
      <c r="Z92" s="5"/>
      <c r="AA92" s="5"/>
      <c r="AB92" s="5"/>
      <c r="AC92" s="25"/>
      <c r="AD92" s="24"/>
      <c r="AE92" s="5"/>
      <c r="AF92" s="5"/>
      <c r="AG92" s="5"/>
      <c r="AH92" s="5"/>
      <c r="AI92" s="5"/>
      <c r="AJ92" s="5"/>
      <c r="AK92" s="25"/>
      <c r="AL92" s="5">
        <v>185</v>
      </c>
      <c r="AM92" s="8">
        <v>1</v>
      </c>
      <c r="AN92" s="8"/>
      <c r="AO92" s="8"/>
      <c r="AP92" s="8"/>
      <c r="AQ92">
        <v>32</v>
      </c>
    </row>
    <row r="93" spans="1:44">
      <c r="A93" s="8">
        <v>187</v>
      </c>
      <c r="B93" s="8" t="s">
        <v>44</v>
      </c>
      <c r="C93" s="8" t="s">
        <v>349</v>
      </c>
      <c r="D93" s="8" t="s">
        <v>6</v>
      </c>
      <c r="E93" s="8">
        <v>187</v>
      </c>
      <c r="F93" s="24"/>
      <c r="G93" s="5"/>
      <c r="H93" s="5"/>
      <c r="I93" s="5"/>
      <c r="J93" s="5"/>
      <c r="K93" s="5"/>
      <c r="L93" s="5"/>
      <c r="M93" s="25">
        <v>1</v>
      </c>
      <c r="N93" s="24">
        <v>1</v>
      </c>
      <c r="O93" s="5">
        <v>1</v>
      </c>
      <c r="P93" s="5"/>
      <c r="Q93" s="5"/>
      <c r="R93" s="5"/>
      <c r="S93" s="5"/>
      <c r="T93" s="5"/>
      <c r="U93" s="25"/>
      <c r="V93" s="24"/>
      <c r="W93" s="5">
        <v>1</v>
      </c>
      <c r="X93" s="5">
        <v>1</v>
      </c>
      <c r="Y93" s="5">
        <v>1</v>
      </c>
      <c r="Z93" s="5"/>
      <c r="AA93" s="5"/>
      <c r="AB93" s="5"/>
      <c r="AC93" s="25"/>
      <c r="AD93" s="24"/>
      <c r="AE93" s="5"/>
      <c r="AF93" s="5"/>
      <c r="AG93" s="5"/>
      <c r="AH93" s="5"/>
      <c r="AI93" s="5">
        <v>1</v>
      </c>
      <c r="AJ93" s="5">
        <v>1</v>
      </c>
      <c r="AK93" s="25"/>
      <c r="AL93" s="5">
        <v>187</v>
      </c>
      <c r="AM93" s="8"/>
      <c r="AN93" s="8">
        <v>1</v>
      </c>
      <c r="AO93" s="8"/>
      <c r="AP93" s="8">
        <f>SUM(F93:AK93)</f>
        <v>8</v>
      </c>
      <c r="AQ93">
        <v>31</v>
      </c>
      <c r="AR93" s="76">
        <f>AP93/AQ93</f>
        <v>0.25806451612903225</v>
      </c>
    </row>
    <row r="94" spans="1:44">
      <c r="A94" s="8">
        <v>192</v>
      </c>
      <c r="B94" s="8" t="s">
        <v>149</v>
      </c>
      <c r="C94" s="8" t="s">
        <v>346</v>
      </c>
      <c r="D94" s="8"/>
      <c r="E94" s="8">
        <v>192</v>
      </c>
      <c r="F94" s="24"/>
      <c r="G94" s="5"/>
      <c r="H94" s="5"/>
      <c r="I94" s="5"/>
      <c r="J94" s="5"/>
      <c r="K94" s="5"/>
      <c r="L94" s="5"/>
      <c r="M94" s="25"/>
      <c r="N94" s="24"/>
      <c r="O94" s="5"/>
      <c r="P94" s="5"/>
      <c r="Q94" s="5"/>
      <c r="R94" s="5"/>
      <c r="S94" s="5"/>
      <c r="T94" s="5"/>
      <c r="U94" s="25"/>
      <c r="V94" s="24"/>
      <c r="W94" s="5"/>
      <c r="X94" s="5"/>
      <c r="Y94" s="5"/>
      <c r="Z94" s="5"/>
      <c r="AA94" s="5"/>
      <c r="AB94" s="5"/>
      <c r="AC94" s="25"/>
      <c r="AD94" s="24"/>
      <c r="AE94" s="5"/>
      <c r="AF94" s="5"/>
      <c r="AG94" s="5"/>
      <c r="AH94" s="5"/>
      <c r="AI94" s="5"/>
      <c r="AJ94" s="5"/>
      <c r="AK94" s="25"/>
      <c r="AL94" s="5">
        <v>192</v>
      </c>
      <c r="AM94" s="8">
        <v>1</v>
      </c>
      <c r="AN94" s="8"/>
      <c r="AO94" s="8"/>
      <c r="AP94" s="8"/>
      <c r="AQ94">
        <v>20</v>
      </c>
    </row>
    <row r="95" spans="1:44">
      <c r="A95" s="8">
        <v>193</v>
      </c>
      <c r="B95" s="8" t="s">
        <v>123</v>
      </c>
      <c r="C95" s="8" t="s">
        <v>366</v>
      </c>
      <c r="D95" s="8" t="s">
        <v>6</v>
      </c>
      <c r="E95" s="8">
        <v>193</v>
      </c>
      <c r="F95" s="24"/>
      <c r="G95" s="5"/>
      <c r="H95" s="5"/>
      <c r="I95" s="5"/>
      <c r="J95" s="5"/>
      <c r="K95" s="5"/>
      <c r="L95" s="5"/>
      <c r="M95" s="25"/>
      <c r="N95" s="24"/>
      <c r="O95" s="5"/>
      <c r="P95" s="5"/>
      <c r="Q95" s="5"/>
      <c r="R95" s="5"/>
      <c r="S95" s="5"/>
      <c r="T95" s="5"/>
      <c r="U95" s="25"/>
      <c r="V95" s="24"/>
      <c r="W95" s="5"/>
      <c r="X95" s="5">
        <v>1</v>
      </c>
      <c r="Y95" s="5"/>
      <c r="Z95" s="5"/>
      <c r="AA95" s="5"/>
      <c r="AB95" s="5"/>
      <c r="AC95" s="25"/>
      <c r="AD95" s="24"/>
      <c r="AE95" s="5"/>
      <c r="AF95" s="5"/>
      <c r="AG95" s="5"/>
      <c r="AH95" s="5">
        <v>1</v>
      </c>
      <c r="AI95" s="5">
        <v>1</v>
      </c>
      <c r="AJ95" s="5"/>
      <c r="AK95" s="25"/>
      <c r="AL95" s="5">
        <v>193</v>
      </c>
      <c r="AM95" s="8"/>
      <c r="AN95" s="8">
        <v>1</v>
      </c>
      <c r="AO95" s="8"/>
      <c r="AP95" s="8">
        <f>SUM(F95:AK95)</f>
        <v>3</v>
      </c>
      <c r="AQ95">
        <v>32</v>
      </c>
      <c r="AR95" s="76">
        <f>AP95/AQ95</f>
        <v>9.375E-2</v>
      </c>
    </row>
    <row r="96" spans="1:44">
      <c r="A96" s="8">
        <v>194</v>
      </c>
      <c r="B96" s="8" t="s">
        <v>62</v>
      </c>
      <c r="C96" s="8" t="s">
        <v>42</v>
      </c>
      <c r="D96" s="8" t="s">
        <v>42</v>
      </c>
      <c r="E96" s="8">
        <v>194</v>
      </c>
      <c r="F96" s="24"/>
      <c r="G96" s="5"/>
      <c r="H96" s="5"/>
      <c r="I96" s="5"/>
      <c r="J96" s="5"/>
      <c r="K96" s="5"/>
      <c r="L96" s="5"/>
      <c r="M96" s="25"/>
      <c r="N96" s="24"/>
      <c r="O96" s="5"/>
      <c r="P96" s="5"/>
      <c r="Q96" s="5"/>
      <c r="R96" s="5"/>
      <c r="S96" s="5"/>
      <c r="T96" s="5"/>
      <c r="U96" s="25"/>
      <c r="V96" s="24"/>
      <c r="W96" s="5"/>
      <c r="X96" s="5">
        <v>1</v>
      </c>
      <c r="Y96" s="5"/>
      <c r="Z96" s="5"/>
      <c r="AA96" s="5"/>
      <c r="AB96" s="5"/>
      <c r="AC96" s="25"/>
      <c r="AD96" s="24"/>
      <c r="AE96" s="5"/>
      <c r="AF96" s="5"/>
      <c r="AG96" s="5"/>
      <c r="AH96" s="5"/>
      <c r="AI96" s="5"/>
      <c r="AJ96" s="5"/>
      <c r="AK96" s="25"/>
      <c r="AL96" s="5">
        <v>194</v>
      </c>
      <c r="AM96" s="8"/>
      <c r="AN96" s="8">
        <v>1</v>
      </c>
      <c r="AO96" s="8"/>
      <c r="AP96" s="8">
        <f>SUM(F96:AK96)</f>
        <v>1</v>
      </c>
      <c r="AQ96">
        <v>32</v>
      </c>
      <c r="AR96" s="76">
        <f>AP96/AQ96</f>
        <v>3.125E-2</v>
      </c>
    </row>
    <row r="97" spans="1:44">
      <c r="A97" s="8">
        <v>205</v>
      </c>
      <c r="B97" s="8" t="s">
        <v>74</v>
      </c>
      <c r="C97" s="8" t="s">
        <v>346</v>
      </c>
      <c r="D97" s="8"/>
      <c r="E97" s="8">
        <v>205</v>
      </c>
      <c r="F97" s="24"/>
      <c r="G97" s="5"/>
      <c r="H97" s="5"/>
      <c r="I97" s="5"/>
      <c r="J97" s="5"/>
      <c r="K97" s="5"/>
      <c r="L97" s="5"/>
      <c r="M97" s="25"/>
      <c r="N97" s="24"/>
      <c r="O97" s="5"/>
      <c r="P97" s="5"/>
      <c r="Q97" s="5"/>
      <c r="R97" s="5"/>
      <c r="S97" s="5"/>
      <c r="T97" s="5"/>
      <c r="U97" s="25"/>
      <c r="V97" s="24"/>
      <c r="W97" s="5"/>
      <c r="X97" s="5"/>
      <c r="Y97" s="5"/>
      <c r="Z97" s="5"/>
      <c r="AA97" s="5"/>
      <c r="AB97" s="5"/>
      <c r="AC97" s="25"/>
      <c r="AD97" s="24"/>
      <c r="AE97" s="5"/>
      <c r="AF97" s="5"/>
      <c r="AG97" s="5"/>
      <c r="AH97" s="5"/>
      <c r="AI97" s="5"/>
      <c r="AJ97" s="5"/>
      <c r="AK97" s="25"/>
      <c r="AL97" s="5">
        <v>205</v>
      </c>
      <c r="AM97" s="8">
        <v>1</v>
      </c>
      <c r="AN97" s="8"/>
      <c r="AO97" s="8"/>
      <c r="AP97" s="8"/>
      <c r="AQ97">
        <v>12</v>
      </c>
    </row>
    <row r="98" spans="1:44">
      <c r="A98" s="8">
        <v>206</v>
      </c>
      <c r="B98" s="8" t="s">
        <v>139</v>
      </c>
      <c r="C98" s="8" t="s">
        <v>357</v>
      </c>
      <c r="D98" s="8"/>
      <c r="E98" s="8">
        <v>206</v>
      </c>
      <c r="F98" s="24"/>
      <c r="G98" s="5"/>
      <c r="H98" s="5"/>
      <c r="I98" s="5"/>
      <c r="J98" s="5"/>
      <c r="K98" s="5"/>
      <c r="L98" s="5"/>
      <c r="M98" s="25"/>
      <c r="N98" s="24"/>
      <c r="O98" s="5"/>
      <c r="P98" s="5"/>
      <c r="Q98" s="5"/>
      <c r="R98" s="5"/>
      <c r="S98" s="5"/>
      <c r="T98" s="5"/>
      <c r="U98" s="25"/>
      <c r="V98" s="24"/>
      <c r="W98" s="5"/>
      <c r="X98" s="5"/>
      <c r="Y98" s="5"/>
      <c r="Z98" s="5"/>
      <c r="AA98" s="5"/>
      <c r="AB98" s="5"/>
      <c r="AC98" s="25"/>
      <c r="AD98" s="24"/>
      <c r="AE98" s="5"/>
      <c r="AF98" s="5"/>
      <c r="AG98" s="5"/>
      <c r="AH98" s="5"/>
      <c r="AI98" s="5"/>
      <c r="AJ98" s="5"/>
      <c r="AK98" s="25"/>
      <c r="AL98" s="5">
        <v>206</v>
      </c>
      <c r="AM98" s="8">
        <v>1</v>
      </c>
      <c r="AN98" s="8"/>
      <c r="AO98" s="8"/>
      <c r="AP98" s="8"/>
      <c r="AQ98">
        <v>4</v>
      </c>
    </row>
    <row r="99" spans="1:44">
      <c r="A99" s="8">
        <v>210</v>
      </c>
      <c r="B99" s="8" t="s">
        <v>55</v>
      </c>
      <c r="C99" s="8" t="s">
        <v>346</v>
      </c>
      <c r="D99" s="8"/>
      <c r="E99" s="8">
        <v>210</v>
      </c>
      <c r="F99" s="24"/>
      <c r="G99" s="5"/>
      <c r="H99" s="5"/>
      <c r="I99" s="5"/>
      <c r="J99" s="5"/>
      <c r="K99" s="5"/>
      <c r="L99" s="5"/>
      <c r="M99" s="25"/>
      <c r="N99" s="24"/>
      <c r="O99" s="5"/>
      <c r="P99" s="5"/>
      <c r="Q99" s="5"/>
      <c r="R99" s="5"/>
      <c r="S99" s="5"/>
      <c r="T99" s="5"/>
      <c r="U99" s="25"/>
      <c r="V99" s="24"/>
      <c r="W99" s="5"/>
      <c r="X99" s="5"/>
      <c r="Y99" s="5"/>
      <c r="Z99" s="5"/>
      <c r="AA99" s="5"/>
      <c r="AB99" s="5"/>
      <c r="AC99" s="25"/>
      <c r="AD99" s="24"/>
      <c r="AE99" s="5"/>
      <c r="AF99" s="5"/>
      <c r="AG99" s="5"/>
      <c r="AH99" s="5"/>
      <c r="AI99" s="5"/>
      <c r="AJ99" s="5"/>
      <c r="AK99" s="25"/>
      <c r="AL99" s="5">
        <v>210</v>
      </c>
      <c r="AM99" s="8">
        <v>1</v>
      </c>
      <c r="AN99" s="8"/>
      <c r="AO99" s="8"/>
      <c r="AP99" s="8"/>
      <c r="AQ99">
        <v>20</v>
      </c>
    </row>
    <row r="100" spans="1:44">
      <c r="A100" s="8">
        <v>213</v>
      </c>
      <c r="B100" s="8" t="s">
        <v>62</v>
      </c>
      <c r="C100" s="8" t="s">
        <v>42</v>
      </c>
      <c r="D100" s="8" t="s">
        <v>42</v>
      </c>
      <c r="E100" s="8">
        <v>213</v>
      </c>
      <c r="F100" s="24"/>
      <c r="G100" s="5"/>
      <c r="H100" s="5"/>
      <c r="I100" s="5"/>
      <c r="J100" s="5">
        <v>1</v>
      </c>
      <c r="K100" s="5"/>
      <c r="L100" s="5"/>
      <c r="M100" s="25"/>
      <c r="N100" s="24"/>
      <c r="O100" s="5"/>
      <c r="P100" s="5"/>
      <c r="Q100" s="5"/>
      <c r="R100" s="5"/>
      <c r="S100" s="5"/>
      <c r="T100" s="5"/>
      <c r="U100" s="25"/>
      <c r="V100" s="24"/>
      <c r="W100" s="5">
        <v>1</v>
      </c>
      <c r="X100" s="5"/>
      <c r="Y100" s="5"/>
      <c r="Z100" s="5"/>
      <c r="AA100" s="5"/>
      <c r="AB100" s="5"/>
      <c r="AC100" s="25"/>
      <c r="AD100" s="24"/>
      <c r="AE100" s="5"/>
      <c r="AF100" s="5"/>
      <c r="AG100" s="5"/>
      <c r="AH100" s="5"/>
      <c r="AI100" s="5"/>
      <c r="AJ100" s="5"/>
      <c r="AK100" s="25"/>
      <c r="AL100" s="5">
        <v>213</v>
      </c>
      <c r="AM100" s="8"/>
      <c r="AN100" s="8">
        <v>1</v>
      </c>
      <c r="AO100" s="8"/>
      <c r="AP100" s="8">
        <f>SUM(F100:AK100)</f>
        <v>2</v>
      </c>
      <c r="AQ100">
        <v>32</v>
      </c>
      <c r="AR100" s="76">
        <f>AP100/AQ100</f>
        <v>6.25E-2</v>
      </c>
    </row>
    <row r="101" spans="1:44">
      <c r="A101" s="8">
        <v>214</v>
      </c>
      <c r="B101" s="8" t="s">
        <v>63</v>
      </c>
      <c r="C101" s="8" t="s">
        <v>346</v>
      </c>
      <c r="D101" s="8"/>
      <c r="E101" s="8">
        <v>214</v>
      </c>
      <c r="F101" s="24"/>
      <c r="G101" s="5"/>
      <c r="H101" s="5"/>
      <c r="I101" s="5"/>
      <c r="J101" s="5"/>
      <c r="K101" s="5"/>
      <c r="L101" s="5"/>
      <c r="M101" s="25"/>
      <c r="N101" s="24"/>
      <c r="O101" s="5"/>
      <c r="P101" s="5"/>
      <c r="Q101" s="5"/>
      <c r="R101" s="5"/>
      <c r="S101" s="5"/>
      <c r="T101" s="5"/>
      <c r="U101" s="25"/>
      <c r="V101" s="24"/>
      <c r="W101" s="5"/>
      <c r="X101" s="5"/>
      <c r="Y101" s="5"/>
      <c r="Z101" s="5"/>
      <c r="AA101" s="5"/>
      <c r="AB101" s="5"/>
      <c r="AC101" s="25"/>
      <c r="AD101" s="24"/>
      <c r="AE101" s="5"/>
      <c r="AF101" s="5"/>
      <c r="AG101" s="5"/>
      <c r="AH101" s="5"/>
      <c r="AI101" s="5"/>
      <c r="AJ101" s="5"/>
      <c r="AK101" s="25"/>
      <c r="AL101" s="5">
        <v>214</v>
      </c>
      <c r="AM101" s="8">
        <v>1</v>
      </c>
      <c r="AN101" s="8"/>
      <c r="AO101" s="8"/>
      <c r="AP101" s="8"/>
      <c r="AQ101">
        <v>12</v>
      </c>
    </row>
    <row r="102" spans="1:44">
      <c r="A102" s="8">
        <v>216</v>
      </c>
      <c r="B102" s="81" t="s">
        <v>71</v>
      </c>
      <c r="C102" s="8" t="s">
        <v>366</v>
      </c>
      <c r="D102" s="81" t="s">
        <v>42</v>
      </c>
      <c r="E102" s="8">
        <v>216</v>
      </c>
      <c r="F102" s="24"/>
      <c r="G102" s="5">
        <v>1</v>
      </c>
      <c r="H102" s="5"/>
      <c r="I102" s="5"/>
      <c r="J102" s="5"/>
      <c r="K102" s="5"/>
      <c r="L102" s="5"/>
      <c r="M102" s="25"/>
      <c r="N102" s="24"/>
      <c r="O102" s="5"/>
      <c r="P102" s="5"/>
      <c r="Q102" s="5"/>
      <c r="R102" s="5"/>
      <c r="S102" s="5">
        <v>1</v>
      </c>
      <c r="T102" s="5">
        <v>1</v>
      </c>
      <c r="U102" s="25"/>
      <c r="V102" s="24"/>
      <c r="W102" s="5"/>
      <c r="X102" s="5"/>
      <c r="Y102" s="5"/>
      <c r="Z102" s="5"/>
      <c r="AA102" s="5"/>
      <c r="AB102" s="5"/>
      <c r="AC102" s="25"/>
      <c r="AD102" s="24"/>
      <c r="AE102" s="5"/>
      <c r="AF102" s="5"/>
      <c r="AG102" s="5"/>
      <c r="AH102" s="5">
        <v>1</v>
      </c>
      <c r="AI102" s="5">
        <v>1</v>
      </c>
      <c r="AJ102" s="5"/>
      <c r="AK102" s="25"/>
      <c r="AL102" s="5">
        <v>216</v>
      </c>
      <c r="AM102" s="8"/>
      <c r="AN102" s="8">
        <v>1</v>
      </c>
      <c r="AO102" s="8"/>
      <c r="AP102" s="8">
        <f>SUM(F102:AK102)</f>
        <v>5</v>
      </c>
      <c r="AQ102">
        <v>30</v>
      </c>
      <c r="AR102" s="76">
        <f>AP102/AQ102</f>
        <v>0.16666666666666666</v>
      </c>
    </row>
    <row r="103" spans="1:44">
      <c r="A103" s="8">
        <v>219</v>
      </c>
      <c r="B103" s="81" t="s">
        <v>106</v>
      </c>
      <c r="C103" s="8" t="s">
        <v>349</v>
      </c>
      <c r="D103" s="81" t="s">
        <v>6</v>
      </c>
      <c r="E103" s="8">
        <v>219</v>
      </c>
      <c r="F103" s="24"/>
      <c r="G103" s="5">
        <v>1</v>
      </c>
      <c r="H103" s="5">
        <v>1</v>
      </c>
      <c r="I103" s="5">
        <v>1</v>
      </c>
      <c r="J103" s="5">
        <v>1</v>
      </c>
      <c r="K103" s="5">
        <v>1</v>
      </c>
      <c r="L103" s="5">
        <v>1</v>
      </c>
      <c r="M103" s="25">
        <v>1</v>
      </c>
      <c r="N103" s="24">
        <v>1</v>
      </c>
      <c r="O103" s="5">
        <v>1</v>
      </c>
      <c r="P103" s="5"/>
      <c r="Q103" s="5">
        <v>1</v>
      </c>
      <c r="R103" s="5">
        <v>1</v>
      </c>
      <c r="S103" s="5">
        <v>1</v>
      </c>
      <c r="T103" s="5">
        <v>1</v>
      </c>
      <c r="U103" s="25"/>
      <c r="V103" s="24"/>
      <c r="W103" s="5">
        <v>1</v>
      </c>
      <c r="X103" s="5">
        <v>1</v>
      </c>
      <c r="Y103" s="5">
        <v>1</v>
      </c>
      <c r="Z103" s="5">
        <v>1</v>
      </c>
      <c r="AA103" s="5">
        <v>1</v>
      </c>
      <c r="AB103" s="5">
        <v>1</v>
      </c>
      <c r="AC103" s="25">
        <v>1</v>
      </c>
      <c r="AD103" s="24">
        <v>1</v>
      </c>
      <c r="AE103" s="5">
        <v>1</v>
      </c>
      <c r="AF103" s="5"/>
      <c r="AG103" s="5"/>
      <c r="AH103" s="5">
        <v>1</v>
      </c>
      <c r="AI103" s="5">
        <v>1</v>
      </c>
      <c r="AJ103" s="5">
        <v>1</v>
      </c>
      <c r="AK103" s="25"/>
      <c r="AL103" s="5">
        <v>219</v>
      </c>
      <c r="AM103" s="8"/>
      <c r="AN103" s="8">
        <v>1</v>
      </c>
      <c r="AO103" s="8"/>
      <c r="AP103" s="8">
        <f>SUM(F103:AK103)</f>
        <v>25</v>
      </c>
      <c r="AQ103">
        <v>28</v>
      </c>
      <c r="AR103" s="76">
        <f>AP103/AQ103</f>
        <v>0.8928571428571429</v>
      </c>
    </row>
    <row r="104" spans="1:44">
      <c r="A104" s="8">
        <v>220</v>
      </c>
      <c r="B104" s="81" t="s">
        <v>71</v>
      </c>
      <c r="C104" s="8" t="s">
        <v>366</v>
      </c>
      <c r="D104" s="81" t="s">
        <v>6</v>
      </c>
      <c r="E104" s="8">
        <v>220</v>
      </c>
      <c r="F104" s="24"/>
      <c r="G104" s="5"/>
      <c r="H104" s="5"/>
      <c r="I104" s="5"/>
      <c r="J104" s="5"/>
      <c r="K104" s="5"/>
      <c r="L104" s="5"/>
      <c r="M104" s="25"/>
      <c r="N104" s="24"/>
      <c r="O104" s="5"/>
      <c r="P104" s="5"/>
      <c r="Q104" s="5"/>
      <c r="R104" s="5"/>
      <c r="S104" s="5"/>
      <c r="T104" s="5"/>
      <c r="U104" s="25"/>
      <c r="V104" s="24"/>
      <c r="W104" s="5"/>
      <c r="X104" s="5"/>
      <c r="Y104" s="5"/>
      <c r="Z104" s="5"/>
      <c r="AA104" s="5"/>
      <c r="AB104" s="5"/>
      <c r="AC104" s="25"/>
      <c r="AD104" s="24"/>
      <c r="AE104" s="5"/>
      <c r="AF104" s="5"/>
      <c r="AG104" s="5"/>
      <c r="AH104" s="5"/>
      <c r="AI104" s="5"/>
      <c r="AJ104" s="5"/>
      <c r="AK104" s="25">
        <v>1</v>
      </c>
      <c r="AL104" s="5">
        <v>220</v>
      </c>
      <c r="AM104" s="8"/>
      <c r="AN104" s="8">
        <v>1</v>
      </c>
      <c r="AO104" s="8"/>
      <c r="AP104" s="8">
        <f>SUM(F104:AK104)</f>
        <v>1</v>
      </c>
      <c r="AQ104">
        <v>31</v>
      </c>
      <c r="AR104" s="76">
        <f>AP104/AQ104</f>
        <v>3.2258064516129031E-2</v>
      </c>
    </row>
    <row r="105" spans="1:44">
      <c r="A105" s="8">
        <v>222</v>
      </c>
      <c r="B105" s="8" t="s">
        <v>131</v>
      </c>
      <c r="C105" s="8" t="s">
        <v>358</v>
      </c>
      <c r="D105" s="8"/>
      <c r="E105" s="8">
        <v>222</v>
      </c>
      <c r="F105" s="24"/>
      <c r="G105" s="5"/>
      <c r="H105" s="5"/>
      <c r="I105" s="5"/>
      <c r="J105" s="5"/>
      <c r="K105" s="5"/>
      <c r="L105" s="5"/>
      <c r="M105" s="25"/>
      <c r="N105" s="24"/>
      <c r="O105" s="5"/>
      <c r="P105" s="5"/>
      <c r="Q105" s="5"/>
      <c r="R105" s="5"/>
      <c r="S105" s="5"/>
      <c r="T105" s="5"/>
      <c r="U105" s="25"/>
      <c r="V105" s="24"/>
      <c r="W105" s="5"/>
      <c r="X105" s="5"/>
      <c r="Y105" s="5"/>
      <c r="Z105" s="5"/>
      <c r="AA105" s="5"/>
      <c r="AB105" s="5"/>
      <c r="AC105" s="25"/>
      <c r="AD105" s="24"/>
      <c r="AE105" s="5"/>
      <c r="AF105" s="5"/>
      <c r="AG105" s="5"/>
      <c r="AH105" s="5"/>
      <c r="AI105" s="5"/>
      <c r="AJ105" s="5"/>
      <c r="AK105" s="25"/>
      <c r="AL105" s="5">
        <v>222</v>
      </c>
      <c r="AM105" s="8">
        <v>1</v>
      </c>
      <c r="AN105" s="8"/>
      <c r="AO105" s="8"/>
      <c r="AP105" s="8"/>
      <c r="AQ105">
        <v>28</v>
      </c>
    </row>
    <row r="106" spans="1:44">
      <c r="A106" s="8">
        <v>224</v>
      </c>
      <c r="B106" s="8" t="s">
        <v>68</v>
      </c>
      <c r="C106" s="8" t="s">
        <v>357</v>
      </c>
      <c r="D106" s="8"/>
      <c r="E106" s="8">
        <v>224</v>
      </c>
      <c r="F106" s="24"/>
      <c r="G106" s="5"/>
      <c r="H106" s="5"/>
      <c r="I106" s="5"/>
      <c r="J106" s="5"/>
      <c r="K106" s="5"/>
      <c r="L106" s="5"/>
      <c r="M106" s="25"/>
      <c r="N106" s="24"/>
      <c r="O106" s="5"/>
      <c r="P106" s="5"/>
      <c r="Q106" s="5"/>
      <c r="R106" s="5"/>
      <c r="S106" s="5"/>
      <c r="T106" s="5"/>
      <c r="U106" s="25"/>
      <c r="V106" s="24"/>
      <c r="W106" s="5"/>
      <c r="X106" s="5"/>
      <c r="Y106" s="5"/>
      <c r="Z106" s="5"/>
      <c r="AA106" s="5"/>
      <c r="AB106" s="5"/>
      <c r="AC106" s="25"/>
      <c r="AD106" s="24"/>
      <c r="AE106" s="5"/>
      <c r="AF106" s="5"/>
      <c r="AG106" s="5"/>
      <c r="AH106" s="5"/>
      <c r="AI106" s="5"/>
      <c r="AJ106" s="5"/>
      <c r="AK106" s="25"/>
      <c r="AL106" s="5">
        <v>224</v>
      </c>
      <c r="AM106" s="8">
        <v>1</v>
      </c>
      <c r="AN106" s="8"/>
      <c r="AO106" s="8"/>
      <c r="AP106" s="8"/>
      <c r="AQ106">
        <v>24</v>
      </c>
    </row>
    <row r="107" spans="1:44">
      <c r="A107" s="8">
        <v>227</v>
      </c>
      <c r="B107" s="8" t="s">
        <v>123</v>
      </c>
      <c r="C107" s="8" t="s">
        <v>366</v>
      </c>
      <c r="D107" s="8" t="s">
        <v>6</v>
      </c>
      <c r="E107" s="8">
        <v>227</v>
      </c>
      <c r="F107" s="24"/>
      <c r="G107" s="5"/>
      <c r="H107" s="5"/>
      <c r="I107" s="5"/>
      <c r="J107" s="5"/>
      <c r="K107" s="5"/>
      <c r="L107" s="5"/>
      <c r="M107" s="25"/>
      <c r="N107" s="24"/>
      <c r="O107" s="5"/>
      <c r="P107" s="5"/>
      <c r="Q107" s="5"/>
      <c r="R107" s="5"/>
      <c r="S107" s="5"/>
      <c r="T107" s="5"/>
      <c r="U107" s="25"/>
      <c r="V107" s="24"/>
      <c r="W107" s="5">
        <v>1</v>
      </c>
      <c r="X107" s="5">
        <v>1</v>
      </c>
      <c r="Y107" s="5"/>
      <c r="Z107" s="5"/>
      <c r="AA107" s="5"/>
      <c r="AB107" s="5"/>
      <c r="AC107" s="25"/>
      <c r="AD107" s="24"/>
      <c r="AE107" s="5"/>
      <c r="AF107" s="5"/>
      <c r="AG107" s="5"/>
      <c r="AH107" s="5"/>
      <c r="AI107" s="5">
        <v>1</v>
      </c>
      <c r="AJ107" s="5">
        <v>1</v>
      </c>
      <c r="AK107" s="25"/>
      <c r="AL107" s="5">
        <v>227</v>
      </c>
      <c r="AM107" s="8"/>
      <c r="AN107" s="8">
        <v>1</v>
      </c>
      <c r="AO107" s="8"/>
      <c r="AP107" s="8">
        <f>SUM(F107:AK107)</f>
        <v>4</v>
      </c>
      <c r="AQ107">
        <v>28</v>
      </c>
      <c r="AR107" s="76">
        <f>AP107/AQ107</f>
        <v>0.14285714285714285</v>
      </c>
    </row>
    <row r="108" spans="1:44">
      <c r="A108" s="8">
        <v>228</v>
      </c>
      <c r="B108" s="8" t="s">
        <v>74</v>
      </c>
      <c r="C108" s="8" t="s">
        <v>346</v>
      </c>
      <c r="D108" s="8"/>
      <c r="E108" s="8">
        <v>228</v>
      </c>
      <c r="F108" s="24"/>
      <c r="G108" s="5"/>
      <c r="H108" s="5"/>
      <c r="I108" s="5"/>
      <c r="J108" s="5"/>
      <c r="K108" s="5"/>
      <c r="L108" s="5"/>
      <c r="M108" s="25"/>
      <c r="N108" s="24"/>
      <c r="O108" s="5"/>
      <c r="P108" s="5"/>
      <c r="Q108" s="5"/>
      <c r="R108" s="5"/>
      <c r="S108" s="5"/>
      <c r="T108" s="5"/>
      <c r="U108" s="25"/>
      <c r="V108" s="24"/>
      <c r="W108" s="5"/>
      <c r="X108" s="5"/>
      <c r="Y108" s="5"/>
      <c r="Z108" s="5"/>
      <c r="AA108" s="5"/>
      <c r="AB108" s="5"/>
      <c r="AC108" s="25"/>
      <c r="AD108" s="24"/>
      <c r="AE108" s="5"/>
      <c r="AF108" s="5"/>
      <c r="AG108" s="5"/>
      <c r="AH108" s="5"/>
      <c r="AI108" s="5"/>
      <c r="AJ108" s="5"/>
      <c r="AK108" s="25"/>
      <c r="AL108" s="5">
        <v>228</v>
      </c>
      <c r="AM108" s="8">
        <v>1</v>
      </c>
      <c r="AN108" s="8"/>
      <c r="AO108" s="8"/>
      <c r="AP108" s="8"/>
      <c r="AQ108">
        <v>20</v>
      </c>
    </row>
    <row r="109" spans="1:44">
      <c r="A109" s="8">
        <v>229</v>
      </c>
      <c r="B109" s="8" t="s">
        <v>74</v>
      </c>
      <c r="C109" s="8" t="s">
        <v>346</v>
      </c>
      <c r="D109" s="8"/>
      <c r="E109" s="8">
        <v>229</v>
      </c>
      <c r="F109" s="24"/>
      <c r="G109" s="5"/>
      <c r="H109" s="5"/>
      <c r="I109" s="5"/>
      <c r="J109" s="5"/>
      <c r="K109" s="5"/>
      <c r="L109" s="5"/>
      <c r="M109" s="25"/>
      <c r="N109" s="24"/>
      <c r="O109" s="5"/>
      <c r="P109" s="5"/>
      <c r="Q109" s="5"/>
      <c r="R109" s="5"/>
      <c r="S109" s="5"/>
      <c r="T109" s="5"/>
      <c r="U109" s="25"/>
      <c r="V109" s="24"/>
      <c r="W109" s="5"/>
      <c r="X109" s="5"/>
      <c r="Y109" s="5"/>
      <c r="Z109" s="5"/>
      <c r="AA109" s="5"/>
      <c r="AB109" s="5"/>
      <c r="AC109" s="25"/>
      <c r="AD109" s="24"/>
      <c r="AE109" s="5"/>
      <c r="AF109" s="5"/>
      <c r="AG109" s="5"/>
      <c r="AH109" s="5"/>
      <c r="AI109" s="5"/>
      <c r="AJ109" s="5"/>
      <c r="AK109" s="25"/>
      <c r="AL109" s="5">
        <v>229</v>
      </c>
      <c r="AM109" s="8">
        <v>1</v>
      </c>
      <c r="AN109" s="8"/>
      <c r="AO109" s="8"/>
      <c r="AP109" s="8"/>
      <c r="AQ109">
        <v>20</v>
      </c>
    </row>
    <row r="110" spans="1:44">
      <c r="A110" s="8">
        <v>234</v>
      </c>
      <c r="B110" s="8" t="s">
        <v>44</v>
      </c>
      <c r="C110" s="8" t="s">
        <v>349</v>
      </c>
      <c r="D110" s="8" t="s">
        <v>42</v>
      </c>
      <c r="E110" s="8">
        <v>234</v>
      </c>
      <c r="F110" s="24"/>
      <c r="G110" s="5">
        <v>1</v>
      </c>
      <c r="H110" s="5">
        <v>1</v>
      </c>
      <c r="I110" s="5">
        <v>1</v>
      </c>
      <c r="J110" s="5">
        <v>1</v>
      </c>
      <c r="K110" s="5"/>
      <c r="L110" s="5">
        <v>1</v>
      </c>
      <c r="M110" s="25">
        <v>1</v>
      </c>
      <c r="N110" s="24">
        <v>1</v>
      </c>
      <c r="O110" s="5">
        <v>1</v>
      </c>
      <c r="P110" s="5"/>
      <c r="Q110" s="5">
        <v>1</v>
      </c>
      <c r="R110" s="5">
        <v>1</v>
      </c>
      <c r="S110" s="5">
        <v>1</v>
      </c>
      <c r="T110" s="5">
        <v>1</v>
      </c>
      <c r="U110" s="25"/>
      <c r="V110" s="24"/>
      <c r="W110" s="5"/>
      <c r="X110" s="5">
        <v>1</v>
      </c>
      <c r="Y110" s="5">
        <v>1</v>
      </c>
      <c r="Z110" s="5">
        <v>1</v>
      </c>
      <c r="AA110" s="5"/>
      <c r="AB110" s="5"/>
      <c r="AC110" s="25"/>
      <c r="AD110" s="24"/>
      <c r="AE110" s="5"/>
      <c r="AF110" s="5"/>
      <c r="AG110" s="5"/>
      <c r="AH110" s="5"/>
      <c r="AI110" s="5">
        <v>1</v>
      </c>
      <c r="AJ110" s="5">
        <v>1</v>
      </c>
      <c r="AK110" s="25"/>
      <c r="AL110" s="5">
        <v>234</v>
      </c>
      <c r="AM110" s="8"/>
      <c r="AN110" s="8">
        <v>1</v>
      </c>
      <c r="AO110" s="8"/>
      <c r="AP110" s="8">
        <f>SUM(F110:AK110)</f>
        <v>17</v>
      </c>
      <c r="AQ110">
        <v>28</v>
      </c>
      <c r="AR110" s="76">
        <f>AP110/AQ110</f>
        <v>0.6071428571428571</v>
      </c>
    </row>
    <row r="111" spans="1:44">
      <c r="A111" s="8">
        <v>237</v>
      </c>
      <c r="B111" s="8" t="s">
        <v>63</v>
      </c>
      <c r="C111" s="8" t="s">
        <v>346</v>
      </c>
      <c r="D111" s="8"/>
      <c r="E111" s="8">
        <v>237</v>
      </c>
      <c r="F111" s="24"/>
      <c r="G111" s="5"/>
      <c r="H111" s="5"/>
      <c r="I111" s="5"/>
      <c r="J111" s="5"/>
      <c r="K111" s="5"/>
      <c r="L111" s="5"/>
      <c r="M111" s="25"/>
      <c r="N111" s="24"/>
      <c r="O111" s="5"/>
      <c r="P111" s="5"/>
      <c r="Q111" s="5"/>
      <c r="R111" s="5"/>
      <c r="S111" s="5"/>
      <c r="T111" s="5"/>
      <c r="U111" s="25"/>
      <c r="V111" s="24"/>
      <c r="W111" s="5"/>
      <c r="X111" s="5"/>
      <c r="Y111" s="5"/>
      <c r="Z111" s="5"/>
      <c r="AA111" s="5"/>
      <c r="AB111" s="5"/>
      <c r="AC111" s="25"/>
      <c r="AD111" s="24"/>
      <c r="AE111" s="5"/>
      <c r="AF111" s="5"/>
      <c r="AG111" s="5"/>
      <c r="AH111" s="5"/>
      <c r="AI111" s="5"/>
      <c r="AJ111" s="5"/>
      <c r="AK111" s="25"/>
      <c r="AL111" s="5">
        <v>237</v>
      </c>
      <c r="AM111" s="8">
        <v>1</v>
      </c>
      <c r="AN111" s="8"/>
      <c r="AO111" s="8"/>
      <c r="AP111" s="8"/>
      <c r="AQ111">
        <v>5</v>
      </c>
    </row>
    <row r="112" spans="1:44">
      <c r="A112" s="8">
        <v>241</v>
      </c>
      <c r="B112" s="8" t="s">
        <v>78</v>
      </c>
      <c r="C112" s="8" t="s">
        <v>359</v>
      </c>
      <c r="D112" s="8"/>
      <c r="E112" s="8">
        <v>241</v>
      </c>
      <c r="F112" s="24"/>
      <c r="G112" s="5"/>
      <c r="H112" s="5"/>
      <c r="I112" s="5"/>
      <c r="J112" s="5"/>
      <c r="K112" s="5"/>
      <c r="L112" s="5"/>
      <c r="M112" s="25"/>
      <c r="N112" s="24"/>
      <c r="O112" s="5"/>
      <c r="P112" s="5"/>
      <c r="Q112" s="5"/>
      <c r="R112" s="5"/>
      <c r="S112" s="5"/>
      <c r="T112" s="5"/>
      <c r="U112" s="25"/>
      <c r="V112" s="24"/>
      <c r="W112" s="5"/>
      <c r="X112" s="5"/>
      <c r="Y112" s="5"/>
      <c r="Z112" s="5"/>
      <c r="AA112" s="5"/>
      <c r="AB112" s="5"/>
      <c r="AC112" s="25"/>
      <c r="AD112" s="24"/>
      <c r="AE112" s="5"/>
      <c r="AF112" s="5"/>
      <c r="AG112" s="5"/>
      <c r="AH112" s="5"/>
      <c r="AI112" s="5"/>
      <c r="AJ112" s="5"/>
      <c r="AK112" s="25"/>
      <c r="AL112" s="5">
        <v>241</v>
      </c>
      <c r="AM112" s="8">
        <v>1</v>
      </c>
      <c r="AN112" s="8"/>
      <c r="AO112" s="8"/>
      <c r="AP112" s="8"/>
      <c r="AQ112">
        <v>24</v>
      </c>
    </row>
    <row r="113" spans="1:44">
      <c r="A113" s="8">
        <v>246</v>
      </c>
      <c r="B113" s="8" t="s">
        <v>59</v>
      </c>
      <c r="C113" s="8" t="s">
        <v>346</v>
      </c>
      <c r="D113" s="8"/>
      <c r="E113" s="8">
        <v>246</v>
      </c>
      <c r="F113" s="24"/>
      <c r="G113" s="5"/>
      <c r="H113" s="5"/>
      <c r="I113" s="5"/>
      <c r="J113" s="5"/>
      <c r="K113" s="5"/>
      <c r="L113" s="5"/>
      <c r="M113" s="25"/>
      <c r="N113" s="24"/>
      <c r="O113" s="5"/>
      <c r="P113" s="5"/>
      <c r="Q113" s="5"/>
      <c r="R113" s="5"/>
      <c r="S113" s="5"/>
      <c r="T113" s="5"/>
      <c r="U113" s="25"/>
      <c r="V113" s="24"/>
      <c r="W113" s="5"/>
      <c r="X113" s="5"/>
      <c r="Y113" s="5"/>
      <c r="Z113" s="5"/>
      <c r="AA113" s="5"/>
      <c r="AB113" s="5"/>
      <c r="AC113" s="25"/>
      <c r="AD113" s="24"/>
      <c r="AE113" s="5"/>
      <c r="AF113" s="5"/>
      <c r="AG113" s="5"/>
      <c r="AH113" s="5"/>
      <c r="AI113" s="5"/>
      <c r="AJ113" s="5"/>
      <c r="AK113" s="25"/>
      <c r="AL113" s="5">
        <v>246</v>
      </c>
      <c r="AM113" s="8">
        <v>1</v>
      </c>
      <c r="AN113" s="8"/>
      <c r="AO113" s="8"/>
      <c r="AP113" s="8"/>
      <c r="AQ113">
        <v>20</v>
      </c>
    </row>
    <row r="114" spans="1:44">
      <c r="A114" s="8">
        <v>251</v>
      </c>
      <c r="B114" s="55" t="s">
        <v>161</v>
      </c>
      <c r="C114" s="8" t="s">
        <v>357</v>
      </c>
      <c r="D114" s="8"/>
      <c r="E114" s="8">
        <v>251</v>
      </c>
      <c r="F114" s="24"/>
      <c r="G114" s="5"/>
      <c r="H114" s="5"/>
      <c r="I114" s="5"/>
      <c r="J114" s="5"/>
      <c r="K114" s="5"/>
      <c r="L114" s="5"/>
      <c r="M114" s="25"/>
      <c r="N114" s="24"/>
      <c r="O114" s="5"/>
      <c r="P114" s="5"/>
      <c r="Q114" s="5"/>
      <c r="R114" s="5"/>
      <c r="S114" s="5"/>
      <c r="T114" s="5"/>
      <c r="U114" s="25"/>
      <c r="V114" s="24"/>
      <c r="W114" s="5"/>
      <c r="X114" s="5"/>
      <c r="Y114" s="5"/>
      <c r="Z114" s="5"/>
      <c r="AA114" s="5"/>
      <c r="AB114" s="5"/>
      <c r="AC114" s="25"/>
      <c r="AD114" s="24"/>
      <c r="AE114" s="5"/>
      <c r="AF114" s="5"/>
      <c r="AG114" s="5"/>
      <c r="AH114" s="5"/>
      <c r="AI114" s="5"/>
      <c r="AJ114" s="5"/>
      <c r="AK114" s="25"/>
      <c r="AL114" s="5">
        <v>251</v>
      </c>
      <c r="AM114" s="8">
        <v>1</v>
      </c>
      <c r="AN114" s="8"/>
      <c r="AO114" s="8"/>
      <c r="AP114" s="8"/>
      <c r="AQ114">
        <v>13</v>
      </c>
    </row>
    <row r="115" spans="1:44">
      <c r="A115" s="8">
        <v>254</v>
      </c>
      <c r="B115" s="8" t="s">
        <v>162</v>
      </c>
      <c r="C115" s="8" t="s">
        <v>12</v>
      </c>
      <c r="D115" s="8" t="s">
        <v>42</v>
      </c>
      <c r="E115" s="8">
        <v>254</v>
      </c>
      <c r="F115" s="24"/>
      <c r="G115" s="5"/>
      <c r="H115" s="5"/>
      <c r="I115" s="5"/>
      <c r="J115" s="5"/>
      <c r="K115" s="5"/>
      <c r="L115" s="5"/>
      <c r="M115" s="25"/>
      <c r="N115" s="24"/>
      <c r="O115" s="5"/>
      <c r="P115" s="5"/>
      <c r="Q115" s="5"/>
      <c r="R115" s="5"/>
      <c r="S115" s="5"/>
      <c r="T115" s="5"/>
      <c r="U115" s="25"/>
      <c r="V115" s="24"/>
      <c r="W115" s="5"/>
      <c r="X115" s="5"/>
      <c r="Y115" s="5"/>
      <c r="Z115" s="5"/>
      <c r="AA115" s="5"/>
      <c r="AB115" s="5"/>
      <c r="AC115" s="25"/>
      <c r="AD115" s="24"/>
      <c r="AE115" s="5"/>
      <c r="AF115" s="5"/>
      <c r="AG115" s="5"/>
      <c r="AH115" s="5"/>
      <c r="AI115" s="5"/>
      <c r="AJ115" s="5"/>
      <c r="AK115" s="25"/>
      <c r="AL115" s="5">
        <v>254</v>
      </c>
      <c r="AM115" s="8">
        <v>1</v>
      </c>
      <c r="AN115" s="8"/>
      <c r="AO115" s="8"/>
      <c r="AP115" s="8"/>
      <c r="AQ115">
        <v>32</v>
      </c>
    </row>
    <row r="116" spans="1:44" s="8" customFormat="1">
      <c r="A116" s="8">
        <v>255</v>
      </c>
      <c r="B116" s="8" t="s">
        <v>59</v>
      </c>
      <c r="C116" s="8" t="s">
        <v>346</v>
      </c>
      <c r="E116" s="8">
        <v>255</v>
      </c>
      <c r="F116" s="24"/>
      <c r="G116" s="5"/>
      <c r="H116" s="5"/>
      <c r="I116" s="5"/>
      <c r="J116" s="5"/>
      <c r="K116" s="5"/>
      <c r="L116" s="5"/>
      <c r="M116" s="25"/>
      <c r="N116" s="24"/>
      <c r="O116" s="5"/>
      <c r="P116" s="5"/>
      <c r="Q116" s="5"/>
      <c r="R116" s="5"/>
      <c r="S116" s="5"/>
      <c r="T116" s="5"/>
      <c r="U116" s="25"/>
      <c r="V116" s="24"/>
      <c r="W116" s="5"/>
      <c r="X116" s="5"/>
      <c r="Y116" s="5"/>
      <c r="Z116" s="5"/>
      <c r="AA116" s="5"/>
      <c r="AB116" s="5"/>
      <c r="AC116" s="25"/>
      <c r="AD116" s="24"/>
      <c r="AE116" s="5"/>
      <c r="AF116" s="5"/>
      <c r="AG116" s="5"/>
      <c r="AH116" s="5"/>
      <c r="AI116" s="5"/>
      <c r="AJ116" s="5"/>
      <c r="AK116" s="25"/>
      <c r="AL116" s="5">
        <v>255</v>
      </c>
      <c r="AM116" s="8">
        <v>1</v>
      </c>
      <c r="AQ116" s="8">
        <v>1</v>
      </c>
    </row>
    <row r="117" spans="1:44">
      <c r="A117" s="8">
        <v>256</v>
      </c>
      <c r="B117" s="8" t="s">
        <v>44</v>
      </c>
      <c r="C117" s="8" t="s">
        <v>349</v>
      </c>
      <c r="D117" s="8" t="s">
        <v>42</v>
      </c>
      <c r="E117" s="8">
        <v>256</v>
      </c>
      <c r="F117" s="24"/>
      <c r="G117" s="5"/>
      <c r="H117" s="5"/>
      <c r="I117" s="5"/>
      <c r="J117" s="5"/>
      <c r="K117" s="5"/>
      <c r="L117" s="5"/>
      <c r="M117" s="25"/>
      <c r="N117" s="24"/>
      <c r="O117" s="5"/>
      <c r="P117" s="5"/>
      <c r="Q117" s="5"/>
      <c r="R117" s="5"/>
      <c r="S117" s="5"/>
      <c r="T117" s="5"/>
      <c r="U117" s="25"/>
      <c r="V117" s="24"/>
      <c r="W117" s="5"/>
      <c r="X117" s="5">
        <v>1</v>
      </c>
      <c r="Y117" s="5"/>
      <c r="Z117" s="5"/>
      <c r="AA117" s="5"/>
      <c r="AB117" s="5"/>
      <c r="AC117" s="25"/>
      <c r="AD117" s="24"/>
      <c r="AE117" s="5"/>
      <c r="AF117" s="5"/>
      <c r="AG117" s="5"/>
      <c r="AH117" s="5">
        <v>1</v>
      </c>
      <c r="AI117" s="5">
        <v>1</v>
      </c>
      <c r="AJ117" s="5">
        <v>1</v>
      </c>
      <c r="AK117" s="25"/>
      <c r="AL117" s="5">
        <v>256</v>
      </c>
      <c r="AM117" s="8"/>
      <c r="AN117" s="8">
        <v>1</v>
      </c>
      <c r="AO117" s="8"/>
      <c r="AP117" s="8">
        <f>SUM(F117:AK117)</f>
        <v>4</v>
      </c>
      <c r="AQ117">
        <v>14</v>
      </c>
      <c r="AR117" s="76">
        <f>AP117/AQ117</f>
        <v>0.2857142857142857</v>
      </c>
    </row>
    <row r="118" spans="1:44">
      <c r="A118" s="8">
        <v>257</v>
      </c>
      <c r="B118" s="8" t="s">
        <v>55</v>
      </c>
      <c r="C118" s="8" t="s">
        <v>346</v>
      </c>
      <c r="D118" s="8"/>
      <c r="E118" s="8">
        <v>257</v>
      </c>
      <c r="F118" s="24"/>
      <c r="G118" s="5"/>
      <c r="H118" s="5"/>
      <c r="I118" s="5"/>
      <c r="J118" s="5"/>
      <c r="K118" s="5"/>
      <c r="L118" s="5"/>
      <c r="M118" s="25"/>
      <c r="N118" s="24"/>
      <c r="O118" s="5"/>
      <c r="P118" s="5"/>
      <c r="Q118" s="5"/>
      <c r="R118" s="5"/>
      <c r="S118" s="5"/>
      <c r="T118" s="5"/>
      <c r="U118" s="25"/>
      <c r="V118" s="24"/>
      <c r="W118" s="5"/>
      <c r="X118" s="5"/>
      <c r="Y118" s="5"/>
      <c r="Z118" s="5"/>
      <c r="AA118" s="5"/>
      <c r="AB118" s="5"/>
      <c r="AC118" s="25"/>
      <c r="AD118" s="24"/>
      <c r="AE118" s="5"/>
      <c r="AF118" s="5"/>
      <c r="AG118" s="5"/>
      <c r="AH118" s="5"/>
      <c r="AI118" s="5"/>
      <c r="AJ118" s="5"/>
      <c r="AK118" s="25"/>
      <c r="AL118" s="5">
        <v>257</v>
      </c>
      <c r="AM118" s="8">
        <v>1</v>
      </c>
      <c r="AN118" s="8"/>
      <c r="AO118" s="8"/>
      <c r="AP118" s="8"/>
      <c r="AQ118" s="8">
        <v>20</v>
      </c>
    </row>
    <row r="119" spans="1:44" s="67" customFormat="1">
      <c r="A119" s="8">
        <v>258</v>
      </c>
      <c r="B119" s="8" t="s">
        <v>74</v>
      </c>
      <c r="C119" s="8" t="s">
        <v>346</v>
      </c>
      <c r="D119" s="8"/>
      <c r="E119" s="8">
        <v>258</v>
      </c>
      <c r="F119" s="24"/>
      <c r="G119" s="5"/>
      <c r="H119" s="5"/>
      <c r="I119" s="5"/>
      <c r="J119" s="5"/>
      <c r="K119" s="5"/>
      <c r="L119" s="5"/>
      <c r="M119" s="25"/>
      <c r="N119" s="24"/>
      <c r="O119" s="5"/>
      <c r="P119" s="5"/>
      <c r="Q119" s="5"/>
      <c r="R119" s="5"/>
      <c r="S119" s="5"/>
      <c r="T119" s="5"/>
      <c r="U119" s="25"/>
      <c r="V119" s="24"/>
      <c r="W119" s="5"/>
      <c r="X119" s="5"/>
      <c r="Y119" s="5"/>
      <c r="Z119" s="5"/>
      <c r="AA119" s="5"/>
      <c r="AB119" s="5"/>
      <c r="AC119" s="25"/>
      <c r="AD119" s="24"/>
      <c r="AE119" s="5"/>
      <c r="AF119" s="5"/>
      <c r="AG119" s="5"/>
      <c r="AH119" s="5"/>
      <c r="AI119" s="5"/>
      <c r="AJ119" s="5"/>
      <c r="AK119" s="25"/>
      <c r="AL119" s="8">
        <v>258</v>
      </c>
      <c r="AM119" s="8">
        <v>1</v>
      </c>
      <c r="AN119" s="8"/>
      <c r="AO119" s="8"/>
      <c r="AP119" s="8"/>
      <c r="AQ119" s="8">
        <v>8</v>
      </c>
    </row>
    <row r="120" spans="1:44">
      <c r="A120" s="8">
        <v>263</v>
      </c>
      <c r="B120" s="8" t="s">
        <v>5</v>
      </c>
      <c r="C120" s="8" t="s">
        <v>42</v>
      </c>
      <c r="D120" s="8" t="s">
        <v>6</v>
      </c>
      <c r="E120" s="8">
        <v>263</v>
      </c>
      <c r="F120" s="24"/>
      <c r="G120" s="5"/>
      <c r="H120" s="5"/>
      <c r="I120" s="5"/>
      <c r="J120" s="5"/>
      <c r="K120" s="5"/>
      <c r="L120" s="5"/>
      <c r="M120" s="25"/>
      <c r="N120" s="24"/>
      <c r="O120" s="5"/>
      <c r="P120" s="5"/>
      <c r="Q120" s="5"/>
      <c r="R120" s="5"/>
      <c r="S120" s="5"/>
      <c r="T120" s="5"/>
      <c r="U120" s="25"/>
      <c r="V120" s="24"/>
      <c r="W120" s="5"/>
      <c r="X120" s="5"/>
      <c r="Y120" s="5"/>
      <c r="Z120" s="5"/>
      <c r="AA120" s="5"/>
      <c r="AB120" s="5"/>
      <c r="AC120" s="25"/>
      <c r="AD120" s="24"/>
      <c r="AE120" s="5"/>
      <c r="AF120" s="5"/>
      <c r="AG120" s="5"/>
      <c r="AH120" s="5"/>
      <c r="AI120" s="5"/>
      <c r="AJ120" s="5"/>
      <c r="AK120" s="25"/>
      <c r="AL120" s="5">
        <v>263</v>
      </c>
      <c r="AM120" s="8">
        <v>1</v>
      </c>
      <c r="AN120" s="8"/>
      <c r="AO120" s="8"/>
      <c r="AP120" s="8"/>
      <c r="AQ120" s="8">
        <v>32</v>
      </c>
    </row>
    <row r="121" spans="1:44">
      <c r="A121" s="8">
        <v>266</v>
      </c>
      <c r="B121" s="8" t="s">
        <v>197</v>
      </c>
      <c r="C121" s="8" t="s">
        <v>357</v>
      </c>
      <c r="D121" s="8"/>
      <c r="E121" s="8">
        <v>266</v>
      </c>
      <c r="F121" s="24"/>
      <c r="G121" s="5"/>
      <c r="H121" s="5"/>
      <c r="I121" s="5"/>
      <c r="J121" s="5"/>
      <c r="K121" s="5"/>
      <c r="L121" s="5"/>
      <c r="M121" s="25"/>
      <c r="N121" s="24"/>
      <c r="O121" s="5"/>
      <c r="P121" s="5"/>
      <c r="Q121" s="5"/>
      <c r="R121" s="5"/>
      <c r="S121" s="5"/>
      <c r="T121" s="5"/>
      <c r="U121" s="25"/>
      <c r="V121" s="24"/>
      <c r="W121" s="5"/>
      <c r="X121" s="5"/>
      <c r="Y121" s="5"/>
      <c r="Z121" s="5"/>
      <c r="AA121" s="5"/>
      <c r="AB121" s="5"/>
      <c r="AC121" s="25"/>
      <c r="AD121" s="24"/>
      <c r="AE121" s="5"/>
      <c r="AF121" s="5"/>
      <c r="AG121" s="5"/>
      <c r="AH121" s="5"/>
      <c r="AI121" s="5"/>
      <c r="AJ121" s="5"/>
      <c r="AK121" s="25"/>
      <c r="AL121" s="5">
        <v>266</v>
      </c>
      <c r="AM121" s="8">
        <v>1</v>
      </c>
      <c r="AN121" s="8"/>
      <c r="AO121" s="8"/>
      <c r="AP121" s="8"/>
      <c r="AQ121" s="8">
        <v>23</v>
      </c>
    </row>
    <row r="122" spans="1:44">
      <c r="A122" s="8">
        <v>267</v>
      </c>
      <c r="B122" s="8" t="s">
        <v>73</v>
      </c>
      <c r="C122" s="8" t="s">
        <v>165</v>
      </c>
      <c r="D122" s="8" t="s">
        <v>6</v>
      </c>
      <c r="E122" s="8">
        <v>267</v>
      </c>
      <c r="F122" s="24"/>
      <c r="G122" s="5"/>
      <c r="H122" s="5"/>
      <c r="I122" s="5"/>
      <c r="J122" s="5"/>
      <c r="K122" s="5"/>
      <c r="L122" s="5"/>
      <c r="M122" s="25"/>
      <c r="N122" s="24">
        <v>1</v>
      </c>
      <c r="O122" s="5"/>
      <c r="P122" s="5"/>
      <c r="Q122" s="5"/>
      <c r="R122" s="5"/>
      <c r="S122" s="5"/>
      <c r="T122" s="5"/>
      <c r="U122" s="25"/>
      <c r="V122" s="24"/>
      <c r="W122" s="5"/>
      <c r="X122" s="5">
        <v>1</v>
      </c>
      <c r="Y122" s="5"/>
      <c r="Z122" s="5"/>
      <c r="AA122" s="5"/>
      <c r="AB122" s="5"/>
      <c r="AC122" s="25"/>
      <c r="AD122" s="24"/>
      <c r="AE122" s="5"/>
      <c r="AF122" s="5"/>
      <c r="AG122" s="5"/>
      <c r="AH122" s="5"/>
      <c r="AI122" s="5"/>
      <c r="AJ122" s="5"/>
      <c r="AK122" s="25"/>
      <c r="AL122" s="5">
        <v>267</v>
      </c>
      <c r="AM122" s="8"/>
      <c r="AN122" s="8">
        <v>1</v>
      </c>
      <c r="AO122" s="8"/>
      <c r="AP122" s="8">
        <f>SUM(F122:AK122)</f>
        <v>2</v>
      </c>
      <c r="AQ122">
        <v>28</v>
      </c>
      <c r="AR122" s="76">
        <f>AP122/AQ122</f>
        <v>7.1428571428571425E-2</v>
      </c>
    </row>
    <row r="123" spans="1:44">
      <c r="A123" s="8">
        <v>270</v>
      </c>
      <c r="B123" s="8" t="s">
        <v>197</v>
      </c>
      <c r="C123" s="8" t="s">
        <v>357</v>
      </c>
      <c r="D123" s="8"/>
      <c r="E123" s="8">
        <v>270</v>
      </c>
      <c r="F123" s="24"/>
      <c r="G123" s="5"/>
      <c r="H123" s="5"/>
      <c r="I123" s="5"/>
      <c r="J123" s="5"/>
      <c r="K123" s="5"/>
      <c r="L123" s="5"/>
      <c r="M123" s="25"/>
      <c r="N123" s="24"/>
      <c r="O123" s="5"/>
      <c r="P123" s="5"/>
      <c r="Q123" s="5"/>
      <c r="R123" s="5"/>
      <c r="S123" s="5"/>
      <c r="T123" s="5"/>
      <c r="U123" s="25"/>
      <c r="V123" s="24"/>
      <c r="W123" s="5"/>
      <c r="X123" s="5"/>
      <c r="Y123" s="5"/>
      <c r="Z123" s="5"/>
      <c r="AA123" s="5"/>
      <c r="AB123" s="5"/>
      <c r="AC123" s="25"/>
      <c r="AD123" s="24"/>
      <c r="AE123" s="5"/>
      <c r="AF123" s="5"/>
      <c r="AG123" s="5"/>
      <c r="AH123" s="5"/>
      <c r="AI123" s="5"/>
      <c r="AJ123" s="5"/>
      <c r="AK123" s="25"/>
      <c r="AL123" s="5">
        <v>270</v>
      </c>
      <c r="AM123" s="8">
        <v>1</v>
      </c>
      <c r="AN123" s="8"/>
      <c r="AO123" s="8"/>
      <c r="AP123" s="8"/>
      <c r="AQ123" s="8">
        <v>21</v>
      </c>
    </row>
    <row r="124" spans="1:44">
      <c r="A124" s="8">
        <v>271</v>
      </c>
      <c r="B124" s="8" t="s">
        <v>62</v>
      </c>
      <c r="C124" s="8" t="s">
        <v>42</v>
      </c>
      <c r="D124" s="8" t="s">
        <v>6</v>
      </c>
      <c r="E124" s="8">
        <v>271</v>
      </c>
      <c r="F124" s="24"/>
      <c r="G124" s="5"/>
      <c r="H124" s="5"/>
      <c r="I124" s="5"/>
      <c r="J124" s="5">
        <v>1</v>
      </c>
      <c r="K124" s="5"/>
      <c r="L124" s="5"/>
      <c r="M124" s="25"/>
      <c r="N124" s="24"/>
      <c r="O124" s="5"/>
      <c r="P124" s="5"/>
      <c r="Q124" s="5"/>
      <c r="R124" s="5"/>
      <c r="S124" s="5"/>
      <c r="T124" s="5"/>
      <c r="U124" s="25"/>
      <c r="V124" s="24"/>
      <c r="W124" s="5">
        <v>1</v>
      </c>
      <c r="X124" s="5">
        <v>1</v>
      </c>
      <c r="Y124" s="5"/>
      <c r="Z124" s="5"/>
      <c r="AA124" s="5"/>
      <c r="AB124" s="5"/>
      <c r="AC124" s="25"/>
      <c r="AD124" s="24"/>
      <c r="AE124" s="5"/>
      <c r="AF124" s="5"/>
      <c r="AG124" s="5"/>
      <c r="AH124" s="5"/>
      <c r="AI124" s="5">
        <v>1</v>
      </c>
      <c r="AJ124" s="5">
        <v>1</v>
      </c>
      <c r="AK124" s="25"/>
      <c r="AL124" s="5">
        <v>271</v>
      </c>
      <c r="AM124" s="8"/>
      <c r="AN124" s="8">
        <v>1</v>
      </c>
      <c r="AO124" s="8"/>
      <c r="AP124" s="8">
        <f>SUM(F124:AK124)</f>
        <v>5</v>
      </c>
      <c r="AQ124">
        <v>28</v>
      </c>
      <c r="AR124" s="76">
        <f>AP124/AQ124</f>
        <v>0.17857142857142858</v>
      </c>
    </row>
    <row r="125" spans="1:44">
      <c r="A125" s="8">
        <v>272</v>
      </c>
      <c r="B125" s="8" t="s">
        <v>41</v>
      </c>
      <c r="C125" s="8" t="s">
        <v>42</v>
      </c>
      <c r="D125" s="8" t="s">
        <v>6</v>
      </c>
      <c r="E125" s="8">
        <v>272</v>
      </c>
      <c r="F125" s="24"/>
      <c r="G125" s="5"/>
      <c r="H125" s="5"/>
      <c r="I125" s="5"/>
      <c r="J125" s="5"/>
      <c r="K125" s="5"/>
      <c r="L125" s="5"/>
      <c r="M125" s="25"/>
      <c r="N125" s="24"/>
      <c r="O125" s="5"/>
      <c r="P125" s="5"/>
      <c r="Q125" s="5"/>
      <c r="R125" s="5"/>
      <c r="S125" s="5"/>
      <c r="T125" s="5"/>
      <c r="U125" s="25"/>
      <c r="V125" s="24"/>
      <c r="W125" s="5">
        <v>1</v>
      </c>
      <c r="X125" s="5">
        <v>1</v>
      </c>
      <c r="Y125" s="5"/>
      <c r="Z125" s="5"/>
      <c r="AA125" s="5"/>
      <c r="AB125" s="5"/>
      <c r="AC125" s="25"/>
      <c r="AD125" s="24"/>
      <c r="AE125" s="5"/>
      <c r="AF125" s="5"/>
      <c r="AG125" s="5"/>
      <c r="AH125" s="5"/>
      <c r="AI125" s="5">
        <v>1</v>
      </c>
      <c r="AJ125" s="5"/>
      <c r="AK125" s="25"/>
      <c r="AL125" s="5">
        <v>272</v>
      </c>
      <c r="AM125" s="8"/>
      <c r="AN125" s="8">
        <v>1</v>
      </c>
      <c r="AO125" s="8"/>
      <c r="AP125" s="8">
        <f>SUM(F125:AK125)</f>
        <v>3</v>
      </c>
      <c r="AQ125">
        <f>32-11</f>
        <v>21</v>
      </c>
      <c r="AR125" s="76">
        <f>AP125/AQ125</f>
        <v>0.14285714285714285</v>
      </c>
    </row>
    <row r="126" spans="1:44">
      <c r="A126" s="8">
        <v>273</v>
      </c>
      <c r="B126" s="8" t="s">
        <v>5</v>
      </c>
      <c r="C126" s="8" t="s">
        <v>42</v>
      </c>
      <c r="D126" s="8" t="s">
        <v>42</v>
      </c>
      <c r="E126" s="8">
        <v>273</v>
      </c>
      <c r="F126" s="24"/>
      <c r="G126" s="5"/>
      <c r="H126" s="5"/>
      <c r="I126" s="5"/>
      <c r="J126" s="5"/>
      <c r="K126" s="5"/>
      <c r="L126" s="5"/>
      <c r="M126" s="25"/>
      <c r="N126" s="24"/>
      <c r="O126" s="5"/>
      <c r="P126" s="5"/>
      <c r="Q126" s="5"/>
      <c r="R126" s="5"/>
      <c r="S126" s="5"/>
      <c r="T126" s="5">
        <v>1</v>
      </c>
      <c r="U126" s="25"/>
      <c r="V126" s="24"/>
      <c r="W126" s="5"/>
      <c r="X126" s="5"/>
      <c r="Y126" s="5"/>
      <c r="Z126" s="5"/>
      <c r="AA126" s="5"/>
      <c r="AB126" s="5"/>
      <c r="AC126" s="25"/>
      <c r="AD126" s="24"/>
      <c r="AE126" s="5"/>
      <c r="AF126" s="5"/>
      <c r="AG126" s="5"/>
      <c r="AH126" s="5"/>
      <c r="AI126" s="5"/>
      <c r="AJ126" s="5">
        <v>1</v>
      </c>
      <c r="AK126" s="25"/>
      <c r="AL126" s="5">
        <v>273</v>
      </c>
      <c r="AM126" s="8"/>
      <c r="AN126" s="8">
        <v>1</v>
      </c>
      <c r="AO126" s="8"/>
      <c r="AP126" s="8">
        <f>SUM(F126:AK126)</f>
        <v>2</v>
      </c>
      <c r="AQ126">
        <v>32</v>
      </c>
      <c r="AR126" s="76">
        <f>AP126/AQ126</f>
        <v>6.25E-2</v>
      </c>
    </row>
    <row r="127" spans="1:44">
      <c r="A127" s="8">
        <v>280</v>
      </c>
      <c r="B127" s="8" t="s">
        <v>123</v>
      </c>
      <c r="C127" s="8" t="s">
        <v>366</v>
      </c>
      <c r="D127" s="8" t="s">
        <v>42</v>
      </c>
      <c r="E127" s="8">
        <v>280</v>
      </c>
      <c r="F127" s="24"/>
      <c r="G127" s="5"/>
      <c r="H127" s="5"/>
      <c r="I127" s="5"/>
      <c r="J127" s="5"/>
      <c r="K127" s="5"/>
      <c r="L127" s="5"/>
      <c r="M127" s="25"/>
      <c r="N127" s="24"/>
      <c r="O127" s="5"/>
      <c r="P127" s="5"/>
      <c r="Q127" s="5"/>
      <c r="R127" s="5"/>
      <c r="S127" s="5"/>
      <c r="T127" s="5"/>
      <c r="U127" s="25"/>
      <c r="V127" s="24"/>
      <c r="W127" s="5">
        <v>1</v>
      </c>
      <c r="X127" s="5"/>
      <c r="Y127" s="5"/>
      <c r="Z127" s="5"/>
      <c r="AA127" s="5"/>
      <c r="AB127" s="5"/>
      <c r="AC127" s="25"/>
      <c r="AD127" s="24"/>
      <c r="AE127" s="5"/>
      <c r="AF127" s="5"/>
      <c r="AG127" s="5"/>
      <c r="AH127" s="5"/>
      <c r="AI127" s="5">
        <v>1</v>
      </c>
      <c r="AJ127" s="5">
        <v>1</v>
      </c>
      <c r="AK127" s="25"/>
      <c r="AL127" s="5">
        <v>280</v>
      </c>
      <c r="AM127" s="8"/>
      <c r="AN127" s="8">
        <v>1</v>
      </c>
      <c r="AO127" s="8"/>
      <c r="AP127" s="8">
        <f>SUM(F127:AK127)</f>
        <v>3</v>
      </c>
      <c r="AQ127">
        <v>32</v>
      </c>
      <c r="AR127" s="76">
        <f>AP127/AQ127</f>
        <v>9.375E-2</v>
      </c>
    </row>
    <row r="128" spans="1:44">
      <c r="A128" s="8">
        <v>283</v>
      </c>
      <c r="B128" s="8" t="s">
        <v>74</v>
      </c>
      <c r="C128" s="8" t="s">
        <v>346</v>
      </c>
      <c r="D128" s="8"/>
      <c r="E128" s="8">
        <v>283</v>
      </c>
      <c r="F128" s="24"/>
      <c r="G128" s="5"/>
      <c r="H128" s="5"/>
      <c r="I128" s="5"/>
      <c r="J128" s="5"/>
      <c r="K128" s="5"/>
      <c r="L128" s="5"/>
      <c r="M128" s="25"/>
      <c r="N128" s="24"/>
      <c r="O128" s="5"/>
      <c r="P128" s="5"/>
      <c r="Q128" s="5"/>
      <c r="R128" s="5"/>
      <c r="S128" s="5"/>
      <c r="T128" s="5"/>
      <c r="U128" s="25"/>
      <c r="V128" s="24"/>
      <c r="W128" s="5"/>
      <c r="X128" s="5"/>
      <c r="Y128" s="5"/>
      <c r="Z128" s="5"/>
      <c r="AA128" s="5"/>
      <c r="AB128" s="5"/>
      <c r="AC128" s="25"/>
      <c r="AD128" s="24"/>
      <c r="AE128" s="5"/>
      <c r="AF128" s="5"/>
      <c r="AG128" s="5"/>
      <c r="AH128" s="5"/>
      <c r="AI128" s="5"/>
      <c r="AJ128" s="5"/>
      <c r="AK128" s="25"/>
      <c r="AL128" s="5">
        <v>283</v>
      </c>
      <c r="AM128" s="8">
        <v>1</v>
      </c>
      <c r="AN128" s="8"/>
      <c r="AO128" s="8"/>
      <c r="AP128" s="8"/>
      <c r="AQ128" s="8">
        <v>4</v>
      </c>
    </row>
    <row r="129" spans="1:44">
      <c r="A129" s="8">
        <v>286</v>
      </c>
      <c r="B129" s="8" t="s">
        <v>63</v>
      </c>
      <c r="C129" s="8" t="s">
        <v>346</v>
      </c>
      <c r="D129" s="8"/>
      <c r="E129" s="8">
        <v>286</v>
      </c>
      <c r="F129" s="24"/>
      <c r="G129" s="5"/>
      <c r="H129" s="5"/>
      <c r="I129" s="5"/>
      <c r="J129" s="5"/>
      <c r="K129" s="5"/>
      <c r="L129" s="5"/>
      <c r="M129" s="25"/>
      <c r="N129" s="24"/>
      <c r="O129" s="5"/>
      <c r="P129" s="5"/>
      <c r="Q129" s="5"/>
      <c r="R129" s="5"/>
      <c r="S129" s="5"/>
      <c r="T129" s="5"/>
      <c r="U129" s="25"/>
      <c r="V129" s="24"/>
      <c r="W129" s="5"/>
      <c r="X129" s="5"/>
      <c r="Y129" s="5"/>
      <c r="Z129" s="5"/>
      <c r="AA129" s="5"/>
      <c r="AB129" s="5"/>
      <c r="AC129" s="25"/>
      <c r="AD129" s="24"/>
      <c r="AE129" s="5"/>
      <c r="AF129" s="5"/>
      <c r="AG129" s="5"/>
      <c r="AH129" s="5"/>
      <c r="AI129" s="5"/>
      <c r="AJ129" s="5"/>
      <c r="AK129" s="25"/>
      <c r="AL129" s="5">
        <v>286</v>
      </c>
      <c r="AM129" s="8">
        <v>1</v>
      </c>
      <c r="AN129" s="8"/>
      <c r="AO129" s="8"/>
      <c r="AP129" s="8"/>
      <c r="AQ129" s="8">
        <v>16</v>
      </c>
    </row>
    <row r="130" spans="1:44">
      <c r="A130" s="8">
        <v>287</v>
      </c>
      <c r="B130" s="8" t="s">
        <v>71</v>
      </c>
      <c r="C130" s="8" t="s">
        <v>366</v>
      </c>
      <c r="D130" s="8" t="s">
        <v>42</v>
      </c>
      <c r="E130" s="8">
        <v>287</v>
      </c>
      <c r="F130" s="24"/>
      <c r="G130" s="5"/>
      <c r="H130" s="5"/>
      <c r="I130" s="5"/>
      <c r="J130" s="5"/>
      <c r="K130" s="5"/>
      <c r="L130" s="5"/>
      <c r="M130" s="25"/>
      <c r="N130" s="24"/>
      <c r="O130" s="5"/>
      <c r="P130" s="5"/>
      <c r="Q130" s="5"/>
      <c r="R130" s="5"/>
      <c r="S130" s="5"/>
      <c r="T130" s="5"/>
      <c r="U130" s="25"/>
      <c r="V130" s="24"/>
      <c r="W130" s="5"/>
      <c r="X130" s="5"/>
      <c r="Y130" s="5"/>
      <c r="Z130" s="5"/>
      <c r="AA130" s="5"/>
      <c r="AB130" s="5"/>
      <c r="AC130" s="25"/>
      <c r="AD130" s="24"/>
      <c r="AE130" s="5"/>
      <c r="AF130" s="5"/>
      <c r="AG130" s="5"/>
      <c r="AH130" s="5"/>
      <c r="AI130" s="5"/>
      <c r="AJ130" s="5"/>
      <c r="AK130" s="25"/>
      <c r="AL130" s="5">
        <v>287</v>
      </c>
      <c r="AM130" s="8">
        <v>1</v>
      </c>
      <c r="AN130" s="8"/>
      <c r="AO130" s="8"/>
      <c r="AP130" s="8"/>
      <c r="AQ130" s="8">
        <v>32</v>
      </c>
    </row>
    <row r="131" spans="1:44">
      <c r="A131" s="8">
        <v>288</v>
      </c>
      <c r="B131" s="8" t="s">
        <v>71</v>
      </c>
      <c r="C131" s="8" t="s">
        <v>366</v>
      </c>
      <c r="D131" s="8" t="s">
        <v>42</v>
      </c>
      <c r="E131" s="8">
        <v>288</v>
      </c>
      <c r="F131" s="24"/>
      <c r="G131" s="5"/>
      <c r="H131" s="5"/>
      <c r="I131" s="5"/>
      <c r="J131" s="5"/>
      <c r="K131" s="5"/>
      <c r="L131" s="5"/>
      <c r="M131" s="25"/>
      <c r="N131" s="24"/>
      <c r="O131" s="5"/>
      <c r="P131" s="5"/>
      <c r="Q131" s="5"/>
      <c r="R131" s="5"/>
      <c r="S131" s="5"/>
      <c r="T131" s="5"/>
      <c r="U131" s="25"/>
      <c r="V131" s="24"/>
      <c r="W131" s="5"/>
      <c r="X131" s="5"/>
      <c r="Y131" s="5"/>
      <c r="Z131" s="5"/>
      <c r="AA131" s="5"/>
      <c r="AB131" s="5"/>
      <c r="AC131" s="25"/>
      <c r="AD131" s="24"/>
      <c r="AE131" s="5"/>
      <c r="AF131" s="5"/>
      <c r="AG131" s="5"/>
      <c r="AH131" s="5"/>
      <c r="AI131" s="5"/>
      <c r="AJ131" s="5"/>
      <c r="AK131" s="25"/>
      <c r="AL131" s="5">
        <v>288</v>
      </c>
      <c r="AM131" s="8">
        <v>1</v>
      </c>
      <c r="AN131" s="8"/>
      <c r="AO131" s="8"/>
      <c r="AP131" s="8"/>
      <c r="AQ131" s="8">
        <v>32</v>
      </c>
    </row>
    <row r="132" spans="1:44">
      <c r="A132" s="8">
        <v>291</v>
      </c>
      <c r="B132" s="8" t="s">
        <v>80</v>
      </c>
      <c r="C132" s="8" t="s">
        <v>346</v>
      </c>
      <c r="D132" s="8"/>
      <c r="E132" s="8">
        <v>291</v>
      </c>
      <c r="F132" s="24"/>
      <c r="G132" s="5"/>
      <c r="H132" s="5"/>
      <c r="I132" s="5"/>
      <c r="J132" s="5"/>
      <c r="K132" s="5"/>
      <c r="L132" s="5"/>
      <c r="M132" s="25"/>
      <c r="N132" s="24"/>
      <c r="O132" s="5"/>
      <c r="P132" s="5"/>
      <c r="Q132" s="5"/>
      <c r="R132" s="5"/>
      <c r="S132" s="5"/>
      <c r="T132" s="5"/>
      <c r="U132" s="25"/>
      <c r="V132" s="24"/>
      <c r="W132" s="5"/>
      <c r="X132" s="5"/>
      <c r="Y132" s="5"/>
      <c r="Z132" s="5"/>
      <c r="AA132" s="5"/>
      <c r="AB132" s="5"/>
      <c r="AC132" s="25"/>
      <c r="AD132" s="24"/>
      <c r="AE132" s="5"/>
      <c r="AF132" s="5"/>
      <c r="AG132" s="5"/>
      <c r="AH132" s="5"/>
      <c r="AI132" s="5"/>
      <c r="AJ132" s="5"/>
      <c r="AK132" s="25"/>
      <c r="AL132" s="5">
        <v>291</v>
      </c>
      <c r="AM132" s="8">
        <v>1</v>
      </c>
      <c r="AN132" s="8"/>
      <c r="AO132" s="8"/>
      <c r="AP132" s="8"/>
      <c r="AQ132" s="8">
        <v>15</v>
      </c>
    </row>
    <row r="133" spans="1:44">
      <c r="A133" s="8">
        <v>292</v>
      </c>
      <c r="B133" s="8" t="s">
        <v>74</v>
      </c>
      <c r="C133" s="8" t="s">
        <v>346</v>
      </c>
      <c r="D133" s="8"/>
      <c r="E133" s="8">
        <v>292</v>
      </c>
      <c r="F133" s="24"/>
      <c r="G133" s="5"/>
      <c r="H133" s="5"/>
      <c r="I133" s="5"/>
      <c r="J133" s="5"/>
      <c r="K133" s="5"/>
      <c r="L133" s="5"/>
      <c r="M133" s="25"/>
      <c r="N133" s="24"/>
      <c r="O133" s="5"/>
      <c r="P133" s="5"/>
      <c r="Q133" s="5"/>
      <c r="R133" s="5"/>
      <c r="S133" s="5"/>
      <c r="T133" s="5"/>
      <c r="U133" s="25"/>
      <c r="V133" s="24"/>
      <c r="W133" s="5"/>
      <c r="X133" s="5"/>
      <c r="Y133" s="5"/>
      <c r="Z133" s="5"/>
      <c r="AA133" s="5"/>
      <c r="AB133" s="5"/>
      <c r="AC133" s="25"/>
      <c r="AD133" s="24"/>
      <c r="AE133" s="5"/>
      <c r="AF133" s="5"/>
      <c r="AG133" s="5"/>
      <c r="AH133" s="5"/>
      <c r="AI133" s="5"/>
      <c r="AJ133" s="5"/>
      <c r="AK133" s="25"/>
      <c r="AL133" s="5">
        <v>292</v>
      </c>
      <c r="AM133" s="8">
        <v>1</v>
      </c>
      <c r="AN133" s="8"/>
      <c r="AO133" s="8"/>
      <c r="AP133" s="8"/>
      <c r="AQ133" s="8">
        <v>12</v>
      </c>
    </row>
    <row r="134" spans="1:44">
      <c r="A134" s="8">
        <v>293</v>
      </c>
      <c r="B134" s="8" t="s">
        <v>106</v>
      </c>
      <c r="C134" s="8" t="s">
        <v>349</v>
      </c>
      <c r="D134" s="8" t="s">
        <v>6</v>
      </c>
      <c r="E134" s="8">
        <v>293</v>
      </c>
      <c r="F134" s="24"/>
      <c r="G134" s="5"/>
      <c r="H134" s="5"/>
      <c r="I134" s="5"/>
      <c r="J134" s="5"/>
      <c r="K134" s="5"/>
      <c r="L134" s="5"/>
      <c r="M134" s="25"/>
      <c r="N134" s="24"/>
      <c r="O134" s="5"/>
      <c r="P134" s="5"/>
      <c r="Q134" s="5"/>
      <c r="R134" s="5"/>
      <c r="S134" s="5"/>
      <c r="T134" s="5"/>
      <c r="U134" s="25"/>
      <c r="V134" s="24"/>
      <c r="W134" s="5"/>
      <c r="X134" s="5"/>
      <c r="Y134" s="5"/>
      <c r="Z134" s="5"/>
      <c r="AA134" s="5"/>
      <c r="AB134" s="5"/>
      <c r="AC134" s="25"/>
      <c r="AD134" s="24"/>
      <c r="AE134" s="5"/>
      <c r="AF134" s="5"/>
      <c r="AG134" s="5"/>
      <c r="AH134" s="5"/>
      <c r="AI134" s="5"/>
      <c r="AJ134" s="5"/>
      <c r="AK134" s="25"/>
      <c r="AL134" s="5">
        <v>293</v>
      </c>
      <c r="AM134" s="8">
        <v>1</v>
      </c>
      <c r="AN134" s="8"/>
      <c r="AO134" s="8"/>
      <c r="AP134" s="8"/>
      <c r="AQ134" s="8">
        <v>31</v>
      </c>
    </row>
    <row r="135" spans="1:44">
      <c r="A135" s="8">
        <v>299</v>
      </c>
      <c r="B135" s="8" t="s">
        <v>63</v>
      </c>
      <c r="C135" s="8" t="s">
        <v>346</v>
      </c>
      <c r="D135" s="8"/>
      <c r="E135" s="8">
        <v>299</v>
      </c>
      <c r="F135" s="24"/>
      <c r="G135" s="5"/>
      <c r="H135" s="5"/>
      <c r="I135" s="5"/>
      <c r="J135" s="5"/>
      <c r="K135" s="5"/>
      <c r="L135" s="5"/>
      <c r="M135" s="25"/>
      <c r="N135" s="24"/>
      <c r="O135" s="5"/>
      <c r="P135" s="5"/>
      <c r="Q135" s="5"/>
      <c r="R135" s="5"/>
      <c r="S135" s="5"/>
      <c r="T135" s="5"/>
      <c r="U135" s="25"/>
      <c r="V135" s="24"/>
      <c r="W135" s="5"/>
      <c r="X135" s="5"/>
      <c r="Y135" s="5"/>
      <c r="Z135" s="5"/>
      <c r="AA135" s="5"/>
      <c r="AB135" s="5"/>
      <c r="AC135" s="25"/>
      <c r="AD135" s="24"/>
      <c r="AE135" s="5"/>
      <c r="AF135" s="5"/>
      <c r="AG135" s="5"/>
      <c r="AH135" s="5"/>
      <c r="AI135" s="5"/>
      <c r="AJ135" s="5"/>
      <c r="AK135" s="25"/>
      <c r="AL135" s="5">
        <v>299</v>
      </c>
      <c r="AM135" s="8">
        <v>1</v>
      </c>
      <c r="AN135" s="8"/>
      <c r="AO135" s="8"/>
      <c r="AP135" s="8"/>
      <c r="AQ135" s="8">
        <v>6</v>
      </c>
    </row>
    <row r="136" spans="1:44">
      <c r="A136" s="8">
        <v>301</v>
      </c>
      <c r="B136" s="8" t="s">
        <v>123</v>
      </c>
      <c r="C136" s="8" t="s">
        <v>366</v>
      </c>
      <c r="D136" s="8" t="s">
        <v>42</v>
      </c>
      <c r="E136" s="8">
        <v>301</v>
      </c>
      <c r="F136" s="24"/>
      <c r="G136" s="5"/>
      <c r="H136" s="5"/>
      <c r="I136" s="5"/>
      <c r="J136" s="5"/>
      <c r="K136" s="5"/>
      <c r="L136" s="5"/>
      <c r="M136" s="25"/>
      <c r="N136" s="24"/>
      <c r="O136" s="5"/>
      <c r="P136" s="5"/>
      <c r="Q136" s="5"/>
      <c r="R136" s="5">
        <v>1</v>
      </c>
      <c r="S136" s="5">
        <v>1</v>
      </c>
      <c r="T136" s="5">
        <v>1</v>
      </c>
      <c r="U136" s="25"/>
      <c r="V136" s="24">
        <v>1</v>
      </c>
      <c r="W136" s="5"/>
      <c r="X136" s="5"/>
      <c r="Y136" s="5"/>
      <c r="Z136" s="5"/>
      <c r="AA136" s="5"/>
      <c r="AB136" s="5"/>
      <c r="AC136" s="25"/>
      <c r="AD136" s="24"/>
      <c r="AE136" s="5"/>
      <c r="AF136" s="5"/>
      <c r="AG136" s="5"/>
      <c r="AH136" s="5">
        <v>1</v>
      </c>
      <c r="AI136" s="5">
        <v>1</v>
      </c>
      <c r="AJ136" s="5">
        <v>1</v>
      </c>
      <c r="AK136" s="25"/>
      <c r="AL136" s="5">
        <v>301</v>
      </c>
      <c r="AM136" s="8"/>
      <c r="AN136" s="8">
        <v>1</v>
      </c>
      <c r="AO136" s="8"/>
      <c r="AP136" s="8">
        <f>SUM(F136:AK136)</f>
        <v>7</v>
      </c>
      <c r="AQ136">
        <v>31</v>
      </c>
      <c r="AR136" s="76">
        <f>AP136/AQ136</f>
        <v>0.22580645161290322</v>
      </c>
    </row>
    <row r="137" spans="1:44">
      <c r="A137" s="8">
        <v>302</v>
      </c>
      <c r="B137" s="8" t="s">
        <v>41</v>
      </c>
      <c r="C137" s="8" t="s">
        <v>42</v>
      </c>
      <c r="D137" s="8" t="s">
        <v>42</v>
      </c>
      <c r="E137" s="8">
        <v>302</v>
      </c>
      <c r="F137" s="24"/>
      <c r="G137" s="5"/>
      <c r="H137" s="5"/>
      <c r="I137" s="5"/>
      <c r="J137" s="5"/>
      <c r="K137" s="5"/>
      <c r="L137" s="5"/>
      <c r="M137" s="25"/>
      <c r="N137" s="24"/>
      <c r="O137" s="5"/>
      <c r="P137" s="5"/>
      <c r="Q137" s="5"/>
      <c r="R137" s="5"/>
      <c r="S137" s="5"/>
      <c r="T137" s="5"/>
      <c r="U137" s="25"/>
      <c r="V137" s="24"/>
      <c r="W137" s="5"/>
      <c r="X137" s="5"/>
      <c r="Y137" s="5"/>
      <c r="Z137" s="5"/>
      <c r="AA137" s="5"/>
      <c r="AB137" s="5"/>
      <c r="AC137" s="25"/>
      <c r="AD137" s="24"/>
      <c r="AE137" s="5"/>
      <c r="AF137" s="5"/>
      <c r="AG137" s="5"/>
      <c r="AH137" s="5"/>
      <c r="AI137" s="5"/>
      <c r="AJ137" s="5"/>
      <c r="AK137" s="25"/>
      <c r="AL137" s="5">
        <v>302</v>
      </c>
      <c r="AM137" s="8">
        <v>1</v>
      </c>
      <c r="AN137" s="8"/>
      <c r="AO137" s="8"/>
      <c r="AP137" s="8"/>
      <c r="AQ137" s="8">
        <v>32</v>
      </c>
    </row>
    <row r="138" spans="1:44">
      <c r="A138" s="8">
        <v>303</v>
      </c>
      <c r="B138" s="8" t="s">
        <v>136</v>
      </c>
      <c r="C138" s="8" t="s">
        <v>12</v>
      </c>
      <c r="D138" s="8" t="s">
        <v>42</v>
      </c>
      <c r="E138" s="8">
        <v>303</v>
      </c>
      <c r="F138" s="24"/>
      <c r="G138" s="5"/>
      <c r="H138" s="5"/>
      <c r="I138" s="5"/>
      <c r="J138" s="5"/>
      <c r="K138" s="5"/>
      <c r="L138" s="5"/>
      <c r="M138" s="25"/>
      <c r="N138" s="24"/>
      <c r="O138" s="5"/>
      <c r="P138" s="5"/>
      <c r="Q138" s="5"/>
      <c r="R138" s="5"/>
      <c r="S138" s="5"/>
      <c r="T138" s="5"/>
      <c r="U138" s="25"/>
      <c r="V138" s="24"/>
      <c r="W138" s="5"/>
      <c r="X138" s="5"/>
      <c r="Y138" s="5"/>
      <c r="Z138" s="5"/>
      <c r="AA138" s="5"/>
      <c r="AB138" s="5"/>
      <c r="AC138" s="25"/>
      <c r="AD138" s="24"/>
      <c r="AE138" s="5"/>
      <c r="AF138" s="5"/>
      <c r="AG138" s="5"/>
      <c r="AH138" s="5"/>
      <c r="AI138" s="5"/>
      <c r="AJ138" s="5"/>
      <c r="AK138" s="25"/>
      <c r="AL138" s="5">
        <v>303</v>
      </c>
      <c r="AM138" s="8">
        <v>1</v>
      </c>
      <c r="AN138" s="8"/>
      <c r="AO138" s="8"/>
      <c r="AP138" s="8"/>
      <c r="AQ138" s="8">
        <v>32</v>
      </c>
    </row>
    <row r="139" spans="1:44">
      <c r="A139" s="8">
        <v>304</v>
      </c>
      <c r="B139" s="8" t="s">
        <v>93</v>
      </c>
      <c r="C139" s="8" t="s">
        <v>12</v>
      </c>
      <c r="D139" s="8" t="s">
        <v>42</v>
      </c>
      <c r="E139" s="8">
        <v>304</v>
      </c>
      <c r="F139" s="24"/>
      <c r="G139" s="5"/>
      <c r="H139" s="5"/>
      <c r="I139" s="5"/>
      <c r="J139" s="5"/>
      <c r="K139" s="5"/>
      <c r="L139" s="5"/>
      <c r="M139" s="25"/>
      <c r="N139" s="24"/>
      <c r="O139" s="5"/>
      <c r="P139" s="5"/>
      <c r="Q139" s="5"/>
      <c r="R139" s="5"/>
      <c r="S139" s="5"/>
      <c r="T139" s="5"/>
      <c r="U139" s="25"/>
      <c r="V139" s="24"/>
      <c r="W139" s="5"/>
      <c r="X139" s="5"/>
      <c r="Y139" s="5"/>
      <c r="Z139" s="5"/>
      <c r="AA139" s="5"/>
      <c r="AB139" s="5"/>
      <c r="AC139" s="25"/>
      <c r="AD139" s="24"/>
      <c r="AE139" s="5"/>
      <c r="AF139" s="5"/>
      <c r="AG139" s="5"/>
      <c r="AH139" s="5"/>
      <c r="AI139" s="5"/>
      <c r="AJ139" s="5">
        <v>1</v>
      </c>
      <c r="AK139" s="25"/>
      <c r="AL139" s="5">
        <v>304</v>
      </c>
      <c r="AM139" s="8"/>
      <c r="AN139" s="8">
        <v>1</v>
      </c>
      <c r="AO139" s="8"/>
      <c r="AP139" s="8">
        <f>SUM(F139:AK139)</f>
        <v>1</v>
      </c>
      <c r="AQ139">
        <v>30</v>
      </c>
      <c r="AR139" s="76">
        <f>AP139/AQ139</f>
        <v>3.3333333333333333E-2</v>
      </c>
    </row>
    <row r="140" spans="1:44">
      <c r="A140" s="8">
        <v>308</v>
      </c>
      <c r="B140" s="8" t="s">
        <v>123</v>
      </c>
      <c r="C140" s="8" t="s">
        <v>366</v>
      </c>
      <c r="D140" s="8" t="s">
        <v>6</v>
      </c>
      <c r="E140" s="8">
        <v>308</v>
      </c>
      <c r="F140" s="24"/>
      <c r="G140" s="5"/>
      <c r="H140" s="5"/>
      <c r="I140" s="5"/>
      <c r="J140" s="5"/>
      <c r="K140" s="5"/>
      <c r="L140" s="5"/>
      <c r="M140" s="25"/>
      <c r="N140" s="24"/>
      <c r="O140" s="5"/>
      <c r="P140" s="5"/>
      <c r="Q140" s="5"/>
      <c r="R140" s="5"/>
      <c r="S140" s="5">
        <v>1</v>
      </c>
      <c r="T140" s="5">
        <v>1</v>
      </c>
      <c r="U140" s="25"/>
      <c r="V140" s="24"/>
      <c r="W140" s="5"/>
      <c r="X140" s="5"/>
      <c r="Y140" s="5">
        <v>1</v>
      </c>
      <c r="Z140" s="5"/>
      <c r="AA140" s="5"/>
      <c r="AB140" s="5"/>
      <c r="AC140" s="25"/>
      <c r="AD140" s="24"/>
      <c r="AE140" s="5"/>
      <c r="AF140" s="5"/>
      <c r="AG140" s="5"/>
      <c r="AH140" s="5">
        <v>1</v>
      </c>
      <c r="AI140" s="5">
        <v>1</v>
      </c>
      <c r="AJ140" s="5">
        <v>1</v>
      </c>
      <c r="AK140" s="25">
        <v>1</v>
      </c>
      <c r="AL140" s="5">
        <v>308</v>
      </c>
      <c r="AM140" s="8"/>
      <c r="AN140" s="8">
        <v>1</v>
      </c>
      <c r="AO140" s="8"/>
      <c r="AP140" s="8">
        <f>SUM(F140:AK140)</f>
        <v>7</v>
      </c>
      <c r="AQ140">
        <v>31</v>
      </c>
      <c r="AR140" s="76">
        <f>AP140/AQ140</f>
        <v>0.22580645161290322</v>
      </c>
    </row>
    <row r="141" spans="1:44">
      <c r="A141" s="8">
        <v>311</v>
      </c>
      <c r="B141" s="8" t="s">
        <v>130</v>
      </c>
      <c r="C141" s="8" t="s">
        <v>357</v>
      </c>
      <c r="D141" s="8"/>
      <c r="E141" s="8">
        <v>311</v>
      </c>
      <c r="F141" s="24"/>
      <c r="G141" s="5"/>
      <c r="H141" s="5"/>
      <c r="I141" s="5"/>
      <c r="J141" s="5"/>
      <c r="K141" s="5"/>
      <c r="L141" s="5"/>
      <c r="M141" s="25"/>
      <c r="N141" s="24"/>
      <c r="O141" s="5"/>
      <c r="P141" s="5"/>
      <c r="Q141" s="5"/>
      <c r="R141" s="5"/>
      <c r="S141" s="5"/>
      <c r="T141" s="5"/>
      <c r="U141" s="25"/>
      <c r="V141" s="24"/>
      <c r="W141" s="5"/>
      <c r="X141" s="5"/>
      <c r="Y141" s="5"/>
      <c r="Z141" s="5"/>
      <c r="AA141" s="5"/>
      <c r="AB141" s="5"/>
      <c r="AC141" s="25"/>
      <c r="AD141" s="24"/>
      <c r="AE141" s="5"/>
      <c r="AF141" s="5"/>
      <c r="AG141" s="5"/>
      <c r="AH141" s="5"/>
      <c r="AI141" s="5"/>
      <c r="AJ141" s="5"/>
      <c r="AK141" s="25"/>
      <c r="AL141" s="5">
        <v>311</v>
      </c>
      <c r="AM141" s="8">
        <v>1</v>
      </c>
      <c r="AN141" s="8"/>
      <c r="AO141" s="8"/>
      <c r="AP141" s="8"/>
      <c r="AQ141" s="8">
        <v>25</v>
      </c>
    </row>
    <row r="142" spans="1:44">
      <c r="A142" s="8">
        <v>315</v>
      </c>
      <c r="B142" s="8" t="s">
        <v>71</v>
      </c>
      <c r="C142" s="8" t="s">
        <v>366</v>
      </c>
      <c r="D142" s="8" t="s">
        <v>42</v>
      </c>
      <c r="E142" s="8">
        <v>315</v>
      </c>
      <c r="F142" s="24"/>
      <c r="G142" s="5"/>
      <c r="H142" s="5"/>
      <c r="I142" s="5"/>
      <c r="J142" s="5"/>
      <c r="K142" s="5"/>
      <c r="L142" s="5"/>
      <c r="M142" s="25"/>
      <c r="N142" s="24"/>
      <c r="O142" s="5"/>
      <c r="P142" s="5"/>
      <c r="Q142" s="5"/>
      <c r="R142" s="5"/>
      <c r="S142" s="5"/>
      <c r="T142" s="5"/>
      <c r="U142" s="25"/>
      <c r="V142" s="24"/>
      <c r="W142" s="5"/>
      <c r="X142" s="5"/>
      <c r="Y142" s="5"/>
      <c r="Z142" s="5"/>
      <c r="AA142" s="5"/>
      <c r="AB142" s="5"/>
      <c r="AC142" s="25"/>
      <c r="AD142" s="24">
        <v>1</v>
      </c>
      <c r="AE142" s="5">
        <v>1</v>
      </c>
      <c r="AF142" s="5"/>
      <c r="AG142" s="5"/>
      <c r="AH142" s="5"/>
      <c r="AI142" s="5"/>
      <c r="AJ142" s="5"/>
      <c r="AK142" s="25"/>
      <c r="AL142" s="5">
        <v>315</v>
      </c>
      <c r="AM142" s="8"/>
      <c r="AN142" s="8">
        <v>1</v>
      </c>
      <c r="AO142" s="8"/>
      <c r="AP142" s="8">
        <f>SUM(F142:AK142)</f>
        <v>2</v>
      </c>
      <c r="AQ142">
        <v>31</v>
      </c>
      <c r="AR142" s="76">
        <f>AP142/AQ142</f>
        <v>6.4516129032258063E-2</v>
      </c>
    </row>
    <row r="143" spans="1:44">
      <c r="A143" s="8">
        <v>321</v>
      </c>
      <c r="B143" s="8" t="s">
        <v>54</v>
      </c>
      <c r="C143" s="8" t="s">
        <v>345</v>
      </c>
      <c r="D143" s="8"/>
      <c r="E143" s="8">
        <v>321</v>
      </c>
      <c r="F143" s="24"/>
      <c r="G143" s="5"/>
      <c r="H143" s="5"/>
      <c r="I143" s="5"/>
      <c r="J143" s="5"/>
      <c r="K143" s="5"/>
      <c r="L143" s="5"/>
      <c r="M143" s="25"/>
      <c r="N143" s="24"/>
      <c r="O143" s="5"/>
      <c r="P143" s="5"/>
      <c r="Q143" s="5"/>
      <c r="R143" s="5"/>
      <c r="S143" s="5"/>
      <c r="T143" s="5"/>
      <c r="U143" s="25"/>
      <c r="V143" s="24"/>
      <c r="W143" s="5"/>
      <c r="X143" s="5"/>
      <c r="Y143" s="5"/>
      <c r="Z143" s="5"/>
      <c r="AA143" s="5"/>
      <c r="AB143" s="5"/>
      <c r="AC143" s="25"/>
      <c r="AD143" s="24"/>
      <c r="AE143" s="5"/>
      <c r="AF143" s="5"/>
      <c r="AG143" s="5"/>
      <c r="AH143" s="5"/>
      <c r="AI143" s="5"/>
      <c r="AJ143" s="5"/>
      <c r="AK143" s="25"/>
      <c r="AL143" s="5">
        <v>321</v>
      </c>
      <c r="AM143" s="8">
        <v>1</v>
      </c>
      <c r="AN143" s="8"/>
      <c r="AO143" s="8"/>
      <c r="AP143" s="8"/>
      <c r="AQ143" s="8">
        <v>7</v>
      </c>
    </row>
    <row r="144" spans="1:44">
      <c r="A144" s="8">
        <v>331</v>
      </c>
      <c r="B144" s="8" t="s">
        <v>240</v>
      </c>
      <c r="C144" s="8" t="s">
        <v>42</v>
      </c>
      <c r="D144" s="8" t="s">
        <v>42</v>
      </c>
      <c r="E144" s="8">
        <v>331</v>
      </c>
      <c r="F144" s="24"/>
      <c r="G144" s="5">
        <v>1</v>
      </c>
      <c r="H144" s="5">
        <v>1</v>
      </c>
      <c r="I144" s="5"/>
      <c r="J144" s="5"/>
      <c r="K144" s="5"/>
      <c r="L144" s="5"/>
      <c r="M144" s="25"/>
      <c r="N144" s="24"/>
      <c r="O144" s="5"/>
      <c r="P144" s="5"/>
      <c r="Q144" s="5">
        <v>1</v>
      </c>
      <c r="R144" s="5">
        <v>1</v>
      </c>
      <c r="S144" s="5">
        <v>1</v>
      </c>
      <c r="T144" s="5">
        <v>1</v>
      </c>
      <c r="U144" s="25"/>
      <c r="V144" s="24"/>
      <c r="W144" s="5"/>
      <c r="X144" s="5"/>
      <c r="Y144" s="5"/>
      <c r="Z144" s="5"/>
      <c r="AA144" s="5"/>
      <c r="AB144" s="5"/>
      <c r="AC144" s="25"/>
      <c r="AD144" s="24"/>
      <c r="AE144" s="5"/>
      <c r="AF144" s="5"/>
      <c r="AG144" s="5"/>
      <c r="AH144" s="5"/>
      <c r="AI144" s="5">
        <v>1</v>
      </c>
      <c r="AJ144" s="5"/>
      <c r="AK144" s="25"/>
      <c r="AL144" s="5">
        <v>331</v>
      </c>
      <c r="AM144" s="8"/>
      <c r="AN144" s="8">
        <v>1</v>
      </c>
      <c r="AO144" s="8"/>
      <c r="AP144" s="8">
        <f>SUM(F144:AK144)</f>
        <v>7</v>
      </c>
      <c r="AQ144">
        <v>31</v>
      </c>
      <c r="AR144" s="76">
        <f>AP144/AQ144</f>
        <v>0.22580645161290322</v>
      </c>
    </row>
    <row r="145" spans="1:44">
      <c r="A145" s="8">
        <v>334</v>
      </c>
      <c r="B145" s="8" t="s">
        <v>5</v>
      </c>
      <c r="C145" s="8" t="s">
        <v>42</v>
      </c>
      <c r="D145" s="8" t="s">
        <v>6</v>
      </c>
      <c r="E145" s="8">
        <v>334</v>
      </c>
      <c r="F145" s="24"/>
      <c r="G145" s="5"/>
      <c r="H145" s="5"/>
      <c r="I145" s="5"/>
      <c r="J145" s="5"/>
      <c r="K145" s="5"/>
      <c r="L145" s="5"/>
      <c r="M145" s="25"/>
      <c r="N145" s="24"/>
      <c r="O145" s="5"/>
      <c r="P145" s="5"/>
      <c r="Q145" s="5"/>
      <c r="R145" s="5"/>
      <c r="S145" s="5"/>
      <c r="T145" s="5"/>
      <c r="U145" s="25"/>
      <c r="V145" s="24"/>
      <c r="W145" s="5"/>
      <c r="X145" s="5"/>
      <c r="Y145" s="5"/>
      <c r="Z145" s="5"/>
      <c r="AA145" s="5"/>
      <c r="AB145" s="5"/>
      <c r="AC145" s="25"/>
      <c r="AD145" s="24"/>
      <c r="AE145" s="5"/>
      <c r="AF145" s="5"/>
      <c r="AG145" s="5"/>
      <c r="AH145" s="5"/>
      <c r="AI145" s="5"/>
      <c r="AJ145" s="5"/>
      <c r="AK145" s="25"/>
      <c r="AL145" s="5">
        <v>334</v>
      </c>
      <c r="AM145" s="8">
        <v>1</v>
      </c>
      <c r="AN145" s="8"/>
      <c r="AO145" s="8"/>
      <c r="AP145" s="8"/>
      <c r="AQ145" s="8">
        <v>28</v>
      </c>
    </row>
    <row r="146" spans="1:44">
      <c r="A146" s="8">
        <v>335</v>
      </c>
      <c r="B146" s="8" t="s">
        <v>74</v>
      </c>
      <c r="C146" s="8" t="s">
        <v>346</v>
      </c>
      <c r="D146" s="8"/>
      <c r="E146" s="8">
        <v>335</v>
      </c>
      <c r="F146" s="24"/>
      <c r="G146" s="5"/>
      <c r="H146" s="5"/>
      <c r="I146" s="5"/>
      <c r="J146" s="5"/>
      <c r="K146" s="5"/>
      <c r="L146" s="5"/>
      <c r="M146" s="25"/>
      <c r="N146" s="24"/>
      <c r="O146" s="5"/>
      <c r="P146" s="5"/>
      <c r="Q146" s="5"/>
      <c r="R146" s="5"/>
      <c r="S146" s="5"/>
      <c r="T146" s="5"/>
      <c r="U146" s="25"/>
      <c r="V146" s="24"/>
      <c r="W146" s="5"/>
      <c r="X146" s="5"/>
      <c r="Y146" s="5"/>
      <c r="Z146" s="5"/>
      <c r="AA146" s="5"/>
      <c r="AB146" s="5"/>
      <c r="AC146" s="25"/>
      <c r="AD146" s="24"/>
      <c r="AE146" s="5"/>
      <c r="AF146" s="5"/>
      <c r="AG146" s="5"/>
      <c r="AH146" s="5"/>
      <c r="AI146" s="5"/>
      <c r="AJ146" s="5"/>
      <c r="AK146" s="25"/>
      <c r="AL146" s="5">
        <v>335</v>
      </c>
      <c r="AM146" s="8">
        <v>1</v>
      </c>
      <c r="AN146" s="8"/>
      <c r="AO146" s="8"/>
      <c r="AP146" s="8"/>
      <c r="AQ146" s="8">
        <v>13</v>
      </c>
    </row>
    <row r="147" spans="1:44">
      <c r="A147" s="8">
        <v>336</v>
      </c>
      <c r="B147" s="8" t="s">
        <v>55</v>
      </c>
      <c r="C147" s="8" t="s">
        <v>346</v>
      </c>
      <c r="D147" s="8"/>
      <c r="E147" s="8">
        <v>336</v>
      </c>
      <c r="F147" s="24"/>
      <c r="G147" s="5"/>
      <c r="H147" s="5"/>
      <c r="I147" s="5"/>
      <c r="J147" s="5"/>
      <c r="K147" s="5"/>
      <c r="L147" s="5"/>
      <c r="M147" s="25"/>
      <c r="N147" s="24"/>
      <c r="O147" s="5"/>
      <c r="P147" s="5"/>
      <c r="Q147" s="5"/>
      <c r="R147" s="5"/>
      <c r="S147" s="5"/>
      <c r="T147" s="5"/>
      <c r="U147" s="25"/>
      <c r="V147" s="24"/>
      <c r="W147" s="5"/>
      <c r="X147" s="5"/>
      <c r="Y147" s="5"/>
      <c r="Z147" s="5"/>
      <c r="AA147" s="5"/>
      <c r="AB147" s="5"/>
      <c r="AC147" s="25"/>
      <c r="AD147" s="24"/>
      <c r="AE147" s="5"/>
      <c r="AF147" s="5"/>
      <c r="AG147" s="5"/>
      <c r="AH147" s="5"/>
      <c r="AI147" s="5"/>
      <c r="AJ147" s="5"/>
      <c r="AK147" s="25"/>
      <c r="AL147" s="5">
        <v>336</v>
      </c>
      <c r="AM147" s="8">
        <v>1</v>
      </c>
      <c r="AN147" s="8"/>
      <c r="AO147" s="8"/>
      <c r="AP147" s="8"/>
      <c r="AQ147" s="8">
        <v>20</v>
      </c>
    </row>
    <row r="148" spans="1:44">
      <c r="A148" s="8">
        <v>339</v>
      </c>
      <c r="B148" s="8" t="s">
        <v>91</v>
      </c>
      <c r="C148" s="8" t="s">
        <v>366</v>
      </c>
      <c r="D148" s="8" t="s">
        <v>42</v>
      </c>
      <c r="E148" s="8">
        <v>339</v>
      </c>
      <c r="F148" s="24"/>
      <c r="G148" s="5"/>
      <c r="H148" s="5"/>
      <c r="I148" s="5"/>
      <c r="J148" s="5"/>
      <c r="K148" s="5"/>
      <c r="L148" s="5"/>
      <c r="M148" s="25"/>
      <c r="N148" s="24"/>
      <c r="O148" s="5"/>
      <c r="P148" s="5"/>
      <c r="Q148" s="5"/>
      <c r="R148" s="5"/>
      <c r="S148" s="5"/>
      <c r="T148" s="5"/>
      <c r="U148" s="25"/>
      <c r="V148" s="24"/>
      <c r="W148" s="5"/>
      <c r="X148" s="5"/>
      <c r="Y148" s="5"/>
      <c r="Z148" s="5"/>
      <c r="AA148" s="5"/>
      <c r="AB148" s="5"/>
      <c r="AC148" s="25"/>
      <c r="AD148" s="24"/>
      <c r="AE148" s="5"/>
      <c r="AF148" s="5"/>
      <c r="AG148" s="5"/>
      <c r="AH148" s="5"/>
      <c r="AI148" s="5"/>
      <c r="AJ148" s="5"/>
      <c r="AK148" s="25"/>
      <c r="AL148" s="5">
        <v>339</v>
      </c>
      <c r="AM148" s="8">
        <v>1</v>
      </c>
      <c r="AN148" s="8"/>
      <c r="AO148" s="8"/>
      <c r="AP148" s="8"/>
      <c r="AQ148" s="8">
        <v>32</v>
      </c>
    </row>
    <row r="149" spans="1:44">
      <c r="A149" s="8">
        <v>340</v>
      </c>
      <c r="B149" s="8" t="s">
        <v>44</v>
      </c>
      <c r="C149" s="8" t="s">
        <v>349</v>
      </c>
      <c r="D149" s="8" t="s">
        <v>6</v>
      </c>
      <c r="E149" s="8">
        <v>340</v>
      </c>
      <c r="F149" s="24"/>
      <c r="G149" s="5">
        <v>1</v>
      </c>
      <c r="H149" s="5">
        <v>1</v>
      </c>
      <c r="I149" s="5">
        <v>1</v>
      </c>
      <c r="J149" s="5"/>
      <c r="K149" s="5"/>
      <c r="L149" s="5"/>
      <c r="M149" s="25"/>
      <c r="N149" s="24"/>
      <c r="O149" s="5"/>
      <c r="P149" s="5"/>
      <c r="Q149" s="5"/>
      <c r="R149" s="5">
        <v>1</v>
      </c>
      <c r="S149" s="5">
        <v>1</v>
      </c>
      <c r="T149" s="5">
        <v>1</v>
      </c>
      <c r="U149" s="25"/>
      <c r="V149" s="24"/>
      <c r="W149" s="5">
        <v>1</v>
      </c>
      <c r="X149" s="5">
        <v>1</v>
      </c>
      <c r="Y149" s="5">
        <v>1</v>
      </c>
      <c r="Z149" s="5"/>
      <c r="AA149" s="5"/>
      <c r="AB149" s="5"/>
      <c r="AC149" s="25"/>
      <c r="AD149" s="24"/>
      <c r="AE149" s="5"/>
      <c r="AF149" s="5"/>
      <c r="AG149" s="5"/>
      <c r="AH149" s="5">
        <v>1</v>
      </c>
      <c r="AI149" s="5">
        <v>1</v>
      </c>
      <c r="AJ149" s="5">
        <v>1</v>
      </c>
      <c r="AK149" s="25"/>
      <c r="AL149" s="5">
        <v>340</v>
      </c>
      <c r="AM149" s="8"/>
      <c r="AN149" s="8">
        <v>1</v>
      </c>
      <c r="AO149" s="8"/>
      <c r="AP149" s="8">
        <f>SUM(F149:AK149)</f>
        <v>12</v>
      </c>
      <c r="AQ149">
        <v>28</v>
      </c>
      <c r="AR149" s="76">
        <f>AP149/AQ149</f>
        <v>0.42857142857142855</v>
      </c>
    </row>
    <row r="150" spans="1:44">
      <c r="A150" s="8">
        <v>343</v>
      </c>
      <c r="B150" s="8" t="s">
        <v>216</v>
      </c>
      <c r="C150" s="8" t="s">
        <v>42</v>
      </c>
      <c r="D150" s="8" t="s">
        <v>6</v>
      </c>
      <c r="E150" s="8">
        <v>343</v>
      </c>
      <c r="F150" s="24"/>
      <c r="G150" s="5"/>
      <c r="H150" s="5"/>
      <c r="I150" s="5"/>
      <c r="J150" s="5"/>
      <c r="K150" s="5"/>
      <c r="L150" s="5"/>
      <c r="M150" s="25"/>
      <c r="N150" s="24"/>
      <c r="O150" s="5"/>
      <c r="P150" s="5"/>
      <c r="Q150" s="5"/>
      <c r="R150" s="5"/>
      <c r="S150" s="5"/>
      <c r="T150" s="5"/>
      <c r="U150" s="25"/>
      <c r="V150" s="24"/>
      <c r="W150" s="5"/>
      <c r="X150" s="5"/>
      <c r="Y150" s="5"/>
      <c r="Z150" s="5"/>
      <c r="AA150" s="5"/>
      <c r="AB150" s="5"/>
      <c r="AC150" s="25"/>
      <c r="AD150" s="24"/>
      <c r="AE150" s="5"/>
      <c r="AF150" s="5"/>
      <c r="AG150" s="5"/>
      <c r="AH150" s="5"/>
      <c r="AI150" s="5"/>
      <c r="AJ150" s="5"/>
      <c r="AK150" s="25"/>
      <c r="AL150" s="5">
        <v>343</v>
      </c>
      <c r="AM150" s="8">
        <v>1</v>
      </c>
      <c r="AN150" s="8"/>
      <c r="AO150" s="8"/>
      <c r="AP150" s="8"/>
      <c r="AQ150" s="8">
        <v>31</v>
      </c>
    </row>
    <row r="151" spans="1:44">
      <c r="A151" s="8">
        <v>344</v>
      </c>
      <c r="B151" s="8" t="s">
        <v>63</v>
      </c>
      <c r="C151" s="8" t="s">
        <v>346</v>
      </c>
      <c r="D151" s="8"/>
      <c r="E151" s="8">
        <v>344</v>
      </c>
      <c r="F151" s="24"/>
      <c r="G151" s="5"/>
      <c r="H151" s="5"/>
      <c r="I151" s="5"/>
      <c r="J151" s="5"/>
      <c r="K151" s="5"/>
      <c r="L151" s="5"/>
      <c r="M151" s="25"/>
      <c r="N151" s="24"/>
      <c r="O151" s="5"/>
      <c r="P151" s="5"/>
      <c r="Q151" s="5"/>
      <c r="R151" s="5"/>
      <c r="S151" s="5"/>
      <c r="T151" s="5"/>
      <c r="U151" s="25"/>
      <c r="V151" s="24"/>
      <c r="W151" s="5"/>
      <c r="X151" s="5"/>
      <c r="Y151" s="5"/>
      <c r="Z151" s="5"/>
      <c r="AA151" s="5"/>
      <c r="AB151" s="5"/>
      <c r="AC151" s="25"/>
      <c r="AD151" s="24"/>
      <c r="AE151" s="5"/>
      <c r="AF151" s="5"/>
      <c r="AG151" s="5"/>
      <c r="AH151" s="5"/>
      <c r="AI151" s="5"/>
      <c r="AJ151" s="5"/>
      <c r="AK151" s="25"/>
      <c r="AL151" s="5">
        <v>344</v>
      </c>
      <c r="AM151" s="8">
        <v>1</v>
      </c>
      <c r="AN151" s="8"/>
      <c r="AO151" s="8"/>
      <c r="AP151" s="8"/>
      <c r="AQ151" s="8">
        <v>16</v>
      </c>
    </row>
    <row r="152" spans="1:44">
      <c r="A152" s="8">
        <v>345</v>
      </c>
      <c r="B152" s="8" t="s">
        <v>59</v>
      </c>
      <c r="C152" s="8" t="s">
        <v>346</v>
      </c>
      <c r="D152" s="8"/>
      <c r="E152" s="8">
        <v>345</v>
      </c>
      <c r="F152" s="24"/>
      <c r="G152" s="5"/>
      <c r="H152" s="5"/>
      <c r="I152" s="5"/>
      <c r="J152" s="5"/>
      <c r="K152" s="5"/>
      <c r="L152" s="5"/>
      <c r="M152" s="25"/>
      <c r="N152" s="24"/>
      <c r="O152" s="5"/>
      <c r="P152" s="5"/>
      <c r="Q152" s="5"/>
      <c r="R152" s="5"/>
      <c r="S152" s="5"/>
      <c r="T152" s="5"/>
      <c r="U152" s="25"/>
      <c r="V152" s="24"/>
      <c r="W152" s="5"/>
      <c r="X152" s="5"/>
      <c r="Y152" s="5"/>
      <c r="Z152" s="5"/>
      <c r="AA152" s="5"/>
      <c r="AB152" s="5"/>
      <c r="AC152" s="25"/>
      <c r="AD152" s="24"/>
      <c r="AE152" s="5"/>
      <c r="AF152" s="5"/>
      <c r="AG152" s="5"/>
      <c r="AH152" s="5"/>
      <c r="AI152" s="5"/>
      <c r="AJ152" s="5"/>
      <c r="AK152" s="25"/>
      <c r="AL152" s="5">
        <v>345</v>
      </c>
      <c r="AM152" s="8">
        <v>1</v>
      </c>
      <c r="AN152" s="8"/>
      <c r="AO152" s="8"/>
      <c r="AP152" s="8"/>
      <c r="AQ152" s="8">
        <v>20</v>
      </c>
    </row>
    <row r="153" spans="1:44">
      <c r="A153" s="8">
        <v>346</v>
      </c>
      <c r="B153" s="8" t="s">
        <v>5</v>
      </c>
      <c r="C153" s="8" t="s">
        <v>42</v>
      </c>
      <c r="D153" s="8" t="s">
        <v>6</v>
      </c>
      <c r="E153" s="8">
        <v>346</v>
      </c>
      <c r="F153" s="24"/>
      <c r="G153" s="5"/>
      <c r="H153" s="5"/>
      <c r="I153" s="5"/>
      <c r="J153" s="5"/>
      <c r="K153" s="5"/>
      <c r="L153" s="5"/>
      <c r="M153" s="25"/>
      <c r="N153" s="24"/>
      <c r="O153" s="5"/>
      <c r="P153" s="5"/>
      <c r="Q153" s="5"/>
      <c r="R153" s="5"/>
      <c r="S153" s="5"/>
      <c r="T153" s="5"/>
      <c r="U153" s="25"/>
      <c r="V153" s="24"/>
      <c r="W153" s="5"/>
      <c r="X153" s="5"/>
      <c r="Y153" s="5">
        <v>1</v>
      </c>
      <c r="Z153" s="5"/>
      <c r="AA153" s="5"/>
      <c r="AB153" s="5"/>
      <c r="AC153" s="25"/>
      <c r="AD153" s="24"/>
      <c r="AE153" s="5"/>
      <c r="AF153" s="5"/>
      <c r="AG153" s="5"/>
      <c r="AH153" s="5"/>
      <c r="AI153" s="5"/>
      <c r="AJ153" s="5"/>
      <c r="AK153" s="25"/>
      <c r="AL153" s="5">
        <v>346</v>
      </c>
      <c r="AM153" s="8"/>
      <c r="AN153" s="8">
        <v>1</v>
      </c>
      <c r="AO153" s="8"/>
      <c r="AP153" s="8">
        <f>SUM(F153:AK153)</f>
        <v>1</v>
      </c>
      <c r="AQ153">
        <v>31</v>
      </c>
      <c r="AR153" s="76">
        <f>AP153/AQ153</f>
        <v>3.2258064516129031E-2</v>
      </c>
    </row>
    <row r="154" spans="1:44">
      <c r="A154" s="8">
        <v>347</v>
      </c>
      <c r="B154" s="8" t="s">
        <v>141</v>
      </c>
      <c r="C154" s="8" t="s">
        <v>346</v>
      </c>
      <c r="D154" s="8"/>
      <c r="E154" s="8">
        <v>347</v>
      </c>
      <c r="F154" s="24"/>
      <c r="G154" s="5"/>
      <c r="H154" s="5"/>
      <c r="I154" s="5"/>
      <c r="J154" s="5"/>
      <c r="K154" s="5"/>
      <c r="L154" s="5"/>
      <c r="M154" s="25"/>
      <c r="N154" s="24"/>
      <c r="O154" s="5"/>
      <c r="P154" s="5"/>
      <c r="Q154" s="5"/>
      <c r="R154" s="5"/>
      <c r="S154" s="5"/>
      <c r="T154" s="5"/>
      <c r="U154" s="25"/>
      <c r="V154" s="24"/>
      <c r="W154" s="5"/>
      <c r="X154" s="5"/>
      <c r="Y154" s="5"/>
      <c r="Z154" s="5"/>
      <c r="AA154" s="5"/>
      <c r="AB154" s="5"/>
      <c r="AC154" s="25"/>
      <c r="AD154" s="24"/>
      <c r="AE154" s="5"/>
      <c r="AF154" s="5"/>
      <c r="AG154" s="5"/>
      <c r="AH154" s="5"/>
      <c r="AI154" s="5"/>
      <c r="AJ154" s="5"/>
      <c r="AK154" s="25"/>
      <c r="AL154" s="5">
        <v>347</v>
      </c>
      <c r="AM154" s="8">
        <v>1</v>
      </c>
      <c r="AN154" s="8"/>
      <c r="AO154" s="8"/>
      <c r="AP154" s="8"/>
      <c r="AQ154" s="8">
        <v>16</v>
      </c>
    </row>
    <row r="155" spans="1:44">
      <c r="A155" s="8">
        <v>348</v>
      </c>
      <c r="B155" s="8" t="s">
        <v>106</v>
      </c>
      <c r="C155" s="8" t="s">
        <v>349</v>
      </c>
      <c r="D155" s="8" t="s">
        <v>6</v>
      </c>
      <c r="E155" s="8">
        <v>348</v>
      </c>
      <c r="F155" s="24"/>
      <c r="G155" s="5">
        <v>1</v>
      </c>
      <c r="H155" s="5">
        <v>1</v>
      </c>
      <c r="I155" s="5">
        <v>1</v>
      </c>
      <c r="J155" s="5">
        <v>1</v>
      </c>
      <c r="K155" s="5">
        <v>1</v>
      </c>
      <c r="L155" s="5"/>
      <c r="M155" s="25"/>
      <c r="N155" s="24"/>
      <c r="O155" s="5"/>
      <c r="P155" s="5"/>
      <c r="Q155" s="5">
        <v>1</v>
      </c>
      <c r="R155" s="5"/>
      <c r="S155" s="5"/>
      <c r="T155" s="5"/>
      <c r="U155" s="25"/>
      <c r="V155" s="24"/>
      <c r="W155" s="5">
        <v>1</v>
      </c>
      <c r="X155" s="5">
        <v>1</v>
      </c>
      <c r="Y155" s="5">
        <v>1</v>
      </c>
      <c r="Z155" s="5"/>
      <c r="AA155" s="5"/>
      <c r="AB155" s="5"/>
      <c r="AC155" s="25">
        <v>1</v>
      </c>
      <c r="AD155" s="24">
        <v>1</v>
      </c>
      <c r="AE155" s="5"/>
      <c r="AF155" s="5"/>
      <c r="AG155" s="5"/>
      <c r="AH155" s="5">
        <v>1</v>
      </c>
      <c r="AI155" s="5">
        <v>1</v>
      </c>
      <c r="AJ155" s="5">
        <v>1</v>
      </c>
      <c r="AK155" s="25"/>
      <c r="AL155" s="5">
        <v>348</v>
      </c>
      <c r="AM155" s="8"/>
      <c r="AN155" s="8">
        <v>1</v>
      </c>
      <c r="AO155" s="8"/>
      <c r="AP155" s="8">
        <f>SUM(F155:AK155)</f>
        <v>14</v>
      </c>
      <c r="AQ155">
        <v>27</v>
      </c>
      <c r="AR155" s="76">
        <f>AP155/AQ155</f>
        <v>0.51851851851851849</v>
      </c>
    </row>
    <row r="156" spans="1:44">
      <c r="A156" s="8">
        <v>349</v>
      </c>
      <c r="B156" s="8" t="s">
        <v>103</v>
      </c>
      <c r="C156" s="8" t="s">
        <v>357</v>
      </c>
      <c r="D156" s="8" t="s">
        <v>15</v>
      </c>
      <c r="E156" s="8">
        <v>349</v>
      </c>
      <c r="F156" s="24"/>
      <c r="G156" s="5"/>
      <c r="H156" s="5"/>
      <c r="I156" s="5"/>
      <c r="J156" s="5"/>
      <c r="K156" s="5"/>
      <c r="L156" s="5"/>
      <c r="M156" s="25"/>
      <c r="N156" s="24"/>
      <c r="O156" s="5"/>
      <c r="P156" s="5"/>
      <c r="Q156" s="5"/>
      <c r="R156" s="5"/>
      <c r="S156" s="5"/>
      <c r="T156" s="5"/>
      <c r="U156" s="25"/>
      <c r="V156" s="24"/>
      <c r="W156" s="5"/>
      <c r="X156" s="5"/>
      <c r="Y156" s="5"/>
      <c r="Z156" s="5"/>
      <c r="AA156" s="5"/>
      <c r="AB156" s="5"/>
      <c r="AC156" s="25"/>
      <c r="AD156" s="24"/>
      <c r="AE156" s="5"/>
      <c r="AF156" s="5"/>
      <c r="AG156" s="5"/>
      <c r="AH156" s="5"/>
      <c r="AI156" s="5"/>
      <c r="AJ156" s="5"/>
      <c r="AK156" s="25"/>
      <c r="AL156" s="5">
        <v>349</v>
      </c>
      <c r="AM156" s="8">
        <v>1</v>
      </c>
      <c r="AN156" s="8"/>
      <c r="AO156" s="8"/>
      <c r="AP156" s="8"/>
      <c r="AQ156" s="8">
        <v>28</v>
      </c>
    </row>
    <row r="157" spans="1:44">
      <c r="A157" s="8">
        <v>350</v>
      </c>
      <c r="B157" s="8" t="s">
        <v>80</v>
      </c>
      <c r="C157" s="8" t="s">
        <v>346</v>
      </c>
      <c r="D157" s="8"/>
      <c r="E157" s="8">
        <v>350</v>
      </c>
      <c r="F157" s="24"/>
      <c r="G157" s="5"/>
      <c r="H157" s="5"/>
      <c r="I157" s="5"/>
      <c r="J157" s="5"/>
      <c r="K157" s="5"/>
      <c r="L157" s="5"/>
      <c r="M157" s="25"/>
      <c r="N157" s="24"/>
      <c r="O157" s="5"/>
      <c r="P157" s="5"/>
      <c r="Q157" s="5"/>
      <c r="R157" s="5"/>
      <c r="S157" s="5"/>
      <c r="T157" s="5"/>
      <c r="U157" s="25"/>
      <c r="V157" s="24"/>
      <c r="W157" s="5"/>
      <c r="X157" s="5"/>
      <c r="Y157" s="5"/>
      <c r="Z157" s="5"/>
      <c r="AA157" s="5"/>
      <c r="AB157" s="5"/>
      <c r="AC157" s="25"/>
      <c r="AD157" s="24"/>
      <c r="AE157" s="5"/>
      <c r="AF157" s="5"/>
      <c r="AG157" s="5"/>
      <c r="AH157" s="5"/>
      <c r="AI157" s="5"/>
      <c r="AJ157" s="5"/>
      <c r="AK157" s="25"/>
      <c r="AL157" s="5">
        <v>350</v>
      </c>
      <c r="AM157" s="8">
        <v>1</v>
      </c>
      <c r="AN157" s="8"/>
      <c r="AO157" s="8"/>
      <c r="AP157" s="8"/>
      <c r="AQ157" s="8">
        <v>20</v>
      </c>
    </row>
    <row r="158" spans="1:44">
      <c r="A158" s="8">
        <v>351</v>
      </c>
      <c r="B158" s="8" t="s">
        <v>106</v>
      </c>
      <c r="C158" s="8" t="s">
        <v>349</v>
      </c>
      <c r="D158" s="8" t="s">
        <v>6</v>
      </c>
      <c r="E158" s="8">
        <v>351</v>
      </c>
      <c r="F158" s="24"/>
      <c r="G158" s="5"/>
      <c r="H158" s="5"/>
      <c r="I158" s="5"/>
      <c r="J158" s="5"/>
      <c r="K158" s="5"/>
      <c r="L158" s="5"/>
      <c r="M158" s="25"/>
      <c r="N158" s="24"/>
      <c r="O158" s="5"/>
      <c r="P158" s="5"/>
      <c r="Q158" s="5"/>
      <c r="R158" s="5"/>
      <c r="S158" s="5"/>
      <c r="T158" s="5"/>
      <c r="U158" s="25"/>
      <c r="V158" s="24"/>
      <c r="W158" s="5"/>
      <c r="X158" s="5"/>
      <c r="Y158" s="5"/>
      <c r="Z158" s="5"/>
      <c r="AA158" s="5"/>
      <c r="AB158" s="5"/>
      <c r="AC158" s="25"/>
      <c r="AD158" s="24"/>
      <c r="AE158" s="5"/>
      <c r="AF158" s="5"/>
      <c r="AG158" s="5"/>
      <c r="AH158" s="5"/>
      <c r="AI158" s="5"/>
      <c r="AJ158" s="5"/>
      <c r="AK158" s="25"/>
      <c r="AL158" s="5">
        <v>351</v>
      </c>
      <c r="AM158" s="8">
        <v>1</v>
      </c>
      <c r="AN158" s="8"/>
      <c r="AO158" s="8"/>
      <c r="AP158" s="8"/>
      <c r="AQ158" s="8">
        <v>32</v>
      </c>
    </row>
    <row r="159" spans="1:44">
      <c r="A159" s="8">
        <v>354</v>
      </c>
      <c r="B159" s="8" t="s">
        <v>136</v>
      </c>
      <c r="C159" s="8" t="s">
        <v>12</v>
      </c>
      <c r="D159" s="8" t="s">
        <v>42</v>
      </c>
      <c r="E159" s="8">
        <v>354</v>
      </c>
      <c r="F159" s="24"/>
      <c r="G159" s="5"/>
      <c r="H159" s="5"/>
      <c r="I159" s="5"/>
      <c r="J159" s="5"/>
      <c r="K159" s="5"/>
      <c r="L159" s="5"/>
      <c r="M159" s="25"/>
      <c r="N159" s="24"/>
      <c r="O159" s="5"/>
      <c r="P159" s="5"/>
      <c r="Q159" s="5"/>
      <c r="R159" s="5"/>
      <c r="S159" s="5"/>
      <c r="T159" s="5"/>
      <c r="U159" s="25"/>
      <c r="V159" s="24"/>
      <c r="W159" s="5"/>
      <c r="X159" s="5"/>
      <c r="Y159" s="5"/>
      <c r="Z159" s="5"/>
      <c r="AA159" s="5"/>
      <c r="AB159" s="5"/>
      <c r="AC159" s="25"/>
      <c r="AD159" s="24"/>
      <c r="AE159" s="5"/>
      <c r="AF159" s="5"/>
      <c r="AG159" s="5"/>
      <c r="AH159" s="5"/>
      <c r="AI159" s="5"/>
      <c r="AJ159" s="5"/>
      <c r="AK159" s="25"/>
      <c r="AL159" s="5">
        <v>354</v>
      </c>
      <c r="AM159" s="8">
        <v>1</v>
      </c>
      <c r="AN159" s="8"/>
      <c r="AO159" s="8"/>
      <c r="AP159" s="8"/>
      <c r="AQ159" s="8">
        <v>31</v>
      </c>
    </row>
    <row r="160" spans="1:44">
      <c r="A160" s="8">
        <v>358</v>
      </c>
      <c r="B160" s="8" t="s">
        <v>136</v>
      </c>
      <c r="C160" s="8" t="s">
        <v>12</v>
      </c>
      <c r="D160" s="8" t="s">
        <v>42</v>
      </c>
      <c r="E160" s="8">
        <v>358</v>
      </c>
      <c r="F160" s="24"/>
      <c r="G160" s="5"/>
      <c r="H160" s="5"/>
      <c r="I160" s="5"/>
      <c r="J160" s="5"/>
      <c r="K160" s="5"/>
      <c r="L160" s="5"/>
      <c r="M160" s="25"/>
      <c r="N160" s="24"/>
      <c r="O160" s="5"/>
      <c r="P160" s="5"/>
      <c r="Q160" s="5"/>
      <c r="R160" s="5"/>
      <c r="S160" s="5"/>
      <c r="T160" s="5"/>
      <c r="U160" s="25"/>
      <c r="V160" s="24"/>
      <c r="W160" s="5"/>
      <c r="X160" s="5"/>
      <c r="Y160" s="5"/>
      <c r="Z160" s="5"/>
      <c r="AA160" s="5"/>
      <c r="AB160" s="5"/>
      <c r="AC160" s="25"/>
      <c r="AD160" s="24"/>
      <c r="AE160" s="5"/>
      <c r="AF160" s="5"/>
      <c r="AG160" s="5"/>
      <c r="AH160" s="5"/>
      <c r="AI160" s="5"/>
      <c r="AJ160" s="5"/>
      <c r="AK160" s="25"/>
      <c r="AL160" s="5">
        <v>358</v>
      </c>
      <c r="AM160" s="8">
        <v>1</v>
      </c>
      <c r="AN160" s="8"/>
      <c r="AO160" s="8"/>
      <c r="AP160" s="8"/>
      <c r="AQ160" s="8">
        <v>32</v>
      </c>
    </row>
    <row r="161" spans="1:44">
      <c r="A161" s="8">
        <v>359</v>
      </c>
      <c r="B161" s="8" t="s">
        <v>78</v>
      </c>
      <c r="C161" s="8" t="s">
        <v>359</v>
      </c>
      <c r="D161" s="8"/>
      <c r="E161" s="8">
        <v>359</v>
      </c>
      <c r="F161" s="24"/>
      <c r="G161" s="5"/>
      <c r="H161" s="5"/>
      <c r="I161" s="5"/>
      <c r="J161" s="5"/>
      <c r="K161" s="5"/>
      <c r="L161" s="5"/>
      <c r="M161" s="25"/>
      <c r="N161" s="24"/>
      <c r="O161" s="5"/>
      <c r="P161" s="5"/>
      <c r="Q161" s="5"/>
      <c r="R161" s="5"/>
      <c r="S161" s="5"/>
      <c r="T161" s="5"/>
      <c r="U161" s="25"/>
      <c r="V161" s="24"/>
      <c r="W161" s="5"/>
      <c r="X161" s="5"/>
      <c r="Y161" s="5"/>
      <c r="Z161" s="5"/>
      <c r="AA161" s="5"/>
      <c r="AB161" s="5"/>
      <c r="AC161" s="25"/>
      <c r="AD161" s="24"/>
      <c r="AE161" s="5"/>
      <c r="AF161" s="5"/>
      <c r="AG161" s="5"/>
      <c r="AH161" s="5"/>
      <c r="AI161" s="5"/>
      <c r="AJ161" s="5"/>
      <c r="AK161" s="25"/>
      <c r="AL161" s="5">
        <v>359</v>
      </c>
      <c r="AM161" s="8">
        <v>1</v>
      </c>
      <c r="AN161" s="8"/>
      <c r="AO161" s="8"/>
      <c r="AP161" s="8"/>
      <c r="AQ161" s="8">
        <v>17</v>
      </c>
    </row>
    <row r="162" spans="1:44">
      <c r="A162" s="8">
        <v>360</v>
      </c>
      <c r="B162" s="8" t="s">
        <v>71</v>
      </c>
      <c r="C162" s="8" t="s">
        <v>366</v>
      </c>
      <c r="D162" s="8" t="s">
        <v>42</v>
      </c>
      <c r="E162" s="8">
        <v>360</v>
      </c>
      <c r="F162" s="24"/>
      <c r="G162" s="5">
        <v>1</v>
      </c>
      <c r="H162" s="5">
        <v>1</v>
      </c>
      <c r="I162" s="5"/>
      <c r="J162" s="5"/>
      <c r="K162" s="5"/>
      <c r="L162" s="5"/>
      <c r="M162" s="25"/>
      <c r="N162" s="24"/>
      <c r="O162" s="5"/>
      <c r="P162" s="5"/>
      <c r="Q162" s="5"/>
      <c r="R162" s="5"/>
      <c r="S162" s="5"/>
      <c r="T162" s="5"/>
      <c r="U162" s="25"/>
      <c r="V162" s="24"/>
      <c r="W162" s="5"/>
      <c r="X162" s="5">
        <v>1</v>
      </c>
      <c r="Y162" s="5"/>
      <c r="Z162" s="5"/>
      <c r="AA162" s="5"/>
      <c r="AB162" s="5"/>
      <c r="AC162" s="25"/>
      <c r="AD162" s="24"/>
      <c r="AE162" s="5"/>
      <c r="AF162" s="5"/>
      <c r="AG162" s="5"/>
      <c r="AH162" s="5">
        <v>1</v>
      </c>
      <c r="AI162" s="5"/>
      <c r="AJ162" s="5"/>
      <c r="AK162" s="25"/>
      <c r="AL162" s="5">
        <v>360</v>
      </c>
      <c r="AM162" s="8"/>
      <c r="AN162" s="8">
        <v>1</v>
      </c>
      <c r="AO162" s="8"/>
      <c r="AP162" s="8">
        <f>SUM(F162:AK162)</f>
        <v>4</v>
      </c>
      <c r="AQ162">
        <v>29</v>
      </c>
      <c r="AR162" s="76">
        <f>AP162/AQ162</f>
        <v>0.13793103448275862</v>
      </c>
    </row>
    <row r="163" spans="1:44">
      <c r="A163" s="8">
        <v>361</v>
      </c>
      <c r="B163" s="8" t="s">
        <v>55</v>
      </c>
      <c r="C163" s="8" t="s">
        <v>346</v>
      </c>
      <c r="D163" s="8"/>
      <c r="E163" s="8">
        <v>361</v>
      </c>
      <c r="F163" s="24"/>
      <c r="G163" s="5"/>
      <c r="H163" s="5"/>
      <c r="I163" s="5"/>
      <c r="J163" s="5"/>
      <c r="K163" s="5"/>
      <c r="L163" s="5"/>
      <c r="M163" s="25"/>
      <c r="N163" s="24"/>
      <c r="O163" s="5"/>
      <c r="P163" s="5"/>
      <c r="Q163" s="5"/>
      <c r="R163" s="5"/>
      <c r="S163" s="5"/>
      <c r="T163" s="5"/>
      <c r="U163" s="25"/>
      <c r="V163" s="24"/>
      <c r="W163" s="5"/>
      <c r="X163" s="5"/>
      <c r="Y163" s="5"/>
      <c r="Z163" s="5"/>
      <c r="AA163" s="5"/>
      <c r="AB163" s="5"/>
      <c r="AC163" s="25"/>
      <c r="AD163" s="24"/>
      <c r="AE163" s="5"/>
      <c r="AF163" s="5"/>
      <c r="AG163" s="5"/>
      <c r="AH163" s="5"/>
      <c r="AI163" s="5"/>
      <c r="AJ163" s="5"/>
      <c r="AK163" s="25"/>
      <c r="AL163" s="5">
        <v>361</v>
      </c>
      <c r="AM163" s="8">
        <v>1</v>
      </c>
      <c r="AN163" s="8"/>
      <c r="AO163" s="8"/>
      <c r="AP163" s="8"/>
      <c r="AQ163" s="8">
        <v>20</v>
      </c>
    </row>
    <row r="164" spans="1:44">
      <c r="A164" s="8">
        <v>363</v>
      </c>
      <c r="B164" s="8" t="s">
        <v>216</v>
      </c>
      <c r="C164" s="8" t="s">
        <v>42</v>
      </c>
      <c r="D164" s="8" t="s">
        <v>6</v>
      </c>
      <c r="E164" s="8">
        <v>363</v>
      </c>
      <c r="F164" s="24"/>
      <c r="G164" s="5"/>
      <c r="H164" s="5"/>
      <c r="I164" s="5"/>
      <c r="J164" s="5"/>
      <c r="K164" s="5"/>
      <c r="L164" s="5"/>
      <c r="M164" s="25"/>
      <c r="N164" s="24"/>
      <c r="O164" s="5"/>
      <c r="P164" s="5"/>
      <c r="Q164" s="5"/>
      <c r="R164" s="5"/>
      <c r="S164" s="5"/>
      <c r="T164" s="5"/>
      <c r="U164" s="25"/>
      <c r="V164" s="24"/>
      <c r="W164" s="5"/>
      <c r="X164" s="5"/>
      <c r="Y164" s="5"/>
      <c r="Z164" s="5"/>
      <c r="AA164" s="5"/>
      <c r="AB164" s="5"/>
      <c r="AC164" s="25"/>
      <c r="AD164" s="24"/>
      <c r="AE164" s="5"/>
      <c r="AF164" s="5"/>
      <c r="AG164" s="5"/>
      <c r="AH164" s="5"/>
      <c r="AI164" s="5"/>
      <c r="AJ164" s="5"/>
      <c r="AK164" s="25"/>
      <c r="AL164" s="5">
        <v>363</v>
      </c>
      <c r="AM164" s="8">
        <v>1</v>
      </c>
      <c r="AN164" s="8"/>
      <c r="AO164" s="8"/>
      <c r="AP164" s="8"/>
      <c r="AQ164" s="8">
        <v>32</v>
      </c>
    </row>
    <row r="165" spans="1:44">
      <c r="A165" s="8">
        <v>365</v>
      </c>
      <c r="B165" s="8" t="s">
        <v>197</v>
      </c>
      <c r="C165" s="8" t="s">
        <v>357</v>
      </c>
      <c r="D165" s="8"/>
      <c r="E165" s="8">
        <v>365</v>
      </c>
      <c r="F165" s="24"/>
      <c r="G165" s="5"/>
      <c r="H165" s="5"/>
      <c r="I165" s="5"/>
      <c r="J165" s="5"/>
      <c r="K165" s="5"/>
      <c r="L165" s="5"/>
      <c r="M165" s="25"/>
      <c r="N165" s="24"/>
      <c r="O165" s="5"/>
      <c r="P165" s="5"/>
      <c r="Q165" s="5"/>
      <c r="R165" s="5"/>
      <c r="S165" s="5"/>
      <c r="T165" s="5"/>
      <c r="U165" s="25"/>
      <c r="V165" s="24"/>
      <c r="W165" s="5"/>
      <c r="X165" s="5"/>
      <c r="Y165" s="5"/>
      <c r="Z165" s="5"/>
      <c r="AA165" s="5"/>
      <c r="AB165" s="5"/>
      <c r="AC165" s="25"/>
      <c r="AD165" s="24"/>
      <c r="AE165" s="5"/>
      <c r="AF165" s="5"/>
      <c r="AG165" s="5"/>
      <c r="AH165" s="5"/>
      <c r="AI165" s="5"/>
      <c r="AJ165" s="5"/>
      <c r="AK165" s="25"/>
      <c r="AL165" s="5">
        <v>365</v>
      </c>
      <c r="AM165" s="8">
        <v>1</v>
      </c>
      <c r="AN165" s="8"/>
      <c r="AO165" s="8"/>
      <c r="AP165" s="8"/>
      <c r="AQ165" s="8">
        <v>9</v>
      </c>
    </row>
    <row r="166" spans="1:44">
      <c r="A166" s="8">
        <v>367</v>
      </c>
      <c r="B166" s="8" t="s">
        <v>80</v>
      </c>
      <c r="C166" s="8" t="s">
        <v>346</v>
      </c>
      <c r="D166" s="8"/>
      <c r="E166" s="8">
        <v>367</v>
      </c>
      <c r="F166" s="24"/>
      <c r="G166" s="5"/>
      <c r="H166" s="5"/>
      <c r="I166" s="5"/>
      <c r="J166" s="5"/>
      <c r="K166" s="5"/>
      <c r="L166" s="5"/>
      <c r="M166" s="25"/>
      <c r="N166" s="24"/>
      <c r="O166" s="5"/>
      <c r="P166" s="5"/>
      <c r="Q166" s="5"/>
      <c r="R166" s="5"/>
      <c r="S166" s="5"/>
      <c r="T166" s="5"/>
      <c r="U166" s="25"/>
      <c r="V166" s="24"/>
      <c r="W166" s="5"/>
      <c r="X166" s="5"/>
      <c r="Y166" s="5"/>
      <c r="Z166" s="5"/>
      <c r="AA166" s="5"/>
      <c r="AB166" s="5"/>
      <c r="AC166" s="25"/>
      <c r="AD166" s="24"/>
      <c r="AE166" s="5"/>
      <c r="AF166" s="5"/>
      <c r="AG166" s="5"/>
      <c r="AH166" s="5"/>
      <c r="AI166" s="5"/>
      <c r="AJ166" s="5"/>
      <c r="AK166" s="25"/>
      <c r="AL166" s="5">
        <v>367</v>
      </c>
      <c r="AM166" s="8">
        <v>1</v>
      </c>
      <c r="AN166" s="8"/>
      <c r="AO166" s="8"/>
      <c r="AP166" s="8"/>
      <c r="AQ166" s="8">
        <v>20</v>
      </c>
    </row>
    <row r="167" spans="1:44">
      <c r="A167" s="8">
        <v>371</v>
      </c>
      <c r="B167" s="8" t="s">
        <v>73</v>
      </c>
      <c r="C167" s="8" t="s">
        <v>165</v>
      </c>
      <c r="D167" s="8" t="s">
        <v>42</v>
      </c>
      <c r="E167" s="8">
        <v>371</v>
      </c>
      <c r="F167" s="24"/>
      <c r="G167" s="5"/>
      <c r="H167" s="5"/>
      <c r="I167" s="5"/>
      <c r="J167" s="5"/>
      <c r="K167" s="5"/>
      <c r="L167" s="5"/>
      <c r="M167" s="25"/>
      <c r="N167" s="24"/>
      <c r="O167" s="5"/>
      <c r="P167" s="5"/>
      <c r="Q167" s="5"/>
      <c r="R167" s="5"/>
      <c r="S167" s="5"/>
      <c r="T167" s="5"/>
      <c r="U167" s="25"/>
      <c r="V167" s="24"/>
      <c r="W167" s="5"/>
      <c r="X167" s="5"/>
      <c r="Y167" s="5"/>
      <c r="Z167" s="5"/>
      <c r="AA167" s="5"/>
      <c r="AB167" s="5"/>
      <c r="AC167" s="25"/>
      <c r="AD167" s="24"/>
      <c r="AE167" s="5"/>
      <c r="AF167" s="5"/>
      <c r="AG167" s="5"/>
      <c r="AH167" s="5"/>
      <c r="AI167" s="5"/>
      <c r="AJ167" s="5"/>
      <c r="AK167" s="25"/>
      <c r="AL167" s="5">
        <v>371</v>
      </c>
      <c r="AM167" s="8">
        <v>1</v>
      </c>
      <c r="AN167" s="8"/>
      <c r="AO167" s="8"/>
      <c r="AP167" s="8"/>
      <c r="AQ167" s="8">
        <v>32</v>
      </c>
    </row>
    <row r="168" spans="1:44">
      <c r="A168" s="8">
        <v>375</v>
      </c>
      <c r="B168" s="8" t="s">
        <v>44</v>
      </c>
      <c r="C168" s="8" t="s">
        <v>349</v>
      </c>
      <c r="D168" s="8" t="s">
        <v>6</v>
      </c>
      <c r="E168" s="8">
        <v>375</v>
      </c>
      <c r="F168" s="24"/>
      <c r="G168" s="5">
        <v>1</v>
      </c>
      <c r="H168" s="5">
        <v>1</v>
      </c>
      <c r="I168" s="5"/>
      <c r="J168" s="5"/>
      <c r="K168" s="5"/>
      <c r="L168" s="5"/>
      <c r="M168" s="25">
        <v>1</v>
      </c>
      <c r="N168" s="24">
        <v>1</v>
      </c>
      <c r="O168" s="5">
        <v>1</v>
      </c>
      <c r="P168" s="5"/>
      <c r="Q168" s="5"/>
      <c r="R168" s="5"/>
      <c r="S168" s="5"/>
      <c r="T168" s="5"/>
      <c r="U168" s="25"/>
      <c r="V168" s="24"/>
      <c r="W168" s="5">
        <v>1</v>
      </c>
      <c r="X168" s="5">
        <v>1</v>
      </c>
      <c r="Y168" s="5">
        <v>1</v>
      </c>
      <c r="Z168" s="5">
        <v>1</v>
      </c>
      <c r="AA168" s="5">
        <v>1</v>
      </c>
      <c r="AB168" s="5"/>
      <c r="AC168" s="25"/>
      <c r="AD168" s="24"/>
      <c r="AE168" s="5"/>
      <c r="AF168" s="5"/>
      <c r="AG168" s="5">
        <v>1</v>
      </c>
      <c r="AH168" s="5">
        <v>1</v>
      </c>
      <c r="AI168" s="5">
        <v>1</v>
      </c>
      <c r="AJ168" s="5">
        <v>1</v>
      </c>
      <c r="AK168" s="25"/>
      <c r="AL168" s="5">
        <v>375</v>
      </c>
      <c r="AM168" s="8"/>
      <c r="AN168" s="8">
        <v>1</v>
      </c>
      <c r="AO168" s="8"/>
      <c r="AP168" s="8">
        <f>SUM(F168:AK168)</f>
        <v>14</v>
      </c>
      <c r="AQ168">
        <v>27</v>
      </c>
      <c r="AR168" s="76">
        <f>AP168/AQ168</f>
        <v>0.51851851851851849</v>
      </c>
    </row>
    <row r="169" spans="1:44">
      <c r="A169" s="8">
        <v>376</v>
      </c>
      <c r="B169" s="8" t="s">
        <v>106</v>
      </c>
      <c r="C169" s="8" t="s">
        <v>349</v>
      </c>
      <c r="D169" s="8" t="s">
        <v>6</v>
      </c>
      <c r="E169" s="8">
        <v>376</v>
      </c>
      <c r="F169" s="24"/>
      <c r="G169" s="5"/>
      <c r="H169" s="5"/>
      <c r="I169" s="5">
        <v>1</v>
      </c>
      <c r="J169" s="5">
        <v>1</v>
      </c>
      <c r="K169" s="5">
        <v>1</v>
      </c>
      <c r="L169" s="5">
        <v>1</v>
      </c>
      <c r="M169" s="25">
        <v>1</v>
      </c>
      <c r="N169" s="24"/>
      <c r="O169" s="5"/>
      <c r="P169" s="5">
        <v>1</v>
      </c>
      <c r="Q169" s="5">
        <v>1</v>
      </c>
      <c r="R169" s="5">
        <v>1</v>
      </c>
      <c r="S169" s="5">
        <v>1</v>
      </c>
      <c r="T169" s="5"/>
      <c r="U169" s="25"/>
      <c r="V169" s="24"/>
      <c r="W169" s="5">
        <v>1</v>
      </c>
      <c r="X169" s="5">
        <v>1</v>
      </c>
      <c r="Y169" s="5">
        <v>1</v>
      </c>
      <c r="Z169" s="5">
        <v>1</v>
      </c>
      <c r="AA169" s="5">
        <v>1</v>
      </c>
      <c r="AB169" s="5">
        <v>1</v>
      </c>
      <c r="AC169" s="25">
        <v>1</v>
      </c>
      <c r="AD169" s="24">
        <v>1</v>
      </c>
      <c r="AE169" s="5">
        <v>1</v>
      </c>
      <c r="AF169" s="5"/>
      <c r="AG169" s="5">
        <v>1</v>
      </c>
      <c r="AH169" s="5"/>
      <c r="AI169" s="5">
        <v>1</v>
      </c>
      <c r="AJ169" s="5">
        <v>1</v>
      </c>
      <c r="AK169" s="25"/>
      <c r="AL169" s="5">
        <v>376</v>
      </c>
      <c r="AM169" s="8"/>
      <c r="AN169" s="8">
        <v>1</v>
      </c>
      <c r="AO169" s="8"/>
      <c r="AP169" s="8">
        <f>SUM(F169:AK169)</f>
        <v>21</v>
      </c>
      <c r="AQ169">
        <v>26</v>
      </c>
      <c r="AR169" s="76">
        <f>AP169/AQ169</f>
        <v>0.80769230769230771</v>
      </c>
    </row>
    <row r="170" spans="1:44">
      <c r="A170" s="8">
        <v>377</v>
      </c>
      <c r="B170" s="8" t="s">
        <v>62</v>
      </c>
      <c r="C170" s="8" t="s">
        <v>42</v>
      </c>
      <c r="D170" s="8" t="s">
        <v>6</v>
      </c>
      <c r="E170" s="8">
        <v>377</v>
      </c>
      <c r="F170" s="24"/>
      <c r="G170" s="5"/>
      <c r="H170" s="5"/>
      <c r="I170" s="5"/>
      <c r="J170" s="5"/>
      <c r="K170" s="5"/>
      <c r="L170" s="5"/>
      <c r="M170" s="25"/>
      <c r="N170" s="24"/>
      <c r="O170" s="5"/>
      <c r="P170" s="5"/>
      <c r="Q170" s="5"/>
      <c r="R170" s="5"/>
      <c r="S170" s="5"/>
      <c r="T170" s="5"/>
      <c r="U170" s="25"/>
      <c r="V170" s="24"/>
      <c r="W170" s="5"/>
      <c r="X170" s="5"/>
      <c r="Y170" s="5"/>
      <c r="Z170" s="5"/>
      <c r="AA170" s="5"/>
      <c r="AB170" s="5"/>
      <c r="AC170" s="25"/>
      <c r="AD170" s="24"/>
      <c r="AE170" s="5"/>
      <c r="AF170" s="5"/>
      <c r="AG170" s="5"/>
      <c r="AH170" s="5"/>
      <c r="AI170" s="5"/>
      <c r="AJ170" s="5"/>
      <c r="AK170" s="25"/>
      <c r="AL170" s="5">
        <v>377</v>
      </c>
      <c r="AM170" s="8">
        <v>1</v>
      </c>
      <c r="AN170" s="8"/>
      <c r="AO170" s="8"/>
      <c r="AP170" s="8"/>
      <c r="AQ170" s="8">
        <v>31</v>
      </c>
    </row>
    <row r="171" spans="1:44">
      <c r="A171" s="8">
        <v>380</v>
      </c>
      <c r="B171" s="8" t="s">
        <v>136</v>
      </c>
      <c r="C171" s="8" t="s">
        <v>12</v>
      </c>
      <c r="D171" s="8" t="s">
        <v>42</v>
      </c>
      <c r="E171" s="8">
        <v>380</v>
      </c>
      <c r="F171" s="24"/>
      <c r="G171" s="5"/>
      <c r="H171" s="5"/>
      <c r="I171" s="5"/>
      <c r="J171" s="5"/>
      <c r="K171" s="5"/>
      <c r="L171" s="5"/>
      <c r="M171" s="25"/>
      <c r="N171" s="24"/>
      <c r="O171" s="5"/>
      <c r="P171" s="5"/>
      <c r="Q171" s="5"/>
      <c r="R171" s="5"/>
      <c r="S171" s="5"/>
      <c r="T171" s="5"/>
      <c r="U171" s="25"/>
      <c r="V171" s="24"/>
      <c r="W171" s="5"/>
      <c r="X171" s="5"/>
      <c r="Y171" s="5"/>
      <c r="Z171" s="5"/>
      <c r="AA171" s="5"/>
      <c r="AB171" s="5"/>
      <c r="AC171" s="25"/>
      <c r="AD171" s="24"/>
      <c r="AE171" s="5"/>
      <c r="AF171" s="5"/>
      <c r="AG171" s="5"/>
      <c r="AH171" s="5"/>
      <c r="AI171" s="5"/>
      <c r="AJ171" s="5"/>
      <c r="AK171" s="25"/>
      <c r="AL171" s="5">
        <v>380</v>
      </c>
      <c r="AM171" s="8">
        <v>1</v>
      </c>
      <c r="AN171" s="8"/>
      <c r="AO171" s="8"/>
      <c r="AP171" s="8"/>
      <c r="AQ171" s="8">
        <v>30</v>
      </c>
    </row>
    <row r="172" spans="1:44">
      <c r="A172" s="8">
        <v>386</v>
      </c>
      <c r="B172" s="8" t="s">
        <v>80</v>
      </c>
      <c r="C172" s="8" t="s">
        <v>346</v>
      </c>
      <c r="D172" s="8"/>
      <c r="E172" s="8">
        <v>386</v>
      </c>
      <c r="F172" s="24"/>
      <c r="G172" s="5"/>
      <c r="H172" s="5"/>
      <c r="I172" s="5"/>
      <c r="J172" s="5"/>
      <c r="K172" s="5"/>
      <c r="L172" s="5"/>
      <c r="M172" s="25"/>
      <c r="N172" s="24"/>
      <c r="O172" s="5"/>
      <c r="P172" s="5"/>
      <c r="Q172" s="5"/>
      <c r="R172" s="5"/>
      <c r="S172" s="5"/>
      <c r="T172" s="5"/>
      <c r="U172" s="25"/>
      <c r="V172" s="24"/>
      <c r="W172" s="5"/>
      <c r="X172" s="5"/>
      <c r="Y172" s="5"/>
      <c r="Z172" s="5"/>
      <c r="AA172" s="5"/>
      <c r="AB172" s="5"/>
      <c r="AC172" s="25"/>
      <c r="AD172" s="24"/>
      <c r="AE172" s="5"/>
      <c r="AF172" s="5"/>
      <c r="AG172" s="5"/>
      <c r="AH172" s="5"/>
      <c r="AI172" s="5"/>
      <c r="AJ172" s="5"/>
      <c r="AK172" s="25"/>
      <c r="AL172" s="5">
        <v>386</v>
      </c>
      <c r="AM172" s="8">
        <v>1</v>
      </c>
      <c r="AN172" s="8"/>
      <c r="AO172" s="8"/>
      <c r="AP172" s="8"/>
      <c r="AQ172" s="8">
        <v>20</v>
      </c>
    </row>
    <row r="173" spans="1:44">
      <c r="A173" s="8">
        <v>392</v>
      </c>
      <c r="B173" s="8" t="s">
        <v>80</v>
      </c>
      <c r="C173" s="8" t="s">
        <v>346</v>
      </c>
      <c r="D173" s="8"/>
      <c r="E173" s="8">
        <v>392</v>
      </c>
      <c r="F173" s="24"/>
      <c r="G173" s="5"/>
      <c r="H173" s="5"/>
      <c r="I173" s="5"/>
      <c r="J173" s="5"/>
      <c r="K173" s="5"/>
      <c r="L173" s="5"/>
      <c r="M173" s="25"/>
      <c r="N173" s="24"/>
      <c r="O173" s="5"/>
      <c r="P173" s="5"/>
      <c r="Q173" s="5"/>
      <c r="R173" s="5"/>
      <c r="S173" s="5"/>
      <c r="T173" s="5"/>
      <c r="U173" s="25"/>
      <c r="V173" s="24"/>
      <c r="W173" s="5"/>
      <c r="X173" s="5"/>
      <c r="Y173" s="5"/>
      <c r="Z173" s="5"/>
      <c r="AA173" s="5"/>
      <c r="AB173" s="5"/>
      <c r="AC173" s="25"/>
      <c r="AD173" s="24"/>
      <c r="AE173" s="5"/>
      <c r="AF173" s="5"/>
      <c r="AG173" s="5"/>
      <c r="AH173" s="5"/>
      <c r="AI173" s="5"/>
      <c r="AJ173" s="5"/>
      <c r="AK173" s="25"/>
      <c r="AL173" s="5">
        <v>392</v>
      </c>
      <c r="AM173" s="8">
        <v>1</v>
      </c>
      <c r="AN173" s="8"/>
      <c r="AO173" s="8"/>
      <c r="AP173" s="8"/>
      <c r="AQ173" s="8">
        <v>20</v>
      </c>
    </row>
    <row r="174" spans="1:44">
      <c r="A174" s="8">
        <v>401</v>
      </c>
      <c r="B174" s="8" t="s">
        <v>123</v>
      </c>
      <c r="C174" s="8" t="s">
        <v>366</v>
      </c>
      <c r="D174" s="8" t="s">
        <v>42</v>
      </c>
      <c r="E174" s="8">
        <v>401</v>
      </c>
      <c r="F174" s="24"/>
      <c r="G174" s="5"/>
      <c r="H174" s="5"/>
      <c r="I174" s="5"/>
      <c r="J174" s="5"/>
      <c r="K174" s="5"/>
      <c r="L174" s="5"/>
      <c r="M174" s="25"/>
      <c r="N174" s="24"/>
      <c r="O174" s="5"/>
      <c r="P174" s="5"/>
      <c r="Q174" s="5">
        <v>1</v>
      </c>
      <c r="R174" s="5"/>
      <c r="S174" s="5"/>
      <c r="T174" s="5"/>
      <c r="U174" s="25"/>
      <c r="V174" s="24">
        <v>1</v>
      </c>
      <c r="W174" s="5">
        <v>1</v>
      </c>
      <c r="X174" s="5">
        <v>1</v>
      </c>
      <c r="Y174" s="5"/>
      <c r="Z174" s="5"/>
      <c r="AA174" s="5"/>
      <c r="AB174" s="5"/>
      <c r="AC174" s="25"/>
      <c r="AD174" s="24"/>
      <c r="AE174" s="5"/>
      <c r="AF174" s="5"/>
      <c r="AG174" s="5"/>
      <c r="AH174" s="5">
        <v>1</v>
      </c>
      <c r="AI174" s="5">
        <v>1</v>
      </c>
      <c r="AJ174" s="5">
        <v>1</v>
      </c>
      <c r="AK174" s="25"/>
      <c r="AL174" s="5">
        <v>401</v>
      </c>
      <c r="AM174" s="8"/>
      <c r="AN174" s="8">
        <v>1</v>
      </c>
      <c r="AO174" s="8"/>
      <c r="AP174" s="8">
        <f>SUM(F174:AK174)</f>
        <v>7</v>
      </c>
      <c r="AQ174">
        <v>30</v>
      </c>
      <c r="AR174" s="76">
        <f>AP174/AQ174</f>
        <v>0.23333333333333334</v>
      </c>
    </row>
    <row r="175" spans="1:44">
      <c r="A175" s="8">
        <v>402</v>
      </c>
      <c r="B175" s="8" t="s">
        <v>88</v>
      </c>
      <c r="C175" s="8" t="s">
        <v>12</v>
      </c>
      <c r="D175" s="8" t="s">
        <v>6</v>
      </c>
      <c r="E175" s="8">
        <v>402</v>
      </c>
      <c r="F175" s="24"/>
      <c r="G175" s="5"/>
      <c r="H175" s="5"/>
      <c r="I175" s="5"/>
      <c r="J175" s="5"/>
      <c r="K175" s="5"/>
      <c r="L175" s="5"/>
      <c r="M175" s="25"/>
      <c r="N175" s="24"/>
      <c r="O175" s="5"/>
      <c r="P175" s="5"/>
      <c r="Q175" s="5"/>
      <c r="R175" s="5"/>
      <c r="S175" s="5"/>
      <c r="T175" s="5"/>
      <c r="U175" s="25"/>
      <c r="V175" s="24"/>
      <c r="W175" s="5"/>
      <c r="X175" s="5"/>
      <c r="Y175" s="5"/>
      <c r="Z175" s="5"/>
      <c r="AA175" s="5"/>
      <c r="AB175" s="5"/>
      <c r="AC175" s="25"/>
      <c r="AD175" s="24"/>
      <c r="AE175" s="5"/>
      <c r="AF175" s="5"/>
      <c r="AG175" s="5"/>
      <c r="AH175" s="5"/>
      <c r="AI175" s="5"/>
      <c r="AJ175" s="5"/>
      <c r="AK175" s="25"/>
      <c r="AL175" s="5">
        <v>402</v>
      </c>
      <c r="AM175" s="8">
        <v>1</v>
      </c>
      <c r="AN175" s="8"/>
      <c r="AO175" s="8"/>
      <c r="AP175" s="8"/>
      <c r="AQ175" s="8">
        <v>32</v>
      </c>
    </row>
    <row r="176" spans="1:44">
      <c r="A176" s="8">
        <v>412</v>
      </c>
      <c r="B176" s="8" t="s">
        <v>41</v>
      </c>
      <c r="C176" s="8" t="s">
        <v>42</v>
      </c>
      <c r="D176" s="8" t="s">
        <v>42</v>
      </c>
      <c r="E176" s="8">
        <v>412</v>
      </c>
      <c r="F176" s="24"/>
      <c r="G176" s="5"/>
      <c r="H176" s="5"/>
      <c r="I176" s="5"/>
      <c r="J176" s="5"/>
      <c r="K176" s="5"/>
      <c r="L176" s="5"/>
      <c r="M176" s="25"/>
      <c r="N176" s="24"/>
      <c r="O176" s="5"/>
      <c r="P176" s="5"/>
      <c r="Q176" s="5"/>
      <c r="R176" s="5"/>
      <c r="S176" s="5"/>
      <c r="T176" s="5"/>
      <c r="U176" s="25"/>
      <c r="V176" s="24"/>
      <c r="W176" s="5"/>
      <c r="X176" s="5"/>
      <c r="Y176" s="5"/>
      <c r="Z176" s="5"/>
      <c r="AA176" s="5"/>
      <c r="AB176" s="5"/>
      <c r="AC176" s="25"/>
      <c r="AD176" s="24"/>
      <c r="AE176" s="5"/>
      <c r="AF176" s="5"/>
      <c r="AG176" s="5"/>
      <c r="AH176" s="5"/>
      <c r="AI176" s="5"/>
      <c r="AJ176" s="5">
        <v>1</v>
      </c>
      <c r="AK176" s="25"/>
      <c r="AL176" s="5">
        <v>412</v>
      </c>
      <c r="AM176" s="8"/>
      <c r="AN176" s="8">
        <v>1</v>
      </c>
      <c r="AO176" s="8"/>
      <c r="AP176" s="8">
        <f>SUM(F176:AK176)</f>
        <v>1</v>
      </c>
      <c r="AQ176">
        <v>32</v>
      </c>
      <c r="AR176" s="76">
        <f>AP176/AQ176</f>
        <v>3.125E-2</v>
      </c>
    </row>
    <row r="177" spans="1:44">
      <c r="A177" s="8">
        <v>414</v>
      </c>
      <c r="B177" s="8" t="s">
        <v>62</v>
      </c>
      <c r="C177" s="8" t="s">
        <v>42</v>
      </c>
      <c r="D177" s="8" t="s">
        <v>42</v>
      </c>
      <c r="E177" s="8">
        <v>414</v>
      </c>
      <c r="F177" s="24"/>
      <c r="G177" s="5"/>
      <c r="H177" s="5"/>
      <c r="I177" s="5"/>
      <c r="J177" s="5"/>
      <c r="K177" s="5"/>
      <c r="L177" s="5"/>
      <c r="M177" s="25"/>
      <c r="N177" s="24"/>
      <c r="O177" s="5"/>
      <c r="P177" s="5"/>
      <c r="Q177" s="5"/>
      <c r="R177" s="5"/>
      <c r="S177" s="5"/>
      <c r="T177" s="5"/>
      <c r="U177" s="25"/>
      <c r="V177" s="24"/>
      <c r="W177" s="5"/>
      <c r="X177" s="5"/>
      <c r="Y177" s="5"/>
      <c r="Z177" s="5"/>
      <c r="AA177" s="5"/>
      <c r="AB177" s="5"/>
      <c r="AC177" s="25"/>
      <c r="AD177" s="24"/>
      <c r="AE177" s="5"/>
      <c r="AF177" s="5"/>
      <c r="AG177" s="5"/>
      <c r="AH177" s="5"/>
      <c r="AI177" s="5"/>
      <c r="AJ177" s="5"/>
      <c r="AK177" s="25"/>
      <c r="AL177" s="5">
        <v>414</v>
      </c>
      <c r="AM177" s="8">
        <v>1</v>
      </c>
      <c r="AN177" s="8"/>
      <c r="AO177" s="8"/>
      <c r="AP177" s="8"/>
      <c r="AQ177" s="8">
        <v>32</v>
      </c>
    </row>
    <row r="178" spans="1:44">
      <c r="A178" s="8">
        <v>417</v>
      </c>
      <c r="B178" s="8" t="s">
        <v>78</v>
      </c>
      <c r="C178" s="8" t="s">
        <v>359</v>
      </c>
      <c r="D178" s="8"/>
      <c r="E178" s="8">
        <v>417</v>
      </c>
      <c r="F178" s="24"/>
      <c r="G178" s="5"/>
      <c r="H178" s="5"/>
      <c r="I178" s="5"/>
      <c r="J178" s="5"/>
      <c r="K178" s="5"/>
      <c r="L178" s="5"/>
      <c r="M178" s="25"/>
      <c r="N178" s="24"/>
      <c r="O178" s="5"/>
      <c r="P178" s="5"/>
      <c r="Q178" s="5"/>
      <c r="R178" s="5"/>
      <c r="S178" s="5"/>
      <c r="T178" s="5"/>
      <c r="U178" s="25"/>
      <c r="V178" s="24"/>
      <c r="W178" s="5"/>
      <c r="X178" s="5"/>
      <c r="Y178" s="5"/>
      <c r="Z178" s="5"/>
      <c r="AA178" s="5"/>
      <c r="AB178" s="5"/>
      <c r="AC178" s="25"/>
      <c r="AD178" s="24"/>
      <c r="AE178" s="5"/>
      <c r="AF178" s="5"/>
      <c r="AG178" s="5"/>
      <c r="AH178" s="5"/>
      <c r="AI178" s="5"/>
      <c r="AJ178" s="5"/>
      <c r="AK178" s="25"/>
      <c r="AL178" s="5">
        <v>417</v>
      </c>
      <c r="AM178" s="8">
        <v>1</v>
      </c>
      <c r="AN178" s="8"/>
      <c r="AO178" s="8"/>
      <c r="AP178" s="8"/>
      <c r="AQ178" s="8">
        <v>24</v>
      </c>
    </row>
    <row r="179" spans="1:44">
      <c r="A179" s="8">
        <v>418</v>
      </c>
      <c r="B179" s="8" t="s">
        <v>80</v>
      </c>
      <c r="C179" s="8" t="s">
        <v>346</v>
      </c>
      <c r="D179" s="8"/>
      <c r="E179" s="8">
        <v>418</v>
      </c>
      <c r="F179" s="24"/>
      <c r="G179" s="5"/>
      <c r="H179" s="5"/>
      <c r="I179" s="5"/>
      <c r="J179" s="5"/>
      <c r="K179" s="5"/>
      <c r="L179" s="5"/>
      <c r="M179" s="25"/>
      <c r="N179" s="24"/>
      <c r="O179" s="5"/>
      <c r="P179" s="5"/>
      <c r="Q179" s="5"/>
      <c r="R179" s="5"/>
      <c r="S179" s="5"/>
      <c r="T179" s="5"/>
      <c r="U179" s="25"/>
      <c r="V179" s="24"/>
      <c r="W179" s="5"/>
      <c r="X179" s="5"/>
      <c r="Y179" s="5"/>
      <c r="Z179" s="5"/>
      <c r="AA179" s="5"/>
      <c r="AB179" s="5"/>
      <c r="AC179" s="25"/>
      <c r="AD179" s="24"/>
      <c r="AE179" s="5"/>
      <c r="AF179" s="5"/>
      <c r="AG179" s="5"/>
      <c r="AH179" s="5"/>
      <c r="AI179" s="5"/>
      <c r="AJ179" s="5"/>
      <c r="AK179" s="25"/>
      <c r="AL179" s="5">
        <v>418</v>
      </c>
      <c r="AM179" s="8">
        <v>1</v>
      </c>
      <c r="AN179" s="8"/>
      <c r="AO179" s="8"/>
      <c r="AP179" s="8"/>
      <c r="AQ179" s="8">
        <v>20</v>
      </c>
    </row>
    <row r="180" spans="1:44">
      <c r="A180" s="8">
        <v>419</v>
      </c>
      <c r="B180" s="8" t="s">
        <v>123</v>
      </c>
      <c r="C180" s="8" t="s">
        <v>366</v>
      </c>
      <c r="D180" s="8" t="s">
        <v>6</v>
      </c>
      <c r="E180" s="8">
        <v>419</v>
      </c>
      <c r="F180" s="24"/>
      <c r="G180" s="5"/>
      <c r="H180" s="5"/>
      <c r="I180" s="5"/>
      <c r="J180" s="5"/>
      <c r="K180" s="5"/>
      <c r="L180" s="5"/>
      <c r="M180" s="25"/>
      <c r="N180" s="24"/>
      <c r="O180" s="5"/>
      <c r="P180" s="5"/>
      <c r="Q180" s="5"/>
      <c r="R180" s="5"/>
      <c r="S180" s="5"/>
      <c r="T180" s="5"/>
      <c r="U180" s="25"/>
      <c r="V180" s="24"/>
      <c r="W180" s="5">
        <v>1</v>
      </c>
      <c r="X180" s="5"/>
      <c r="Y180" s="5"/>
      <c r="Z180" s="5"/>
      <c r="AA180" s="5"/>
      <c r="AB180" s="5"/>
      <c r="AC180" s="25"/>
      <c r="AD180" s="24"/>
      <c r="AE180" s="5"/>
      <c r="AF180" s="5"/>
      <c r="AG180" s="5"/>
      <c r="AH180" s="5"/>
      <c r="AI180" s="5"/>
      <c r="AJ180" s="5">
        <v>1</v>
      </c>
      <c r="AK180" s="25"/>
      <c r="AL180" s="5">
        <v>419</v>
      </c>
      <c r="AM180" s="8"/>
      <c r="AN180" s="8">
        <v>1</v>
      </c>
      <c r="AO180" s="8"/>
      <c r="AP180" s="8">
        <f>SUM(F180:AK180)</f>
        <v>2</v>
      </c>
      <c r="AQ180">
        <v>29</v>
      </c>
      <c r="AR180" s="76">
        <f>AP180/AQ180</f>
        <v>6.8965517241379309E-2</v>
      </c>
    </row>
    <row r="181" spans="1:44">
      <c r="A181" s="8">
        <v>421</v>
      </c>
      <c r="B181" s="8" t="s">
        <v>41</v>
      </c>
      <c r="C181" s="8" t="s">
        <v>42</v>
      </c>
      <c r="D181" s="8" t="s">
        <v>6</v>
      </c>
      <c r="E181" s="8">
        <v>421</v>
      </c>
      <c r="F181" s="24"/>
      <c r="G181" s="5"/>
      <c r="H181" s="5"/>
      <c r="I181" s="5"/>
      <c r="J181" s="5"/>
      <c r="K181" s="5"/>
      <c r="L181" s="5"/>
      <c r="M181" s="25"/>
      <c r="N181" s="24"/>
      <c r="O181" s="5"/>
      <c r="P181" s="5"/>
      <c r="Q181" s="5"/>
      <c r="R181" s="5"/>
      <c r="S181" s="5"/>
      <c r="T181" s="5"/>
      <c r="U181" s="25"/>
      <c r="V181" s="24"/>
      <c r="W181" s="5"/>
      <c r="X181" s="5"/>
      <c r="Y181" s="5"/>
      <c r="Z181" s="5"/>
      <c r="AA181" s="5"/>
      <c r="AB181" s="5"/>
      <c r="AC181" s="25"/>
      <c r="AD181" s="24"/>
      <c r="AE181" s="5"/>
      <c r="AF181" s="5"/>
      <c r="AG181" s="5"/>
      <c r="AH181" s="5"/>
      <c r="AI181" s="5"/>
      <c r="AJ181" s="5"/>
      <c r="AK181" s="25"/>
      <c r="AL181" s="5">
        <v>421</v>
      </c>
      <c r="AM181" s="8">
        <v>1</v>
      </c>
      <c r="AN181" s="8"/>
      <c r="AO181" s="8"/>
      <c r="AP181" s="8"/>
      <c r="AQ181" s="8">
        <v>32</v>
      </c>
    </row>
    <row r="182" spans="1:44">
      <c r="A182" s="8">
        <v>424</v>
      </c>
      <c r="B182" s="8" t="s">
        <v>63</v>
      </c>
      <c r="C182" s="8" t="s">
        <v>346</v>
      </c>
      <c r="D182" s="8"/>
      <c r="E182" s="8">
        <v>424</v>
      </c>
      <c r="F182" s="24"/>
      <c r="G182" s="5"/>
      <c r="H182" s="5"/>
      <c r="I182" s="5"/>
      <c r="J182" s="5"/>
      <c r="K182" s="5"/>
      <c r="L182" s="5"/>
      <c r="M182" s="25"/>
      <c r="N182" s="24"/>
      <c r="O182" s="5"/>
      <c r="P182" s="5"/>
      <c r="Q182" s="5"/>
      <c r="R182" s="5"/>
      <c r="S182" s="5"/>
      <c r="T182" s="5"/>
      <c r="U182" s="25"/>
      <c r="V182" s="24"/>
      <c r="W182" s="5"/>
      <c r="X182" s="5"/>
      <c r="Y182" s="5"/>
      <c r="Z182" s="5"/>
      <c r="AA182" s="5"/>
      <c r="AB182" s="5"/>
      <c r="AC182" s="25"/>
      <c r="AD182" s="24"/>
      <c r="AE182" s="5"/>
      <c r="AF182" s="5"/>
      <c r="AG182" s="5"/>
      <c r="AH182" s="5"/>
      <c r="AI182" s="5"/>
      <c r="AJ182" s="5"/>
      <c r="AK182" s="25"/>
      <c r="AL182" s="5">
        <v>424</v>
      </c>
      <c r="AM182" s="8">
        <v>1</v>
      </c>
      <c r="AN182" s="8"/>
      <c r="AO182" s="8"/>
      <c r="AP182" s="8"/>
      <c r="AQ182" s="8">
        <v>11</v>
      </c>
    </row>
    <row r="183" spans="1:44">
      <c r="A183" s="8">
        <v>425</v>
      </c>
      <c r="B183" s="8" t="s">
        <v>63</v>
      </c>
      <c r="C183" s="8" t="s">
        <v>346</v>
      </c>
      <c r="D183" s="8"/>
      <c r="E183" s="8">
        <v>425</v>
      </c>
      <c r="F183" s="24"/>
      <c r="G183" s="5"/>
      <c r="H183" s="5"/>
      <c r="I183" s="5"/>
      <c r="J183" s="5"/>
      <c r="K183" s="5"/>
      <c r="L183" s="5"/>
      <c r="M183" s="25"/>
      <c r="N183" s="24"/>
      <c r="O183" s="5"/>
      <c r="P183" s="5"/>
      <c r="Q183" s="5"/>
      <c r="R183" s="5"/>
      <c r="S183" s="5"/>
      <c r="T183" s="5"/>
      <c r="U183" s="25"/>
      <c r="V183" s="24"/>
      <c r="W183" s="5"/>
      <c r="X183" s="5"/>
      <c r="Y183" s="5"/>
      <c r="Z183" s="5"/>
      <c r="AA183" s="5"/>
      <c r="AB183" s="5"/>
      <c r="AC183" s="25"/>
      <c r="AD183" s="24"/>
      <c r="AE183" s="5"/>
      <c r="AF183" s="5"/>
      <c r="AG183" s="5"/>
      <c r="AH183" s="5"/>
      <c r="AI183" s="5"/>
      <c r="AJ183" s="5"/>
      <c r="AK183" s="25"/>
      <c r="AL183" s="5">
        <v>425</v>
      </c>
      <c r="AM183" s="8">
        <v>1</v>
      </c>
      <c r="AN183" s="8"/>
      <c r="AO183" s="8"/>
      <c r="AP183" s="8"/>
      <c r="AQ183" s="8">
        <v>12</v>
      </c>
    </row>
    <row r="184" spans="1:44">
      <c r="A184" s="8">
        <v>426</v>
      </c>
      <c r="B184" s="8" t="s">
        <v>44</v>
      </c>
      <c r="C184" s="8" t="s">
        <v>349</v>
      </c>
      <c r="D184" s="8" t="s">
        <v>6</v>
      </c>
      <c r="E184" s="8">
        <v>426</v>
      </c>
      <c r="F184" s="24"/>
      <c r="G184" s="5"/>
      <c r="H184" s="5"/>
      <c r="I184" s="5">
        <v>1</v>
      </c>
      <c r="J184" s="5"/>
      <c r="K184" s="5"/>
      <c r="L184" s="5">
        <v>1</v>
      </c>
      <c r="M184" s="25"/>
      <c r="N184" s="24"/>
      <c r="O184" s="5"/>
      <c r="P184" s="5"/>
      <c r="Q184" s="5"/>
      <c r="R184" s="5"/>
      <c r="S184" s="5">
        <v>1</v>
      </c>
      <c r="T184" s="5">
        <v>1</v>
      </c>
      <c r="U184" s="25"/>
      <c r="V184" s="24"/>
      <c r="W184" s="5">
        <v>1</v>
      </c>
      <c r="X184" s="5">
        <v>1</v>
      </c>
      <c r="Y184" s="5"/>
      <c r="Z184" s="5"/>
      <c r="AA184" s="5"/>
      <c r="AB184" s="5">
        <v>1</v>
      </c>
      <c r="AC184" s="25">
        <v>1</v>
      </c>
      <c r="AD184" s="24">
        <v>1</v>
      </c>
      <c r="AE184" s="5">
        <v>1</v>
      </c>
      <c r="AF184" s="5">
        <v>1</v>
      </c>
      <c r="AG184" s="5">
        <v>1</v>
      </c>
      <c r="AH184" s="5"/>
      <c r="AI184" s="5">
        <v>1</v>
      </c>
      <c r="AJ184" s="5"/>
      <c r="AK184" s="25"/>
      <c r="AL184" s="5">
        <v>426</v>
      </c>
      <c r="AM184" s="8"/>
      <c r="AN184" s="8">
        <v>1</v>
      </c>
      <c r="AO184" s="8"/>
      <c r="AP184" s="8">
        <f>SUM(F184:AK184)</f>
        <v>13</v>
      </c>
      <c r="AQ184">
        <v>28</v>
      </c>
      <c r="AR184" s="76">
        <f>AP184/AQ184</f>
        <v>0.4642857142857143</v>
      </c>
    </row>
    <row r="185" spans="1:44">
      <c r="A185" s="8">
        <v>429</v>
      </c>
      <c r="B185" s="8" t="s">
        <v>73</v>
      </c>
      <c r="C185" s="8" t="s">
        <v>165</v>
      </c>
      <c r="D185" s="8" t="s">
        <v>6</v>
      </c>
      <c r="E185" s="8">
        <v>429</v>
      </c>
      <c r="F185" s="24"/>
      <c r="G185" s="5"/>
      <c r="H185" s="5"/>
      <c r="I185" s="5"/>
      <c r="J185" s="5"/>
      <c r="K185" s="5"/>
      <c r="L185" s="5"/>
      <c r="M185" s="25"/>
      <c r="N185" s="24"/>
      <c r="O185" s="5"/>
      <c r="P185" s="5"/>
      <c r="Q185" s="5"/>
      <c r="R185" s="5"/>
      <c r="S185" s="5"/>
      <c r="T185" s="5"/>
      <c r="U185" s="25"/>
      <c r="V185" s="24"/>
      <c r="W185" s="5"/>
      <c r="X185" s="5"/>
      <c r="Y185" s="5"/>
      <c r="Z185" s="5"/>
      <c r="AA185" s="5"/>
      <c r="AB185" s="5"/>
      <c r="AC185" s="25"/>
      <c r="AD185" s="24"/>
      <c r="AE185" s="5"/>
      <c r="AF185" s="5"/>
      <c r="AG185" s="5"/>
      <c r="AH185" s="5"/>
      <c r="AI185" s="5"/>
      <c r="AJ185" s="5"/>
      <c r="AK185" s="25"/>
      <c r="AL185" s="5">
        <v>429</v>
      </c>
      <c r="AM185" s="8">
        <v>1</v>
      </c>
      <c r="AN185" s="8"/>
      <c r="AO185" s="8"/>
      <c r="AP185" s="8"/>
      <c r="AQ185" s="8">
        <v>32</v>
      </c>
    </row>
    <row r="186" spans="1:44">
      <c r="A186" s="8">
        <v>434</v>
      </c>
      <c r="B186" s="8" t="s">
        <v>56</v>
      </c>
      <c r="C186" s="8" t="s">
        <v>360</v>
      </c>
      <c r="D186" s="8"/>
      <c r="E186" s="8">
        <v>434</v>
      </c>
      <c r="F186" s="24"/>
      <c r="G186" s="5"/>
      <c r="H186" s="5"/>
      <c r="I186" s="5"/>
      <c r="J186" s="5"/>
      <c r="K186" s="5"/>
      <c r="L186" s="5"/>
      <c r="M186" s="25"/>
      <c r="N186" s="24"/>
      <c r="O186" s="5"/>
      <c r="P186" s="5"/>
      <c r="Q186" s="5"/>
      <c r="R186" s="5"/>
      <c r="S186" s="5"/>
      <c r="T186" s="5"/>
      <c r="U186" s="25"/>
      <c r="V186" s="24"/>
      <c r="W186" s="5"/>
      <c r="X186" s="5"/>
      <c r="Y186" s="5"/>
      <c r="Z186" s="5"/>
      <c r="AA186" s="5"/>
      <c r="AB186" s="5"/>
      <c r="AC186" s="25"/>
      <c r="AD186" s="24"/>
      <c r="AE186" s="5"/>
      <c r="AF186" s="5"/>
      <c r="AG186" s="5"/>
      <c r="AH186" s="5"/>
      <c r="AI186" s="5"/>
      <c r="AJ186" s="5"/>
      <c r="AK186" s="25"/>
      <c r="AL186" s="5">
        <v>434</v>
      </c>
      <c r="AM186" s="8">
        <v>1</v>
      </c>
      <c r="AN186" s="8"/>
      <c r="AO186" s="8"/>
      <c r="AP186" s="8"/>
      <c r="AQ186" s="8">
        <v>4</v>
      </c>
    </row>
    <row r="187" spans="1:44">
      <c r="A187" s="8">
        <v>435</v>
      </c>
      <c r="B187" s="8" t="s">
        <v>201</v>
      </c>
      <c r="C187" s="8" t="s">
        <v>357</v>
      </c>
      <c r="D187" s="8" t="s">
        <v>15</v>
      </c>
      <c r="E187" s="8">
        <v>435</v>
      </c>
      <c r="F187" s="24"/>
      <c r="G187" s="5"/>
      <c r="H187" s="5"/>
      <c r="I187" s="5"/>
      <c r="J187" s="5"/>
      <c r="K187" s="5"/>
      <c r="L187" s="5"/>
      <c r="M187" s="25"/>
      <c r="N187" s="24"/>
      <c r="O187" s="5"/>
      <c r="P187" s="5"/>
      <c r="Q187" s="5"/>
      <c r="R187" s="5"/>
      <c r="S187" s="5"/>
      <c r="T187" s="5"/>
      <c r="U187" s="25"/>
      <c r="V187" s="24"/>
      <c r="W187" s="5"/>
      <c r="X187" s="5"/>
      <c r="Y187" s="5"/>
      <c r="Z187" s="5"/>
      <c r="AA187" s="5"/>
      <c r="AB187" s="5"/>
      <c r="AC187" s="25"/>
      <c r="AD187" s="24"/>
      <c r="AE187" s="5"/>
      <c r="AF187" s="5"/>
      <c r="AG187" s="5"/>
      <c r="AH187" s="5"/>
      <c r="AI187" s="5"/>
      <c r="AJ187" s="5"/>
      <c r="AK187" s="25"/>
      <c r="AL187" s="5">
        <v>435</v>
      </c>
      <c r="AM187" s="8">
        <v>1</v>
      </c>
      <c r="AN187" s="8"/>
      <c r="AO187" s="8"/>
      <c r="AP187" s="8"/>
      <c r="AQ187" s="8">
        <v>28</v>
      </c>
    </row>
    <row r="188" spans="1:44">
      <c r="A188" s="8">
        <v>436</v>
      </c>
      <c r="B188" s="8" t="s">
        <v>44</v>
      </c>
      <c r="C188" s="8" t="s">
        <v>349</v>
      </c>
      <c r="D188" s="8" t="s">
        <v>6</v>
      </c>
      <c r="E188" s="8">
        <v>436</v>
      </c>
      <c r="F188" s="24"/>
      <c r="G188" s="5"/>
      <c r="H188" s="5"/>
      <c r="I188" s="5"/>
      <c r="J188" s="5"/>
      <c r="K188" s="5"/>
      <c r="L188" s="5"/>
      <c r="M188" s="25"/>
      <c r="N188" s="24"/>
      <c r="O188" s="5"/>
      <c r="P188" s="5"/>
      <c r="Q188" s="5"/>
      <c r="R188" s="5"/>
      <c r="S188" s="5"/>
      <c r="T188" s="5"/>
      <c r="U188" s="25"/>
      <c r="V188" s="24"/>
      <c r="W188" s="5">
        <v>1</v>
      </c>
      <c r="X188" s="5">
        <v>1</v>
      </c>
      <c r="Y188" s="5"/>
      <c r="Z188" s="5"/>
      <c r="AA188" s="5"/>
      <c r="AB188" s="5"/>
      <c r="AC188" s="25"/>
      <c r="AD188" s="24"/>
      <c r="AE188" s="5"/>
      <c r="AF188" s="5"/>
      <c r="AG188" s="5"/>
      <c r="AH188" s="5"/>
      <c r="AI188" s="5">
        <v>1</v>
      </c>
      <c r="AJ188" s="5"/>
      <c r="AK188" s="25"/>
      <c r="AL188" s="5">
        <v>436</v>
      </c>
      <c r="AM188" s="8"/>
      <c r="AN188" s="8">
        <v>1</v>
      </c>
      <c r="AO188" s="8"/>
      <c r="AP188" s="8">
        <f>SUM(F188:AK188)</f>
        <v>3</v>
      </c>
      <c r="AQ188">
        <v>24</v>
      </c>
      <c r="AR188" s="76">
        <f>AP188/AQ188</f>
        <v>0.125</v>
      </c>
    </row>
    <row r="189" spans="1:44">
      <c r="A189" s="8">
        <v>437</v>
      </c>
      <c r="B189" s="8" t="s">
        <v>68</v>
      </c>
      <c r="C189" s="8" t="s">
        <v>357</v>
      </c>
      <c r="D189" s="8"/>
      <c r="E189" s="8">
        <v>437</v>
      </c>
      <c r="F189" s="24"/>
      <c r="G189" s="5"/>
      <c r="H189" s="5"/>
      <c r="I189" s="5"/>
      <c r="J189" s="5"/>
      <c r="K189" s="5"/>
      <c r="L189" s="5"/>
      <c r="M189" s="25"/>
      <c r="N189" s="24"/>
      <c r="O189" s="5"/>
      <c r="P189" s="5"/>
      <c r="Q189" s="5"/>
      <c r="R189" s="5"/>
      <c r="S189" s="5"/>
      <c r="T189" s="5"/>
      <c r="U189" s="25"/>
      <c r="V189" s="24"/>
      <c r="W189" s="5"/>
      <c r="X189" s="5"/>
      <c r="Y189" s="5"/>
      <c r="Z189" s="5"/>
      <c r="AA189" s="5"/>
      <c r="AB189" s="5"/>
      <c r="AC189" s="25"/>
      <c r="AD189" s="24"/>
      <c r="AE189" s="5"/>
      <c r="AF189" s="5"/>
      <c r="AG189" s="5"/>
      <c r="AH189" s="5"/>
      <c r="AI189" s="5"/>
      <c r="AJ189" s="5"/>
      <c r="AK189" s="25"/>
      <c r="AL189" s="5">
        <v>437</v>
      </c>
      <c r="AM189" s="8">
        <v>1</v>
      </c>
      <c r="AN189" s="8"/>
      <c r="AO189" s="8"/>
      <c r="AP189" s="8"/>
      <c r="AQ189" s="8">
        <v>24</v>
      </c>
    </row>
    <row r="190" spans="1:44">
      <c r="A190" s="8">
        <v>440</v>
      </c>
      <c r="B190" s="8" t="s">
        <v>5</v>
      </c>
      <c r="C190" s="8" t="s">
        <v>42</v>
      </c>
      <c r="D190" s="8" t="s">
        <v>42</v>
      </c>
      <c r="E190" s="8">
        <v>440</v>
      </c>
      <c r="F190" s="24"/>
      <c r="G190" s="5"/>
      <c r="H190" s="5"/>
      <c r="I190" s="5"/>
      <c r="J190" s="5"/>
      <c r="K190" s="5"/>
      <c r="L190" s="5"/>
      <c r="M190" s="25"/>
      <c r="N190" s="24"/>
      <c r="O190" s="5"/>
      <c r="P190" s="5"/>
      <c r="Q190" s="5"/>
      <c r="R190" s="5"/>
      <c r="S190" s="5"/>
      <c r="T190" s="5"/>
      <c r="U190" s="25"/>
      <c r="V190" s="24"/>
      <c r="W190" s="5"/>
      <c r="X190" s="5"/>
      <c r="Y190" s="5"/>
      <c r="Z190" s="5"/>
      <c r="AA190" s="5"/>
      <c r="AB190" s="5"/>
      <c r="AC190" s="25"/>
      <c r="AD190" s="24"/>
      <c r="AE190" s="5"/>
      <c r="AF190" s="5"/>
      <c r="AG190" s="5"/>
      <c r="AH190" s="5"/>
      <c r="AI190" s="5"/>
      <c r="AJ190" s="5"/>
      <c r="AK190" s="25"/>
      <c r="AL190" s="5">
        <v>440</v>
      </c>
      <c r="AM190" s="8">
        <v>1</v>
      </c>
      <c r="AN190" s="8"/>
      <c r="AO190" s="8"/>
      <c r="AP190" s="8"/>
      <c r="AQ190" s="8">
        <v>28</v>
      </c>
    </row>
    <row r="191" spans="1:44">
      <c r="A191" s="8" t="s">
        <v>271</v>
      </c>
      <c r="B191" s="8" t="s">
        <v>55</v>
      </c>
      <c r="C191" s="8" t="s">
        <v>346</v>
      </c>
      <c r="D191" s="8"/>
      <c r="E191" s="8" t="s">
        <v>271</v>
      </c>
      <c r="F191" s="24"/>
      <c r="G191" s="5"/>
      <c r="H191" s="5"/>
      <c r="I191" s="5"/>
      <c r="J191" s="5"/>
      <c r="K191" s="5"/>
      <c r="L191" s="5"/>
      <c r="M191" s="25"/>
      <c r="N191" s="24"/>
      <c r="O191" s="5"/>
      <c r="P191" s="5"/>
      <c r="Q191" s="5"/>
      <c r="R191" s="5"/>
      <c r="S191" s="5"/>
      <c r="T191" s="5"/>
      <c r="U191" s="25"/>
      <c r="V191" s="24"/>
      <c r="W191" s="5"/>
      <c r="X191" s="5"/>
      <c r="Y191" s="5"/>
      <c r="Z191" s="5"/>
      <c r="AA191" s="5"/>
      <c r="AB191" s="5"/>
      <c r="AC191" s="25"/>
      <c r="AD191" s="24"/>
      <c r="AE191" s="5"/>
      <c r="AF191" s="5"/>
      <c r="AG191" s="5"/>
      <c r="AH191" s="5"/>
      <c r="AI191" s="5"/>
      <c r="AJ191" s="5"/>
      <c r="AK191" s="25"/>
      <c r="AL191" s="5" t="s">
        <v>271</v>
      </c>
      <c r="AM191" s="8">
        <v>1</v>
      </c>
      <c r="AN191" s="8"/>
      <c r="AO191" s="8"/>
      <c r="AP191" s="8"/>
      <c r="AQ191" s="8">
        <v>20</v>
      </c>
    </row>
    <row r="192" spans="1:44">
      <c r="A192" s="8">
        <v>444</v>
      </c>
      <c r="B192" s="8" t="s">
        <v>44</v>
      </c>
      <c r="C192" s="8" t="s">
        <v>349</v>
      </c>
      <c r="D192" s="8" t="s">
        <v>6</v>
      </c>
      <c r="E192" s="8">
        <v>444</v>
      </c>
      <c r="F192" s="24"/>
      <c r="G192" s="5"/>
      <c r="H192" s="5"/>
      <c r="I192" s="5"/>
      <c r="J192" s="5"/>
      <c r="K192" s="5"/>
      <c r="L192" s="5"/>
      <c r="M192" s="25"/>
      <c r="N192" s="24"/>
      <c r="O192" s="5"/>
      <c r="P192" s="5"/>
      <c r="Q192" s="5"/>
      <c r="R192" s="5"/>
      <c r="S192" s="5"/>
      <c r="T192" s="5"/>
      <c r="U192" s="25"/>
      <c r="V192" s="24"/>
      <c r="W192" s="5"/>
      <c r="X192" s="5"/>
      <c r="Y192" s="5"/>
      <c r="Z192" s="5"/>
      <c r="AA192" s="5"/>
      <c r="AB192" s="5"/>
      <c r="AC192" s="25"/>
      <c r="AD192" s="24"/>
      <c r="AE192" s="5"/>
      <c r="AF192" s="5"/>
      <c r="AG192" s="5"/>
      <c r="AH192" s="5"/>
      <c r="AI192" s="5">
        <v>1</v>
      </c>
      <c r="AJ192" s="5">
        <v>1</v>
      </c>
      <c r="AK192" s="25"/>
      <c r="AL192" s="5">
        <v>444</v>
      </c>
      <c r="AM192" s="8"/>
      <c r="AN192" s="8">
        <v>1</v>
      </c>
      <c r="AO192" s="8"/>
      <c r="AP192" s="8">
        <f>SUM(F192:AK192)</f>
        <v>2</v>
      </c>
      <c r="AQ192">
        <v>26</v>
      </c>
      <c r="AR192" s="76">
        <f>AP192/AQ192</f>
        <v>7.6923076923076927E-2</v>
      </c>
    </row>
    <row r="193" spans="1:44">
      <c r="A193" s="8">
        <v>445</v>
      </c>
      <c r="B193" s="8" t="s">
        <v>106</v>
      </c>
      <c r="C193" s="8" t="s">
        <v>349</v>
      </c>
      <c r="D193" s="8" t="s">
        <v>6</v>
      </c>
      <c r="E193" s="8">
        <v>445</v>
      </c>
      <c r="F193" s="24"/>
      <c r="G193" s="5"/>
      <c r="H193" s="5">
        <v>1</v>
      </c>
      <c r="I193" s="5"/>
      <c r="J193" s="5"/>
      <c r="K193" s="5"/>
      <c r="L193" s="5"/>
      <c r="M193" s="25"/>
      <c r="N193" s="24"/>
      <c r="O193" s="5"/>
      <c r="P193" s="5"/>
      <c r="Q193" s="5"/>
      <c r="R193" s="5"/>
      <c r="S193" s="5">
        <v>1</v>
      </c>
      <c r="T193" s="5"/>
      <c r="U193" s="25"/>
      <c r="V193" s="24"/>
      <c r="W193" s="5"/>
      <c r="X193" s="5">
        <v>1</v>
      </c>
      <c r="Y193" s="5"/>
      <c r="Z193" s="5"/>
      <c r="AA193" s="5"/>
      <c r="AB193" s="5"/>
      <c r="AC193" s="25"/>
      <c r="AD193" s="24"/>
      <c r="AE193" s="5"/>
      <c r="AF193" s="5"/>
      <c r="AG193" s="5"/>
      <c r="AH193" s="5"/>
      <c r="AI193" s="5"/>
      <c r="AJ193" s="5"/>
      <c r="AK193" s="25"/>
      <c r="AL193" s="5">
        <v>445</v>
      </c>
      <c r="AM193" s="8"/>
      <c r="AN193" s="8">
        <v>1</v>
      </c>
      <c r="AO193" s="8"/>
      <c r="AP193" s="8">
        <f>SUM(F193:AK193)</f>
        <v>3</v>
      </c>
      <c r="AQ193">
        <v>32</v>
      </c>
      <c r="AR193" s="76">
        <f>AP193/AQ193</f>
        <v>9.375E-2</v>
      </c>
    </row>
    <row r="194" spans="1:44">
      <c r="A194" s="8">
        <v>449</v>
      </c>
      <c r="B194" s="8" t="s">
        <v>62</v>
      </c>
      <c r="C194" s="8" t="s">
        <v>42</v>
      </c>
      <c r="D194" s="8" t="s">
        <v>42</v>
      </c>
      <c r="E194" s="8">
        <v>449</v>
      </c>
      <c r="F194" s="24"/>
      <c r="G194" s="5"/>
      <c r="H194" s="5"/>
      <c r="I194" s="5"/>
      <c r="J194" s="5"/>
      <c r="K194" s="5"/>
      <c r="L194" s="5"/>
      <c r="M194" s="25"/>
      <c r="N194" s="24"/>
      <c r="O194" s="5"/>
      <c r="P194" s="5"/>
      <c r="Q194" s="5"/>
      <c r="R194" s="5"/>
      <c r="S194" s="5"/>
      <c r="T194" s="5"/>
      <c r="U194" s="25"/>
      <c r="V194" s="24"/>
      <c r="W194" s="5"/>
      <c r="X194" s="5"/>
      <c r="Y194" s="5"/>
      <c r="Z194" s="5"/>
      <c r="AA194" s="5"/>
      <c r="AB194" s="5"/>
      <c r="AC194" s="25"/>
      <c r="AD194" s="24"/>
      <c r="AE194" s="5"/>
      <c r="AF194" s="5"/>
      <c r="AG194" s="5"/>
      <c r="AH194" s="5"/>
      <c r="AI194" s="5"/>
      <c r="AJ194" s="5"/>
      <c r="AK194" s="25"/>
      <c r="AL194" s="5">
        <v>449</v>
      </c>
      <c r="AM194" s="8">
        <v>1</v>
      </c>
      <c r="AN194" s="8"/>
      <c r="AO194" s="8"/>
      <c r="AP194" s="8"/>
      <c r="AQ194" s="8">
        <v>30</v>
      </c>
    </row>
    <row r="195" spans="1:44">
      <c r="A195" s="8">
        <v>450</v>
      </c>
      <c r="B195" s="8" t="s">
        <v>73</v>
      </c>
      <c r="C195" s="8" t="s">
        <v>165</v>
      </c>
      <c r="D195" s="8" t="s">
        <v>6</v>
      </c>
      <c r="E195" s="8">
        <v>450</v>
      </c>
      <c r="F195" s="24"/>
      <c r="G195" s="5"/>
      <c r="H195" s="5"/>
      <c r="I195" s="5"/>
      <c r="J195" s="5"/>
      <c r="K195" s="5"/>
      <c r="L195" s="5"/>
      <c r="M195" s="25"/>
      <c r="N195" s="24"/>
      <c r="O195" s="5"/>
      <c r="P195" s="5"/>
      <c r="Q195" s="5"/>
      <c r="R195" s="5"/>
      <c r="S195" s="5"/>
      <c r="T195" s="5"/>
      <c r="U195" s="25"/>
      <c r="V195" s="24"/>
      <c r="W195" s="5">
        <v>1</v>
      </c>
      <c r="X195" s="5"/>
      <c r="Y195" s="5"/>
      <c r="Z195" s="5"/>
      <c r="AA195" s="5"/>
      <c r="AB195" s="5"/>
      <c r="AC195" s="25"/>
      <c r="AD195" s="24"/>
      <c r="AE195" s="5"/>
      <c r="AF195" s="5"/>
      <c r="AG195" s="5"/>
      <c r="AH195" s="5"/>
      <c r="AI195" s="5"/>
      <c r="AJ195" s="5"/>
      <c r="AK195" s="25"/>
      <c r="AL195" s="5">
        <v>450</v>
      </c>
      <c r="AM195" s="8"/>
      <c r="AN195" s="8">
        <v>1</v>
      </c>
      <c r="AO195" s="8"/>
      <c r="AP195" s="8">
        <f>SUM(F195:AK195)</f>
        <v>1</v>
      </c>
      <c r="AQ195">
        <v>31</v>
      </c>
      <c r="AR195" s="76">
        <f>AP195/AQ195</f>
        <v>3.2258064516129031E-2</v>
      </c>
    </row>
    <row r="196" spans="1:44">
      <c r="A196" s="8">
        <v>452</v>
      </c>
      <c r="B196" s="8" t="s">
        <v>63</v>
      </c>
      <c r="C196" s="8" t="s">
        <v>346</v>
      </c>
      <c r="D196" s="8"/>
      <c r="E196" s="8">
        <v>452</v>
      </c>
      <c r="F196" s="24"/>
      <c r="G196" s="5"/>
      <c r="H196" s="5"/>
      <c r="I196" s="5"/>
      <c r="J196" s="5"/>
      <c r="K196" s="5"/>
      <c r="L196" s="5"/>
      <c r="M196" s="25"/>
      <c r="N196" s="24"/>
      <c r="O196" s="5"/>
      <c r="P196" s="5"/>
      <c r="Q196" s="5"/>
      <c r="R196" s="5"/>
      <c r="S196" s="5"/>
      <c r="T196" s="5"/>
      <c r="U196" s="25"/>
      <c r="V196" s="24"/>
      <c r="W196" s="5"/>
      <c r="X196" s="5"/>
      <c r="Y196" s="5"/>
      <c r="Z196" s="5"/>
      <c r="AA196" s="5"/>
      <c r="AB196" s="5"/>
      <c r="AC196" s="25"/>
      <c r="AD196" s="24"/>
      <c r="AE196" s="5"/>
      <c r="AF196" s="5"/>
      <c r="AG196" s="5"/>
      <c r="AH196" s="5"/>
      <c r="AI196" s="5"/>
      <c r="AJ196" s="5"/>
      <c r="AK196" s="25"/>
      <c r="AL196" s="5">
        <v>452</v>
      </c>
      <c r="AM196" s="8">
        <v>1</v>
      </c>
      <c r="AN196" s="8"/>
      <c r="AO196" s="8"/>
      <c r="AP196" s="8"/>
      <c r="AQ196" s="8">
        <v>12</v>
      </c>
    </row>
    <row r="197" spans="1:44">
      <c r="A197" s="8">
        <v>454</v>
      </c>
      <c r="B197" s="8" t="s">
        <v>88</v>
      </c>
      <c r="C197" s="8" t="s">
        <v>12</v>
      </c>
      <c r="D197" s="8" t="s">
        <v>42</v>
      </c>
      <c r="E197" s="8">
        <v>454</v>
      </c>
      <c r="F197" s="24"/>
      <c r="G197" s="5"/>
      <c r="H197" s="5"/>
      <c r="I197" s="5"/>
      <c r="J197" s="5"/>
      <c r="K197" s="5"/>
      <c r="L197" s="5"/>
      <c r="M197" s="25"/>
      <c r="N197" s="24"/>
      <c r="O197" s="5"/>
      <c r="P197" s="5"/>
      <c r="Q197" s="5"/>
      <c r="R197" s="5"/>
      <c r="S197" s="5"/>
      <c r="T197" s="5"/>
      <c r="U197" s="25"/>
      <c r="V197" s="24"/>
      <c r="W197" s="5"/>
      <c r="X197" s="5"/>
      <c r="Y197" s="5"/>
      <c r="Z197" s="5"/>
      <c r="AA197" s="5"/>
      <c r="AB197" s="5"/>
      <c r="AC197" s="25"/>
      <c r="AD197" s="24"/>
      <c r="AE197" s="5"/>
      <c r="AF197" s="5"/>
      <c r="AG197" s="5"/>
      <c r="AH197" s="5"/>
      <c r="AI197" s="5"/>
      <c r="AJ197" s="5"/>
      <c r="AK197" s="25"/>
      <c r="AL197" s="5">
        <v>454</v>
      </c>
      <c r="AM197" s="8">
        <v>1</v>
      </c>
      <c r="AN197" s="8"/>
      <c r="AO197" s="8"/>
      <c r="AP197" s="8"/>
      <c r="AQ197" s="8">
        <v>32</v>
      </c>
    </row>
    <row r="198" spans="1:44">
      <c r="A198" s="8">
        <v>459</v>
      </c>
      <c r="B198" s="8" t="s">
        <v>201</v>
      </c>
      <c r="C198" s="8" t="s">
        <v>357</v>
      </c>
      <c r="D198" s="8" t="s">
        <v>42</v>
      </c>
      <c r="E198" s="8">
        <v>459</v>
      </c>
      <c r="F198" s="24"/>
      <c r="G198" s="5"/>
      <c r="H198" s="5"/>
      <c r="I198" s="5"/>
      <c r="J198" s="5"/>
      <c r="K198" s="5"/>
      <c r="L198" s="5"/>
      <c r="M198" s="25"/>
      <c r="N198" s="24"/>
      <c r="O198" s="5"/>
      <c r="P198" s="5"/>
      <c r="Q198" s="5"/>
      <c r="R198" s="5"/>
      <c r="S198" s="5"/>
      <c r="T198" s="5"/>
      <c r="U198" s="25"/>
      <c r="V198" s="24"/>
      <c r="W198" s="5"/>
      <c r="X198" s="5"/>
      <c r="Y198" s="5"/>
      <c r="Z198" s="5"/>
      <c r="AA198" s="5"/>
      <c r="AB198" s="5"/>
      <c r="AC198" s="25"/>
      <c r="AD198" s="24"/>
      <c r="AE198" s="5"/>
      <c r="AF198" s="5"/>
      <c r="AG198" s="5"/>
      <c r="AH198" s="5"/>
      <c r="AI198" s="5"/>
      <c r="AJ198" s="5"/>
      <c r="AK198" s="25"/>
      <c r="AL198" s="5">
        <v>459</v>
      </c>
      <c r="AM198" s="8">
        <v>1</v>
      </c>
      <c r="AN198" s="8"/>
      <c r="AO198" s="8"/>
      <c r="AP198" s="8"/>
      <c r="AQ198" s="8">
        <v>28</v>
      </c>
    </row>
    <row r="199" spans="1:44">
      <c r="A199" s="8">
        <v>464</v>
      </c>
      <c r="B199" s="8" t="s">
        <v>99</v>
      </c>
      <c r="C199" s="8" t="s">
        <v>346</v>
      </c>
      <c r="D199" s="8"/>
      <c r="E199" s="8">
        <v>464</v>
      </c>
      <c r="F199" s="24"/>
      <c r="G199" s="5"/>
      <c r="H199" s="5"/>
      <c r="I199" s="5"/>
      <c r="J199" s="5"/>
      <c r="K199" s="5"/>
      <c r="L199" s="5"/>
      <c r="M199" s="25"/>
      <c r="N199" s="24"/>
      <c r="O199" s="5"/>
      <c r="P199" s="5"/>
      <c r="Q199" s="5"/>
      <c r="R199" s="5"/>
      <c r="S199" s="5"/>
      <c r="T199" s="5"/>
      <c r="U199" s="25"/>
      <c r="V199" s="24"/>
      <c r="W199" s="5"/>
      <c r="X199" s="5"/>
      <c r="Y199" s="5"/>
      <c r="Z199" s="5"/>
      <c r="AA199" s="5"/>
      <c r="AB199" s="5"/>
      <c r="AC199" s="25"/>
      <c r="AD199" s="24"/>
      <c r="AE199" s="5"/>
      <c r="AF199" s="5"/>
      <c r="AG199" s="5"/>
      <c r="AH199" s="5"/>
      <c r="AI199" s="5"/>
      <c r="AJ199" s="5"/>
      <c r="AK199" s="25"/>
      <c r="AL199" s="5">
        <v>464</v>
      </c>
      <c r="AM199" s="8">
        <v>1</v>
      </c>
      <c r="AN199" s="8"/>
      <c r="AO199" s="8"/>
      <c r="AP199" s="8"/>
      <c r="AQ199" s="8">
        <v>24</v>
      </c>
    </row>
    <row r="200" spans="1:44">
      <c r="A200" s="8">
        <v>466</v>
      </c>
      <c r="B200" s="8" t="s">
        <v>41</v>
      </c>
      <c r="C200" s="8" t="s">
        <v>42</v>
      </c>
      <c r="D200" s="8" t="s">
        <v>6</v>
      </c>
      <c r="E200" s="8">
        <v>466</v>
      </c>
      <c r="F200" s="24"/>
      <c r="G200" s="5"/>
      <c r="H200" s="5"/>
      <c r="I200" s="5"/>
      <c r="J200" s="5"/>
      <c r="K200" s="5"/>
      <c r="L200" s="5"/>
      <c r="M200" s="25"/>
      <c r="N200" s="24"/>
      <c r="O200" s="5"/>
      <c r="P200" s="5"/>
      <c r="Q200" s="5"/>
      <c r="R200" s="5"/>
      <c r="S200" s="5"/>
      <c r="T200" s="5"/>
      <c r="U200" s="25"/>
      <c r="V200" s="24"/>
      <c r="W200" s="5"/>
      <c r="X200" s="5"/>
      <c r="Y200" s="5"/>
      <c r="Z200" s="5"/>
      <c r="AA200" s="5"/>
      <c r="AB200" s="5"/>
      <c r="AC200" s="25"/>
      <c r="AD200" s="24"/>
      <c r="AE200" s="5"/>
      <c r="AF200" s="5"/>
      <c r="AG200" s="5"/>
      <c r="AH200" s="5"/>
      <c r="AI200" s="5"/>
      <c r="AJ200" s="5">
        <v>1</v>
      </c>
      <c r="AK200" s="25"/>
      <c r="AL200" s="5">
        <v>466</v>
      </c>
      <c r="AM200" s="8"/>
      <c r="AN200" s="8">
        <v>1</v>
      </c>
      <c r="AO200" s="8"/>
      <c r="AP200" s="8">
        <f>SUM(F200:AK200)</f>
        <v>1</v>
      </c>
      <c r="AQ200">
        <v>32</v>
      </c>
      <c r="AR200" s="76">
        <f>AP200/AQ200</f>
        <v>3.125E-2</v>
      </c>
    </row>
    <row r="201" spans="1:44">
      <c r="A201" s="8">
        <v>467</v>
      </c>
      <c r="B201" s="8" t="s">
        <v>41</v>
      </c>
      <c r="C201" s="8" t="s">
        <v>42</v>
      </c>
      <c r="D201" s="8" t="s">
        <v>6</v>
      </c>
      <c r="E201" s="8">
        <v>467</v>
      </c>
      <c r="F201" s="24"/>
      <c r="G201" s="5"/>
      <c r="H201" s="5"/>
      <c r="I201" s="5"/>
      <c r="J201" s="5"/>
      <c r="K201" s="5"/>
      <c r="L201" s="5"/>
      <c r="M201" s="25"/>
      <c r="N201" s="24"/>
      <c r="O201" s="5"/>
      <c r="P201" s="5"/>
      <c r="Q201" s="5"/>
      <c r="R201" s="5"/>
      <c r="S201" s="5"/>
      <c r="T201" s="5"/>
      <c r="U201" s="25"/>
      <c r="V201" s="24"/>
      <c r="W201" s="5"/>
      <c r="X201" s="5"/>
      <c r="Y201" s="5"/>
      <c r="Z201" s="5"/>
      <c r="AA201" s="5"/>
      <c r="AB201" s="5"/>
      <c r="AC201" s="25"/>
      <c r="AD201" s="24"/>
      <c r="AE201" s="5"/>
      <c r="AF201" s="5"/>
      <c r="AG201" s="5"/>
      <c r="AH201" s="5"/>
      <c r="AI201" s="5"/>
      <c r="AJ201" s="5"/>
      <c r="AK201" s="25"/>
      <c r="AL201" s="5">
        <v>467</v>
      </c>
      <c r="AM201" s="8">
        <v>1</v>
      </c>
      <c r="AN201" s="8"/>
      <c r="AO201" s="8"/>
      <c r="AP201" s="8"/>
      <c r="AQ201" s="8">
        <v>32</v>
      </c>
    </row>
    <row r="202" spans="1:44">
      <c r="A202" s="8">
        <v>468</v>
      </c>
      <c r="B202" s="8" t="s">
        <v>282</v>
      </c>
      <c r="C202" s="8" t="s">
        <v>358</v>
      </c>
      <c r="D202" s="8" t="s">
        <v>6</v>
      </c>
      <c r="E202" s="8">
        <v>468</v>
      </c>
      <c r="F202" s="24"/>
      <c r="G202" s="5"/>
      <c r="H202" s="5"/>
      <c r="I202" s="5"/>
      <c r="J202" s="5"/>
      <c r="K202" s="5"/>
      <c r="L202" s="5"/>
      <c r="M202" s="25"/>
      <c r="N202" s="24"/>
      <c r="O202" s="5"/>
      <c r="P202" s="5"/>
      <c r="Q202" s="5"/>
      <c r="R202" s="5"/>
      <c r="S202" s="5"/>
      <c r="T202" s="5"/>
      <c r="U202" s="25"/>
      <c r="V202" s="24"/>
      <c r="W202" s="5"/>
      <c r="X202" s="5"/>
      <c r="Y202" s="5"/>
      <c r="Z202" s="5"/>
      <c r="AA202" s="5"/>
      <c r="AB202" s="5"/>
      <c r="AC202" s="25"/>
      <c r="AD202" s="24"/>
      <c r="AE202" s="5"/>
      <c r="AF202" s="5"/>
      <c r="AG202" s="5"/>
      <c r="AH202" s="5"/>
      <c r="AI202" s="5"/>
      <c r="AJ202" s="5"/>
      <c r="AK202" s="25"/>
      <c r="AL202" s="5">
        <v>468</v>
      </c>
      <c r="AM202" s="8">
        <v>1</v>
      </c>
      <c r="AN202" s="8"/>
      <c r="AO202" s="8"/>
      <c r="AP202" s="8"/>
      <c r="AQ202" s="8">
        <v>32</v>
      </c>
    </row>
    <row r="203" spans="1:44">
      <c r="A203" s="8">
        <v>469</v>
      </c>
      <c r="B203" s="8" t="s">
        <v>44</v>
      </c>
      <c r="C203" s="8" t="s">
        <v>349</v>
      </c>
      <c r="D203" s="8" t="s">
        <v>42</v>
      </c>
      <c r="E203" s="8">
        <v>469</v>
      </c>
      <c r="F203" s="24"/>
      <c r="G203" s="5"/>
      <c r="H203" s="5">
        <v>1</v>
      </c>
      <c r="I203" s="5"/>
      <c r="J203" s="5"/>
      <c r="K203" s="5"/>
      <c r="L203" s="5"/>
      <c r="M203" s="25"/>
      <c r="N203" s="24"/>
      <c r="O203" s="5"/>
      <c r="P203" s="5"/>
      <c r="Q203" s="5"/>
      <c r="R203" s="5"/>
      <c r="S203" s="5">
        <v>1</v>
      </c>
      <c r="T203" s="5"/>
      <c r="U203" s="25"/>
      <c r="V203" s="24"/>
      <c r="W203" s="5">
        <v>1</v>
      </c>
      <c r="X203" s="5">
        <v>1</v>
      </c>
      <c r="Y203" s="5"/>
      <c r="Z203" s="5"/>
      <c r="AA203" s="5"/>
      <c r="AB203" s="5"/>
      <c r="AC203" s="25"/>
      <c r="AD203" s="24"/>
      <c r="AE203" s="5"/>
      <c r="AF203" s="5"/>
      <c r="AG203" s="5"/>
      <c r="AH203" s="5"/>
      <c r="AI203" s="5">
        <v>1</v>
      </c>
      <c r="AJ203" s="5"/>
      <c r="AK203" s="25">
        <v>1</v>
      </c>
      <c r="AL203" s="5">
        <v>469</v>
      </c>
      <c r="AM203" s="8"/>
      <c r="AN203" s="8">
        <v>1</v>
      </c>
      <c r="AO203" s="8"/>
      <c r="AP203" s="8">
        <f>SUM(F203:AK203)</f>
        <v>6</v>
      </c>
      <c r="AQ203">
        <v>29</v>
      </c>
      <c r="AR203" s="76">
        <f>AP203/AQ203</f>
        <v>0.20689655172413793</v>
      </c>
    </row>
    <row r="204" spans="1:44">
      <c r="A204" s="8">
        <v>471</v>
      </c>
      <c r="B204" s="8" t="s">
        <v>71</v>
      </c>
      <c r="C204" s="8" t="s">
        <v>366</v>
      </c>
      <c r="D204" s="8" t="s">
        <v>6</v>
      </c>
      <c r="E204" s="8">
        <v>471</v>
      </c>
      <c r="F204" s="24"/>
      <c r="G204" s="5"/>
      <c r="H204" s="5"/>
      <c r="I204" s="5"/>
      <c r="J204" s="5"/>
      <c r="K204" s="5"/>
      <c r="L204" s="5"/>
      <c r="M204" s="25"/>
      <c r="N204" s="24"/>
      <c r="O204" s="5"/>
      <c r="P204" s="5"/>
      <c r="Q204" s="5"/>
      <c r="R204" s="5"/>
      <c r="S204" s="5"/>
      <c r="T204" s="5"/>
      <c r="U204" s="25"/>
      <c r="V204" s="24"/>
      <c r="W204" s="5"/>
      <c r="X204" s="5"/>
      <c r="Y204" s="5"/>
      <c r="Z204" s="5"/>
      <c r="AA204" s="5"/>
      <c r="AB204" s="5"/>
      <c r="AC204" s="25"/>
      <c r="AD204" s="24"/>
      <c r="AE204" s="5"/>
      <c r="AF204" s="5"/>
      <c r="AG204" s="5"/>
      <c r="AH204" s="5"/>
      <c r="AI204" s="5"/>
      <c r="AJ204" s="5"/>
      <c r="AK204" s="25"/>
      <c r="AL204" s="5">
        <v>471</v>
      </c>
      <c r="AM204" s="8">
        <v>1</v>
      </c>
      <c r="AN204" s="8"/>
      <c r="AO204" s="8"/>
      <c r="AP204" s="8"/>
      <c r="AQ204" s="8">
        <v>32</v>
      </c>
    </row>
    <row r="205" spans="1:44">
      <c r="A205" s="8">
        <v>474</v>
      </c>
      <c r="B205" s="8" t="s">
        <v>106</v>
      </c>
      <c r="C205" s="8" t="s">
        <v>349</v>
      </c>
      <c r="D205" s="8" t="s">
        <v>6</v>
      </c>
      <c r="E205" s="8">
        <v>474</v>
      </c>
      <c r="F205" s="24"/>
      <c r="G205" s="5"/>
      <c r="H205" s="5"/>
      <c r="I205" s="5"/>
      <c r="J205" s="5"/>
      <c r="K205" s="5"/>
      <c r="L205" s="5"/>
      <c r="M205" s="25"/>
      <c r="N205" s="24"/>
      <c r="O205" s="5"/>
      <c r="P205" s="5"/>
      <c r="Q205" s="5"/>
      <c r="R205" s="5"/>
      <c r="S205" s="5"/>
      <c r="T205" s="5"/>
      <c r="U205" s="25"/>
      <c r="V205" s="24">
        <v>1</v>
      </c>
      <c r="W205" s="5">
        <v>1</v>
      </c>
      <c r="X205" s="5"/>
      <c r="Y205" s="5"/>
      <c r="Z205" s="5"/>
      <c r="AA205" s="5"/>
      <c r="AB205" s="5"/>
      <c r="AC205" s="25">
        <v>1</v>
      </c>
      <c r="AD205" s="24">
        <v>1</v>
      </c>
      <c r="AE205" s="5"/>
      <c r="AF205" s="5"/>
      <c r="AG205" s="5"/>
      <c r="AH205" s="5">
        <v>1</v>
      </c>
      <c r="AI205" s="5">
        <v>1</v>
      </c>
      <c r="AJ205" s="5">
        <v>1</v>
      </c>
      <c r="AK205" s="25"/>
      <c r="AL205" s="5">
        <v>474</v>
      </c>
      <c r="AM205" s="8"/>
      <c r="AN205" s="8">
        <v>1</v>
      </c>
      <c r="AO205" s="8"/>
      <c r="AP205" s="8">
        <f>SUM(F205:AK205)</f>
        <v>7</v>
      </c>
      <c r="AQ205">
        <v>15</v>
      </c>
      <c r="AR205" s="76">
        <f>AP205/AQ205</f>
        <v>0.46666666666666667</v>
      </c>
    </row>
    <row r="206" spans="1:44">
      <c r="A206" s="8">
        <v>476</v>
      </c>
      <c r="B206" s="8" t="s">
        <v>44</v>
      </c>
      <c r="C206" s="8" t="s">
        <v>349</v>
      </c>
      <c r="D206" s="8" t="s">
        <v>42</v>
      </c>
      <c r="E206" s="8">
        <v>476</v>
      </c>
      <c r="F206" s="24"/>
      <c r="G206" s="5"/>
      <c r="H206" s="5"/>
      <c r="I206" s="5"/>
      <c r="J206" s="5"/>
      <c r="K206" s="5"/>
      <c r="L206" s="5"/>
      <c r="M206" s="25"/>
      <c r="N206" s="24"/>
      <c r="O206" s="5"/>
      <c r="P206" s="5"/>
      <c r="Q206" s="5"/>
      <c r="R206" s="5">
        <v>1</v>
      </c>
      <c r="S206" s="5">
        <v>1</v>
      </c>
      <c r="T206" s="5">
        <v>1</v>
      </c>
      <c r="U206" s="25">
        <v>1</v>
      </c>
      <c r="V206" s="24"/>
      <c r="W206" s="5"/>
      <c r="X206" s="5"/>
      <c r="Y206" s="5"/>
      <c r="Z206" s="5"/>
      <c r="AA206" s="5"/>
      <c r="AB206" s="5"/>
      <c r="AC206" s="25"/>
      <c r="AD206" s="24"/>
      <c r="AE206" s="5"/>
      <c r="AF206" s="5"/>
      <c r="AG206" s="5"/>
      <c r="AH206" s="5"/>
      <c r="AI206" s="5">
        <v>1</v>
      </c>
      <c r="AJ206" s="5">
        <v>1</v>
      </c>
      <c r="AK206" s="25">
        <v>1</v>
      </c>
      <c r="AL206" s="5">
        <v>476</v>
      </c>
      <c r="AM206" s="8"/>
      <c r="AN206" s="8">
        <v>1</v>
      </c>
      <c r="AO206" s="8"/>
      <c r="AP206" s="8">
        <f>SUM(F206:AK206)</f>
        <v>7</v>
      </c>
      <c r="AQ206">
        <v>32</v>
      </c>
      <c r="AR206" s="76">
        <f>AP206/AQ206</f>
        <v>0.21875</v>
      </c>
    </row>
    <row r="207" spans="1:44">
      <c r="A207" s="8">
        <v>478</v>
      </c>
      <c r="B207" s="8" t="s">
        <v>62</v>
      </c>
      <c r="C207" s="8" t="s">
        <v>42</v>
      </c>
      <c r="D207" s="8" t="s">
        <v>42</v>
      </c>
      <c r="E207" s="8">
        <v>478</v>
      </c>
      <c r="F207" s="24"/>
      <c r="G207" s="5">
        <v>1</v>
      </c>
      <c r="H207" s="5"/>
      <c r="I207" s="5"/>
      <c r="J207" s="5">
        <v>1</v>
      </c>
      <c r="K207" s="5"/>
      <c r="L207" s="5"/>
      <c r="M207" s="25"/>
      <c r="N207" s="24"/>
      <c r="O207" s="5"/>
      <c r="P207" s="5"/>
      <c r="Q207" s="5"/>
      <c r="R207" s="5"/>
      <c r="S207" s="5">
        <v>1</v>
      </c>
      <c r="T207" s="5"/>
      <c r="U207" s="25"/>
      <c r="V207" s="24"/>
      <c r="W207" s="5">
        <v>1</v>
      </c>
      <c r="X207" s="5"/>
      <c r="Y207" s="5"/>
      <c r="Z207" s="5"/>
      <c r="AA207" s="5"/>
      <c r="AB207" s="5"/>
      <c r="AC207" s="25"/>
      <c r="AD207" s="24">
        <v>1</v>
      </c>
      <c r="AE207" s="5"/>
      <c r="AF207" s="5"/>
      <c r="AG207" s="5"/>
      <c r="AH207" s="5"/>
      <c r="AI207" s="5"/>
      <c r="AJ207" s="5"/>
      <c r="AK207" s="25"/>
      <c r="AL207" s="5">
        <v>478</v>
      </c>
      <c r="AM207" s="8"/>
      <c r="AN207" s="8">
        <v>1</v>
      </c>
      <c r="AO207" s="8"/>
      <c r="AP207" s="8">
        <f>SUM(F207:AK207)</f>
        <v>5</v>
      </c>
      <c r="AQ207">
        <v>31</v>
      </c>
      <c r="AR207" s="76">
        <f>AP207/AQ207</f>
        <v>0.16129032258064516</v>
      </c>
    </row>
    <row r="208" spans="1:44">
      <c r="A208" s="8">
        <v>480</v>
      </c>
      <c r="B208" s="8" t="s">
        <v>55</v>
      </c>
      <c r="C208" s="8" t="s">
        <v>346</v>
      </c>
      <c r="D208" s="8"/>
      <c r="E208" s="8">
        <v>480</v>
      </c>
      <c r="F208" s="24"/>
      <c r="G208" s="5"/>
      <c r="H208" s="5"/>
      <c r="I208" s="5"/>
      <c r="J208" s="5"/>
      <c r="K208" s="5"/>
      <c r="L208" s="5"/>
      <c r="M208" s="25"/>
      <c r="N208" s="24"/>
      <c r="O208" s="5"/>
      <c r="P208" s="5"/>
      <c r="Q208" s="5"/>
      <c r="R208" s="5"/>
      <c r="S208" s="5"/>
      <c r="T208" s="5"/>
      <c r="U208" s="25"/>
      <c r="V208" s="24"/>
      <c r="W208" s="5"/>
      <c r="X208" s="5"/>
      <c r="Y208" s="5"/>
      <c r="Z208" s="5"/>
      <c r="AA208" s="5"/>
      <c r="AB208" s="5"/>
      <c r="AC208" s="25"/>
      <c r="AD208" s="24"/>
      <c r="AE208" s="5"/>
      <c r="AF208" s="5"/>
      <c r="AG208" s="5"/>
      <c r="AH208" s="5"/>
      <c r="AI208" s="5"/>
      <c r="AJ208" s="5"/>
      <c r="AK208" s="25"/>
      <c r="AL208" s="5">
        <v>480</v>
      </c>
      <c r="AM208" s="8">
        <v>1</v>
      </c>
      <c r="AN208" s="8"/>
      <c r="AO208" s="8"/>
      <c r="AP208" s="8"/>
      <c r="AQ208" s="8">
        <v>20</v>
      </c>
    </row>
    <row r="209" spans="1:44">
      <c r="A209" s="8" t="s">
        <v>287</v>
      </c>
      <c r="B209" s="8" t="s">
        <v>41</v>
      </c>
      <c r="C209" s="8" t="s">
        <v>42</v>
      </c>
      <c r="D209" s="8" t="s">
        <v>6</v>
      </c>
      <c r="E209" s="8" t="s">
        <v>287</v>
      </c>
      <c r="F209" s="24"/>
      <c r="G209" s="5"/>
      <c r="H209" s="5"/>
      <c r="I209" s="5"/>
      <c r="J209" s="5"/>
      <c r="K209" s="5"/>
      <c r="L209" s="5"/>
      <c r="M209" s="25"/>
      <c r="N209" s="24"/>
      <c r="O209" s="5"/>
      <c r="P209" s="5"/>
      <c r="Q209" s="5"/>
      <c r="R209" s="5"/>
      <c r="S209" s="5"/>
      <c r="T209" s="5"/>
      <c r="U209" s="25"/>
      <c r="V209" s="24">
        <v>1</v>
      </c>
      <c r="W209" s="5"/>
      <c r="X209" s="5"/>
      <c r="Y209" s="5"/>
      <c r="Z209" s="5"/>
      <c r="AA209" s="5"/>
      <c r="AB209" s="5"/>
      <c r="AC209" s="25"/>
      <c r="AD209" s="24"/>
      <c r="AE209" s="5"/>
      <c r="AF209" s="5"/>
      <c r="AG209" s="5"/>
      <c r="AH209" s="5"/>
      <c r="AI209" s="5"/>
      <c r="AJ209" s="5">
        <v>1</v>
      </c>
      <c r="AK209" s="25"/>
      <c r="AL209" s="5" t="s">
        <v>287</v>
      </c>
      <c r="AM209" s="8"/>
      <c r="AN209" s="8">
        <v>1</v>
      </c>
      <c r="AO209" s="8"/>
      <c r="AP209" s="8">
        <f>SUM(F209:AK209)</f>
        <v>2</v>
      </c>
      <c r="AQ209">
        <v>32</v>
      </c>
      <c r="AR209" s="76">
        <f>AP209/AQ209</f>
        <v>6.25E-2</v>
      </c>
    </row>
    <row r="210" spans="1:44">
      <c r="A210" s="8" t="s">
        <v>290</v>
      </c>
      <c r="B210" s="8" t="s">
        <v>5</v>
      </c>
      <c r="C210" s="8" t="s">
        <v>42</v>
      </c>
      <c r="D210" s="8" t="s">
        <v>42</v>
      </c>
      <c r="E210" s="8" t="s">
        <v>290</v>
      </c>
      <c r="F210" s="24"/>
      <c r="G210" s="5"/>
      <c r="H210" s="5"/>
      <c r="I210" s="5"/>
      <c r="J210" s="5"/>
      <c r="K210" s="5"/>
      <c r="L210" s="5"/>
      <c r="M210" s="25"/>
      <c r="N210" s="24"/>
      <c r="O210" s="5"/>
      <c r="P210" s="5"/>
      <c r="Q210" s="5"/>
      <c r="R210" s="5"/>
      <c r="S210" s="5"/>
      <c r="T210" s="5"/>
      <c r="U210" s="25"/>
      <c r="V210" s="24"/>
      <c r="W210" s="5"/>
      <c r="X210" s="5"/>
      <c r="Y210" s="5"/>
      <c r="Z210" s="5"/>
      <c r="AA210" s="5"/>
      <c r="AB210" s="5"/>
      <c r="AC210" s="25"/>
      <c r="AD210" s="24"/>
      <c r="AE210" s="5"/>
      <c r="AF210" s="5"/>
      <c r="AG210" s="5"/>
      <c r="AH210" s="5"/>
      <c r="AI210" s="5"/>
      <c r="AJ210" s="5"/>
      <c r="AK210" s="25"/>
      <c r="AL210" s="5" t="s">
        <v>290</v>
      </c>
      <c r="AM210" s="8">
        <v>1</v>
      </c>
      <c r="AN210" s="8"/>
      <c r="AO210" s="8"/>
      <c r="AP210" s="8"/>
      <c r="AQ210" s="8">
        <v>30</v>
      </c>
    </row>
    <row r="211" spans="1:44">
      <c r="A211" s="8">
        <v>489</v>
      </c>
      <c r="B211" s="8" t="s">
        <v>99</v>
      </c>
      <c r="C211" s="8" t="s">
        <v>346</v>
      </c>
      <c r="D211" s="8"/>
      <c r="E211" s="8">
        <v>489</v>
      </c>
      <c r="F211" s="24"/>
      <c r="G211" s="5"/>
      <c r="H211" s="5"/>
      <c r="I211" s="5"/>
      <c r="J211" s="5"/>
      <c r="K211" s="5"/>
      <c r="L211" s="5"/>
      <c r="M211" s="25"/>
      <c r="N211" s="24"/>
      <c r="O211" s="5"/>
      <c r="P211" s="5"/>
      <c r="Q211" s="5"/>
      <c r="R211" s="5"/>
      <c r="S211" s="5"/>
      <c r="T211" s="5"/>
      <c r="U211" s="25"/>
      <c r="V211" s="24"/>
      <c r="W211" s="5"/>
      <c r="X211" s="5"/>
      <c r="Y211" s="5"/>
      <c r="Z211" s="5"/>
      <c r="AA211" s="5"/>
      <c r="AB211" s="5"/>
      <c r="AC211" s="25"/>
      <c r="AD211" s="24"/>
      <c r="AE211" s="5"/>
      <c r="AF211" s="5"/>
      <c r="AG211" s="5"/>
      <c r="AH211" s="5"/>
      <c r="AI211" s="5"/>
      <c r="AJ211" s="5"/>
      <c r="AK211" s="25"/>
      <c r="AL211" s="5">
        <v>489</v>
      </c>
      <c r="AM211" s="8">
        <v>1</v>
      </c>
      <c r="AN211" s="8"/>
      <c r="AO211" s="8"/>
      <c r="AP211" s="8"/>
      <c r="AQ211" s="8">
        <v>24</v>
      </c>
    </row>
    <row r="212" spans="1:44">
      <c r="A212" s="8">
        <v>490</v>
      </c>
      <c r="B212" s="8" t="s">
        <v>74</v>
      </c>
      <c r="C212" s="8" t="s">
        <v>346</v>
      </c>
      <c r="D212" s="8"/>
      <c r="E212" s="8">
        <v>490</v>
      </c>
      <c r="F212" s="24"/>
      <c r="G212" s="5"/>
      <c r="H212" s="5"/>
      <c r="I212" s="5"/>
      <c r="J212" s="5"/>
      <c r="K212" s="5"/>
      <c r="L212" s="5"/>
      <c r="M212" s="25"/>
      <c r="N212" s="24"/>
      <c r="O212" s="5"/>
      <c r="P212" s="5"/>
      <c r="Q212" s="5"/>
      <c r="R212" s="5"/>
      <c r="S212" s="5"/>
      <c r="T212" s="5"/>
      <c r="U212" s="25"/>
      <c r="V212" s="24"/>
      <c r="W212" s="5"/>
      <c r="X212" s="5"/>
      <c r="Y212" s="5"/>
      <c r="Z212" s="5"/>
      <c r="AA212" s="5"/>
      <c r="AB212" s="5"/>
      <c r="AC212" s="25"/>
      <c r="AD212" s="24"/>
      <c r="AE212" s="5"/>
      <c r="AF212" s="5"/>
      <c r="AG212" s="5"/>
      <c r="AH212" s="5"/>
      <c r="AI212" s="5"/>
      <c r="AJ212" s="5"/>
      <c r="AK212" s="25"/>
      <c r="AL212" s="5">
        <v>490</v>
      </c>
      <c r="AM212" s="8">
        <v>1</v>
      </c>
      <c r="AN212" s="8"/>
      <c r="AO212" s="8"/>
      <c r="AP212" s="8"/>
      <c r="AQ212" s="8">
        <v>16</v>
      </c>
    </row>
    <row r="213" spans="1:44">
      <c r="A213" s="8">
        <v>492</v>
      </c>
      <c r="B213" s="8" t="s">
        <v>63</v>
      </c>
      <c r="C213" s="8" t="s">
        <v>346</v>
      </c>
      <c r="D213" s="8"/>
      <c r="E213" s="8">
        <v>492</v>
      </c>
      <c r="F213" s="24"/>
      <c r="G213" s="5"/>
      <c r="H213" s="5"/>
      <c r="I213" s="5"/>
      <c r="J213" s="5"/>
      <c r="K213" s="5"/>
      <c r="L213" s="5"/>
      <c r="M213" s="25"/>
      <c r="N213" s="24"/>
      <c r="O213" s="5"/>
      <c r="P213" s="5"/>
      <c r="Q213" s="5"/>
      <c r="R213" s="5"/>
      <c r="S213" s="5"/>
      <c r="T213" s="5"/>
      <c r="U213" s="25"/>
      <c r="V213" s="24"/>
      <c r="W213" s="5"/>
      <c r="X213" s="5"/>
      <c r="Y213" s="5"/>
      <c r="Z213" s="5"/>
      <c r="AA213" s="5"/>
      <c r="AB213" s="5"/>
      <c r="AC213" s="25"/>
      <c r="AD213" s="24"/>
      <c r="AE213" s="5"/>
      <c r="AF213" s="5"/>
      <c r="AG213" s="5"/>
      <c r="AH213" s="5"/>
      <c r="AI213" s="5"/>
      <c r="AJ213" s="5"/>
      <c r="AK213" s="25"/>
      <c r="AL213" s="5">
        <v>492</v>
      </c>
      <c r="AM213" s="8">
        <v>1</v>
      </c>
      <c r="AN213" s="8"/>
      <c r="AO213" s="8"/>
      <c r="AP213" s="8"/>
      <c r="AQ213" s="8">
        <v>12</v>
      </c>
    </row>
    <row r="214" spans="1:44">
      <c r="A214" s="8">
        <v>495</v>
      </c>
      <c r="B214" s="8" t="s">
        <v>63</v>
      </c>
      <c r="C214" s="8" t="s">
        <v>346</v>
      </c>
      <c r="D214" s="8"/>
      <c r="E214" s="8">
        <v>495</v>
      </c>
      <c r="F214" s="24"/>
      <c r="G214" s="5"/>
      <c r="H214" s="5"/>
      <c r="I214" s="5"/>
      <c r="J214" s="5"/>
      <c r="K214" s="5"/>
      <c r="L214" s="5"/>
      <c r="M214" s="25"/>
      <c r="N214" s="24"/>
      <c r="O214" s="5"/>
      <c r="P214" s="5"/>
      <c r="Q214" s="5"/>
      <c r="R214" s="5"/>
      <c r="S214" s="5"/>
      <c r="T214" s="5"/>
      <c r="U214" s="25"/>
      <c r="V214" s="24"/>
      <c r="W214" s="5"/>
      <c r="X214" s="5"/>
      <c r="Y214" s="5"/>
      <c r="Z214" s="5"/>
      <c r="AA214" s="5"/>
      <c r="AB214" s="5"/>
      <c r="AC214" s="25"/>
      <c r="AD214" s="24"/>
      <c r="AE214" s="5"/>
      <c r="AF214" s="5"/>
      <c r="AG214" s="5"/>
      <c r="AH214" s="5"/>
      <c r="AI214" s="5"/>
      <c r="AJ214" s="5"/>
      <c r="AK214" s="25"/>
      <c r="AL214" s="5">
        <v>495</v>
      </c>
      <c r="AM214" s="8">
        <v>1</v>
      </c>
      <c r="AN214" s="8"/>
      <c r="AO214" s="8"/>
      <c r="AP214" s="8"/>
      <c r="AQ214" s="8">
        <v>10</v>
      </c>
    </row>
    <row r="215" spans="1:44">
      <c r="A215" s="8">
        <v>498</v>
      </c>
      <c r="B215" s="8" t="s">
        <v>62</v>
      </c>
      <c r="C215" s="8" t="s">
        <v>42</v>
      </c>
      <c r="D215" s="8" t="s">
        <v>42</v>
      </c>
      <c r="E215" s="8">
        <v>498</v>
      </c>
      <c r="F215" s="24">
        <v>1</v>
      </c>
      <c r="G215" s="5"/>
      <c r="H215" s="5"/>
      <c r="I215" s="5"/>
      <c r="J215" s="5"/>
      <c r="K215" s="5"/>
      <c r="L215" s="5"/>
      <c r="M215" s="25"/>
      <c r="N215" s="24"/>
      <c r="O215" s="5"/>
      <c r="P215" s="5"/>
      <c r="Q215" s="5"/>
      <c r="R215" s="5"/>
      <c r="S215" s="5"/>
      <c r="T215" s="5"/>
      <c r="U215" s="25"/>
      <c r="V215" s="24"/>
      <c r="W215" s="5"/>
      <c r="X215" s="5"/>
      <c r="Y215" s="5"/>
      <c r="Z215" s="5"/>
      <c r="AA215" s="5"/>
      <c r="AB215" s="5"/>
      <c r="AC215" s="25"/>
      <c r="AD215" s="24"/>
      <c r="AE215" s="5"/>
      <c r="AF215" s="5"/>
      <c r="AG215" s="5"/>
      <c r="AH215" s="5"/>
      <c r="AI215" s="5"/>
      <c r="AJ215" s="5"/>
      <c r="AK215" s="25"/>
      <c r="AL215" s="5">
        <v>498</v>
      </c>
      <c r="AM215" s="8"/>
      <c r="AN215" s="8">
        <v>1</v>
      </c>
      <c r="AO215" s="8"/>
      <c r="AP215" s="8">
        <f>SUM(F215:AK215)</f>
        <v>1</v>
      </c>
      <c r="AQ215">
        <v>25</v>
      </c>
      <c r="AR215" s="76">
        <f>AP215/AQ215</f>
        <v>0.04</v>
      </c>
    </row>
    <row r="216" spans="1:44">
      <c r="A216" s="8">
        <v>499</v>
      </c>
      <c r="B216" s="8" t="s">
        <v>123</v>
      </c>
      <c r="C216" s="8" t="s">
        <v>366</v>
      </c>
      <c r="D216" s="8" t="s">
        <v>6</v>
      </c>
      <c r="E216" s="8">
        <v>499</v>
      </c>
      <c r="F216" s="24"/>
      <c r="G216" s="5">
        <v>1</v>
      </c>
      <c r="H216" s="5">
        <v>1</v>
      </c>
      <c r="I216" s="5">
        <v>1</v>
      </c>
      <c r="J216" s="5"/>
      <c r="K216" s="5"/>
      <c r="L216" s="5"/>
      <c r="M216" s="25"/>
      <c r="N216" s="24"/>
      <c r="O216" s="5"/>
      <c r="P216" s="5"/>
      <c r="Q216" s="5"/>
      <c r="R216" s="5"/>
      <c r="S216" s="5">
        <v>1</v>
      </c>
      <c r="T216" s="5">
        <v>1</v>
      </c>
      <c r="U216" s="25"/>
      <c r="V216" s="24"/>
      <c r="W216" s="5"/>
      <c r="X216" s="5">
        <v>1</v>
      </c>
      <c r="Y216" s="5">
        <v>1</v>
      </c>
      <c r="Z216" s="5"/>
      <c r="AA216" s="5"/>
      <c r="AB216" s="5"/>
      <c r="AC216" s="25"/>
      <c r="AD216" s="24"/>
      <c r="AE216" s="5"/>
      <c r="AF216" s="5"/>
      <c r="AG216" s="5"/>
      <c r="AH216" s="5"/>
      <c r="AI216" s="5">
        <v>1</v>
      </c>
      <c r="AJ216" s="5">
        <v>1</v>
      </c>
      <c r="AK216" s="25"/>
      <c r="AL216" s="5">
        <v>499</v>
      </c>
      <c r="AM216" s="8"/>
      <c r="AN216" s="8">
        <v>1</v>
      </c>
      <c r="AO216" s="8"/>
      <c r="AP216" s="8">
        <f>SUM(F216:AK216)</f>
        <v>9</v>
      </c>
      <c r="AQ216">
        <v>30</v>
      </c>
      <c r="AR216" s="76">
        <f>AP216/AQ216</f>
        <v>0.3</v>
      </c>
    </row>
    <row r="217" spans="1:44">
      <c r="A217" s="8">
        <v>503</v>
      </c>
      <c r="B217" s="8" t="s">
        <v>80</v>
      </c>
      <c r="C217" s="8" t="s">
        <v>346</v>
      </c>
      <c r="D217" s="8"/>
      <c r="E217" s="8">
        <v>503</v>
      </c>
      <c r="F217" s="24"/>
      <c r="G217" s="5"/>
      <c r="H217" s="5"/>
      <c r="I217" s="5"/>
      <c r="J217" s="5"/>
      <c r="K217" s="5"/>
      <c r="L217" s="5"/>
      <c r="M217" s="25"/>
      <c r="N217" s="24"/>
      <c r="O217" s="5"/>
      <c r="P217" s="5"/>
      <c r="Q217" s="5"/>
      <c r="R217" s="5"/>
      <c r="S217" s="5"/>
      <c r="T217" s="5"/>
      <c r="U217" s="25"/>
      <c r="V217" s="24"/>
      <c r="W217" s="5"/>
      <c r="X217" s="5"/>
      <c r="Y217" s="5"/>
      <c r="Z217" s="5"/>
      <c r="AA217" s="5"/>
      <c r="AB217" s="5"/>
      <c r="AC217" s="25"/>
      <c r="AD217" s="24"/>
      <c r="AE217" s="5"/>
      <c r="AF217" s="5"/>
      <c r="AG217" s="5"/>
      <c r="AH217" s="5"/>
      <c r="AI217" s="5"/>
      <c r="AJ217" s="5"/>
      <c r="AK217" s="25"/>
      <c r="AL217" s="5">
        <v>503</v>
      </c>
      <c r="AM217" s="8">
        <v>1</v>
      </c>
      <c r="AN217" s="8"/>
      <c r="AO217" s="8"/>
      <c r="AP217" s="8"/>
      <c r="AQ217" s="8">
        <v>20</v>
      </c>
    </row>
    <row r="218" spans="1:44">
      <c r="A218" s="8">
        <v>505</v>
      </c>
      <c r="B218" s="8" t="s">
        <v>73</v>
      </c>
      <c r="C218" s="8" t="s">
        <v>165</v>
      </c>
      <c r="D218" s="8" t="s">
        <v>42</v>
      </c>
      <c r="E218" s="8">
        <v>505</v>
      </c>
      <c r="F218" s="24"/>
      <c r="G218" s="5"/>
      <c r="H218" s="5"/>
      <c r="I218" s="5"/>
      <c r="J218" s="5"/>
      <c r="K218" s="5"/>
      <c r="L218" s="5"/>
      <c r="M218" s="25"/>
      <c r="N218" s="24"/>
      <c r="O218" s="5"/>
      <c r="P218" s="5"/>
      <c r="Q218" s="5"/>
      <c r="R218" s="5"/>
      <c r="S218" s="5"/>
      <c r="T218" s="5"/>
      <c r="U218" s="25"/>
      <c r="V218" s="24"/>
      <c r="W218" s="5"/>
      <c r="X218" s="5"/>
      <c r="Y218" s="5"/>
      <c r="Z218" s="5"/>
      <c r="AA218" s="5"/>
      <c r="AB218" s="5"/>
      <c r="AC218" s="25"/>
      <c r="AD218" s="24"/>
      <c r="AE218" s="5"/>
      <c r="AF218" s="5"/>
      <c r="AG218" s="5"/>
      <c r="AH218" s="5"/>
      <c r="AI218" s="5"/>
      <c r="AJ218" s="5"/>
      <c r="AK218" s="25"/>
      <c r="AL218" s="5">
        <v>505</v>
      </c>
      <c r="AM218" s="8">
        <v>1</v>
      </c>
      <c r="AN218" s="8"/>
      <c r="AO218" s="8"/>
      <c r="AP218" s="8"/>
      <c r="AQ218" s="8">
        <v>32</v>
      </c>
    </row>
    <row r="219" spans="1:44">
      <c r="A219" s="8">
        <v>506</v>
      </c>
      <c r="B219" s="8" t="s">
        <v>240</v>
      </c>
      <c r="C219" s="8" t="s">
        <v>42</v>
      </c>
      <c r="D219" s="8" t="s">
        <v>6</v>
      </c>
      <c r="E219" s="8">
        <v>506</v>
      </c>
      <c r="F219" s="24">
        <v>1</v>
      </c>
      <c r="G219" s="5">
        <v>1</v>
      </c>
      <c r="H219" s="5"/>
      <c r="I219" s="5"/>
      <c r="J219" s="5"/>
      <c r="K219" s="5"/>
      <c r="L219" s="5"/>
      <c r="M219" s="25"/>
      <c r="N219" s="24"/>
      <c r="O219" s="5"/>
      <c r="P219" s="5"/>
      <c r="Q219" s="5"/>
      <c r="R219" s="5"/>
      <c r="S219" s="5"/>
      <c r="T219" s="5"/>
      <c r="U219" s="25"/>
      <c r="V219" s="24"/>
      <c r="W219" s="5"/>
      <c r="X219" s="5"/>
      <c r="Y219" s="5"/>
      <c r="Z219" s="5"/>
      <c r="AA219" s="5"/>
      <c r="AB219" s="5"/>
      <c r="AC219" s="25"/>
      <c r="AD219" s="24"/>
      <c r="AE219" s="5"/>
      <c r="AF219" s="5"/>
      <c r="AG219" s="5"/>
      <c r="AH219" s="5"/>
      <c r="AI219" s="5">
        <v>1</v>
      </c>
      <c r="AJ219" s="5"/>
      <c r="AK219" s="25"/>
      <c r="AL219" s="5">
        <v>506</v>
      </c>
      <c r="AM219" s="8"/>
      <c r="AN219" s="8">
        <v>1</v>
      </c>
      <c r="AO219" s="8"/>
      <c r="AP219" s="8">
        <f>SUM(F219:AK219)</f>
        <v>3</v>
      </c>
      <c r="AQ219">
        <v>30</v>
      </c>
      <c r="AR219" s="76">
        <f>AP219/AQ219</f>
        <v>0.1</v>
      </c>
    </row>
    <row r="220" spans="1:44">
      <c r="A220" s="8">
        <v>507</v>
      </c>
      <c r="B220" s="8" t="s">
        <v>63</v>
      </c>
      <c r="C220" s="8" t="s">
        <v>346</v>
      </c>
      <c r="D220" s="8"/>
      <c r="E220" s="8">
        <v>507</v>
      </c>
      <c r="F220" s="24"/>
      <c r="G220" s="5"/>
      <c r="H220" s="5"/>
      <c r="I220" s="5"/>
      <c r="J220" s="5"/>
      <c r="K220" s="5"/>
      <c r="L220" s="5"/>
      <c r="M220" s="25"/>
      <c r="N220" s="24"/>
      <c r="O220" s="5"/>
      <c r="P220" s="5"/>
      <c r="Q220" s="5"/>
      <c r="R220" s="5"/>
      <c r="S220" s="5"/>
      <c r="T220" s="5"/>
      <c r="U220" s="25"/>
      <c r="V220" s="24"/>
      <c r="W220" s="5"/>
      <c r="X220" s="5"/>
      <c r="Y220" s="5"/>
      <c r="Z220" s="5"/>
      <c r="AA220" s="5"/>
      <c r="AB220" s="5"/>
      <c r="AC220" s="25"/>
      <c r="AD220" s="24"/>
      <c r="AE220" s="5"/>
      <c r="AF220" s="5"/>
      <c r="AG220" s="5"/>
      <c r="AH220" s="5"/>
      <c r="AI220" s="5"/>
      <c r="AJ220" s="5"/>
      <c r="AK220" s="25"/>
      <c r="AL220" s="5">
        <v>507</v>
      </c>
      <c r="AM220" s="8">
        <v>1</v>
      </c>
      <c r="AN220" s="8"/>
      <c r="AO220" s="8"/>
      <c r="AP220" s="8"/>
      <c r="AQ220" s="8">
        <v>10</v>
      </c>
    </row>
    <row r="221" spans="1:44">
      <c r="A221" s="8">
        <v>508</v>
      </c>
      <c r="B221" s="8" t="s">
        <v>88</v>
      </c>
      <c r="C221" s="8" t="s">
        <v>12</v>
      </c>
      <c r="D221" s="8" t="s">
        <v>42</v>
      </c>
      <c r="E221" s="8">
        <v>508</v>
      </c>
      <c r="F221" s="24"/>
      <c r="G221" s="5"/>
      <c r="H221" s="5"/>
      <c r="I221" s="5"/>
      <c r="J221" s="5"/>
      <c r="K221" s="5"/>
      <c r="L221" s="5"/>
      <c r="M221" s="25"/>
      <c r="N221" s="24"/>
      <c r="O221" s="5"/>
      <c r="P221" s="5"/>
      <c r="Q221" s="5"/>
      <c r="R221" s="5"/>
      <c r="S221" s="5"/>
      <c r="T221" s="5"/>
      <c r="U221" s="25"/>
      <c r="V221" s="24"/>
      <c r="W221" s="5"/>
      <c r="X221" s="5"/>
      <c r="Y221" s="5"/>
      <c r="Z221" s="5"/>
      <c r="AA221" s="5"/>
      <c r="AB221" s="5"/>
      <c r="AC221" s="25"/>
      <c r="AD221" s="24"/>
      <c r="AE221" s="5"/>
      <c r="AF221" s="5"/>
      <c r="AG221" s="5"/>
      <c r="AH221" s="5"/>
      <c r="AI221" s="5"/>
      <c r="AJ221" s="5"/>
      <c r="AK221" s="25"/>
      <c r="AL221" s="5">
        <v>508</v>
      </c>
      <c r="AM221" s="8">
        <v>1</v>
      </c>
      <c r="AN221" s="8"/>
      <c r="AO221" s="8"/>
      <c r="AP221" s="8"/>
      <c r="AQ221" s="8">
        <v>32</v>
      </c>
    </row>
    <row r="222" spans="1:44">
      <c r="A222" s="8">
        <v>513</v>
      </c>
      <c r="B222" s="8" t="s">
        <v>73</v>
      </c>
      <c r="C222" s="8" t="s">
        <v>165</v>
      </c>
      <c r="D222" s="8" t="s">
        <v>6</v>
      </c>
      <c r="E222" s="8">
        <v>513</v>
      </c>
      <c r="F222" s="24"/>
      <c r="G222" s="5"/>
      <c r="H222" s="5"/>
      <c r="I222" s="5"/>
      <c r="J222" s="5"/>
      <c r="K222" s="5"/>
      <c r="L222" s="5"/>
      <c r="M222" s="25"/>
      <c r="N222" s="24"/>
      <c r="O222" s="5"/>
      <c r="P222" s="5"/>
      <c r="Q222" s="5"/>
      <c r="R222" s="5"/>
      <c r="S222" s="5"/>
      <c r="T222" s="5"/>
      <c r="U222" s="25"/>
      <c r="V222" s="24"/>
      <c r="W222" s="5">
        <v>1</v>
      </c>
      <c r="X222" s="5"/>
      <c r="Y222" s="5"/>
      <c r="Z222" s="5"/>
      <c r="AA222" s="5"/>
      <c r="AB222" s="5"/>
      <c r="AC222" s="25"/>
      <c r="AD222" s="24"/>
      <c r="AE222" s="5"/>
      <c r="AF222" s="5"/>
      <c r="AG222" s="5"/>
      <c r="AH222" s="5"/>
      <c r="AI222" s="5"/>
      <c r="AJ222" s="5"/>
      <c r="AK222" s="25"/>
      <c r="AL222" s="5">
        <v>513</v>
      </c>
      <c r="AM222" s="8"/>
      <c r="AN222" s="8">
        <v>1</v>
      </c>
      <c r="AO222" s="8"/>
      <c r="AP222" s="8">
        <f>SUM(F222:AK222)</f>
        <v>1</v>
      </c>
      <c r="AQ222">
        <v>29</v>
      </c>
      <c r="AR222" s="76">
        <f>AP222/AQ222</f>
        <v>3.4482758620689655E-2</v>
      </c>
    </row>
    <row r="223" spans="1:44">
      <c r="A223" s="8">
        <v>514</v>
      </c>
      <c r="B223" s="8" t="s">
        <v>99</v>
      </c>
      <c r="C223" s="8" t="s">
        <v>346</v>
      </c>
      <c r="D223" s="8"/>
      <c r="E223" s="8">
        <v>514</v>
      </c>
      <c r="F223" s="24"/>
      <c r="G223" s="5"/>
      <c r="H223" s="5"/>
      <c r="I223" s="5"/>
      <c r="J223" s="5"/>
      <c r="K223" s="5"/>
      <c r="L223" s="5"/>
      <c r="M223" s="25"/>
      <c r="N223" s="24"/>
      <c r="O223" s="5"/>
      <c r="P223" s="5"/>
      <c r="Q223" s="5"/>
      <c r="R223" s="5"/>
      <c r="S223" s="5"/>
      <c r="T223" s="5"/>
      <c r="U223" s="25"/>
      <c r="V223" s="24"/>
      <c r="W223" s="5"/>
      <c r="X223" s="5"/>
      <c r="Y223" s="5"/>
      <c r="Z223" s="5"/>
      <c r="AA223" s="5"/>
      <c r="AB223" s="5"/>
      <c r="AC223" s="25"/>
      <c r="AD223" s="24"/>
      <c r="AE223" s="5"/>
      <c r="AF223" s="5"/>
      <c r="AG223" s="5"/>
      <c r="AH223" s="5"/>
      <c r="AI223" s="5"/>
      <c r="AJ223" s="5"/>
      <c r="AK223" s="25"/>
      <c r="AL223" s="5">
        <v>514</v>
      </c>
      <c r="AM223" s="8">
        <v>1</v>
      </c>
      <c r="AN223" s="8"/>
      <c r="AO223" s="8"/>
      <c r="AP223" s="8"/>
      <c r="AQ223" s="8">
        <v>20</v>
      </c>
    </row>
    <row r="224" spans="1:44">
      <c r="A224" s="8">
        <v>516</v>
      </c>
      <c r="B224" s="8" t="s">
        <v>99</v>
      </c>
      <c r="C224" s="8" t="s">
        <v>346</v>
      </c>
      <c r="D224" s="8"/>
      <c r="E224" s="8">
        <v>516</v>
      </c>
      <c r="F224" s="24"/>
      <c r="G224" s="5"/>
      <c r="H224" s="5"/>
      <c r="I224" s="5"/>
      <c r="J224" s="5"/>
      <c r="K224" s="5"/>
      <c r="L224" s="5"/>
      <c r="M224" s="25"/>
      <c r="N224" s="24"/>
      <c r="O224" s="5"/>
      <c r="P224" s="5"/>
      <c r="Q224" s="5"/>
      <c r="R224" s="5"/>
      <c r="S224" s="5"/>
      <c r="T224" s="5"/>
      <c r="U224" s="25"/>
      <c r="V224" s="24"/>
      <c r="W224" s="5"/>
      <c r="X224" s="5"/>
      <c r="Y224" s="5"/>
      <c r="Z224" s="5"/>
      <c r="AA224" s="5"/>
      <c r="AB224" s="5"/>
      <c r="AC224" s="25"/>
      <c r="AD224" s="24"/>
      <c r="AE224" s="5"/>
      <c r="AF224" s="5"/>
      <c r="AG224" s="5"/>
      <c r="AH224" s="5"/>
      <c r="AI224" s="5"/>
      <c r="AJ224" s="5"/>
      <c r="AK224" s="25"/>
      <c r="AL224" s="5">
        <v>516</v>
      </c>
      <c r="AM224" s="8">
        <v>1</v>
      </c>
      <c r="AN224" s="8"/>
      <c r="AO224" s="8"/>
      <c r="AP224" s="8"/>
      <c r="AQ224" s="8">
        <v>24</v>
      </c>
    </row>
    <row r="225" spans="1:44">
      <c r="A225" s="8">
        <v>518</v>
      </c>
      <c r="B225" s="8" t="s">
        <v>99</v>
      </c>
      <c r="C225" s="8" t="s">
        <v>346</v>
      </c>
      <c r="D225" s="8"/>
      <c r="E225" s="8">
        <v>518</v>
      </c>
      <c r="F225" s="24"/>
      <c r="G225" s="5"/>
      <c r="H225" s="5"/>
      <c r="I225" s="5"/>
      <c r="J225" s="5"/>
      <c r="K225" s="5"/>
      <c r="L225" s="5"/>
      <c r="M225" s="25"/>
      <c r="N225" s="24"/>
      <c r="O225" s="5"/>
      <c r="P225" s="5"/>
      <c r="Q225" s="5"/>
      <c r="R225" s="5"/>
      <c r="S225" s="5"/>
      <c r="T225" s="5"/>
      <c r="U225" s="25"/>
      <c r="V225" s="24"/>
      <c r="W225" s="5"/>
      <c r="X225" s="5"/>
      <c r="Y225" s="5"/>
      <c r="Z225" s="5"/>
      <c r="AA225" s="5"/>
      <c r="AB225" s="5"/>
      <c r="AC225" s="25"/>
      <c r="AD225" s="24"/>
      <c r="AE225" s="5"/>
      <c r="AF225" s="5"/>
      <c r="AG225" s="5"/>
      <c r="AH225" s="5"/>
      <c r="AI225" s="5"/>
      <c r="AJ225" s="5"/>
      <c r="AK225" s="25"/>
      <c r="AL225" s="5">
        <v>518</v>
      </c>
      <c r="AM225" s="8">
        <v>1</v>
      </c>
      <c r="AN225" s="8"/>
      <c r="AO225" s="8"/>
      <c r="AP225" s="8"/>
      <c r="AQ225" s="8">
        <v>22</v>
      </c>
    </row>
    <row r="226" spans="1:44">
      <c r="A226" s="8">
        <v>519</v>
      </c>
      <c r="B226" s="8" t="s">
        <v>62</v>
      </c>
      <c r="C226" s="8" t="s">
        <v>42</v>
      </c>
      <c r="D226" s="8" t="s">
        <v>42</v>
      </c>
      <c r="E226" s="8">
        <v>519</v>
      </c>
      <c r="F226" s="24"/>
      <c r="G226" s="5"/>
      <c r="H226" s="5"/>
      <c r="I226" s="5"/>
      <c r="J226" s="5"/>
      <c r="K226" s="5"/>
      <c r="L226" s="5"/>
      <c r="M226" s="25"/>
      <c r="N226" s="24"/>
      <c r="O226" s="5"/>
      <c r="P226" s="5"/>
      <c r="Q226" s="5"/>
      <c r="R226" s="5"/>
      <c r="S226" s="5">
        <v>1</v>
      </c>
      <c r="T226" s="5"/>
      <c r="U226" s="25"/>
      <c r="V226" s="24"/>
      <c r="W226" s="5"/>
      <c r="X226" s="5"/>
      <c r="Y226" s="5"/>
      <c r="Z226" s="5"/>
      <c r="AA226" s="5"/>
      <c r="AB226" s="5"/>
      <c r="AC226" s="25"/>
      <c r="AD226" s="24"/>
      <c r="AE226" s="5"/>
      <c r="AF226" s="5"/>
      <c r="AG226" s="5"/>
      <c r="AH226" s="5"/>
      <c r="AI226" s="5"/>
      <c r="AJ226" s="5"/>
      <c r="AK226" s="25"/>
      <c r="AL226" s="5">
        <v>519</v>
      </c>
      <c r="AM226" s="8"/>
      <c r="AN226" s="8">
        <v>1</v>
      </c>
      <c r="AO226" s="8"/>
      <c r="AP226" s="8">
        <f>SUM(F226:AK226)</f>
        <v>1</v>
      </c>
      <c r="AQ226">
        <v>32</v>
      </c>
      <c r="AR226" s="76">
        <f>AP226/AQ226</f>
        <v>3.125E-2</v>
      </c>
    </row>
    <row r="227" spans="1:44">
      <c r="A227" s="8">
        <v>521</v>
      </c>
      <c r="B227" s="8" t="s">
        <v>41</v>
      </c>
      <c r="C227" s="8" t="s">
        <v>42</v>
      </c>
      <c r="D227" s="8" t="s">
        <v>42</v>
      </c>
      <c r="E227" s="8">
        <v>521</v>
      </c>
      <c r="F227" s="24"/>
      <c r="G227" s="5">
        <v>1</v>
      </c>
      <c r="H227" s="5"/>
      <c r="I227" s="5"/>
      <c r="J227" s="5"/>
      <c r="K227" s="5"/>
      <c r="L227" s="5"/>
      <c r="M227" s="25"/>
      <c r="N227" s="24"/>
      <c r="O227" s="5"/>
      <c r="P227" s="5"/>
      <c r="Q227" s="5"/>
      <c r="R227" s="5"/>
      <c r="S227" s="5"/>
      <c r="T227" s="5"/>
      <c r="U227" s="25"/>
      <c r="V227" s="24"/>
      <c r="W227" s="5"/>
      <c r="X227" s="5"/>
      <c r="Y227" s="5"/>
      <c r="Z227" s="5"/>
      <c r="AA227" s="5"/>
      <c r="AB227" s="5"/>
      <c r="AC227" s="25"/>
      <c r="AD227" s="24"/>
      <c r="AE227" s="5"/>
      <c r="AF227" s="5"/>
      <c r="AG227" s="5"/>
      <c r="AH227" s="5"/>
      <c r="AI227" s="5"/>
      <c r="AJ227" s="5"/>
      <c r="AK227" s="25"/>
      <c r="AL227" s="5">
        <v>521</v>
      </c>
      <c r="AM227" s="8"/>
      <c r="AN227" s="8">
        <v>1</v>
      </c>
      <c r="AO227" s="8"/>
      <c r="AP227" s="8">
        <f>SUM(F227:AK227)</f>
        <v>1</v>
      </c>
      <c r="AQ227">
        <v>31</v>
      </c>
      <c r="AR227" s="76">
        <f>AP227/AQ227</f>
        <v>3.2258064516129031E-2</v>
      </c>
    </row>
    <row r="228" spans="1:44">
      <c r="A228" s="8">
        <v>522</v>
      </c>
      <c r="B228" s="8" t="s">
        <v>55</v>
      </c>
      <c r="C228" s="8" t="s">
        <v>346</v>
      </c>
      <c r="D228" s="8"/>
      <c r="E228" s="8">
        <v>522</v>
      </c>
      <c r="F228" s="24"/>
      <c r="G228" s="5"/>
      <c r="H228" s="5"/>
      <c r="I228" s="5"/>
      <c r="J228" s="5"/>
      <c r="K228" s="5"/>
      <c r="L228" s="5"/>
      <c r="M228" s="25"/>
      <c r="N228" s="24"/>
      <c r="O228" s="5"/>
      <c r="P228" s="5"/>
      <c r="Q228" s="5"/>
      <c r="R228" s="5"/>
      <c r="S228" s="5"/>
      <c r="T228" s="5"/>
      <c r="U228" s="25"/>
      <c r="V228" s="24"/>
      <c r="W228" s="5"/>
      <c r="X228" s="5"/>
      <c r="Y228" s="5"/>
      <c r="Z228" s="5"/>
      <c r="AA228" s="5"/>
      <c r="AB228" s="5"/>
      <c r="AC228" s="25"/>
      <c r="AD228" s="24"/>
      <c r="AE228" s="5"/>
      <c r="AF228" s="5"/>
      <c r="AG228" s="5"/>
      <c r="AH228" s="5"/>
      <c r="AI228" s="5"/>
      <c r="AJ228" s="5"/>
      <c r="AK228" s="25"/>
      <c r="AL228" s="5">
        <v>522</v>
      </c>
      <c r="AM228" s="8">
        <v>1</v>
      </c>
      <c r="AN228" s="8"/>
      <c r="AO228" s="8"/>
      <c r="AP228" s="8"/>
      <c r="AQ228" s="8">
        <v>15</v>
      </c>
    </row>
    <row r="229" spans="1:44">
      <c r="A229" s="8">
        <v>523</v>
      </c>
      <c r="B229" s="8" t="s">
        <v>55</v>
      </c>
      <c r="C229" s="8" t="s">
        <v>346</v>
      </c>
      <c r="D229" s="8"/>
      <c r="E229" s="8">
        <v>523</v>
      </c>
      <c r="F229" s="24"/>
      <c r="G229" s="5"/>
      <c r="H229" s="5"/>
      <c r="I229" s="5"/>
      <c r="J229" s="5"/>
      <c r="K229" s="5"/>
      <c r="L229" s="5"/>
      <c r="M229" s="25"/>
      <c r="N229" s="24"/>
      <c r="O229" s="5"/>
      <c r="P229" s="5"/>
      <c r="Q229" s="5"/>
      <c r="R229" s="5"/>
      <c r="S229" s="5"/>
      <c r="T229" s="5"/>
      <c r="U229" s="25"/>
      <c r="V229" s="24"/>
      <c r="W229" s="5"/>
      <c r="X229" s="5"/>
      <c r="Y229" s="5"/>
      <c r="Z229" s="5"/>
      <c r="AA229" s="5"/>
      <c r="AB229" s="5"/>
      <c r="AC229" s="25"/>
      <c r="AD229" s="24"/>
      <c r="AE229" s="5"/>
      <c r="AF229" s="5"/>
      <c r="AG229" s="5"/>
      <c r="AH229" s="5"/>
      <c r="AI229" s="5"/>
      <c r="AJ229" s="5"/>
      <c r="AK229" s="25"/>
      <c r="AL229" s="5">
        <v>523</v>
      </c>
      <c r="AM229" s="8">
        <v>1</v>
      </c>
      <c r="AN229" s="8"/>
      <c r="AO229" s="8"/>
      <c r="AP229" s="8"/>
      <c r="AQ229" s="8">
        <v>14</v>
      </c>
    </row>
    <row r="230" spans="1:44">
      <c r="A230" s="8">
        <v>524</v>
      </c>
      <c r="B230" s="8" t="s">
        <v>41</v>
      </c>
      <c r="C230" s="8" t="s">
        <v>42</v>
      </c>
      <c r="D230" s="8" t="s">
        <v>6</v>
      </c>
      <c r="E230" s="8">
        <v>524</v>
      </c>
      <c r="F230" s="24"/>
      <c r="G230" s="5"/>
      <c r="H230" s="5"/>
      <c r="I230" s="5"/>
      <c r="J230" s="5"/>
      <c r="K230" s="5"/>
      <c r="L230" s="5"/>
      <c r="M230" s="25"/>
      <c r="N230" s="24"/>
      <c r="O230" s="5"/>
      <c r="P230" s="5"/>
      <c r="Q230" s="5"/>
      <c r="R230" s="5"/>
      <c r="S230" s="5"/>
      <c r="T230" s="5"/>
      <c r="U230" s="25"/>
      <c r="V230" s="24"/>
      <c r="W230" s="5"/>
      <c r="X230" s="5"/>
      <c r="Y230" s="5"/>
      <c r="Z230" s="5"/>
      <c r="AA230" s="5"/>
      <c r="AB230" s="5"/>
      <c r="AC230" s="25"/>
      <c r="AD230" s="24"/>
      <c r="AE230" s="5"/>
      <c r="AF230" s="5"/>
      <c r="AG230" s="5"/>
      <c r="AH230" s="5"/>
      <c r="AI230" s="5"/>
      <c r="AJ230" s="5">
        <v>1</v>
      </c>
      <c r="AK230" s="25"/>
      <c r="AL230" s="5">
        <v>524</v>
      </c>
      <c r="AM230" s="8"/>
      <c r="AN230" s="8">
        <v>1</v>
      </c>
      <c r="AO230" s="8"/>
      <c r="AP230" s="8">
        <f>SUM(F230:AK230)</f>
        <v>1</v>
      </c>
      <c r="AQ230">
        <v>32</v>
      </c>
      <c r="AR230" s="76">
        <f>AP230/AQ230</f>
        <v>3.125E-2</v>
      </c>
    </row>
    <row r="231" spans="1:44">
      <c r="A231" s="8">
        <v>525</v>
      </c>
      <c r="B231" s="8" t="s">
        <v>93</v>
      </c>
      <c r="C231" s="8" t="s">
        <v>12</v>
      </c>
      <c r="D231" s="8" t="s">
        <v>6</v>
      </c>
      <c r="E231" s="8">
        <v>525</v>
      </c>
      <c r="F231" s="24"/>
      <c r="G231" s="5"/>
      <c r="H231" s="5"/>
      <c r="I231" s="5"/>
      <c r="J231" s="5"/>
      <c r="K231" s="5"/>
      <c r="L231" s="5"/>
      <c r="M231" s="25"/>
      <c r="N231" s="24"/>
      <c r="O231" s="5"/>
      <c r="P231" s="5"/>
      <c r="Q231" s="5"/>
      <c r="R231" s="5"/>
      <c r="S231" s="5"/>
      <c r="T231" s="5"/>
      <c r="U231" s="25"/>
      <c r="V231" s="24"/>
      <c r="W231" s="5"/>
      <c r="X231" s="5"/>
      <c r="Y231" s="5"/>
      <c r="Z231" s="5"/>
      <c r="AA231" s="5"/>
      <c r="AB231" s="5"/>
      <c r="AC231" s="25"/>
      <c r="AD231" s="24"/>
      <c r="AE231" s="5"/>
      <c r="AF231" s="5"/>
      <c r="AG231" s="5"/>
      <c r="AH231" s="5"/>
      <c r="AI231" s="5"/>
      <c r="AJ231" s="5"/>
      <c r="AK231" s="25"/>
      <c r="AL231" s="5">
        <v>525</v>
      </c>
      <c r="AM231" s="8">
        <v>1</v>
      </c>
      <c r="AN231" s="8"/>
      <c r="AO231" s="8"/>
      <c r="AP231" s="8"/>
      <c r="AQ231" s="8">
        <v>28</v>
      </c>
    </row>
    <row r="232" spans="1:44">
      <c r="A232" s="8">
        <v>526</v>
      </c>
      <c r="B232" s="8" t="s">
        <v>240</v>
      </c>
      <c r="C232" s="8" t="s">
        <v>42</v>
      </c>
      <c r="D232" s="8" t="s">
        <v>42</v>
      </c>
      <c r="E232" s="8">
        <v>526</v>
      </c>
      <c r="F232" s="24"/>
      <c r="G232" s="5"/>
      <c r="H232" s="5"/>
      <c r="I232" s="5"/>
      <c r="J232" s="5"/>
      <c r="K232" s="5"/>
      <c r="L232" s="5"/>
      <c r="M232" s="25"/>
      <c r="N232" s="24"/>
      <c r="O232" s="5"/>
      <c r="P232" s="5"/>
      <c r="Q232" s="5"/>
      <c r="R232" s="5"/>
      <c r="S232" s="5"/>
      <c r="T232" s="5"/>
      <c r="U232" s="25"/>
      <c r="V232" s="24"/>
      <c r="W232" s="5"/>
      <c r="X232" s="5"/>
      <c r="Y232" s="5"/>
      <c r="Z232" s="5"/>
      <c r="AA232" s="5"/>
      <c r="AB232" s="5"/>
      <c r="AC232" s="25"/>
      <c r="AD232" s="24"/>
      <c r="AE232" s="5"/>
      <c r="AF232" s="5"/>
      <c r="AG232" s="5"/>
      <c r="AH232" s="5"/>
      <c r="AI232" s="5"/>
      <c r="AJ232" s="5"/>
      <c r="AK232" s="25"/>
      <c r="AL232" s="5">
        <v>526</v>
      </c>
      <c r="AM232" s="8">
        <v>1</v>
      </c>
      <c r="AN232" s="8"/>
      <c r="AO232" s="8"/>
      <c r="AP232" s="8"/>
      <c r="AQ232" s="8">
        <v>28</v>
      </c>
    </row>
    <row r="233" spans="1:44">
      <c r="A233" s="8">
        <v>527</v>
      </c>
      <c r="B233" s="8" t="s">
        <v>65</v>
      </c>
      <c r="C233" s="8" t="s">
        <v>12</v>
      </c>
      <c r="D233" s="8" t="s">
        <v>6</v>
      </c>
      <c r="E233" s="8">
        <v>527</v>
      </c>
      <c r="F233" s="24"/>
      <c r="G233" s="5"/>
      <c r="H233" s="5"/>
      <c r="I233" s="5"/>
      <c r="J233" s="5"/>
      <c r="K233" s="5"/>
      <c r="L233" s="5"/>
      <c r="M233" s="25"/>
      <c r="N233" s="24"/>
      <c r="O233" s="5"/>
      <c r="P233" s="5"/>
      <c r="Q233" s="5"/>
      <c r="R233" s="5"/>
      <c r="S233" s="5"/>
      <c r="T233" s="5"/>
      <c r="U233" s="25"/>
      <c r="V233" s="24"/>
      <c r="W233" s="5"/>
      <c r="X233" s="5"/>
      <c r="Y233" s="5"/>
      <c r="Z233" s="5"/>
      <c r="AA233" s="5"/>
      <c r="AB233" s="5"/>
      <c r="AC233" s="25"/>
      <c r="AD233" s="24"/>
      <c r="AE233" s="5"/>
      <c r="AF233" s="5"/>
      <c r="AG233" s="5"/>
      <c r="AH233" s="5"/>
      <c r="AI233" s="5"/>
      <c r="AJ233" s="5"/>
      <c r="AK233" s="25"/>
      <c r="AL233" s="5">
        <v>527</v>
      </c>
      <c r="AM233" s="8">
        <v>1</v>
      </c>
      <c r="AN233" s="8"/>
      <c r="AO233" s="8"/>
      <c r="AP233" s="8"/>
      <c r="AQ233" s="8">
        <v>26</v>
      </c>
    </row>
    <row r="234" spans="1:44">
      <c r="A234" s="8">
        <v>528</v>
      </c>
      <c r="B234" s="8" t="s">
        <v>75</v>
      </c>
      <c r="C234" s="8" t="s">
        <v>12</v>
      </c>
      <c r="D234" s="8" t="s">
        <v>6</v>
      </c>
      <c r="E234" s="8">
        <v>528</v>
      </c>
      <c r="F234" s="24"/>
      <c r="G234" s="5"/>
      <c r="H234" s="5"/>
      <c r="I234" s="5"/>
      <c r="J234" s="5"/>
      <c r="K234" s="5"/>
      <c r="L234" s="5"/>
      <c r="M234" s="25"/>
      <c r="N234" s="24"/>
      <c r="O234" s="5"/>
      <c r="P234" s="5"/>
      <c r="Q234" s="5"/>
      <c r="R234" s="5"/>
      <c r="S234" s="5"/>
      <c r="T234" s="5"/>
      <c r="U234" s="25"/>
      <c r="V234" s="24"/>
      <c r="W234" s="5"/>
      <c r="X234" s="5">
        <v>1</v>
      </c>
      <c r="Y234" s="5"/>
      <c r="Z234" s="5"/>
      <c r="AA234" s="5"/>
      <c r="AB234" s="5"/>
      <c r="AC234" s="25"/>
      <c r="AD234" s="24"/>
      <c r="AE234" s="5"/>
      <c r="AF234" s="5"/>
      <c r="AG234" s="5"/>
      <c r="AH234" s="5"/>
      <c r="AI234" s="5"/>
      <c r="AJ234" s="5"/>
      <c r="AK234" s="25"/>
      <c r="AL234" s="5">
        <v>528</v>
      </c>
      <c r="AM234" s="8"/>
      <c r="AN234" s="8">
        <v>1</v>
      </c>
      <c r="AO234" s="8"/>
      <c r="AP234" s="8">
        <f>SUM(F234:AK234)</f>
        <v>1</v>
      </c>
      <c r="AQ234">
        <v>32</v>
      </c>
      <c r="AR234" s="76">
        <f>AP234/AQ234</f>
        <v>3.125E-2</v>
      </c>
    </row>
    <row r="235" spans="1:44">
      <c r="A235" s="8">
        <v>529</v>
      </c>
      <c r="B235" s="8" t="s">
        <v>62</v>
      </c>
      <c r="C235" s="8" t="s">
        <v>42</v>
      </c>
      <c r="D235" s="8" t="s">
        <v>42</v>
      </c>
      <c r="E235" s="8">
        <v>529</v>
      </c>
      <c r="F235" s="24"/>
      <c r="G235" s="5"/>
      <c r="H235" s="5"/>
      <c r="I235" s="5"/>
      <c r="J235" s="5"/>
      <c r="K235" s="5"/>
      <c r="L235" s="5"/>
      <c r="M235" s="25"/>
      <c r="N235" s="24"/>
      <c r="O235" s="5"/>
      <c r="P235" s="5"/>
      <c r="Q235" s="5"/>
      <c r="R235" s="5"/>
      <c r="S235" s="5"/>
      <c r="T235" s="5"/>
      <c r="U235" s="25"/>
      <c r="V235" s="24"/>
      <c r="W235" s="5"/>
      <c r="X235" s="5">
        <v>1</v>
      </c>
      <c r="Y235" s="5"/>
      <c r="Z235" s="5"/>
      <c r="AA235" s="5"/>
      <c r="AB235" s="5"/>
      <c r="AC235" s="25"/>
      <c r="AD235" s="24"/>
      <c r="AE235" s="5"/>
      <c r="AF235" s="5"/>
      <c r="AG235" s="5"/>
      <c r="AH235" s="5"/>
      <c r="AI235" s="5"/>
      <c r="AJ235" s="5"/>
      <c r="AK235" s="25"/>
      <c r="AL235" s="5">
        <v>529</v>
      </c>
      <c r="AM235" s="8"/>
      <c r="AN235" s="8">
        <v>1</v>
      </c>
      <c r="AO235" s="8"/>
      <c r="AP235" s="8">
        <f>SUM(F235:AK235)</f>
        <v>1</v>
      </c>
      <c r="AQ235">
        <v>28</v>
      </c>
      <c r="AR235" s="76">
        <f>AP235/AQ235</f>
        <v>3.5714285714285712E-2</v>
      </c>
    </row>
    <row r="236" spans="1:44">
      <c r="A236" s="8">
        <v>530</v>
      </c>
      <c r="B236" s="8" t="s">
        <v>63</v>
      </c>
      <c r="C236" s="8" t="s">
        <v>346</v>
      </c>
      <c r="D236" s="8"/>
      <c r="E236" s="8">
        <v>530</v>
      </c>
      <c r="F236" s="24"/>
      <c r="G236" s="5"/>
      <c r="H236" s="5"/>
      <c r="I236" s="5"/>
      <c r="J236" s="5"/>
      <c r="K236" s="5"/>
      <c r="L236" s="5"/>
      <c r="M236" s="25"/>
      <c r="N236" s="24"/>
      <c r="O236" s="5"/>
      <c r="P236" s="5"/>
      <c r="Q236" s="5"/>
      <c r="R236" s="5"/>
      <c r="S236" s="5"/>
      <c r="T236" s="5"/>
      <c r="U236" s="25"/>
      <c r="V236" s="24"/>
      <c r="W236" s="5"/>
      <c r="X236" s="5"/>
      <c r="Y236" s="5"/>
      <c r="Z236" s="5"/>
      <c r="AA236" s="5"/>
      <c r="AB236" s="5"/>
      <c r="AC236" s="25"/>
      <c r="AD236" s="24"/>
      <c r="AE236" s="5"/>
      <c r="AF236" s="5"/>
      <c r="AG236" s="5"/>
      <c r="AH236" s="5"/>
      <c r="AI236" s="5"/>
      <c r="AJ236" s="5"/>
      <c r="AK236" s="25"/>
      <c r="AL236" s="5">
        <v>530</v>
      </c>
      <c r="AM236" s="8">
        <v>1</v>
      </c>
      <c r="AN236" s="8"/>
      <c r="AO236" s="8"/>
      <c r="AP236" s="8"/>
      <c r="AQ236" s="8">
        <v>12</v>
      </c>
    </row>
    <row r="237" spans="1:44">
      <c r="A237" s="8">
        <v>531</v>
      </c>
      <c r="B237" s="8" t="s">
        <v>54</v>
      </c>
      <c r="C237" s="8" t="s">
        <v>345</v>
      </c>
      <c r="D237" s="8"/>
      <c r="E237" s="8">
        <v>531</v>
      </c>
      <c r="F237" s="24"/>
      <c r="G237" s="5"/>
      <c r="H237" s="5"/>
      <c r="I237" s="5"/>
      <c r="J237" s="5"/>
      <c r="K237" s="5"/>
      <c r="L237" s="5"/>
      <c r="M237" s="25"/>
      <c r="N237" s="24"/>
      <c r="O237" s="5"/>
      <c r="P237" s="5"/>
      <c r="Q237" s="5"/>
      <c r="R237" s="5"/>
      <c r="S237" s="5"/>
      <c r="T237" s="5"/>
      <c r="U237" s="25"/>
      <c r="V237" s="24"/>
      <c r="W237" s="5"/>
      <c r="X237" s="5"/>
      <c r="Y237" s="5"/>
      <c r="Z237" s="5"/>
      <c r="AA237" s="5"/>
      <c r="AB237" s="5"/>
      <c r="AC237" s="25"/>
      <c r="AD237" s="24"/>
      <c r="AE237" s="5"/>
      <c r="AF237" s="5"/>
      <c r="AG237" s="5"/>
      <c r="AH237" s="5"/>
      <c r="AI237" s="5"/>
      <c r="AJ237" s="5"/>
      <c r="AK237" s="25"/>
      <c r="AL237" s="5">
        <v>531</v>
      </c>
      <c r="AM237" s="8">
        <v>1</v>
      </c>
      <c r="AN237" s="8"/>
      <c r="AO237" s="8"/>
      <c r="AP237" s="8"/>
      <c r="AQ237" s="8">
        <v>8</v>
      </c>
    </row>
    <row r="238" spans="1:44">
      <c r="A238" s="8">
        <v>539</v>
      </c>
      <c r="B238" s="8" t="s">
        <v>240</v>
      </c>
      <c r="C238" s="8" t="s">
        <v>42</v>
      </c>
      <c r="D238" s="8" t="s">
        <v>42</v>
      </c>
      <c r="E238" s="8">
        <v>539</v>
      </c>
      <c r="F238" s="24"/>
      <c r="G238" s="5"/>
      <c r="H238" s="5"/>
      <c r="I238" s="5"/>
      <c r="J238" s="5"/>
      <c r="K238" s="5"/>
      <c r="L238" s="5"/>
      <c r="M238" s="25"/>
      <c r="N238" s="24"/>
      <c r="O238" s="5"/>
      <c r="P238" s="5"/>
      <c r="Q238" s="5"/>
      <c r="R238" s="5"/>
      <c r="S238" s="5"/>
      <c r="T238" s="5"/>
      <c r="U238" s="25"/>
      <c r="V238" s="24"/>
      <c r="W238" s="5"/>
      <c r="X238" s="5"/>
      <c r="Y238" s="5"/>
      <c r="Z238" s="5"/>
      <c r="AA238" s="5"/>
      <c r="AB238" s="5"/>
      <c r="AC238" s="25"/>
      <c r="AD238" s="24"/>
      <c r="AE238" s="5"/>
      <c r="AF238" s="5"/>
      <c r="AG238" s="5"/>
      <c r="AH238" s="5">
        <v>1</v>
      </c>
      <c r="AI238" s="5"/>
      <c r="AJ238" s="5"/>
      <c r="AK238" s="25"/>
      <c r="AL238" s="5">
        <v>539</v>
      </c>
      <c r="AM238" s="8"/>
      <c r="AN238" s="8">
        <v>1</v>
      </c>
      <c r="AO238" s="8"/>
      <c r="AP238" s="8">
        <f>SUM(F238:AK238)</f>
        <v>1</v>
      </c>
      <c r="AQ238">
        <v>32</v>
      </c>
      <c r="AR238" s="76">
        <f>AP238/AQ238</f>
        <v>3.125E-2</v>
      </c>
    </row>
    <row r="239" spans="1:44">
      <c r="A239" s="8">
        <v>540</v>
      </c>
      <c r="B239" s="8" t="s">
        <v>240</v>
      </c>
      <c r="C239" s="8" t="s">
        <v>42</v>
      </c>
      <c r="D239" s="8" t="s">
        <v>42</v>
      </c>
      <c r="E239" s="8">
        <v>540</v>
      </c>
      <c r="F239" s="24"/>
      <c r="G239" s="5"/>
      <c r="H239" s="5"/>
      <c r="I239" s="5"/>
      <c r="J239" s="5"/>
      <c r="K239" s="5"/>
      <c r="L239" s="5"/>
      <c r="M239" s="25"/>
      <c r="N239" s="24"/>
      <c r="O239" s="5"/>
      <c r="P239" s="5"/>
      <c r="Q239" s="5"/>
      <c r="R239" s="5"/>
      <c r="S239" s="5"/>
      <c r="T239" s="5"/>
      <c r="U239" s="25"/>
      <c r="V239" s="24"/>
      <c r="W239" s="5"/>
      <c r="X239" s="5"/>
      <c r="Y239" s="5"/>
      <c r="Z239" s="5"/>
      <c r="AA239" s="5"/>
      <c r="AB239" s="5"/>
      <c r="AC239" s="25"/>
      <c r="AD239" s="24"/>
      <c r="AE239" s="5"/>
      <c r="AF239" s="5"/>
      <c r="AG239" s="5"/>
      <c r="AH239" s="5"/>
      <c r="AI239" s="5"/>
      <c r="AJ239" s="5"/>
      <c r="AK239" s="25"/>
      <c r="AL239" s="5">
        <v>540</v>
      </c>
      <c r="AM239" s="8">
        <v>1</v>
      </c>
      <c r="AN239" s="8"/>
      <c r="AO239" s="8"/>
      <c r="AP239" s="8"/>
      <c r="AQ239" s="8">
        <v>31</v>
      </c>
    </row>
    <row r="240" spans="1:44">
      <c r="A240" s="8">
        <v>544</v>
      </c>
      <c r="B240" s="8" t="s">
        <v>54</v>
      </c>
      <c r="C240" s="8" t="s">
        <v>345</v>
      </c>
      <c r="D240" s="8"/>
      <c r="E240" s="8">
        <v>544</v>
      </c>
      <c r="F240" s="24"/>
      <c r="G240" s="5"/>
      <c r="H240" s="5"/>
      <c r="I240" s="5"/>
      <c r="J240" s="5"/>
      <c r="K240" s="5"/>
      <c r="L240" s="5"/>
      <c r="M240" s="25"/>
      <c r="N240" s="24"/>
      <c r="O240" s="5"/>
      <c r="P240" s="5"/>
      <c r="Q240" s="5"/>
      <c r="R240" s="5"/>
      <c r="S240" s="5"/>
      <c r="T240" s="5"/>
      <c r="U240" s="25"/>
      <c r="V240" s="24"/>
      <c r="W240" s="5"/>
      <c r="X240" s="5"/>
      <c r="Y240" s="5"/>
      <c r="Z240" s="5"/>
      <c r="AA240" s="5"/>
      <c r="AB240" s="5"/>
      <c r="AC240" s="25"/>
      <c r="AD240" s="24"/>
      <c r="AE240" s="5"/>
      <c r="AF240" s="5"/>
      <c r="AG240" s="5"/>
      <c r="AH240" s="5"/>
      <c r="AI240" s="5"/>
      <c r="AJ240" s="5"/>
      <c r="AK240" s="25"/>
      <c r="AL240" s="5">
        <v>544</v>
      </c>
      <c r="AM240" s="8">
        <v>1</v>
      </c>
      <c r="AN240" s="8"/>
      <c r="AO240" s="8"/>
      <c r="AP240" s="8"/>
      <c r="AQ240" s="8">
        <v>2</v>
      </c>
    </row>
    <row r="241" spans="1:44">
      <c r="A241" s="8">
        <v>547</v>
      </c>
      <c r="B241" s="8" t="s">
        <v>201</v>
      </c>
      <c r="C241" s="8" t="s">
        <v>357</v>
      </c>
      <c r="D241" s="8"/>
      <c r="E241" s="8">
        <v>547</v>
      </c>
      <c r="F241" s="24"/>
      <c r="G241" s="5"/>
      <c r="H241" s="5"/>
      <c r="I241" s="5"/>
      <c r="J241" s="5"/>
      <c r="K241" s="5"/>
      <c r="L241" s="5"/>
      <c r="M241" s="25"/>
      <c r="N241" s="24"/>
      <c r="O241" s="5"/>
      <c r="P241" s="5"/>
      <c r="Q241" s="5"/>
      <c r="R241" s="5"/>
      <c r="S241" s="5"/>
      <c r="T241" s="5"/>
      <c r="U241" s="25"/>
      <c r="V241" s="24"/>
      <c r="W241" s="5"/>
      <c r="X241" s="5"/>
      <c r="Y241" s="5"/>
      <c r="Z241" s="5"/>
      <c r="AA241" s="5"/>
      <c r="AB241" s="5"/>
      <c r="AC241" s="25"/>
      <c r="AD241" s="24"/>
      <c r="AE241" s="5"/>
      <c r="AF241" s="5"/>
      <c r="AG241" s="5"/>
      <c r="AH241" s="5"/>
      <c r="AI241" s="5"/>
      <c r="AJ241" s="5"/>
      <c r="AK241" s="25"/>
      <c r="AL241" s="5">
        <v>547</v>
      </c>
      <c r="AM241" s="8">
        <v>1</v>
      </c>
      <c r="AN241" s="8"/>
      <c r="AO241" s="8"/>
      <c r="AP241" s="8"/>
      <c r="AQ241" s="8">
        <v>28</v>
      </c>
    </row>
    <row r="242" spans="1:44">
      <c r="A242" s="8">
        <v>548</v>
      </c>
      <c r="B242" s="8" t="s">
        <v>56</v>
      </c>
      <c r="C242" s="8" t="s">
        <v>360</v>
      </c>
      <c r="D242" s="8"/>
      <c r="E242" s="8">
        <v>548</v>
      </c>
      <c r="F242" s="24"/>
      <c r="G242" s="5"/>
      <c r="H242" s="5"/>
      <c r="I242" s="5"/>
      <c r="J242" s="5"/>
      <c r="K242" s="5"/>
      <c r="L242" s="5"/>
      <c r="M242" s="25"/>
      <c r="N242" s="24"/>
      <c r="O242" s="5"/>
      <c r="P242" s="5"/>
      <c r="Q242" s="5"/>
      <c r="R242" s="5"/>
      <c r="S242" s="5"/>
      <c r="T242" s="5"/>
      <c r="U242" s="25"/>
      <c r="V242" s="24"/>
      <c r="W242" s="5"/>
      <c r="X242" s="5"/>
      <c r="Y242" s="5"/>
      <c r="Z242" s="5"/>
      <c r="AA242" s="5"/>
      <c r="AB242" s="5"/>
      <c r="AC242" s="25"/>
      <c r="AD242" s="24"/>
      <c r="AE242" s="5"/>
      <c r="AF242" s="5"/>
      <c r="AG242" s="5"/>
      <c r="AH242" s="5"/>
      <c r="AI242" s="5"/>
      <c r="AJ242" s="5"/>
      <c r="AK242" s="25"/>
      <c r="AL242" s="5">
        <v>548</v>
      </c>
      <c r="AM242" s="8">
        <v>1</v>
      </c>
      <c r="AN242" s="8"/>
      <c r="AO242" s="8"/>
      <c r="AP242" s="8"/>
      <c r="AQ242" s="8">
        <v>5</v>
      </c>
    </row>
    <row r="243" spans="1:44">
      <c r="A243" s="8">
        <v>551</v>
      </c>
      <c r="B243" s="8" t="s">
        <v>78</v>
      </c>
      <c r="C243" s="8" t="s">
        <v>359</v>
      </c>
      <c r="D243" s="8"/>
      <c r="E243" s="8">
        <v>551</v>
      </c>
      <c r="F243" s="24"/>
      <c r="G243" s="5"/>
      <c r="H243" s="5"/>
      <c r="I243" s="5"/>
      <c r="J243" s="5"/>
      <c r="K243" s="5"/>
      <c r="L243" s="5"/>
      <c r="M243" s="25"/>
      <c r="N243" s="24"/>
      <c r="O243" s="5"/>
      <c r="P243" s="5"/>
      <c r="Q243" s="5"/>
      <c r="R243" s="5"/>
      <c r="S243" s="5"/>
      <c r="T243" s="5"/>
      <c r="U243" s="25"/>
      <c r="V243" s="24"/>
      <c r="W243" s="5"/>
      <c r="X243" s="5"/>
      <c r="Y243" s="5"/>
      <c r="Z243" s="5"/>
      <c r="AA243" s="5"/>
      <c r="AB243" s="5"/>
      <c r="AC243" s="25"/>
      <c r="AD243" s="24"/>
      <c r="AE243" s="5"/>
      <c r="AF243" s="5"/>
      <c r="AG243" s="5"/>
      <c r="AH243" s="5"/>
      <c r="AI243" s="5"/>
      <c r="AJ243" s="5"/>
      <c r="AK243" s="25"/>
      <c r="AL243" s="5">
        <v>551</v>
      </c>
      <c r="AM243" s="8">
        <v>1</v>
      </c>
      <c r="AN243" s="8"/>
      <c r="AO243" s="8"/>
      <c r="AP243" s="8"/>
      <c r="AQ243" s="8">
        <v>22</v>
      </c>
    </row>
    <row r="244" spans="1:44">
      <c r="A244" s="8">
        <v>553</v>
      </c>
      <c r="B244" s="8" t="s">
        <v>106</v>
      </c>
      <c r="C244" s="8" t="s">
        <v>349</v>
      </c>
      <c r="D244" s="8" t="s">
        <v>6</v>
      </c>
      <c r="E244" s="8">
        <v>553</v>
      </c>
      <c r="F244" s="24"/>
      <c r="G244" s="5">
        <v>1</v>
      </c>
      <c r="H244" s="5">
        <v>1</v>
      </c>
      <c r="I244" s="5">
        <v>1</v>
      </c>
      <c r="J244" s="5">
        <v>1</v>
      </c>
      <c r="K244" s="5">
        <v>1</v>
      </c>
      <c r="L244" s="5">
        <v>1</v>
      </c>
      <c r="M244" s="25"/>
      <c r="N244" s="24"/>
      <c r="O244" s="5"/>
      <c r="P244" s="5"/>
      <c r="Q244" s="5"/>
      <c r="R244" s="5"/>
      <c r="S244" s="5">
        <v>1</v>
      </c>
      <c r="T244" s="5">
        <v>1</v>
      </c>
      <c r="U244" s="25"/>
      <c r="V244" s="24"/>
      <c r="W244" s="5">
        <v>1</v>
      </c>
      <c r="X244" s="5">
        <v>1</v>
      </c>
      <c r="Y244" s="5">
        <v>1</v>
      </c>
      <c r="Z244" s="5">
        <v>1</v>
      </c>
      <c r="AA244" s="5">
        <v>1</v>
      </c>
      <c r="AB244" s="5">
        <v>1</v>
      </c>
      <c r="AC244" s="25">
        <v>1</v>
      </c>
      <c r="AD244" s="24">
        <v>1</v>
      </c>
      <c r="AE244" s="5">
        <v>1</v>
      </c>
      <c r="AF244" s="5">
        <v>1</v>
      </c>
      <c r="AG244" s="5">
        <v>1</v>
      </c>
      <c r="AH244" s="5">
        <v>1</v>
      </c>
      <c r="AI244" s="5">
        <v>1</v>
      </c>
      <c r="AJ244" s="5">
        <v>1</v>
      </c>
      <c r="AK244" s="25"/>
      <c r="AL244" s="5">
        <v>553</v>
      </c>
      <c r="AM244" s="8"/>
      <c r="AN244" s="8">
        <v>1</v>
      </c>
      <c r="AO244" s="8"/>
      <c r="AP244" s="8">
        <f>SUM(F244:AK244)</f>
        <v>22</v>
      </c>
      <c r="AQ244">
        <v>28</v>
      </c>
      <c r="AR244" s="76">
        <f>AP244/AQ244</f>
        <v>0.7857142857142857</v>
      </c>
    </row>
    <row r="245" spans="1:44">
      <c r="A245" s="8">
        <v>555</v>
      </c>
      <c r="B245" s="8" t="s">
        <v>73</v>
      </c>
      <c r="C245" s="8" t="s">
        <v>165</v>
      </c>
      <c r="D245" s="8" t="s">
        <v>42</v>
      </c>
      <c r="E245" s="8">
        <v>555</v>
      </c>
      <c r="F245" s="24"/>
      <c r="G245" s="5"/>
      <c r="H245" s="5"/>
      <c r="I245" s="5"/>
      <c r="J245" s="5"/>
      <c r="K245" s="5"/>
      <c r="L245" s="5">
        <v>1</v>
      </c>
      <c r="M245" s="25"/>
      <c r="N245" s="24"/>
      <c r="O245" s="5">
        <v>1</v>
      </c>
      <c r="P245" s="5">
        <v>1</v>
      </c>
      <c r="Q245" s="5">
        <v>1</v>
      </c>
      <c r="R245" s="5"/>
      <c r="S245" s="5"/>
      <c r="T245" s="5"/>
      <c r="U245" s="25"/>
      <c r="V245" s="24"/>
      <c r="W245" s="5"/>
      <c r="X245" s="5"/>
      <c r="Y245" s="5"/>
      <c r="Z245" s="5"/>
      <c r="AA245" s="5"/>
      <c r="AB245" s="5"/>
      <c r="AC245" s="25"/>
      <c r="AD245" s="24"/>
      <c r="AE245" s="5"/>
      <c r="AF245" s="5"/>
      <c r="AG245" s="5"/>
      <c r="AH245" s="5"/>
      <c r="AI245" s="5"/>
      <c r="AJ245" s="5"/>
      <c r="AK245" s="25"/>
      <c r="AL245" s="5">
        <v>555</v>
      </c>
      <c r="AM245" s="8"/>
      <c r="AN245" s="8">
        <v>1</v>
      </c>
      <c r="AO245" s="8"/>
      <c r="AP245" s="8">
        <f>SUM(F245:AK245)</f>
        <v>4</v>
      </c>
      <c r="AQ245">
        <v>28</v>
      </c>
      <c r="AR245" s="76">
        <f>AP245/AQ245</f>
        <v>0.14285714285714285</v>
      </c>
    </row>
    <row r="246" spans="1:44">
      <c r="A246" s="8">
        <v>559</v>
      </c>
      <c r="B246" s="8" t="s">
        <v>74</v>
      </c>
      <c r="C246" s="8" t="s">
        <v>346</v>
      </c>
      <c r="D246" s="8"/>
      <c r="E246" s="8">
        <v>559</v>
      </c>
      <c r="F246" s="24"/>
      <c r="G246" s="5"/>
      <c r="H246" s="5"/>
      <c r="I246" s="5"/>
      <c r="J246" s="5"/>
      <c r="K246" s="5"/>
      <c r="L246" s="5"/>
      <c r="M246" s="25"/>
      <c r="N246" s="24"/>
      <c r="O246" s="5"/>
      <c r="P246" s="5"/>
      <c r="Q246" s="5"/>
      <c r="R246" s="5"/>
      <c r="S246" s="5"/>
      <c r="T246" s="5"/>
      <c r="U246" s="25"/>
      <c r="V246" s="24"/>
      <c r="W246" s="5"/>
      <c r="X246" s="5"/>
      <c r="Y246" s="5"/>
      <c r="Z246" s="5"/>
      <c r="AA246" s="5"/>
      <c r="AB246" s="5"/>
      <c r="AC246" s="25"/>
      <c r="AD246" s="24"/>
      <c r="AE246" s="5"/>
      <c r="AF246" s="5"/>
      <c r="AG246" s="5"/>
      <c r="AH246" s="5"/>
      <c r="AI246" s="5"/>
      <c r="AJ246" s="5"/>
      <c r="AK246" s="25"/>
      <c r="AL246" s="5">
        <v>559</v>
      </c>
      <c r="AM246" s="8">
        <v>1</v>
      </c>
      <c r="AN246" s="8"/>
      <c r="AO246" s="8"/>
      <c r="AP246" s="8"/>
      <c r="AQ246" s="8">
        <v>16</v>
      </c>
    </row>
    <row r="247" spans="1:44">
      <c r="A247" s="8">
        <v>563</v>
      </c>
      <c r="B247" s="8" t="s">
        <v>80</v>
      </c>
      <c r="C247" s="8" t="s">
        <v>346</v>
      </c>
      <c r="D247" s="8"/>
      <c r="E247" s="8">
        <v>563</v>
      </c>
      <c r="F247" s="24"/>
      <c r="G247" s="5"/>
      <c r="H247" s="5"/>
      <c r="I247" s="5"/>
      <c r="J247" s="5"/>
      <c r="K247" s="5"/>
      <c r="L247" s="5"/>
      <c r="M247" s="25"/>
      <c r="N247" s="24"/>
      <c r="O247" s="5"/>
      <c r="P247" s="5"/>
      <c r="Q247" s="5"/>
      <c r="R247" s="5"/>
      <c r="S247" s="5"/>
      <c r="T247" s="5"/>
      <c r="U247" s="25"/>
      <c r="V247" s="24"/>
      <c r="W247" s="5"/>
      <c r="X247" s="5"/>
      <c r="Y247" s="5"/>
      <c r="Z247" s="5"/>
      <c r="AA247" s="5"/>
      <c r="AB247" s="5"/>
      <c r="AC247" s="25"/>
      <c r="AD247" s="24"/>
      <c r="AE247" s="5"/>
      <c r="AF247" s="5"/>
      <c r="AG247" s="5"/>
      <c r="AH247" s="5"/>
      <c r="AI247" s="5"/>
      <c r="AJ247" s="5"/>
      <c r="AK247" s="25"/>
      <c r="AL247" s="5">
        <v>563</v>
      </c>
      <c r="AM247" s="8">
        <v>1</v>
      </c>
      <c r="AN247" s="8"/>
      <c r="AO247" s="8"/>
      <c r="AP247" s="8"/>
      <c r="AQ247" s="8">
        <v>20</v>
      </c>
    </row>
    <row r="248" spans="1:44">
      <c r="A248" s="8">
        <v>564</v>
      </c>
      <c r="B248" s="8" t="s">
        <v>62</v>
      </c>
      <c r="C248" s="8" t="s">
        <v>42</v>
      </c>
      <c r="D248" s="8" t="s">
        <v>6</v>
      </c>
      <c r="E248" s="8">
        <v>564</v>
      </c>
      <c r="F248" s="24"/>
      <c r="G248" s="5"/>
      <c r="H248" s="5">
        <v>1</v>
      </c>
      <c r="I248" s="5">
        <v>1</v>
      </c>
      <c r="J248" s="5"/>
      <c r="K248" s="5"/>
      <c r="L248" s="5"/>
      <c r="M248" s="25"/>
      <c r="N248" s="24"/>
      <c r="O248" s="5"/>
      <c r="P248" s="5"/>
      <c r="Q248" s="5"/>
      <c r="R248" s="5"/>
      <c r="S248" s="5"/>
      <c r="T248" s="5"/>
      <c r="U248" s="25"/>
      <c r="V248" s="24"/>
      <c r="W248" s="5"/>
      <c r="X248" s="5">
        <v>1</v>
      </c>
      <c r="Y248" s="5"/>
      <c r="Z248" s="5"/>
      <c r="AA248" s="5"/>
      <c r="AB248" s="5"/>
      <c r="AC248" s="25"/>
      <c r="AD248" s="24"/>
      <c r="AE248" s="5"/>
      <c r="AF248" s="5"/>
      <c r="AG248" s="5"/>
      <c r="AH248" s="5"/>
      <c r="AI248" s="5"/>
      <c r="AJ248" s="5"/>
      <c r="AK248" s="25"/>
      <c r="AL248" s="5">
        <v>564</v>
      </c>
      <c r="AM248" s="8"/>
      <c r="AN248" s="8">
        <v>1</v>
      </c>
      <c r="AO248" s="8"/>
      <c r="AP248" s="8">
        <f>SUM(F248:AK248)</f>
        <v>3</v>
      </c>
      <c r="AQ248">
        <v>32</v>
      </c>
      <c r="AR248" s="76">
        <f>AP248/AQ248</f>
        <v>9.375E-2</v>
      </c>
    </row>
    <row r="249" spans="1:44">
      <c r="A249" s="8">
        <v>567</v>
      </c>
      <c r="B249" s="8" t="s">
        <v>56</v>
      </c>
      <c r="C249" s="8" t="s">
        <v>360</v>
      </c>
      <c r="D249" s="8"/>
      <c r="E249" s="8">
        <v>567</v>
      </c>
      <c r="F249" s="24"/>
      <c r="G249" s="5"/>
      <c r="H249" s="5"/>
      <c r="I249" s="5"/>
      <c r="J249" s="5"/>
      <c r="K249" s="5"/>
      <c r="L249" s="5"/>
      <c r="M249" s="25"/>
      <c r="N249" s="24"/>
      <c r="O249" s="5"/>
      <c r="P249" s="5"/>
      <c r="Q249" s="5"/>
      <c r="R249" s="5"/>
      <c r="S249" s="5"/>
      <c r="T249" s="5"/>
      <c r="U249" s="25"/>
      <c r="V249" s="24"/>
      <c r="W249" s="5"/>
      <c r="X249" s="5"/>
      <c r="Y249" s="5"/>
      <c r="Z249" s="5"/>
      <c r="AA249" s="5"/>
      <c r="AB249" s="5"/>
      <c r="AC249" s="25"/>
      <c r="AD249" s="24"/>
      <c r="AE249" s="5"/>
      <c r="AF249" s="5"/>
      <c r="AG249" s="5"/>
      <c r="AH249" s="5"/>
      <c r="AI249" s="5"/>
      <c r="AJ249" s="5"/>
      <c r="AK249" s="25"/>
      <c r="AL249" s="5">
        <v>567</v>
      </c>
      <c r="AM249" s="8">
        <v>1</v>
      </c>
      <c r="AN249" s="8"/>
      <c r="AO249" s="8"/>
      <c r="AP249" s="8"/>
      <c r="AQ249" s="8">
        <v>3</v>
      </c>
    </row>
    <row r="250" spans="1:44">
      <c r="A250" s="8">
        <v>568</v>
      </c>
      <c r="B250" s="8" t="s">
        <v>65</v>
      </c>
      <c r="C250" s="8" t="s">
        <v>12</v>
      </c>
      <c r="D250" s="8" t="s">
        <v>42</v>
      </c>
      <c r="E250" s="8">
        <v>568</v>
      </c>
      <c r="F250" s="24"/>
      <c r="G250" s="5"/>
      <c r="H250" s="5"/>
      <c r="I250" s="5"/>
      <c r="J250" s="5"/>
      <c r="K250" s="5"/>
      <c r="L250" s="5"/>
      <c r="M250" s="25"/>
      <c r="N250" s="24"/>
      <c r="O250" s="5"/>
      <c r="P250" s="5"/>
      <c r="Q250" s="5"/>
      <c r="R250" s="5"/>
      <c r="S250" s="5"/>
      <c r="T250" s="5"/>
      <c r="U250" s="25"/>
      <c r="V250" s="24"/>
      <c r="W250" s="5"/>
      <c r="X250" s="5"/>
      <c r="Y250" s="5"/>
      <c r="Z250" s="5"/>
      <c r="AA250" s="5"/>
      <c r="AB250" s="5"/>
      <c r="AC250" s="25"/>
      <c r="AD250" s="24"/>
      <c r="AE250" s="5"/>
      <c r="AF250" s="5"/>
      <c r="AG250" s="5"/>
      <c r="AH250" s="5"/>
      <c r="AI250" s="5"/>
      <c r="AJ250" s="5"/>
      <c r="AK250" s="25"/>
      <c r="AL250" s="5">
        <v>568</v>
      </c>
      <c r="AM250" s="8">
        <v>1</v>
      </c>
      <c r="AN250" s="8"/>
      <c r="AO250" s="8"/>
      <c r="AP250" s="8"/>
      <c r="AQ250" s="8">
        <v>29</v>
      </c>
    </row>
    <row r="251" spans="1:44">
      <c r="A251" s="8">
        <v>569</v>
      </c>
      <c r="B251" s="8" t="s">
        <v>59</v>
      </c>
      <c r="C251" s="8" t="s">
        <v>346</v>
      </c>
      <c r="D251" s="8"/>
      <c r="E251" s="8">
        <v>569</v>
      </c>
      <c r="F251" s="24"/>
      <c r="G251" s="5"/>
      <c r="H251" s="5"/>
      <c r="I251" s="5"/>
      <c r="J251" s="5"/>
      <c r="K251" s="5"/>
      <c r="L251" s="5"/>
      <c r="M251" s="25"/>
      <c r="N251" s="24"/>
      <c r="O251" s="5"/>
      <c r="P251" s="5"/>
      <c r="Q251" s="5"/>
      <c r="R251" s="5"/>
      <c r="S251" s="5"/>
      <c r="T251" s="5"/>
      <c r="U251" s="25"/>
      <c r="V251" s="24"/>
      <c r="W251" s="5"/>
      <c r="X251" s="5"/>
      <c r="Y251" s="5"/>
      <c r="Z251" s="5"/>
      <c r="AA251" s="5"/>
      <c r="AB251" s="5"/>
      <c r="AC251" s="25"/>
      <c r="AD251" s="24"/>
      <c r="AE251" s="5"/>
      <c r="AF251" s="5"/>
      <c r="AG251" s="5"/>
      <c r="AH251" s="5"/>
      <c r="AI251" s="5"/>
      <c r="AJ251" s="5"/>
      <c r="AK251" s="25"/>
      <c r="AL251" s="5">
        <v>569</v>
      </c>
      <c r="AM251" s="8">
        <v>1</v>
      </c>
      <c r="AN251" s="8"/>
      <c r="AO251" s="8"/>
      <c r="AP251" s="8"/>
      <c r="AQ251" s="8">
        <v>20</v>
      </c>
    </row>
    <row r="252" spans="1:44">
      <c r="A252" s="8">
        <v>570</v>
      </c>
      <c r="B252" s="8" t="s">
        <v>73</v>
      </c>
      <c r="C252" s="8" t="s">
        <v>165</v>
      </c>
      <c r="D252" s="8" t="s">
        <v>6</v>
      </c>
      <c r="E252" s="8">
        <v>570</v>
      </c>
      <c r="F252" s="24"/>
      <c r="G252" s="5"/>
      <c r="H252" s="5"/>
      <c r="I252" s="5"/>
      <c r="J252" s="5"/>
      <c r="K252" s="5"/>
      <c r="L252" s="5"/>
      <c r="M252" s="25"/>
      <c r="N252" s="24"/>
      <c r="O252" s="5"/>
      <c r="P252" s="5"/>
      <c r="Q252" s="5"/>
      <c r="R252" s="5"/>
      <c r="S252" s="5"/>
      <c r="T252" s="5"/>
      <c r="U252" s="25"/>
      <c r="V252" s="24"/>
      <c r="W252" s="5"/>
      <c r="X252" s="5"/>
      <c r="Y252" s="5"/>
      <c r="Z252" s="5"/>
      <c r="AA252" s="5"/>
      <c r="AB252" s="5"/>
      <c r="AC252" s="25"/>
      <c r="AD252" s="24"/>
      <c r="AE252" s="5"/>
      <c r="AF252" s="5"/>
      <c r="AG252" s="5"/>
      <c r="AH252" s="5"/>
      <c r="AI252" s="5">
        <v>1</v>
      </c>
      <c r="AJ252" s="5"/>
      <c r="AK252" s="25"/>
      <c r="AL252" s="5">
        <v>570</v>
      </c>
      <c r="AM252" s="8"/>
      <c r="AN252" s="8">
        <v>1</v>
      </c>
      <c r="AO252" s="8"/>
      <c r="AP252" s="8">
        <f>SUM(F252:AK252)</f>
        <v>1</v>
      </c>
      <c r="AQ252">
        <v>28</v>
      </c>
      <c r="AR252" s="76">
        <f>AP252/AQ252</f>
        <v>3.5714285714285712E-2</v>
      </c>
    </row>
    <row r="253" spans="1:44">
      <c r="A253" s="8">
        <v>571</v>
      </c>
      <c r="B253" s="8" t="s">
        <v>62</v>
      </c>
      <c r="C253" s="8" t="s">
        <v>42</v>
      </c>
      <c r="D253" s="8" t="s">
        <v>6</v>
      </c>
      <c r="E253" s="8">
        <v>571</v>
      </c>
      <c r="F253" s="24"/>
      <c r="G253" s="5"/>
      <c r="H253" s="5"/>
      <c r="I253" s="5"/>
      <c r="J253" s="5"/>
      <c r="K253" s="5"/>
      <c r="L253" s="5"/>
      <c r="M253" s="25"/>
      <c r="N253" s="24">
        <v>1</v>
      </c>
      <c r="O253" s="5"/>
      <c r="P253" s="5"/>
      <c r="Q253" s="5"/>
      <c r="R253" s="5"/>
      <c r="S253" s="5"/>
      <c r="T253" s="5"/>
      <c r="U253" s="25"/>
      <c r="V253" s="24"/>
      <c r="W253" s="5"/>
      <c r="X253" s="5"/>
      <c r="Y253" s="5"/>
      <c r="Z253" s="5"/>
      <c r="AA253" s="5"/>
      <c r="AB253" s="5"/>
      <c r="AC253" s="25"/>
      <c r="AD253" s="24"/>
      <c r="AE253" s="5"/>
      <c r="AF253" s="5"/>
      <c r="AG253" s="5"/>
      <c r="AH253" s="5"/>
      <c r="AI253" s="5"/>
      <c r="AJ253" s="5"/>
      <c r="AK253" s="25"/>
      <c r="AL253" s="5">
        <v>571</v>
      </c>
      <c r="AM253" s="8"/>
      <c r="AN253" s="8">
        <v>1</v>
      </c>
      <c r="AO253" s="8"/>
      <c r="AP253" s="8">
        <f>SUM(F253:AK253)</f>
        <v>1</v>
      </c>
      <c r="AQ253">
        <v>32</v>
      </c>
      <c r="AR253" s="76">
        <f>AP253/AQ253</f>
        <v>3.125E-2</v>
      </c>
    </row>
    <row r="254" spans="1:44">
      <c r="A254" s="8">
        <v>572</v>
      </c>
      <c r="B254" s="8" t="s">
        <v>74</v>
      </c>
      <c r="C254" s="8" t="s">
        <v>346</v>
      </c>
      <c r="D254" s="8"/>
      <c r="E254" s="8">
        <v>572</v>
      </c>
      <c r="F254" s="24"/>
      <c r="G254" s="5"/>
      <c r="H254" s="5"/>
      <c r="I254" s="5"/>
      <c r="J254" s="5"/>
      <c r="K254" s="5"/>
      <c r="L254" s="5"/>
      <c r="M254" s="25"/>
      <c r="N254" s="24"/>
      <c r="O254" s="5"/>
      <c r="P254" s="5"/>
      <c r="Q254" s="5"/>
      <c r="R254" s="5"/>
      <c r="S254" s="5"/>
      <c r="T254" s="5"/>
      <c r="U254" s="25"/>
      <c r="V254" s="24"/>
      <c r="W254" s="5"/>
      <c r="X254" s="5"/>
      <c r="Y254" s="5"/>
      <c r="Z254" s="5"/>
      <c r="AA254" s="5"/>
      <c r="AB254" s="5"/>
      <c r="AC254" s="25"/>
      <c r="AD254" s="24"/>
      <c r="AE254" s="5"/>
      <c r="AF254" s="5"/>
      <c r="AG254" s="5"/>
      <c r="AH254" s="5"/>
      <c r="AI254" s="5"/>
      <c r="AJ254" s="5"/>
      <c r="AK254" s="25"/>
      <c r="AL254" s="5">
        <v>572</v>
      </c>
      <c r="AM254" s="8">
        <v>1</v>
      </c>
      <c r="AN254" s="8"/>
      <c r="AO254" s="8"/>
      <c r="AP254" s="8"/>
      <c r="AQ254" s="8">
        <v>21</v>
      </c>
    </row>
    <row r="255" spans="1:44">
      <c r="A255" s="60" t="s">
        <v>342</v>
      </c>
      <c r="B255" s="60"/>
      <c r="C255" s="60"/>
      <c r="D255" s="60"/>
      <c r="E255" s="60" t="s">
        <v>342</v>
      </c>
      <c r="F255" s="151">
        <f t="shared" ref="F255:AK255" si="0">COUNT(F4:F254)</f>
        <v>2</v>
      </c>
      <c r="G255" s="152">
        <f t="shared" si="0"/>
        <v>19</v>
      </c>
      <c r="H255" s="152">
        <f t="shared" si="0"/>
        <v>19</v>
      </c>
      <c r="I255" s="152">
        <f t="shared" si="0"/>
        <v>12</v>
      </c>
      <c r="J255" s="152">
        <f t="shared" si="0"/>
        <v>11</v>
      </c>
      <c r="K255" s="152">
        <f t="shared" si="0"/>
        <v>6</v>
      </c>
      <c r="L255" s="152">
        <f t="shared" si="0"/>
        <v>9</v>
      </c>
      <c r="M255" s="153">
        <f t="shared" si="0"/>
        <v>9</v>
      </c>
      <c r="N255" s="151">
        <f t="shared" si="0"/>
        <v>10</v>
      </c>
      <c r="O255" s="152">
        <f t="shared" si="0"/>
        <v>7</v>
      </c>
      <c r="P255" s="152">
        <f t="shared" si="0"/>
        <v>5</v>
      </c>
      <c r="Q255" s="152">
        <f t="shared" si="0"/>
        <v>10</v>
      </c>
      <c r="R255" s="152">
        <f t="shared" si="0"/>
        <v>12</v>
      </c>
      <c r="S255" s="152">
        <f t="shared" si="0"/>
        <v>25</v>
      </c>
      <c r="T255" s="152">
        <f t="shared" si="0"/>
        <v>15</v>
      </c>
      <c r="U255" s="153">
        <f t="shared" si="0"/>
        <v>1</v>
      </c>
      <c r="V255" s="151">
        <f t="shared" si="0"/>
        <v>6</v>
      </c>
      <c r="W255" s="154">
        <f t="shared" si="0"/>
        <v>30</v>
      </c>
      <c r="X255" s="152">
        <f t="shared" si="0"/>
        <v>33</v>
      </c>
      <c r="Y255" s="152">
        <f t="shared" si="0"/>
        <v>18</v>
      </c>
      <c r="Z255" s="154">
        <f t="shared" si="0"/>
        <v>7</v>
      </c>
      <c r="AA255" s="152">
        <f t="shared" si="0"/>
        <v>4</v>
      </c>
      <c r="AB255" s="152">
        <f t="shared" si="0"/>
        <v>4</v>
      </c>
      <c r="AC255" s="155">
        <f t="shared" si="0"/>
        <v>7</v>
      </c>
      <c r="AD255" s="151">
        <f t="shared" si="0"/>
        <v>10</v>
      </c>
      <c r="AE255" s="152">
        <f t="shared" si="0"/>
        <v>5</v>
      </c>
      <c r="AF255" s="152">
        <f t="shared" si="0"/>
        <v>2</v>
      </c>
      <c r="AG255" s="152">
        <f t="shared" si="0"/>
        <v>4</v>
      </c>
      <c r="AH255" s="152">
        <f t="shared" si="0"/>
        <v>15</v>
      </c>
      <c r="AI255" s="152">
        <f t="shared" si="0"/>
        <v>40</v>
      </c>
      <c r="AJ255" s="152">
        <f t="shared" si="0"/>
        <v>36</v>
      </c>
      <c r="AK255" s="153">
        <f t="shared" si="0"/>
        <v>6</v>
      </c>
      <c r="AL255" s="60" t="s">
        <v>342</v>
      </c>
      <c r="AM255" s="60">
        <f>COUNT(AM4:AM254)</f>
        <v>172</v>
      </c>
      <c r="AN255" s="60">
        <f>SUM(AN4:AN254)</f>
        <v>79</v>
      </c>
      <c r="AO255" s="60"/>
      <c r="AP255" s="60">
        <f>SUM(AP4:AP254)</f>
        <v>399</v>
      </c>
      <c r="AQ255" s="60">
        <f>SUM(AQ4:AQ254)</f>
        <v>5992</v>
      </c>
      <c r="AR255" s="156">
        <f>AP255/AQ255</f>
        <v>6.6588785046728965E-2</v>
      </c>
    </row>
    <row r="256" spans="1:44" s="67" customFormat="1">
      <c r="A256" s="8"/>
      <c r="B256" s="8"/>
      <c r="C256" s="8"/>
      <c r="D256" s="8"/>
      <c r="E256" s="8"/>
      <c r="F256" s="439">
        <f>SUM(F255:H255)</f>
        <v>40</v>
      </c>
      <c r="G256" s="425"/>
      <c r="H256" s="425"/>
      <c r="I256" s="426">
        <f>SUM(I255:J255)</f>
        <v>23</v>
      </c>
      <c r="J256" s="426"/>
      <c r="K256" s="78">
        <f>K255</f>
        <v>6</v>
      </c>
      <c r="L256" s="427">
        <f>SUM(L255:M255)</f>
        <v>18</v>
      </c>
      <c r="M256" s="440"/>
      <c r="N256" s="441">
        <f>SUM(N255:O255)</f>
        <v>17</v>
      </c>
      <c r="O256" s="427"/>
      <c r="P256" s="78">
        <f>P255</f>
        <v>5</v>
      </c>
      <c r="Q256" s="426">
        <f>SUM(Q255:R255)</f>
        <v>22</v>
      </c>
      <c r="R256" s="426"/>
      <c r="S256" s="425">
        <f>SUM(S255:U255)</f>
        <v>41</v>
      </c>
      <c r="T256" s="425"/>
      <c r="U256" s="425"/>
      <c r="V256" s="439">
        <f>SUM(V255:X255)</f>
        <v>69</v>
      </c>
      <c r="W256" s="425"/>
      <c r="X256" s="425"/>
      <c r="Y256" s="426">
        <f>SUM(Y255:Z255)</f>
        <v>25</v>
      </c>
      <c r="Z256" s="426"/>
      <c r="AA256" s="78">
        <f>AA255</f>
        <v>4</v>
      </c>
      <c r="AB256" s="427">
        <f>SUM(AB255:AC255)</f>
        <v>11</v>
      </c>
      <c r="AC256" s="440"/>
      <c r="AD256" s="441">
        <f>SUM(AD255:AE255)</f>
        <v>15</v>
      </c>
      <c r="AE256" s="427"/>
      <c r="AF256" s="78">
        <f>AF255</f>
        <v>2</v>
      </c>
      <c r="AG256" s="426">
        <f>SUM(AG255:AH255)</f>
        <v>19</v>
      </c>
      <c r="AH256" s="426"/>
      <c r="AI256" s="425">
        <f>SUM(AI255:AK255)</f>
        <v>82</v>
      </c>
      <c r="AJ256" s="425"/>
      <c r="AK256" s="425"/>
      <c r="AL256" s="8"/>
      <c r="AM256" s="8"/>
      <c r="AN256" s="8"/>
      <c r="AO256" s="8"/>
      <c r="AP256" s="8"/>
      <c r="AQ256" s="8"/>
      <c r="AR256" s="77"/>
    </row>
    <row r="257" spans="6:44">
      <c r="F257" s="434">
        <f>SUM(F255:M255)</f>
        <v>87</v>
      </c>
      <c r="G257" s="435"/>
      <c r="H257" s="435"/>
      <c r="I257" s="435"/>
      <c r="J257" s="435"/>
      <c r="K257" s="435"/>
      <c r="L257" s="435"/>
      <c r="M257" s="436"/>
      <c r="N257" s="434">
        <f>SUM(N255:U255)</f>
        <v>85</v>
      </c>
      <c r="O257" s="435"/>
      <c r="P257" s="435"/>
      <c r="Q257" s="435"/>
      <c r="R257" s="435"/>
      <c r="S257" s="435"/>
      <c r="T257" s="435"/>
      <c r="U257" s="436"/>
      <c r="V257" s="448">
        <f>SUM(V255:AC255)</f>
        <v>109</v>
      </c>
      <c r="W257" s="449"/>
      <c r="X257" s="449"/>
      <c r="Y257" s="449"/>
      <c r="Z257" s="449"/>
      <c r="AA257" s="449"/>
      <c r="AB257" s="449"/>
      <c r="AC257" s="450"/>
      <c r="AD257" s="434">
        <f>SUM(AD255:AK255)</f>
        <v>118</v>
      </c>
      <c r="AE257" s="435"/>
      <c r="AF257" s="435"/>
      <c r="AG257" s="435"/>
      <c r="AH257" s="435"/>
      <c r="AI257" s="435"/>
      <c r="AJ257" s="435"/>
      <c r="AK257" s="436"/>
      <c r="AP257" s="90"/>
      <c r="AQ257" s="90"/>
      <c r="AR257" s="77"/>
    </row>
    <row r="258" spans="6:44">
      <c r="F258" s="442">
        <f>SUM(F257,N257)</f>
        <v>172</v>
      </c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4"/>
      <c r="V258" s="442">
        <f>SUM(V257,AD257)</f>
        <v>227</v>
      </c>
      <c r="W258" s="443"/>
      <c r="X258" s="443"/>
      <c r="Y258" s="443"/>
      <c r="Z258" s="443"/>
      <c r="AA258" s="443"/>
      <c r="AB258" s="443"/>
      <c r="AC258" s="443"/>
      <c r="AD258" s="443"/>
      <c r="AE258" s="443"/>
      <c r="AF258" s="443"/>
      <c r="AG258" s="443"/>
      <c r="AH258" s="443"/>
      <c r="AI258" s="443"/>
      <c r="AJ258" s="443"/>
      <c r="AK258" s="444"/>
    </row>
    <row r="259" spans="6:44">
      <c r="F259" s="442">
        <f>SUM(F258,V258)</f>
        <v>399</v>
      </c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  <c r="AA259" s="443"/>
      <c r="AB259" s="443"/>
      <c r="AC259" s="443"/>
      <c r="AD259" s="443"/>
      <c r="AE259" s="443"/>
      <c r="AF259" s="443"/>
      <c r="AG259" s="443"/>
      <c r="AH259" s="443"/>
      <c r="AI259" s="443"/>
      <c r="AJ259" s="443"/>
      <c r="AK259" s="444"/>
    </row>
    <row r="260" spans="6:44">
      <c r="F260" s="425">
        <f>SUM(F255:H255,S255:X255,AI255:AK255)</f>
        <v>232</v>
      </c>
      <c r="G260" s="425"/>
      <c r="H260" s="425"/>
      <c r="I260" s="426">
        <f>SUM(I255:J255,Q255:R255,Y255:Z255,AG255:AH255)</f>
        <v>89</v>
      </c>
      <c r="J260" s="426"/>
      <c r="K260" s="78">
        <f>SUM(K255,P255,AA255,AF255)</f>
        <v>17</v>
      </c>
      <c r="L260" s="427">
        <f>SUM(L255:O255,AB255:AE255)</f>
        <v>61</v>
      </c>
      <c r="M260" s="427"/>
    </row>
    <row r="261" spans="6:44">
      <c r="F261" s="437"/>
      <c r="G261" s="437"/>
    </row>
    <row r="262" spans="6:44">
      <c r="F262" s="437"/>
      <c r="G262" s="437"/>
    </row>
    <row r="263" spans="6:44">
      <c r="F263" s="437"/>
      <c r="G263" s="437"/>
    </row>
    <row r="264" spans="6:44">
      <c r="F264" s="451"/>
      <c r="G264" s="451"/>
    </row>
    <row r="265" spans="6:44">
      <c r="F265" s="451"/>
      <c r="G265" s="451"/>
    </row>
  </sheetData>
  <mergeCells count="31">
    <mergeCell ref="AI256:AK256"/>
    <mergeCell ref="V256:X256"/>
    <mergeCell ref="S256:U256"/>
    <mergeCell ref="F256:H256"/>
    <mergeCell ref="F264:G264"/>
    <mergeCell ref="F265:G265"/>
    <mergeCell ref="F258:U258"/>
    <mergeCell ref="V258:AK258"/>
    <mergeCell ref="F259:AK259"/>
    <mergeCell ref="F261:G261"/>
    <mergeCell ref="F262:G262"/>
    <mergeCell ref="F263:G263"/>
    <mergeCell ref="F260:H260"/>
    <mergeCell ref="I260:J260"/>
    <mergeCell ref="L260:M260"/>
    <mergeCell ref="F1:M1"/>
    <mergeCell ref="N1:U1"/>
    <mergeCell ref="V1:AC1"/>
    <mergeCell ref="AD1:AK1"/>
    <mergeCell ref="F257:M257"/>
    <mergeCell ref="N257:U257"/>
    <mergeCell ref="V257:AC257"/>
    <mergeCell ref="AD257:AK257"/>
    <mergeCell ref="AG256:AH256"/>
    <mergeCell ref="Y256:Z256"/>
    <mergeCell ref="Q256:R256"/>
    <mergeCell ref="I256:J256"/>
    <mergeCell ref="AD256:AE256"/>
    <mergeCell ref="AB256:AC256"/>
    <mergeCell ref="N256:O256"/>
    <mergeCell ref="L256:M256"/>
  </mergeCells>
  <conditionalFormatting sqref="B40:D40">
    <cfRule type="duplicateValues" dxfId="6" priority="1" stopIfTrue="1"/>
  </conditionalFormatting>
  <pageMargins left="0.7" right="0.7" top="0.75" bottom="0.75" header="0.3" footer="0.3"/>
  <pageSetup paperSize="9" orientation="portrait" r:id="rId1"/>
  <ignoredErrors>
    <ignoredError sqref="AP244:AP253 AP184:AP238 AP30 AP4:AP29 AP31:AP180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66"/>
  <sheetViews>
    <sheetView zoomScaleNormal="100" workbookViewId="0">
      <pane ySplit="3" topLeftCell="A4" activePane="bottomLeft" state="frozen"/>
      <selection pane="bottomLeft" activeCell="AW16" sqref="AW16"/>
    </sheetView>
  </sheetViews>
  <sheetFormatPr defaultRowHeight="15"/>
  <cols>
    <col min="1" max="1" width="5" bestFit="1" customWidth="1"/>
    <col min="2" max="2" width="9.5703125" bestFit="1" customWidth="1"/>
    <col min="3" max="3" width="5" bestFit="1" customWidth="1"/>
    <col min="4" max="4" width="4.5703125" bestFit="1" customWidth="1"/>
    <col min="5" max="5" width="5" bestFit="1" customWidth="1"/>
    <col min="6" max="6" width="2.5703125" style="20" bestFit="1" customWidth="1"/>
    <col min="7" max="7" width="3" style="20" bestFit="1" customWidth="1"/>
    <col min="8" max="8" width="4" style="20" bestFit="1" customWidth="1"/>
    <col min="9" max="12" width="3" style="20" bestFit="1" customWidth="1"/>
    <col min="13" max="13" width="2" style="20" bestFit="1" customWidth="1"/>
    <col min="14" max="14" width="3" style="20" bestFit="1" customWidth="1"/>
    <col min="15" max="15" width="2" style="20" bestFit="1" customWidth="1"/>
    <col min="16" max="21" width="3" style="20" bestFit="1" customWidth="1"/>
    <col min="22" max="22" width="2.5703125" style="20" bestFit="1" customWidth="1"/>
    <col min="23" max="24" width="3" style="20" bestFit="1" customWidth="1"/>
    <col min="25" max="26" width="2.42578125" style="20" bestFit="1" customWidth="1"/>
    <col min="27" max="27" width="2.140625" style="20" bestFit="1" customWidth="1"/>
    <col min="28" max="31" width="2" style="20" bestFit="1" customWidth="1"/>
    <col min="32" max="32" width="2.140625" style="20" bestFit="1" customWidth="1"/>
    <col min="33" max="34" width="2.42578125" style="20" bestFit="1" customWidth="1"/>
    <col min="35" max="36" width="3" style="20" bestFit="1" customWidth="1"/>
    <col min="37" max="37" width="2.5703125" style="20" bestFit="1" customWidth="1"/>
    <col min="38" max="38" width="5" style="20" bestFit="1" customWidth="1"/>
  </cols>
  <sheetData>
    <row r="1" spans="1:47">
      <c r="F1" s="433" t="s">
        <v>336</v>
      </c>
      <c r="G1" s="433"/>
      <c r="H1" s="433"/>
      <c r="I1" s="433"/>
      <c r="J1" s="433"/>
      <c r="K1" s="433"/>
      <c r="L1" s="433"/>
      <c r="M1" s="433"/>
      <c r="N1" s="428" t="s">
        <v>337</v>
      </c>
      <c r="O1" s="428"/>
      <c r="P1" s="428"/>
      <c r="Q1" s="428"/>
      <c r="R1" s="428"/>
      <c r="S1" s="428"/>
      <c r="T1" s="428"/>
      <c r="U1" s="428"/>
      <c r="V1" s="429" t="s">
        <v>339</v>
      </c>
      <c r="W1" s="430"/>
      <c r="X1" s="430"/>
      <c r="Y1" s="430"/>
      <c r="Z1" s="430"/>
      <c r="AA1" s="430"/>
      <c r="AB1" s="430"/>
      <c r="AC1" s="431"/>
      <c r="AD1" s="432" t="s">
        <v>338</v>
      </c>
      <c r="AE1" s="432"/>
      <c r="AF1" s="432"/>
      <c r="AG1" s="432"/>
      <c r="AH1" s="432"/>
      <c r="AI1" s="432"/>
      <c r="AJ1" s="432"/>
      <c r="AK1" s="432"/>
    </row>
    <row r="2" spans="1:47">
      <c r="F2" s="27" t="s">
        <v>42</v>
      </c>
      <c r="G2" s="27" t="s">
        <v>42</v>
      </c>
      <c r="H2" s="27" t="s">
        <v>42</v>
      </c>
      <c r="I2" s="27" t="s">
        <v>340</v>
      </c>
      <c r="J2" s="27" t="s">
        <v>341</v>
      </c>
      <c r="K2" s="27" t="s">
        <v>334</v>
      </c>
      <c r="L2" s="27" t="s">
        <v>335</v>
      </c>
      <c r="M2" s="27" t="s">
        <v>335</v>
      </c>
      <c r="N2" s="33" t="s">
        <v>335</v>
      </c>
      <c r="O2" s="33" t="s">
        <v>335</v>
      </c>
      <c r="P2" s="33" t="s">
        <v>334</v>
      </c>
      <c r="Q2" s="33" t="s">
        <v>341</v>
      </c>
      <c r="R2" s="33" t="s">
        <v>341</v>
      </c>
      <c r="S2" s="33" t="s">
        <v>42</v>
      </c>
      <c r="T2" s="33" t="s">
        <v>42</v>
      </c>
      <c r="U2" s="33" t="s">
        <v>42</v>
      </c>
      <c r="V2" s="376" t="s">
        <v>42</v>
      </c>
      <c r="W2" s="39" t="s">
        <v>42</v>
      </c>
      <c r="X2" s="39" t="s">
        <v>42</v>
      </c>
      <c r="Y2" s="39" t="s">
        <v>341</v>
      </c>
      <c r="Z2" s="39" t="s">
        <v>341</v>
      </c>
      <c r="AA2" s="39" t="s">
        <v>334</v>
      </c>
      <c r="AB2" s="39" t="s">
        <v>335</v>
      </c>
      <c r="AC2" s="377" t="s">
        <v>335</v>
      </c>
      <c r="AD2" s="45" t="s">
        <v>335</v>
      </c>
      <c r="AE2" s="45" t="s">
        <v>335</v>
      </c>
      <c r="AF2" s="45" t="s">
        <v>334</v>
      </c>
      <c r="AG2" s="45" t="s">
        <v>341</v>
      </c>
      <c r="AH2" s="45" t="s">
        <v>341</v>
      </c>
      <c r="AI2" s="45" t="s">
        <v>42</v>
      </c>
      <c r="AJ2" s="45" t="s">
        <v>42</v>
      </c>
      <c r="AK2" s="45" t="s">
        <v>42</v>
      </c>
      <c r="AM2" s="163"/>
      <c r="AN2" s="163"/>
      <c r="AO2" s="163"/>
    </row>
    <row r="3" spans="1:47" ht="14.25" customHeight="1">
      <c r="B3" t="s">
        <v>1</v>
      </c>
      <c r="C3" t="s">
        <v>363</v>
      </c>
      <c r="D3" t="s">
        <v>2</v>
      </c>
      <c r="F3" s="27">
        <v>8</v>
      </c>
      <c r="G3" s="27">
        <v>7</v>
      </c>
      <c r="H3" s="27">
        <v>6</v>
      </c>
      <c r="I3" s="27">
        <v>5</v>
      </c>
      <c r="J3" s="27">
        <v>4</v>
      </c>
      <c r="K3" s="27">
        <v>3</v>
      </c>
      <c r="L3" s="27">
        <v>2</v>
      </c>
      <c r="M3" s="27">
        <v>1</v>
      </c>
      <c r="N3" s="33">
        <v>1</v>
      </c>
      <c r="O3" s="33">
        <v>2</v>
      </c>
      <c r="P3" s="33">
        <v>3</v>
      </c>
      <c r="Q3" s="33">
        <v>4</v>
      </c>
      <c r="R3" s="33">
        <v>5</v>
      </c>
      <c r="S3" s="33">
        <v>6</v>
      </c>
      <c r="T3" s="33">
        <v>7</v>
      </c>
      <c r="U3" s="33">
        <v>8</v>
      </c>
      <c r="V3" s="376">
        <v>8</v>
      </c>
      <c r="W3" s="39">
        <v>7</v>
      </c>
      <c r="X3" s="39">
        <v>6</v>
      </c>
      <c r="Y3" s="39">
        <v>5</v>
      </c>
      <c r="Z3" s="39">
        <v>4</v>
      </c>
      <c r="AA3" s="39">
        <v>3</v>
      </c>
      <c r="AB3" s="39">
        <v>2</v>
      </c>
      <c r="AC3" s="377">
        <v>1</v>
      </c>
      <c r="AD3" s="45">
        <v>1</v>
      </c>
      <c r="AE3" s="45">
        <v>2</v>
      </c>
      <c r="AF3" s="45">
        <v>3</v>
      </c>
      <c r="AG3" s="45">
        <v>4</v>
      </c>
      <c r="AH3" s="45">
        <v>5</v>
      </c>
      <c r="AI3" s="45">
        <v>6</v>
      </c>
      <c r="AJ3" s="45">
        <v>7</v>
      </c>
      <c r="AK3" s="45">
        <v>8</v>
      </c>
      <c r="AL3" s="20" t="s">
        <v>0</v>
      </c>
      <c r="AM3" t="s">
        <v>344</v>
      </c>
      <c r="AN3" t="s">
        <v>7</v>
      </c>
      <c r="AO3" t="s">
        <v>203</v>
      </c>
      <c r="AP3" t="s">
        <v>370</v>
      </c>
      <c r="AQ3" t="s">
        <v>374</v>
      </c>
      <c r="AR3" t="s">
        <v>371</v>
      </c>
      <c r="AS3" t="s">
        <v>368</v>
      </c>
      <c r="AT3" t="s">
        <v>361</v>
      </c>
      <c r="AU3" t="s">
        <v>375</v>
      </c>
    </row>
    <row r="4" spans="1:47">
      <c r="A4" s="8">
        <v>1</v>
      </c>
      <c r="B4" s="8" t="s">
        <v>5</v>
      </c>
      <c r="C4" s="8" t="s">
        <v>42</v>
      </c>
      <c r="D4" s="8" t="s">
        <v>6</v>
      </c>
      <c r="E4" s="8">
        <v>1</v>
      </c>
      <c r="F4" s="24"/>
      <c r="G4" s="5"/>
      <c r="H4" s="5">
        <v>1</v>
      </c>
      <c r="I4" s="5"/>
      <c r="J4" s="5"/>
      <c r="K4" s="5"/>
      <c r="L4" s="5"/>
      <c r="M4" s="25"/>
      <c r="N4" s="24"/>
      <c r="O4" s="5"/>
      <c r="P4" s="5"/>
      <c r="Q4" s="5"/>
      <c r="R4" s="5"/>
      <c r="S4" s="5">
        <v>1</v>
      </c>
      <c r="T4" s="5"/>
      <c r="U4" s="25"/>
      <c r="V4" s="5"/>
      <c r="W4" s="5">
        <v>1</v>
      </c>
      <c r="X4" s="5"/>
      <c r="Y4" s="5">
        <v>1</v>
      </c>
      <c r="Z4" s="5"/>
      <c r="AA4" s="5"/>
      <c r="AB4" s="5"/>
      <c r="AC4" s="5"/>
      <c r="AD4" s="24"/>
      <c r="AE4" s="5"/>
      <c r="AF4" s="5"/>
      <c r="AG4" s="5"/>
      <c r="AH4" s="5"/>
      <c r="AI4" s="5"/>
      <c r="AJ4" s="5"/>
      <c r="AK4" s="25"/>
      <c r="AL4" s="5">
        <v>1</v>
      </c>
      <c r="AM4" s="8"/>
      <c r="AN4" s="8">
        <v>1</v>
      </c>
      <c r="AP4">
        <f>SUM(F4:AK4)</f>
        <v>4</v>
      </c>
      <c r="AQ4" s="76">
        <f>AP4/AU4</f>
        <v>0.125</v>
      </c>
      <c r="AR4">
        <v>26</v>
      </c>
      <c r="AS4">
        <v>4</v>
      </c>
      <c r="AT4">
        <v>2</v>
      </c>
      <c r="AU4">
        <f>SUM(AR4:AT4)</f>
        <v>32</v>
      </c>
    </row>
    <row r="5" spans="1:47">
      <c r="A5" s="8">
        <v>30</v>
      </c>
      <c r="B5" s="8" t="s">
        <v>41</v>
      </c>
      <c r="C5" s="8" t="s">
        <v>42</v>
      </c>
      <c r="D5" s="8" t="s">
        <v>42</v>
      </c>
      <c r="E5" s="8">
        <v>30</v>
      </c>
      <c r="F5" s="24"/>
      <c r="G5" s="5"/>
      <c r="H5" s="5"/>
      <c r="I5" s="5">
        <v>1</v>
      </c>
      <c r="J5" s="5"/>
      <c r="K5" s="5"/>
      <c r="L5" s="5"/>
      <c r="M5" s="25"/>
      <c r="N5" s="24"/>
      <c r="O5" s="5"/>
      <c r="P5" s="5"/>
      <c r="Q5" s="5"/>
      <c r="R5" s="5">
        <v>1</v>
      </c>
      <c r="S5" s="5"/>
      <c r="T5" s="5"/>
      <c r="U5" s="25"/>
      <c r="V5" s="5"/>
      <c r="W5" s="5"/>
      <c r="X5" s="5"/>
      <c r="Y5" s="5"/>
      <c r="Z5" s="5"/>
      <c r="AA5" s="5"/>
      <c r="AB5" s="5"/>
      <c r="AC5" s="5"/>
      <c r="AD5" s="24"/>
      <c r="AE5" s="5"/>
      <c r="AF5" s="5"/>
      <c r="AG5" s="5"/>
      <c r="AH5" s="5"/>
      <c r="AI5" s="5"/>
      <c r="AJ5" s="5"/>
      <c r="AK5" s="25"/>
      <c r="AL5" s="5">
        <v>30</v>
      </c>
      <c r="AM5" s="8"/>
      <c r="AN5" s="8">
        <v>1</v>
      </c>
      <c r="AP5" s="67">
        <f t="shared" ref="AP5:AP68" si="0">SUM(F5:AK5)</f>
        <v>2</v>
      </c>
      <c r="AQ5" s="76">
        <f t="shared" ref="AQ5:AQ68" si="1">AP5/AU5</f>
        <v>6.25E-2</v>
      </c>
      <c r="AR5" s="85">
        <v>26</v>
      </c>
      <c r="AS5">
        <v>1</v>
      </c>
      <c r="AT5" s="67">
        <v>5</v>
      </c>
      <c r="AU5" s="67">
        <f t="shared" ref="AU5:AU68" si="2">SUM(AR5:AT5)</f>
        <v>32</v>
      </c>
    </row>
    <row r="6" spans="1:47">
      <c r="A6" s="8">
        <v>34</v>
      </c>
      <c r="B6" s="8" t="s">
        <v>44</v>
      </c>
      <c r="C6" s="8" t="s">
        <v>349</v>
      </c>
      <c r="D6" s="8" t="s">
        <v>6</v>
      </c>
      <c r="E6" s="8">
        <v>34</v>
      </c>
      <c r="F6" s="24"/>
      <c r="G6" s="5"/>
      <c r="H6" s="5"/>
      <c r="I6" s="5"/>
      <c r="J6" s="5"/>
      <c r="K6" s="5"/>
      <c r="L6" s="5"/>
      <c r="M6" s="25"/>
      <c r="N6" s="24"/>
      <c r="O6" s="5"/>
      <c r="P6" s="5"/>
      <c r="Q6" s="5"/>
      <c r="R6" s="5"/>
      <c r="S6" s="5"/>
      <c r="T6" s="5"/>
      <c r="U6" s="25"/>
      <c r="V6" s="5"/>
      <c r="W6" s="5"/>
      <c r="X6" s="5">
        <v>1</v>
      </c>
      <c r="Y6" s="5"/>
      <c r="Z6" s="5"/>
      <c r="AA6" s="5"/>
      <c r="AB6" s="5"/>
      <c r="AC6" s="5"/>
      <c r="AD6" s="24"/>
      <c r="AE6" s="5"/>
      <c r="AF6" s="5"/>
      <c r="AG6" s="5"/>
      <c r="AH6" s="5"/>
      <c r="AI6" s="5"/>
      <c r="AJ6" s="5"/>
      <c r="AK6" s="25"/>
      <c r="AL6" s="5">
        <v>34</v>
      </c>
      <c r="AM6" s="8"/>
      <c r="AN6" s="8">
        <v>1</v>
      </c>
      <c r="AP6" s="67">
        <f t="shared" si="0"/>
        <v>1</v>
      </c>
      <c r="AQ6" s="76">
        <f t="shared" si="1"/>
        <v>0.16666666666666666</v>
      </c>
      <c r="AR6" s="85">
        <v>2</v>
      </c>
      <c r="AS6">
        <v>2</v>
      </c>
      <c r="AT6" s="67">
        <v>2</v>
      </c>
      <c r="AU6" s="67">
        <f t="shared" si="2"/>
        <v>6</v>
      </c>
    </row>
    <row r="7" spans="1:47">
      <c r="A7" s="8">
        <v>38</v>
      </c>
      <c r="B7" s="8" t="s">
        <v>48</v>
      </c>
      <c r="C7" s="8" t="s">
        <v>357</v>
      </c>
      <c r="D7" s="8"/>
      <c r="E7" s="8">
        <v>38</v>
      </c>
      <c r="F7" s="24"/>
      <c r="G7" s="5"/>
      <c r="H7" s="5"/>
      <c r="I7" s="5"/>
      <c r="J7" s="5"/>
      <c r="K7" s="5"/>
      <c r="L7" s="5"/>
      <c r="M7" s="25"/>
      <c r="N7" s="24"/>
      <c r="O7" s="5"/>
      <c r="P7" s="5"/>
      <c r="Q7" s="5"/>
      <c r="R7" s="5"/>
      <c r="S7" s="5"/>
      <c r="T7" s="5"/>
      <c r="U7" s="25"/>
      <c r="V7" s="5"/>
      <c r="W7" s="5"/>
      <c r="X7" s="5"/>
      <c r="Y7" s="5"/>
      <c r="Z7" s="5"/>
      <c r="AA7" s="5"/>
      <c r="AB7" s="5"/>
      <c r="AC7" s="5"/>
      <c r="AD7" s="24"/>
      <c r="AE7" s="5"/>
      <c r="AF7" s="5"/>
      <c r="AG7" s="5"/>
      <c r="AH7" s="5"/>
      <c r="AI7" s="5"/>
      <c r="AJ7" s="5"/>
      <c r="AK7" s="25"/>
      <c r="AL7" s="5">
        <v>38</v>
      </c>
      <c r="AM7" s="8">
        <v>1</v>
      </c>
      <c r="AN7" s="8"/>
      <c r="AP7" s="67">
        <f t="shared" si="0"/>
        <v>0</v>
      </c>
      <c r="AQ7" s="76">
        <f t="shared" si="1"/>
        <v>0</v>
      </c>
      <c r="AR7" s="85">
        <v>10</v>
      </c>
      <c r="AT7" s="67">
        <v>2</v>
      </c>
      <c r="AU7" s="67">
        <f t="shared" si="2"/>
        <v>12</v>
      </c>
    </row>
    <row r="8" spans="1:47">
      <c r="A8" s="8">
        <v>41</v>
      </c>
      <c r="B8" s="8" t="s">
        <v>5</v>
      </c>
      <c r="C8" s="8" t="s">
        <v>42</v>
      </c>
      <c r="D8" s="8" t="s">
        <v>6</v>
      </c>
      <c r="E8" s="8">
        <v>41</v>
      </c>
      <c r="F8" s="24"/>
      <c r="G8" s="5"/>
      <c r="H8" s="5"/>
      <c r="I8" s="5"/>
      <c r="J8" s="5"/>
      <c r="K8" s="5"/>
      <c r="L8" s="5"/>
      <c r="M8" s="25"/>
      <c r="N8" s="24"/>
      <c r="O8" s="5"/>
      <c r="P8" s="5"/>
      <c r="Q8" s="5"/>
      <c r="R8" s="5"/>
      <c r="S8" s="5"/>
      <c r="T8" s="5"/>
      <c r="U8" s="25"/>
      <c r="V8" s="5"/>
      <c r="W8" s="5"/>
      <c r="X8" s="5"/>
      <c r="Y8" s="5"/>
      <c r="Z8" s="5"/>
      <c r="AA8" s="5"/>
      <c r="AB8" s="5"/>
      <c r="AC8" s="5"/>
      <c r="AD8" s="24"/>
      <c r="AE8" s="5"/>
      <c r="AF8" s="5"/>
      <c r="AG8" s="5"/>
      <c r="AH8" s="5"/>
      <c r="AI8" s="5"/>
      <c r="AJ8" s="5"/>
      <c r="AK8" s="25"/>
      <c r="AL8" s="5">
        <v>41</v>
      </c>
      <c r="AM8" s="8">
        <v>1</v>
      </c>
      <c r="AN8" s="8"/>
      <c r="AP8" s="67">
        <f t="shared" si="0"/>
        <v>0</v>
      </c>
      <c r="AQ8" s="76">
        <f t="shared" si="1"/>
        <v>0</v>
      </c>
      <c r="AR8" s="85">
        <v>25</v>
      </c>
      <c r="AS8">
        <v>2</v>
      </c>
      <c r="AT8" s="67">
        <v>2</v>
      </c>
      <c r="AU8" s="67">
        <f t="shared" si="2"/>
        <v>29</v>
      </c>
    </row>
    <row r="9" spans="1:47">
      <c r="A9" s="8">
        <v>42</v>
      </c>
      <c r="B9" s="8" t="s">
        <v>53</v>
      </c>
      <c r="C9" s="8" t="s">
        <v>346</v>
      </c>
      <c r="D9" s="8"/>
      <c r="E9" s="8">
        <v>42</v>
      </c>
      <c r="F9" s="24"/>
      <c r="G9" s="5"/>
      <c r="H9" s="5"/>
      <c r="I9" s="5"/>
      <c r="J9" s="5"/>
      <c r="K9" s="5"/>
      <c r="L9" s="5"/>
      <c r="M9" s="25"/>
      <c r="N9" s="24"/>
      <c r="O9" s="5"/>
      <c r="P9" s="5"/>
      <c r="Q9" s="5"/>
      <c r="R9" s="5"/>
      <c r="S9" s="5"/>
      <c r="T9" s="5"/>
      <c r="U9" s="25"/>
      <c r="V9" s="5"/>
      <c r="W9" s="5"/>
      <c r="X9" s="5"/>
      <c r="Y9" s="5"/>
      <c r="Z9" s="5"/>
      <c r="AA9" s="5"/>
      <c r="AB9" s="5"/>
      <c r="AC9" s="5"/>
      <c r="AD9" s="24"/>
      <c r="AE9" s="5"/>
      <c r="AF9" s="5"/>
      <c r="AG9" s="5"/>
      <c r="AH9" s="5"/>
      <c r="AI9" s="5"/>
      <c r="AJ9" s="5"/>
      <c r="AK9" s="25"/>
      <c r="AL9" s="5">
        <v>42</v>
      </c>
      <c r="AM9" s="8">
        <v>1</v>
      </c>
      <c r="AN9" s="8"/>
      <c r="AP9" s="67">
        <f t="shared" si="0"/>
        <v>0</v>
      </c>
      <c r="AQ9" s="76">
        <f t="shared" si="1"/>
        <v>0</v>
      </c>
      <c r="AR9" s="85">
        <v>17</v>
      </c>
      <c r="AT9" s="67">
        <v>3</v>
      </c>
      <c r="AU9" s="67">
        <f t="shared" si="2"/>
        <v>20</v>
      </c>
    </row>
    <row r="10" spans="1:47">
      <c r="A10" s="8">
        <v>45</v>
      </c>
      <c r="B10" s="8" t="s">
        <v>55</v>
      </c>
      <c r="C10" s="8" t="s">
        <v>346</v>
      </c>
      <c r="D10" s="8"/>
      <c r="E10" s="8">
        <v>45</v>
      </c>
      <c r="F10" s="24"/>
      <c r="G10" s="5"/>
      <c r="H10" s="5"/>
      <c r="I10" s="5"/>
      <c r="J10" s="5"/>
      <c r="K10" s="5"/>
      <c r="L10" s="5"/>
      <c r="M10" s="25"/>
      <c r="N10" s="24"/>
      <c r="O10" s="5"/>
      <c r="P10" s="5"/>
      <c r="Q10" s="5"/>
      <c r="R10" s="5"/>
      <c r="S10" s="5"/>
      <c r="T10" s="5"/>
      <c r="U10" s="25"/>
      <c r="V10" s="5"/>
      <c r="W10" s="5"/>
      <c r="X10" s="5"/>
      <c r="Y10" s="5"/>
      <c r="Z10" s="5"/>
      <c r="AA10" s="5"/>
      <c r="AB10" s="5"/>
      <c r="AC10" s="5"/>
      <c r="AD10" s="24"/>
      <c r="AE10" s="5"/>
      <c r="AF10" s="5"/>
      <c r="AG10" s="5"/>
      <c r="AH10" s="5"/>
      <c r="AI10" s="5"/>
      <c r="AJ10" s="5"/>
      <c r="AK10" s="25"/>
      <c r="AL10" s="5">
        <v>45</v>
      </c>
      <c r="AM10" s="8">
        <v>1</v>
      </c>
      <c r="AN10" s="8"/>
      <c r="AP10" s="67">
        <f t="shared" si="0"/>
        <v>0</v>
      </c>
      <c r="AQ10" s="76">
        <f t="shared" si="1"/>
        <v>0</v>
      </c>
      <c r="AR10" s="85">
        <v>9</v>
      </c>
      <c r="AT10" s="67">
        <v>0</v>
      </c>
      <c r="AU10" s="67">
        <f t="shared" si="2"/>
        <v>9</v>
      </c>
    </row>
    <row r="11" spans="1:47">
      <c r="A11" s="8">
        <v>46</v>
      </c>
      <c r="B11" s="55" t="s">
        <v>56</v>
      </c>
      <c r="C11" s="8" t="s">
        <v>360</v>
      </c>
      <c r="D11" s="8"/>
      <c r="E11" s="8">
        <v>46</v>
      </c>
      <c r="F11" s="24"/>
      <c r="G11" s="5"/>
      <c r="H11" s="5"/>
      <c r="I11" s="5"/>
      <c r="J11" s="5"/>
      <c r="K11" s="5"/>
      <c r="L11" s="5"/>
      <c r="M11" s="25"/>
      <c r="N11" s="24"/>
      <c r="O11" s="5"/>
      <c r="P11" s="5"/>
      <c r="Q11" s="5"/>
      <c r="R11" s="5"/>
      <c r="S11" s="5"/>
      <c r="T11" s="5"/>
      <c r="U11" s="25"/>
      <c r="V11" s="5"/>
      <c r="W11" s="5"/>
      <c r="X11" s="5"/>
      <c r="Y11" s="5"/>
      <c r="Z11" s="5"/>
      <c r="AA11" s="5"/>
      <c r="AB11" s="5"/>
      <c r="AC11" s="5"/>
      <c r="AD11" s="24"/>
      <c r="AE11" s="5"/>
      <c r="AF11" s="5"/>
      <c r="AG11" s="5"/>
      <c r="AH11" s="5"/>
      <c r="AI11" s="5"/>
      <c r="AJ11" s="5"/>
      <c r="AK11" s="25"/>
      <c r="AL11" s="5">
        <v>46</v>
      </c>
      <c r="AM11" s="8">
        <v>1</v>
      </c>
      <c r="AN11" s="8"/>
      <c r="AP11" s="67">
        <f t="shared" si="0"/>
        <v>0</v>
      </c>
      <c r="AQ11" s="76">
        <f t="shared" si="1"/>
        <v>0</v>
      </c>
      <c r="AR11" s="85">
        <v>6</v>
      </c>
      <c r="AT11" s="67">
        <v>1</v>
      </c>
      <c r="AU11" s="67">
        <f t="shared" si="2"/>
        <v>7</v>
      </c>
    </row>
    <row r="12" spans="1:47">
      <c r="A12" s="8">
        <v>48</v>
      </c>
      <c r="B12" s="8" t="s">
        <v>57</v>
      </c>
      <c r="C12" s="8" t="s">
        <v>12</v>
      </c>
      <c r="D12" s="8" t="s">
        <v>6</v>
      </c>
      <c r="E12" s="8">
        <v>48</v>
      </c>
      <c r="F12" s="24"/>
      <c r="G12" s="5"/>
      <c r="H12" s="5"/>
      <c r="I12" s="5"/>
      <c r="J12" s="5"/>
      <c r="K12" s="5"/>
      <c r="L12" s="5"/>
      <c r="M12" s="25"/>
      <c r="N12" s="24"/>
      <c r="O12" s="5"/>
      <c r="P12" s="5"/>
      <c r="Q12" s="5"/>
      <c r="R12" s="5"/>
      <c r="S12" s="5"/>
      <c r="T12" s="5"/>
      <c r="U12" s="25"/>
      <c r="V12" s="5"/>
      <c r="W12" s="5"/>
      <c r="X12" s="5">
        <v>1</v>
      </c>
      <c r="Y12" s="5"/>
      <c r="Z12" s="5"/>
      <c r="AA12" s="5"/>
      <c r="AB12" s="5"/>
      <c r="AC12" s="5"/>
      <c r="AD12" s="24"/>
      <c r="AE12" s="5"/>
      <c r="AF12" s="5"/>
      <c r="AG12" s="5"/>
      <c r="AH12" s="5"/>
      <c r="AI12" s="5"/>
      <c r="AJ12" s="5"/>
      <c r="AK12" s="25"/>
      <c r="AL12" s="5">
        <v>48</v>
      </c>
      <c r="AM12" s="8"/>
      <c r="AN12" s="8">
        <v>1</v>
      </c>
      <c r="AP12" s="67">
        <f t="shared" si="0"/>
        <v>1</v>
      </c>
      <c r="AQ12" s="76">
        <f t="shared" si="1"/>
        <v>0.2</v>
      </c>
      <c r="AR12" s="85">
        <v>2</v>
      </c>
      <c r="AT12" s="67">
        <v>3</v>
      </c>
      <c r="AU12" s="67">
        <f t="shared" si="2"/>
        <v>5</v>
      </c>
    </row>
    <row r="13" spans="1:47">
      <c r="A13" s="8">
        <v>49</v>
      </c>
      <c r="B13" s="8" t="s">
        <v>58</v>
      </c>
      <c r="C13" s="8" t="s">
        <v>358</v>
      </c>
      <c r="D13" s="8" t="s">
        <v>6</v>
      </c>
      <c r="E13" s="8">
        <v>49</v>
      </c>
      <c r="F13" s="24"/>
      <c r="G13" s="5"/>
      <c r="H13" s="5"/>
      <c r="I13" s="5"/>
      <c r="J13" s="5"/>
      <c r="K13" s="5"/>
      <c r="L13" s="5"/>
      <c r="M13" s="25"/>
      <c r="N13" s="24"/>
      <c r="O13" s="5"/>
      <c r="P13" s="5"/>
      <c r="Q13" s="5"/>
      <c r="R13" s="5"/>
      <c r="S13" s="5"/>
      <c r="T13" s="5"/>
      <c r="U13" s="25"/>
      <c r="V13" s="5"/>
      <c r="W13" s="5"/>
      <c r="X13" s="5"/>
      <c r="Y13" s="5"/>
      <c r="Z13" s="5"/>
      <c r="AA13" s="5"/>
      <c r="AB13" s="5"/>
      <c r="AC13" s="5"/>
      <c r="AD13" s="24"/>
      <c r="AE13" s="5"/>
      <c r="AF13" s="5"/>
      <c r="AG13" s="5"/>
      <c r="AH13" s="5"/>
      <c r="AI13" s="5"/>
      <c r="AJ13" s="5"/>
      <c r="AK13" s="25"/>
      <c r="AL13" s="5">
        <v>49</v>
      </c>
      <c r="AM13" s="8">
        <v>1</v>
      </c>
      <c r="AN13" s="8"/>
      <c r="AP13" s="67">
        <f t="shared" si="0"/>
        <v>0</v>
      </c>
      <c r="AQ13" s="76">
        <f t="shared" si="1"/>
        <v>0</v>
      </c>
      <c r="AR13" s="85">
        <v>29</v>
      </c>
      <c r="AT13" s="67">
        <v>3</v>
      </c>
      <c r="AU13" s="67">
        <f t="shared" si="2"/>
        <v>32</v>
      </c>
    </row>
    <row r="14" spans="1:47">
      <c r="A14" s="8">
        <v>52</v>
      </c>
      <c r="B14" s="8" t="s">
        <v>41</v>
      </c>
      <c r="C14" s="8" t="s">
        <v>42</v>
      </c>
      <c r="D14" s="8" t="s">
        <v>6</v>
      </c>
      <c r="E14" s="8">
        <v>52</v>
      </c>
      <c r="F14" s="24"/>
      <c r="G14" s="5"/>
      <c r="H14" s="5"/>
      <c r="I14" s="5"/>
      <c r="J14" s="5"/>
      <c r="K14" s="5"/>
      <c r="L14" s="5"/>
      <c r="M14" s="25"/>
      <c r="N14" s="24"/>
      <c r="O14" s="5"/>
      <c r="P14" s="5"/>
      <c r="Q14" s="5"/>
      <c r="R14" s="5"/>
      <c r="S14" s="5"/>
      <c r="T14" s="5"/>
      <c r="U14" s="25"/>
      <c r="V14" s="5"/>
      <c r="W14" s="5"/>
      <c r="X14" s="5">
        <v>1</v>
      </c>
      <c r="Y14" s="5"/>
      <c r="Z14" s="5"/>
      <c r="AA14" s="5"/>
      <c r="AB14" s="5"/>
      <c r="AC14" s="5"/>
      <c r="AD14" s="24"/>
      <c r="AE14" s="5"/>
      <c r="AF14" s="5"/>
      <c r="AG14" s="5"/>
      <c r="AH14" s="5"/>
      <c r="AI14" s="5">
        <v>1</v>
      </c>
      <c r="AJ14" s="5">
        <v>1</v>
      </c>
      <c r="AK14" s="25">
        <v>1</v>
      </c>
      <c r="AL14" s="5">
        <v>52</v>
      </c>
      <c r="AM14" s="8"/>
      <c r="AN14" s="8">
        <v>1</v>
      </c>
      <c r="AP14" s="67">
        <f t="shared" si="0"/>
        <v>4</v>
      </c>
      <c r="AQ14" s="76">
        <f t="shared" si="1"/>
        <v>0.12903225806451613</v>
      </c>
      <c r="AR14" s="85">
        <v>29</v>
      </c>
      <c r="AS14">
        <v>2</v>
      </c>
      <c r="AT14" s="67">
        <v>0</v>
      </c>
      <c r="AU14" s="67">
        <f t="shared" si="2"/>
        <v>31</v>
      </c>
    </row>
    <row r="15" spans="1:47">
      <c r="A15" s="8">
        <v>53</v>
      </c>
      <c r="B15" s="8" t="s">
        <v>62</v>
      </c>
      <c r="C15" s="8" t="s">
        <v>42</v>
      </c>
      <c r="D15" s="8" t="s">
        <v>42</v>
      </c>
      <c r="E15" s="8">
        <v>53</v>
      </c>
      <c r="F15" s="24"/>
      <c r="G15" s="5"/>
      <c r="H15" s="5"/>
      <c r="I15" s="5"/>
      <c r="J15" s="5"/>
      <c r="K15" s="5"/>
      <c r="L15" s="5"/>
      <c r="M15" s="25"/>
      <c r="N15" s="24"/>
      <c r="O15" s="5"/>
      <c r="P15" s="5"/>
      <c r="Q15" s="5"/>
      <c r="R15" s="5"/>
      <c r="S15" s="5"/>
      <c r="T15" s="5"/>
      <c r="U15" s="25"/>
      <c r="V15" s="5"/>
      <c r="W15" s="5"/>
      <c r="X15" s="5">
        <v>1</v>
      </c>
      <c r="Y15" s="5"/>
      <c r="Z15" s="5"/>
      <c r="AA15" s="5"/>
      <c r="AB15" s="5"/>
      <c r="AC15" s="5"/>
      <c r="AD15" s="24"/>
      <c r="AE15" s="5"/>
      <c r="AF15" s="5"/>
      <c r="AG15" s="5"/>
      <c r="AH15" s="5"/>
      <c r="AI15" s="5"/>
      <c r="AJ15" s="5"/>
      <c r="AK15" s="25"/>
      <c r="AL15" s="5">
        <v>53</v>
      </c>
      <c r="AM15" s="8"/>
      <c r="AN15" s="8">
        <v>1</v>
      </c>
      <c r="AP15" s="67">
        <f t="shared" si="0"/>
        <v>1</v>
      </c>
      <c r="AQ15" s="76">
        <f t="shared" si="1"/>
        <v>3.125E-2</v>
      </c>
      <c r="AR15" s="85">
        <v>31</v>
      </c>
      <c r="AS15">
        <v>1</v>
      </c>
      <c r="AT15" s="67">
        <v>0</v>
      </c>
      <c r="AU15" s="67">
        <f t="shared" si="2"/>
        <v>32</v>
      </c>
    </row>
    <row r="16" spans="1:47">
      <c r="A16" s="8">
        <v>54</v>
      </c>
      <c r="B16" s="8" t="s">
        <v>63</v>
      </c>
      <c r="C16" s="8" t="s">
        <v>346</v>
      </c>
      <c r="D16" s="8"/>
      <c r="E16" s="8">
        <v>54</v>
      </c>
      <c r="F16" s="24"/>
      <c r="G16" s="5"/>
      <c r="H16" s="5"/>
      <c r="I16" s="5"/>
      <c r="J16" s="5"/>
      <c r="K16" s="5"/>
      <c r="L16" s="5"/>
      <c r="M16" s="25"/>
      <c r="N16" s="24"/>
      <c r="O16" s="5"/>
      <c r="P16" s="5"/>
      <c r="Q16" s="5"/>
      <c r="R16" s="5"/>
      <c r="S16" s="5"/>
      <c r="T16" s="5"/>
      <c r="U16" s="25"/>
      <c r="V16" s="5"/>
      <c r="W16" s="5"/>
      <c r="X16" s="5"/>
      <c r="Y16" s="5"/>
      <c r="Z16" s="5"/>
      <c r="AA16" s="5"/>
      <c r="AB16" s="5"/>
      <c r="AC16" s="5"/>
      <c r="AD16" s="24"/>
      <c r="AE16" s="5"/>
      <c r="AF16" s="5"/>
      <c r="AG16" s="5"/>
      <c r="AH16" s="5"/>
      <c r="AI16" s="5"/>
      <c r="AJ16" s="5"/>
      <c r="AK16" s="25"/>
      <c r="AL16" s="5">
        <v>54</v>
      </c>
      <c r="AM16" s="8">
        <v>1</v>
      </c>
      <c r="AN16" s="8"/>
      <c r="AP16" s="67">
        <f t="shared" si="0"/>
        <v>0</v>
      </c>
      <c r="AQ16" s="76">
        <f t="shared" si="1"/>
        <v>0</v>
      </c>
      <c r="AR16" s="85">
        <v>10</v>
      </c>
      <c r="AT16" s="67">
        <v>6</v>
      </c>
      <c r="AU16" s="67">
        <f t="shared" si="2"/>
        <v>16</v>
      </c>
    </row>
    <row r="17" spans="1:47">
      <c r="A17" s="8">
        <v>56</v>
      </c>
      <c r="B17" s="8" t="s">
        <v>53</v>
      </c>
      <c r="C17" s="8" t="s">
        <v>346</v>
      </c>
      <c r="D17" s="8"/>
      <c r="E17" s="8">
        <v>56</v>
      </c>
      <c r="F17" s="24"/>
      <c r="G17" s="5"/>
      <c r="H17" s="5"/>
      <c r="I17" s="5"/>
      <c r="J17" s="5"/>
      <c r="K17" s="5"/>
      <c r="L17" s="5"/>
      <c r="M17" s="25"/>
      <c r="N17" s="24"/>
      <c r="O17" s="5"/>
      <c r="P17" s="5"/>
      <c r="Q17" s="5"/>
      <c r="R17" s="5"/>
      <c r="S17" s="5"/>
      <c r="T17" s="5"/>
      <c r="U17" s="25"/>
      <c r="V17" s="5"/>
      <c r="W17" s="5"/>
      <c r="X17" s="5"/>
      <c r="Y17" s="5"/>
      <c r="Z17" s="5"/>
      <c r="AA17" s="5"/>
      <c r="AB17" s="5"/>
      <c r="AC17" s="5"/>
      <c r="AD17" s="24"/>
      <c r="AE17" s="5"/>
      <c r="AF17" s="5"/>
      <c r="AG17" s="5"/>
      <c r="AH17" s="5"/>
      <c r="AI17" s="5"/>
      <c r="AJ17" s="5"/>
      <c r="AK17" s="25"/>
      <c r="AL17" s="5">
        <v>56</v>
      </c>
      <c r="AM17" s="8">
        <v>1</v>
      </c>
      <c r="AN17" s="8"/>
      <c r="AP17" s="67">
        <f t="shared" si="0"/>
        <v>0</v>
      </c>
      <c r="AQ17" s="76">
        <f t="shared" si="1"/>
        <v>0</v>
      </c>
      <c r="AR17" s="85">
        <v>17</v>
      </c>
      <c r="AT17" s="67">
        <v>3</v>
      </c>
      <c r="AU17" s="67">
        <f t="shared" si="2"/>
        <v>20</v>
      </c>
    </row>
    <row r="18" spans="1:47">
      <c r="A18" s="8">
        <v>57</v>
      </c>
      <c r="B18" s="8" t="s">
        <v>44</v>
      </c>
      <c r="C18" s="8" t="s">
        <v>349</v>
      </c>
      <c r="D18" s="8" t="s">
        <v>6</v>
      </c>
      <c r="E18" s="8">
        <v>57</v>
      </c>
      <c r="F18" s="24"/>
      <c r="G18" s="5"/>
      <c r="H18" s="5"/>
      <c r="I18" s="5">
        <v>1</v>
      </c>
      <c r="J18" s="5"/>
      <c r="K18" s="5">
        <v>1</v>
      </c>
      <c r="L18" s="5">
        <v>1</v>
      </c>
      <c r="M18" s="25">
        <v>1</v>
      </c>
      <c r="N18" s="24"/>
      <c r="O18" s="5"/>
      <c r="P18" s="5"/>
      <c r="Q18" s="5"/>
      <c r="R18" s="5"/>
      <c r="S18" s="5"/>
      <c r="T18" s="5"/>
      <c r="U18" s="25"/>
      <c r="V18" s="5"/>
      <c r="W18" s="5"/>
      <c r="X18" s="5"/>
      <c r="Y18" s="5"/>
      <c r="Z18" s="5"/>
      <c r="AA18" s="5"/>
      <c r="AB18" s="5">
        <v>1</v>
      </c>
      <c r="AC18" s="5"/>
      <c r="AD18" s="24"/>
      <c r="AE18" s="5"/>
      <c r="AF18" s="5"/>
      <c r="AG18" s="5"/>
      <c r="AH18" s="5"/>
      <c r="AI18" s="5"/>
      <c r="AJ18" s="5"/>
      <c r="AK18" s="25"/>
      <c r="AL18" s="5">
        <v>57</v>
      </c>
      <c r="AM18" s="8"/>
      <c r="AN18" s="8">
        <v>1</v>
      </c>
      <c r="AP18" s="67">
        <f t="shared" si="0"/>
        <v>5</v>
      </c>
      <c r="AQ18" s="76">
        <f t="shared" si="1"/>
        <v>0.17857142857142858</v>
      </c>
      <c r="AR18" s="85">
        <v>15</v>
      </c>
      <c r="AS18">
        <v>13</v>
      </c>
      <c r="AT18" s="67">
        <v>0</v>
      </c>
      <c r="AU18" s="67">
        <f t="shared" si="2"/>
        <v>28</v>
      </c>
    </row>
    <row r="19" spans="1:47">
      <c r="A19" s="8">
        <v>59</v>
      </c>
      <c r="B19" s="55" t="s">
        <v>56</v>
      </c>
      <c r="C19" s="8" t="s">
        <v>360</v>
      </c>
      <c r="D19" s="8"/>
      <c r="E19" s="8">
        <v>59</v>
      </c>
      <c r="F19" s="24"/>
      <c r="G19" s="5"/>
      <c r="H19" s="5"/>
      <c r="I19" s="5"/>
      <c r="J19" s="5"/>
      <c r="K19" s="5"/>
      <c r="L19" s="5"/>
      <c r="M19" s="25"/>
      <c r="N19" s="24"/>
      <c r="O19" s="5"/>
      <c r="P19" s="5"/>
      <c r="Q19" s="5"/>
      <c r="R19" s="5"/>
      <c r="S19" s="5"/>
      <c r="T19" s="5"/>
      <c r="U19" s="25"/>
      <c r="V19" s="5"/>
      <c r="W19" s="5"/>
      <c r="X19" s="5"/>
      <c r="Y19" s="5"/>
      <c r="Z19" s="5"/>
      <c r="AA19" s="5"/>
      <c r="AB19" s="5"/>
      <c r="AC19" s="5"/>
      <c r="AD19" s="24"/>
      <c r="AE19" s="5"/>
      <c r="AF19" s="5"/>
      <c r="AG19" s="5"/>
      <c r="AH19" s="5"/>
      <c r="AI19" s="5"/>
      <c r="AJ19" s="5"/>
      <c r="AK19" s="25"/>
      <c r="AL19" s="5">
        <v>59</v>
      </c>
      <c r="AM19" s="8">
        <v>1</v>
      </c>
      <c r="AN19" s="8"/>
      <c r="AP19" s="67">
        <f t="shared" si="0"/>
        <v>0</v>
      </c>
      <c r="AQ19" s="76">
        <f t="shared" si="1"/>
        <v>0</v>
      </c>
      <c r="AR19" s="85">
        <v>7</v>
      </c>
      <c r="AT19" s="67">
        <v>1</v>
      </c>
      <c r="AU19" s="67">
        <f t="shared" si="2"/>
        <v>8</v>
      </c>
    </row>
    <row r="20" spans="1:47">
      <c r="A20" s="8">
        <v>60</v>
      </c>
      <c r="B20" s="8" t="s">
        <v>48</v>
      </c>
      <c r="C20" s="8" t="s">
        <v>357</v>
      </c>
      <c r="D20" s="8"/>
      <c r="E20" s="8">
        <v>60</v>
      </c>
      <c r="F20" s="24"/>
      <c r="G20" s="5"/>
      <c r="H20" s="5"/>
      <c r="I20" s="5"/>
      <c r="J20" s="5"/>
      <c r="K20" s="5"/>
      <c r="L20" s="5"/>
      <c r="M20" s="25"/>
      <c r="N20" s="24"/>
      <c r="O20" s="5"/>
      <c r="P20" s="5"/>
      <c r="Q20" s="5"/>
      <c r="R20" s="5"/>
      <c r="S20" s="5"/>
      <c r="T20" s="5"/>
      <c r="U20" s="25"/>
      <c r="V20" s="5"/>
      <c r="W20" s="5"/>
      <c r="X20" s="5"/>
      <c r="Y20" s="5"/>
      <c r="Z20" s="5"/>
      <c r="AA20" s="5"/>
      <c r="AB20" s="5"/>
      <c r="AC20" s="5"/>
      <c r="AD20" s="24"/>
      <c r="AE20" s="5"/>
      <c r="AF20" s="5"/>
      <c r="AG20" s="5"/>
      <c r="AH20" s="5"/>
      <c r="AI20" s="5"/>
      <c r="AJ20" s="5"/>
      <c r="AK20" s="25"/>
      <c r="AL20" s="5">
        <v>60</v>
      </c>
      <c r="AM20" s="8">
        <v>1</v>
      </c>
      <c r="AN20" s="8"/>
      <c r="AP20" s="67">
        <f t="shared" si="0"/>
        <v>0</v>
      </c>
      <c r="AQ20" s="76">
        <f t="shared" si="1"/>
        <v>0</v>
      </c>
      <c r="AR20" s="85">
        <v>22</v>
      </c>
      <c r="AT20" s="67">
        <v>2</v>
      </c>
      <c r="AU20" s="67">
        <f t="shared" si="2"/>
        <v>24</v>
      </c>
    </row>
    <row r="21" spans="1:47">
      <c r="A21" s="8">
        <v>61</v>
      </c>
      <c r="B21" s="8" t="s">
        <v>99</v>
      </c>
      <c r="C21" s="8" t="s">
        <v>346</v>
      </c>
      <c r="D21" s="8"/>
      <c r="E21" s="8">
        <v>61</v>
      </c>
      <c r="F21" s="24"/>
      <c r="G21" s="5"/>
      <c r="H21" s="5"/>
      <c r="I21" s="5"/>
      <c r="J21" s="5"/>
      <c r="K21" s="5"/>
      <c r="L21" s="5"/>
      <c r="M21" s="25"/>
      <c r="N21" s="24"/>
      <c r="O21" s="5"/>
      <c r="P21" s="5"/>
      <c r="Q21" s="5"/>
      <c r="R21" s="5"/>
      <c r="S21" s="5"/>
      <c r="T21" s="5"/>
      <c r="U21" s="25"/>
      <c r="V21" s="5"/>
      <c r="W21" s="5"/>
      <c r="X21" s="5"/>
      <c r="Y21" s="5"/>
      <c r="Z21" s="5"/>
      <c r="AA21" s="5"/>
      <c r="AB21" s="5"/>
      <c r="AC21" s="5"/>
      <c r="AD21" s="24"/>
      <c r="AE21" s="5"/>
      <c r="AF21" s="5"/>
      <c r="AG21" s="5"/>
      <c r="AH21" s="5"/>
      <c r="AI21" s="5"/>
      <c r="AJ21" s="5"/>
      <c r="AK21" s="25"/>
      <c r="AL21" s="5">
        <v>61</v>
      </c>
      <c r="AM21" s="8">
        <v>1</v>
      </c>
      <c r="AN21" s="8"/>
      <c r="AP21" s="67">
        <f t="shared" si="0"/>
        <v>0</v>
      </c>
      <c r="AQ21" s="76">
        <f t="shared" si="1"/>
        <v>0</v>
      </c>
      <c r="AR21" s="85">
        <v>21</v>
      </c>
      <c r="AT21" s="67">
        <v>1</v>
      </c>
      <c r="AU21" s="67">
        <f t="shared" si="2"/>
        <v>22</v>
      </c>
    </row>
    <row r="22" spans="1:47">
      <c r="A22" s="8">
        <v>62</v>
      </c>
      <c r="B22" s="8" t="s">
        <v>68</v>
      </c>
      <c r="C22" s="8" t="s">
        <v>357</v>
      </c>
      <c r="D22" s="8"/>
      <c r="E22" s="8">
        <v>62</v>
      </c>
      <c r="F22" s="24"/>
      <c r="G22" s="5"/>
      <c r="H22" s="5"/>
      <c r="I22" s="5"/>
      <c r="J22" s="5"/>
      <c r="K22" s="5"/>
      <c r="L22" s="5"/>
      <c r="M22" s="25"/>
      <c r="N22" s="24"/>
      <c r="O22" s="5"/>
      <c r="P22" s="5"/>
      <c r="Q22" s="5"/>
      <c r="R22" s="5"/>
      <c r="S22" s="5"/>
      <c r="T22" s="5"/>
      <c r="U22" s="25"/>
      <c r="V22" s="5"/>
      <c r="W22" s="5"/>
      <c r="X22" s="5"/>
      <c r="Y22" s="5"/>
      <c r="Z22" s="5"/>
      <c r="AA22" s="5"/>
      <c r="AB22" s="5"/>
      <c r="AC22" s="5"/>
      <c r="AD22" s="24"/>
      <c r="AE22" s="5"/>
      <c r="AF22" s="5"/>
      <c r="AG22" s="5"/>
      <c r="AH22" s="5"/>
      <c r="AI22" s="5"/>
      <c r="AJ22" s="5"/>
      <c r="AK22" s="25"/>
      <c r="AL22" s="5">
        <v>62</v>
      </c>
      <c r="AM22" s="8">
        <v>1</v>
      </c>
      <c r="AN22" s="8"/>
      <c r="AP22" s="67">
        <f t="shared" si="0"/>
        <v>0</v>
      </c>
      <c r="AQ22" s="76">
        <f t="shared" si="1"/>
        <v>0</v>
      </c>
      <c r="AR22" s="85">
        <v>28</v>
      </c>
      <c r="AT22" s="67">
        <v>0</v>
      </c>
      <c r="AU22" s="67">
        <f t="shared" si="2"/>
        <v>28</v>
      </c>
    </row>
    <row r="23" spans="1:47">
      <c r="A23" s="8">
        <v>63</v>
      </c>
      <c r="B23" s="8" t="s">
        <v>71</v>
      </c>
      <c r="C23" s="8" t="s">
        <v>366</v>
      </c>
      <c r="D23" s="8" t="s">
        <v>42</v>
      </c>
      <c r="E23" s="8">
        <v>63</v>
      </c>
      <c r="F23" s="24"/>
      <c r="G23" s="5"/>
      <c r="H23" s="5"/>
      <c r="I23" s="5"/>
      <c r="J23" s="5"/>
      <c r="K23" s="5"/>
      <c r="L23" s="5"/>
      <c r="M23" s="25"/>
      <c r="N23" s="24"/>
      <c r="O23" s="5"/>
      <c r="P23" s="5"/>
      <c r="Q23" s="5"/>
      <c r="R23" s="5"/>
      <c r="S23" s="5"/>
      <c r="T23" s="5"/>
      <c r="U23" s="25"/>
      <c r="V23" s="5"/>
      <c r="W23" s="5"/>
      <c r="X23" s="5"/>
      <c r="Y23" s="5"/>
      <c r="Z23" s="5"/>
      <c r="AA23" s="5"/>
      <c r="AB23" s="5"/>
      <c r="AC23" s="5"/>
      <c r="AD23" s="24"/>
      <c r="AE23" s="5"/>
      <c r="AF23" s="5"/>
      <c r="AG23" s="5"/>
      <c r="AH23" s="5"/>
      <c r="AI23" s="5"/>
      <c r="AJ23" s="5"/>
      <c r="AK23" s="25"/>
      <c r="AL23" s="5">
        <v>63</v>
      </c>
      <c r="AM23" s="8">
        <v>1</v>
      </c>
      <c r="AN23" s="8"/>
      <c r="AP23" s="67">
        <f t="shared" si="0"/>
        <v>0</v>
      </c>
      <c r="AQ23" s="76">
        <f t="shared" si="1"/>
        <v>0</v>
      </c>
      <c r="AR23" s="85">
        <v>32</v>
      </c>
      <c r="AT23" s="67">
        <v>0</v>
      </c>
      <c r="AU23" s="67">
        <f t="shared" si="2"/>
        <v>32</v>
      </c>
    </row>
    <row r="24" spans="1:47">
      <c r="A24" s="8">
        <v>64</v>
      </c>
      <c r="B24" s="8" t="s">
        <v>73</v>
      </c>
      <c r="C24" s="8" t="s">
        <v>165</v>
      </c>
      <c r="D24" s="8" t="s">
        <v>42</v>
      </c>
      <c r="E24" s="8">
        <v>64</v>
      </c>
      <c r="F24" s="24"/>
      <c r="G24" s="5"/>
      <c r="H24" s="5"/>
      <c r="I24" s="5"/>
      <c r="J24" s="5"/>
      <c r="K24" s="5"/>
      <c r="L24" s="5"/>
      <c r="M24" s="25"/>
      <c r="N24" s="24"/>
      <c r="O24" s="5"/>
      <c r="P24" s="5"/>
      <c r="Q24" s="5"/>
      <c r="R24" s="5"/>
      <c r="S24" s="5"/>
      <c r="T24" s="5"/>
      <c r="U24" s="25"/>
      <c r="V24" s="5"/>
      <c r="W24" s="5"/>
      <c r="X24" s="5"/>
      <c r="Y24" s="5"/>
      <c r="Z24" s="5"/>
      <c r="AA24" s="5"/>
      <c r="AB24" s="5"/>
      <c r="AC24" s="5"/>
      <c r="AD24" s="24"/>
      <c r="AE24" s="5"/>
      <c r="AF24" s="5"/>
      <c r="AG24" s="5"/>
      <c r="AH24" s="5"/>
      <c r="AI24" s="5"/>
      <c r="AJ24" s="5"/>
      <c r="AK24" s="25"/>
      <c r="AL24" s="5">
        <v>64</v>
      </c>
      <c r="AM24" s="8">
        <v>1</v>
      </c>
      <c r="AN24" s="8"/>
      <c r="AP24" s="67">
        <f t="shared" si="0"/>
        <v>0</v>
      </c>
      <c r="AQ24" s="76">
        <f t="shared" si="1"/>
        <v>0</v>
      </c>
      <c r="AR24" s="85">
        <v>31</v>
      </c>
      <c r="AS24">
        <v>1</v>
      </c>
      <c r="AT24" s="67">
        <v>0</v>
      </c>
      <c r="AU24" s="67">
        <f t="shared" si="2"/>
        <v>32</v>
      </c>
    </row>
    <row r="25" spans="1:47">
      <c r="A25" s="8">
        <v>65</v>
      </c>
      <c r="B25" s="8" t="s">
        <v>74</v>
      </c>
      <c r="C25" s="8" t="s">
        <v>346</v>
      </c>
      <c r="D25" s="8"/>
      <c r="E25" s="8">
        <v>65</v>
      </c>
      <c r="F25" s="24"/>
      <c r="G25" s="5"/>
      <c r="H25" s="5"/>
      <c r="I25" s="5"/>
      <c r="J25" s="5"/>
      <c r="K25" s="5"/>
      <c r="L25" s="5"/>
      <c r="M25" s="25"/>
      <c r="N25" s="24"/>
      <c r="O25" s="5"/>
      <c r="P25" s="5"/>
      <c r="Q25" s="5"/>
      <c r="R25" s="5"/>
      <c r="S25" s="5"/>
      <c r="T25" s="5"/>
      <c r="U25" s="25"/>
      <c r="V25" s="5"/>
      <c r="W25" s="5"/>
      <c r="X25" s="5"/>
      <c r="Y25" s="5"/>
      <c r="Z25" s="5"/>
      <c r="AA25" s="5"/>
      <c r="AB25" s="5"/>
      <c r="AC25" s="5"/>
      <c r="AD25" s="24"/>
      <c r="AE25" s="5"/>
      <c r="AF25" s="5"/>
      <c r="AG25" s="5"/>
      <c r="AH25" s="5"/>
      <c r="AI25" s="5"/>
      <c r="AJ25" s="5"/>
      <c r="AK25" s="25"/>
      <c r="AL25" s="5">
        <v>65</v>
      </c>
      <c r="AM25" s="8">
        <v>1</v>
      </c>
      <c r="AN25" s="8"/>
      <c r="AP25" s="67">
        <f t="shared" si="0"/>
        <v>0</v>
      </c>
      <c r="AQ25" s="76">
        <f t="shared" si="1"/>
        <v>0</v>
      </c>
      <c r="AR25" s="85">
        <v>9</v>
      </c>
      <c r="AT25" s="67">
        <v>3</v>
      </c>
      <c r="AU25" s="67">
        <f t="shared" si="2"/>
        <v>12</v>
      </c>
    </row>
    <row r="26" spans="1:47">
      <c r="A26" s="8">
        <v>68</v>
      </c>
      <c r="B26" s="8" t="s">
        <v>65</v>
      </c>
      <c r="C26" s="8" t="s">
        <v>12</v>
      </c>
      <c r="D26" s="8" t="s">
        <v>42</v>
      </c>
      <c r="E26" s="8">
        <v>68</v>
      </c>
      <c r="F26" s="24"/>
      <c r="G26" s="5"/>
      <c r="H26" s="5"/>
      <c r="I26" s="5"/>
      <c r="J26" s="5"/>
      <c r="K26" s="5"/>
      <c r="L26" s="5"/>
      <c r="M26" s="25"/>
      <c r="N26" s="24"/>
      <c r="O26" s="5"/>
      <c r="P26" s="5"/>
      <c r="Q26" s="5"/>
      <c r="R26" s="5"/>
      <c r="S26" s="5"/>
      <c r="T26" s="5"/>
      <c r="U26" s="25"/>
      <c r="V26" s="5"/>
      <c r="W26" s="5"/>
      <c r="X26" s="5">
        <v>1</v>
      </c>
      <c r="Y26" s="5">
        <v>1</v>
      </c>
      <c r="Z26" s="5"/>
      <c r="AA26" s="5"/>
      <c r="AB26" s="5"/>
      <c r="AC26" s="5"/>
      <c r="AD26" s="24"/>
      <c r="AE26" s="5"/>
      <c r="AF26" s="5"/>
      <c r="AG26" s="5"/>
      <c r="AH26" s="5"/>
      <c r="AI26" s="5"/>
      <c r="AJ26" s="5"/>
      <c r="AK26" s="25"/>
      <c r="AL26" s="5">
        <v>68</v>
      </c>
      <c r="AM26" s="8"/>
      <c r="AN26" s="8">
        <v>1</v>
      </c>
      <c r="AP26" s="67">
        <f t="shared" si="0"/>
        <v>2</v>
      </c>
      <c r="AQ26" s="76">
        <f t="shared" si="1"/>
        <v>6.25E-2</v>
      </c>
      <c r="AR26" s="85">
        <v>32</v>
      </c>
      <c r="AT26" s="67">
        <v>0</v>
      </c>
      <c r="AU26" s="67">
        <f t="shared" si="2"/>
        <v>32</v>
      </c>
    </row>
    <row r="27" spans="1:47">
      <c r="A27" s="8">
        <v>69</v>
      </c>
      <c r="B27" s="8" t="s">
        <v>78</v>
      </c>
      <c r="C27" s="8" t="s">
        <v>359</v>
      </c>
      <c r="D27" s="8"/>
      <c r="E27" s="8">
        <v>69</v>
      </c>
      <c r="F27" s="24"/>
      <c r="G27" s="5"/>
      <c r="H27" s="5"/>
      <c r="I27" s="5"/>
      <c r="J27" s="5"/>
      <c r="K27" s="5"/>
      <c r="L27" s="5"/>
      <c r="M27" s="25"/>
      <c r="N27" s="24"/>
      <c r="O27" s="5"/>
      <c r="P27" s="5"/>
      <c r="Q27" s="5"/>
      <c r="R27" s="5"/>
      <c r="S27" s="5"/>
      <c r="T27" s="5"/>
      <c r="U27" s="25"/>
      <c r="V27" s="5"/>
      <c r="W27" s="5"/>
      <c r="X27" s="5"/>
      <c r="Y27" s="5"/>
      <c r="Z27" s="5"/>
      <c r="AA27" s="5"/>
      <c r="AB27" s="5"/>
      <c r="AC27" s="5"/>
      <c r="AD27" s="24"/>
      <c r="AE27" s="5"/>
      <c r="AF27" s="5"/>
      <c r="AG27" s="5"/>
      <c r="AH27" s="5"/>
      <c r="AI27" s="5"/>
      <c r="AJ27" s="5"/>
      <c r="AK27" s="25"/>
      <c r="AL27" s="5">
        <v>69</v>
      </c>
      <c r="AM27" s="8">
        <v>1</v>
      </c>
      <c r="AN27" s="8"/>
      <c r="AP27" s="67">
        <f t="shared" si="0"/>
        <v>0</v>
      </c>
      <c r="AQ27" s="76">
        <f t="shared" si="1"/>
        <v>0</v>
      </c>
      <c r="AR27" s="85">
        <v>23</v>
      </c>
      <c r="AT27" s="67">
        <v>1</v>
      </c>
      <c r="AU27" s="67">
        <f t="shared" si="2"/>
        <v>24</v>
      </c>
    </row>
    <row r="28" spans="1:47">
      <c r="A28" s="8">
        <v>70</v>
      </c>
      <c r="B28" s="8" t="s">
        <v>80</v>
      </c>
      <c r="C28" s="8" t="s">
        <v>346</v>
      </c>
      <c r="D28" s="8"/>
      <c r="E28" s="8">
        <v>70</v>
      </c>
      <c r="F28" s="24"/>
      <c r="G28" s="5"/>
      <c r="H28" s="5"/>
      <c r="I28" s="5"/>
      <c r="J28" s="5"/>
      <c r="K28" s="5"/>
      <c r="L28" s="5"/>
      <c r="M28" s="25"/>
      <c r="N28" s="24"/>
      <c r="O28" s="5"/>
      <c r="P28" s="5"/>
      <c r="Q28" s="5"/>
      <c r="R28" s="5"/>
      <c r="S28" s="5"/>
      <c r="T28" s="5"/>
      <c r="U28" s="25"/>
      <c r="V28" s="5"/>
      <c r="W28" s="5"/>
      <c r="X28" s="5"/>
      <c r="Y28" s="5"/>
      <c r="Z28" s="5"/>
      <c r="AA28" s="5"/>
      <c r="AB28" s="5"/>
      <c r="AC28" s="5"/>
      <c r="AD28" s="24"/>
      <c r="AE28" s="5"/>
      <c r="AF28" s="5"/>
      <c r="AG28" s="5"/>
      <c r="AH28" s="5"/>
      <c r="AI28" s="5"/>
      <c r="AJ28" s="5"/>
      <c r="AK28" s="25"/>
      <c r="AL28" s="5">
        <v>70</v>
      </c>
      <c r="AM28" s="8">
        <v>1</v>
      </c>
      <c r="AN28" s="8"/>
      <c r="AP28" s="67">
        <f t="shared" si="0"/>
        <v>0</v>
      </c>
      <c r="AQ28" s="76">
        <f t="shared" si="1"/>
        <v>0</v>
      </c>
      <c r="AR28" s="85">
        <v>19</v>
      </c>
      <c r="AT28" s="67">
        <v>1</v>
      </c>
      <c r="AU28" s="67">
        <f t="shared" si="2"/>
        <v>20</v>
      </c>
    </row>
    <row r="29" spans="1:47">
      <c r="A29" s="8" t="s">
        <v>82</v>
      </c>
      <c r="B29" s="8" t="s">
        <v>55</v>
      </c>
      <c r="C29" s="8" t="s">
        <v>346</v>
      </c>
      <c r="D29" s="8"/>
      <c r="E29" s="8" t="s">
        <v>82</v>
      </c>
      <c r="F29" s="24"/>
      <c r="G29" s="5"/>
      <c r="H29" s="5"/>
      <c r="I29" s="5"/>
      <c r="J29" s="5"/>
      <c r="K29" s="5"/>
      <c r="L29" s="5"/>
      <c r="M29" s="25"/>
      <c r="N29" s="24"/>
      <c r="O29" s="5"/>
      <c r="P29" s="5"/>
      <c r="Q29" s="5"/>
      <c r="R29" s="5"/>
      <c r="S29" s="5"/>
      <c r="T29" s="5"/>
      <c r="U29" s="25"/>
      <c r="V29" s="5"/>
      <c r="W29" s="5"/>
      <c r="X29" s="5"/>
      <c r="Y29" s="5"/>
      <c r="Z29" s="5"/>
      <c r="AA29" s="5"/>
      <c r="AB29" s="5"/>
      <c r="AC29" s="5"/>
      <c r="AD29" s="24"/>
      <c r="AE29" s="5"/>
      <c r="AF29" s="5"/>
      <c r="AG29" s="5"/>
      <c r="AH29" s="5"/>
      <c r="AI29" s="5"/>
      <c r="AJ29" s="5"/>
      <c r="AK29" s="25"/>
      <c r="AL29" s="5" t="s">
        <v>82</v>
      </c>
      <c r="AM29" s="8">
        <v>1</v>
      </c>
      <c r="AN29" s="8"/>
      <c r="AP29" s="67">
        <f t="shared" si="0"/>
        <v>0</v>
      </c>
      <c r="AQ29" s="76">
        <f t="shared" si="1"/>
        <v>0</v>
      </c>
      <c r="AR29" s="85">
        <v>20</v>
      </c>
      <c r="AT29" s="67">
        <v>0</v>
      </c>
      <c r="AU29" s="67">
        <f t="shared" si="2"/>
        <v>20</v>
      </c>
    </row>
    <row r="30" spans="1:47">
      <c r="A30" s="8">
        <v>72</v>
      </c>
      <c r="B30" s="8" t="s">
        <v>5</v>
      </c>
      <c r="C30" s="8" t="s">
        <v>42</v>
      </c>
      <c r="D30" s="8" t="s">
        <v>42</v>
      </c>
      <c r="E30" s="8">
        <v>72</v>
      </c>
      <c r="F30" s="24"/>
      <c r="G30" s="5"/>
      <c r="H30" s="5"/>
      <c r="I30" s="5"/>
      <c r="J30" s="5">
        <v>1</v>
      </c>
      <c r="K30" s="5"/>
      <c r="L30" s="5"/>
      <c r="M30" s="25"/>
      <c r="N30" s="24"/>
      <c r="O30" s="5"/>
      <c r="P30" s="5"/>
      <c r="Q30" s="5"/>
      <c r="R30" s="5"/>
      <c r="S30" s="5"/>
      <c r="T30" s="5"/>
      <c r="U30" s="25"/>
      <c r="V30" s="5"/>
      <c r="W30" s="5"/>
      <c r="X30" s="5"/>
      <c r="Y30" s="5"/>
      <c r="Z30" s="5"/>
      <c r="AA30" s="5"/>
      <c r="AB30" s="5"/>
      <c r="AC30" s="5"/>
      <c r="AD30" s="24"/>
      <c r="AE30" s="5"/>
      <c r="AF30" s="5"/>
      <c r="AG30" s="5"/>
      <c r="AH30" s="5"/>
      <c r="AI30" s="5"/>
      <c r="AJ30" s="5"/>
      <c r="AK30" s="25"/>
      <c r="AL30" s="5">
        <v>72</v>
      </c>
      <c r="AM30" s="8"/>
      <c r="AN30" s="8">
        <v>1</v>
      </c>
      <c r="AP30" s="67">
        <f t="shared" si="0"/>
        <v>1</v>
      </c>
      <c r="AQ30" s="76">
        <f t="shared" si="1"/>
        <v>3.2258064516129031E-2</v>
      </c>
      <c r="AR30" s="85">
        <v>28</v>
      </c>
      <c r="AS30">
        <v>3</v>
      </c>
      <c r="AT30" s="67">
        <v>0</v>
      </c>
      <c r="AU30" s="67">
        <f t="shared" si="2"/>
        <v>31</v>
      </c>
    </row>
    <row r="31" spans="1:47">
      <c r="A31" s="8">
        <v>73</v>
      </c>
      <c r="B31" s="8" t="s">
        <v>44</v>
      </c>
      <c r="C31" s="8" t="s">
        <v>349</v>
      </c>
      <c r="D31" s="8" t="s">
        <v>6</v>
      </c>
      <c r="E31" s="8">
        <v>73</v>
      </c>
      <c r="F31" s="24"/>
      <c r="G31" s="5"/>
      <c r="H31" s="5"/>
      <c r="I31" s="5"/>
      <c r="J31" s="5"/>
      <c r="K31" s="5"/>
      <c r="L31" s="5"/>
      <c r="M31" s="25"/>
      <c r="N31" s="24"/>
      <c r="O31" s="5"/>
      <c r="P31" s="5">
        <v>1</v>
      </c>
      <c r="Q31" s="5"/>
      <c r="R31" s="5"/>
      <c r="S31" s="5">
        <v>1</v>
      </c>
      <c r="T31" s="5"/>
      <c r="U31" s="25"/>
      <c r="V31" s="5"/>
      <c r="W31" s="5"/>
      <c r="X31" s="5"/>
      <c r="Y31" s="5"/>
      <c r="Z31" s="5"/>
      <c r="AA31" s="5"/>
      <c r="AB31" s="5"/>
      <c r="AC31" s="5">
        <v>1</v>
      </c>
      <c r="AD31" s="24"/>
      <c r="AE31" s="5"/>
      <c r="AF31" s="5"/>
      <c r="AG31" s="5"/>
      <c r="AH31" s="5"/>
      <c r="AI31" s="5"/>
      <c r="AJ31" s="5"/>
      <c r="AK31" s="25"/>
      <c r="AL31" s="5">
        <v>73</v>
      </c>
      <c r="AM31" s="8"/>
      <c r="AN31" s="8">
        <v>1</v>
      </c>
      <c r="AP31" s="67">
        <f t="shared" si="0"/>
        <v>3</v>
      </c>
      <c r="AQ31" s="76">
        <f t="shared" si="1"/>
        <v>0.10714285714285714</v>
      </c>
      <c r="AR31" s="85">
        <v>7</v>
      </c>
      <c r="AS31">
        <v>21</v>
      </c>
      <c r="AT31" s="67">
        <v>0</v>
      </c>
      <c r="AU31" s="67">
        <f t="shared" si="2"/>
        <v>28</v>
      </c>
    </row>
    <row r="32" spans="1:47">
      <c r="A32" s="8">
        <v>74</v>
      </c>
      <c r="B32" s="8" t="s">
        <v>88</v>
      </c>
      <c r="C32" s="8" t="s">
        <v>12</v>
      </c>
      <c r="D32" s="8" t="s">
        <v>6</v>
      </c>
      <c r="E32" s="8">
        <v>74</v>
      </c>
      <c r="F32" s="24"/>
      <c r="G32" s="5"/>
      <c r="H32" s="5"/>
      <c r="I32" s="5"/>
      <c r="J32" s="5"/>
      <c r="K32" s="5"/>
      <c r="L32" s="5"/>
      <c r="M32" s="25"/>
      <c r="N32" s="24"/>
      <c r="O32" s="5"/>
      <c r="P32" s="5"/>
      <c r="Q32" s="5"/>
      <c r="R32" s="5"/>
      <c r="S32" s="5"/>
      <c r="T32" s="5"/>
      <c r="U32" s="25"/>
      <c r="V32" s="5"/>
      <c r="W32" s="5"/>
      <c r="X32" s="5"/>
      <c r="Y32" s="5"/>
      <c r="Z32" s="5"/>
      <c r="AA32" s="5"/>
      <c r="AB32" s="5"/>
      <c r="AC32" s="5"/>
      <c r="AD32" s="24"/>
      <c r="AE32" s="5"/>
      <c r="AF32" s="5"/>
      <c r="AG32" s="5"/>
      <c r="AH32" s="5"/>
      <c r="AI32" s="5"/>
      <c r="AJ32" s="5"/>
      <c r="AK32" s="25"/>
      <c r="AL32" s="5">
        <v>74</v>
      </c>
      <c r="AM32" s="8">
        <v>1</v>
      </c>
      <c r="AN32" s="8"/>
      <c r="AP32" s="67">
        <f t="shared" si="0"/>
        <v>0</v>
      </c>
      <c r="AQ32" s="76">
        <f t="shared" si="1"/>
        <v>0</v>
      </c>
      <c r="AR32" s="85">
        <v>31</v>
      </c>
      <c r="AT32" s="67">
        <v>1</v>
      </c>
      <c r="AU32" s="67">
        <f t="shared" si="2"/>
        <v>32</v>
      </c>
    </row>
    <row r="33" spans="1:47">
      <c r="A33" s="8">
        <v>76</v>
      </c>
      <c r="B33" s="8" t="s">
        <v>73</v>
      </c>
      <c r="C33" s="8" t="s">
        <v>165</v>
      </c>
      <c r="D33" s="8" t="s">
        <v>42</v>
      </c>
      <c r="E33" s="8">
        <v>76</v>
      </c>
      <c r="F33" s="24"/>
      <c r="G33" s="5"/>
      <c r="H33" s="5"/>
      <c r="I33" s="5"/>
      <c r="J33" s="5"/>
      <c r="K33" s="5"/>
      <c r="L33" s="5"/>
      <c r="M33" s="25"/>
      <c r="N33" s="24"/>
      <c r="O33" s="5"/>
      <c r="P33" s="5"/>
      <c r="Q33" s="5"/>
      <c r="R33" s="5"/>
      <c r="S33" s="5">
        <v>1</v>
      </c>
      <c r="T33" s="5"/>
      <c r="U33" s="25"/>
      <c r="V33" s="5"/>
      <c r="W33" s="5"/>
      <c r="X33" s="5"/>
      <c r="Y33" s="5"/>
      <c r="Z33" s="5"/>
      <c r="AA33" s="5"/>
      <c r="AB33" s="5"/>
      <c r="AC33" s="5"/>
      <c r="AD33" s="24"/>
      <c r="AE33" s="5"/>
      <c r="AF33" s="5"/>
      <c r="AG33" s="5"/>
      <c r="AH33" s="5"/>
      <c r="AI33" s="5"/>
      <c r="AJ33" s="5"/>
      <c r="AK33" s="25"/>
      <c r="AL33" s="5">
        <v>76</v>
      </c>
      <c r="AM33" s="8"/>
      <c r="AN33" s="8">
        <v>1</v>
      </c>
      <c r="AP33" s="67">
        <f t="shared" si="0"/>
        <v>1</v>
      </c>
      <c r="AQ33" s="76">
        <f t="shared" si="1"/>
        <v>3.125E-2</v>
      </c>
      <c r="AR33" s="85">
        <v>31</v>
      </c>
      <c r="AS33">
        <v>1</v>
      </c>
      <c r="AT33" s="67">
        <v>0</v>
      </c>
      <c r="AU33" s="67">
        <f t="shared" si="2"/>
        <v>32</v>
      </c>
    </row>
    <row r="34" spans="1:47">
      <c r="A34" s="8">
        <v>77</v>
      </c>
      <c r="B34" s="8" t="s">
        <v>78</v>
      </c>
      <c r="C34" s="8" t="s">
        <v>359</v>
      </c>
      <c r="D34" s="8"/>
      <c r="E34" s="8">
        <v>77</v>
      </c>
      <c r="F34" s="24"/>
      <c r="G34" s="5"/>
      <c r="H34" s="5"/>
      <c r="I34" s="5"/>
      <c r="J34" s="5"/>
      <c r="K34" s="5"/>
      <c r="L34" s="5"/>
      <c r="M34" s="25"/>
      <c r="N34" s="24"/>
      <c r="O34" s="5"/>
      <c r="P34" s="5"/>
      <c r="Q34" s="5"/>
      <c r="R34" s="5"/>
      <c r="S34" s="5"/>
      <c r="T34" s="5"/>
      <c r="U34" s="25"/>
      <c r="V34" s="5"/>
      <c r="W34" s="5"/>
      <c r="X34" s="5"/>
      <c r="Y34" s="5"/>
      <c r="Z34" s="5"/>
      <c r="AA34" s="5"/>
      <c r="AB34" s="5"/>
      <c r="AC34" s="5"/>
      <c r="AD34" s="24"/>
      <c r="AE34" s="5"/>
      <c r="AF34" s="5"/>
      <c r="AG34" s="5"/>
      <c r="AH34" s="5"/>
      <c r="AI34" s="5"/>
      <c r="AJ34" s="5"/>
      <c r="AK34" s="25"/>
      <c r="AL34" s="5">
        <v>77</v>
      </c>
      <c r="AM34" s="8">
        <v>1</v>
      </c>
      <c r="AN34" s="8"/>
      <c r="AP34" s="67">
        <f t="shared" si="0"/>
        <v>0</v>
      </c>
      <c r="AQ34" s="76">
        <f t="shared" si="1"/>
        <v>0</v>
      </c>
      <c r="AR34" s="85">
        <v>22</v>
      </c>
      <c r="AT34" s="67">
        <v>0</v>
      </c>
      <c r="AU34" s="67">
        <f t="shared" si="2"/>
        <v>22</v>
      </c>
    </row>
    <row r="35" spans="1:47">
      <c r="A35" s="8">
        <v>79</v>
      </c>
      <c r="B35" s="8" t="s">
        <v>71</v>
      </c>
      <c r="C35" s="8" t="s">
        <v>366</v>
      </c>
      <c r="D35" s="8" t="s">
        <v>42</v>
      </c>
      <c r="E35" s="8">
        <v>79</v>
      </c>
      <c r="F35" s="24"/>
      <c r="G35" s="5"/>
      <c r="H35" s="5"/>
      <c r="I35" s="5"/>
      <c r="J35" s="5"/>
      <c r="K35" s="5"/>
      <c r="L35" s="5"/>
      <c r="M35" s="25"/>
      <c r="N35" s="24"/>
      <c r="O35" s="5"/>
      <c r="P35" s="5"/>
      <c r="Q35" s="5"/>
      <c r="R35" s="5"/>
      <c r="S35" s="5"/>
      <c r="T35" s="5"/>
      <c r="U35" s="25"/>
      <c r="V35" s="5"/>
      <c r="W35" s="5"/>
      <c r="X35" s="5"/>
      <c r="Y35" s="5"/>
      <c r="Z35" s="5"/>
      <c r="AA35" s="5"/>
      <c r="AB35" s="5"/>
      <c r="AC35" s="5"/>
      <c r="AD35" s="24"/>
      <c r="AE35" s="5"/>
      <c r="AF35" s="5"/>
      <c r="AG35" s="5"/>
      <c r="AH35" s="5"/>
      <c r="AI35" s="5"/>
      <c r="AJ35" s="5"/>
      <c r="AK35" s="25"/>
      <c r="AL35" s="5">
        <v>79</v>
      </c>
      <c r="AM35" s="8">
        <v>1</v>
      </c>
      <c r="AN35" s="8"/>
      <c r="AP35" s="67">
        <f t="shared" si="0"/>
        <v>0</v>
      </c>
      <c r="AQ35" s="76">
        <f t="shared" si="1"/>
        <v>0</v>
      </c>
      <c r="AR35" s="85">
        <v>30</v>
      </c>
      <c r="AT35" s="67">
        <v>0</v>
      </c>
      <c r="AU35" s="67">
        <f t="shared" si="2"/>
        <v>30</v>
      </c>
    </row>
    <row r="36" spans="1:47">
      <c r="A36" s="8">
        <v>82</v>
      </c>
      <c r="B36" s="55" t="s">
        <v>56</v>
      </c>
      <c r="C36" s="8" t="s">
        <v>360</v>
      </c>
      <c r="D36" s="8"/>
      <c r="E36" s="8">
        <v>82</v>
      </c>
      <c r="F36" s="24"/>
      <c r="G36" s="5"/>
      <c r="H36" s="5"/>
      <c r="I36" s="5"/>
      <c r="J36" s="5"/>
      <c r="K36" s="5"/>
      <c r="L36" s="5"/>
      <c r="M36" s="25"/>
      <c r="N36" s="24"/>
      <c r="O36" s="5"/>
      <c r="P36" s="5"/>
      <c r="Q36" s="5"/>
      <c r="R36" s="5"/>
      <c r="S36" s="5"/>
      <c r="T36" s="5"/>
      <c r="U36" s="25"/>
      <c r="V36" s="5"/>
      <c r="W36" s="5"/>
      <c r="X36" s="5"/>
      <c r="Y36" s="5"/>
      <c r="Z36" s="5"/>
      <c r="AA36" s="5"/>
      <c r="AB36" s="5"/>
      <c r="AC36" s="5"/>
      <c r="AD36" s="24"/>
      <c r="AE36" s="5"/>
      <c r="AF36" s="5"/>
      <c r="AG36" s="5"/>
      <c r="AH36" s="5"/>
      <c r="AI36" s="5"/>
      <c r="AJ36" s="5"/>
      <c r="AK36" s="25"/>
      <c r="AL36" s="5">
        <v>82</v>
      </c>
      <c r="AM36" s="8">
        <v>1</v>
      </c>
      <c r="AN36" s="8"/>
      <c r="AP36" s="67">
        <f t="shared" si="0"/>
        <v>0</v>
      </c>
      <c r="AQ36" s="76">
        <f t="shared" si="1"/>
        <v>0</v>
      </c>
      <c r="AR36" s="85">
        <v>3</v>
      </c>
      <c r="AT36" s="67">
        <v>5</v>
      </c>
      <c r="AU36" s="67">
        <f t="shared" si="2"/>
        <v>8</v>
      </c>
    </row>
    <row r="37" spans="1:47">
      <c r="A37" s="8">
        <v>85</v>
      </c>
      <c r="B37" s="8" t="s">
        <v>93</v>
      </c>
      <c r="C37" s="8" t="s">
        <v>12</v>
      </c>
      <c r="D37" s="8" t="s">
        <v>6</v>
      </c>
      <c r="E37" s="8">
        <v>85</v>
      </c>
      <c r="F37" s="24"/>
      <c r="G37" s="5"/>
      <c r="H37" s="5"/>
      <c r="I37" s="5"/>
      <c r="J37" s="5"/>
      <c r="K37" s="5"/>
      <c r="L37" s="5"/>
      <c r="M37" s="25"/>
      <c r="N37" s="24"/>
      <c r="O37" s="5"/>
      <c r="P37" s="5"/>
      <c r="Q37" s="5"/>
      <c r="R37" s="5"/>
      <c r="S37" s="5"/>
      <c r="T37" s="5"/>
      <c r="U37" s="25"/>
      <c r="V37" s="5"/>
      <c r="W37" s="5"/>
      <c r="X37" s="5"/>
      <c r="Y37" s="5"/>
      <c r="Z37" s="5"/>
      <c r="AA37" s="5"/>
      <c r="AB37" s="5"/>
      <c r="AC37" s="5"/>
      <c r="AD37" s="24"/>
      <c r="AE37" s="5"/>
      <c r="AF37" s="5"/>
      <c r="AG37" s="5"/>
      <c r="AH37" s="5"/>
      <c r="AI37" s="5">
        <v>1</v>
      </c>
      <c r="AJ37" s="5"/>
      <c r="AK37" s="25"/>
      <c r="AL37" s="5">
        <v>85</v>
      </c>
      <c r="AM37" s="8"/>
      <c r="AN37" s="8">
        <v>1</v>
      </c>
      <c r="AP37" s="67">
        <f t="shared" si="0"/>
        <v>1</v>
      </c>
      <c r="AQ37" s="76">
        <f t="shared" si="1"/>
        <v>3.125E-2</v>
      </c>
      <c r="AR37" s="85">
        <v>31</v>
      </c>
      <c r="AS37">
        <v>1</v>
      </c>
      <c r="AT37" s="67">
        <v>0</v>
      </c>
      <c r="AU37" s="67">
        <f t="shared" si="2"/>
        <v>32</v>
      </c>
    </row>
    <row r="38" spans="1:47">
      <c r="A38" s="8">
        <v>86</v>
      </c>
      <c r="B38" s="8" t="s">
        <v>44</v>
      </c>
      <c r="C38" s="8" t="s">
        <v>349</v>
      </c>
      <c r="D38" s="8" t="s">
        <v>6</v>
      </c>
      <c r="E38" s="8">
        <v>86</v>
      </c>
      <c r="F38" s="24"/>
      <c r="G38" s="5"/>
      <c r="H38" s="5"/>
      <c r="I38" s="5">
        <v>1</v>
      </c>
      <c r="J38" s="5">
        <v>1</v>
      </c>
      <c r="K38" s="5">
        <v>1</v>
      </c>
      <c r="L38" s="5"/>
      <c r="M38" s="25"/>
      <c r="N38" s="24"/>
      <c r="O38" s="5"/>
      <c r="P38" s="5">
        <v>1</v>
      </c>
      <c r="Q38" s="5"/>
      <c r="R38" s="5"/>
      <c r="S38" s="5"/>
      <c r="T38" s="5"/>
      <c r="U38" s="25"/>
      <c r="V38" s="5"/>
      <c r="W38" s="5"/>
      <c r="X38" s="5">
        <v>1</v>
      </c>
      <c r="Y38" s="5"/>
      <c r="Z38" s="5"/>
      <c r="AA38" s="5">
        <v>1</v>
      </c>
      <c r="AB38" s="5"/>
      <c r="AC38" s="5"/>
      <c r="AD38" s="24"/>
      <c r="AE38" s="5"/>
      <c r="AF38" s="5"/>
      <c r="AG38" s="5"/>
      <c r="AH38" s="5"/>
      <c r="AI38" s="5"/>
      <c r="AJ38" s="5"/>
      <c r="AK38" s="25"/>
      <c r="AL38" s="5">
        <v>86</v>
      </c>
      <c r="AM38" s="8"/>
      <c r="AN38" s="8">
        <v>1</v>
      </c>
      <c r="AP38" s="67">
        <f t="shared" si="0"/>
        <v>6</v>
      </c>
      <c r="AQ38" s="76">
        <f t="shared" si="1"/>
        <v>0.21428571428571427</v>
      </c>
      <c r="AR38" s="85">
        <v>23</v>
      </c>
      <c r="AS38">
        <v>5</v>
      </c>
      <c r="AT38" s="67">
        <v>0</v>
      </c>
      <c r="AU38" s="67">
        <f t="shared" si="2"/>
        <v>28</v>
      </c>
    </row>
    <row r="39" spans="1:47">
      <c r="A39" s="8">
        <v>88</v>
      </c>
      <c r="B39" s="8" t="s">
        <v>55</v>
      </c>
      <c r="C39" s="8" t="s">
        <v>346</v>
      </c>
      <c r="D39" s="8"/>
      <c r="E39" s="8">
        <v>88</v>
      </c>
      <c r="F39" s="24"/>
      <c r="G39" s="5"/>
      <c r="H39" s="5"/>
      <c r="I39" s="5"/>
      <c r="J39" s="5"/>
      <c r="K39" s="5"/>
      <c r="L39" s="5"/>
      <c r="M39" s="25"/>
      <c r="N39" s="24"/>
      <c r="O39" s="5"/>
      <c r="P39" s="5"/>
      <c r="Q39" s="5"/>
      <c r="R39" s="5"/>
      <c r="S39" s="5"/>
      <c r="T39" s="5"/>
      <c r="U39" s="25"/>
      <c r="V39" s="5"/>
      <c r="W39" s="5"/>
      <c r="X39" s="5"/>
      <c r="Y39" s="5"/>
      <c r="Z39" s="5"/>
      <c r="AA39" s="5"/>
      <c r="AB39" s="5"/>
      <c r="AC39" s="5"/>
      <c r="AD39" s="24"/>
      <c r="AE39" s="5"/>
      <c r="AF39" s="5"/>
      <c r="AG39" s="5"/>
      <c r="AH39" s="5"/>
      <c r="AI39" s="5"/>
      <c r="AJ39" s="5"/>
      <c r="AK39" s="25"/>
      <c r="AL39" s="5">
        <v>88</v>
      </c>
      <c r="AM39" s="8">
        <v>1</v>
      </c>
      <c r="AN39" s="8"/>
      <c r="AP39" s="67">
        <f t="shared" si="0"/>
        <v>0</v>
      </c>
      <c r="AQ39" s="76">
        <f t="shared" si="1"/>
        <v>0</v>
      </c>
      <c r="AR39" s="85">
        <v>20</v>
      </c>
      <c r="AT39" s="67">
        <v>0</v>
      </c>
      <c r="AU39" s="67">
        <f t="shared" si="2"/>
        <v>20</v>
      </c>
    </row>
    <row r="40" spans="1:47">
      <c r="A40" s="8">
        <v>93</v>
      </c>
      <c r="B40" s="8" t="s">
        <v>63</v>
      </c>
      <c r="C40" s="8" t="s">
        <v>346</v>
      </c>
      <c r="D40" s="8"/>
      <c r="E40" s="8">
        <v>93</v>
      </c>
      <c r="F40" s="24"/>
      <c r="G40" s="5"/>
      <c r="H40" s="5"/>
      <c r="I40" s="5"/>
      <c r="J40" s="5"/>
      <c r="K40" s="5"/>
      <c r="L40" s="5"/>
      <c r="M40" s="25"/>
      <c r="N40" s="24"/>
      <c r="O40" s="5"/>
      <c r="P40" s="5"/>
      <c r="Q40" s="5"/>
      <c r="R40" s="5"/>
      <c r="S40" s="5"/>
      <c r="T40" s="5"/>
      <c r="U40" s="25"/>
      <c r="V40" s="5"/>
      <c r="W40" s="5"/>
      <c r="X40" s="5"/>
      <c r="Y40" s="5"/>
      <c r="Z40" s="5"/>
      <c r="AA40" s="5"/>
      <c r="AB40" s="5"/>
      <c r="AC40" s="5"/>
      <c r="AD40" s="24"/>
      <c r="AE40" s="5"/>
      <c r="AF40" s="5"/>
      <c r="AG40" s="5"/>
      <c r="AH40" s="5"/>
      <c r="AI40" s="5"/>
      <c r="AJ40" s="5"/>
      <c r="AK40" s="25"/>
      <c r="AL40" s="5">
        <v>93</v>
      </c>
      <c r="AM40" s="8">
        <v>1</v>
      </c>
      <c r="AN40" s="8"/>
      <c r="AP40" s="67">
        <f t="shared" si="0"/>
        <v>0</v>
      </c>
      <c r="AQ40" s="76">
        <f t="shared" si="1"/>
        <v>0</v>
      </c>
      <c r="AR40" s="85">
        <v>10</v>
      </c>
      <c r="AT40" s="67">
        <v>6</v>
      </c>
      <c r="AU40" s="67">
        <f t="shared" si="2"/>
        <v>16</v>
      </c>
    </row>
    <row r="41" spans="1:47">
      <c r="A41" s="8">
        <v>95</v>
      </c>
      <c r="B41" s="8" t="s">
        <v>53</v>
      </c>
      <c r="C41" s="8" t="s">
        <v>346</v>
      </c>
      <c r="D41" s="8"/>
      <c r="E41" s="8">
        <v>95</v>
      </c>
      <c r="F41" s="24"/>
      <c r="G41" s="5"/>
      <c r="H41" s="5"/>
      <c r="I41" s="5"/>
      <c r="J41" s="5">
        <v>1</v>
      </c>
      <c r="K41" s="5"/>
      <c r="L41" s="5"/>
      <c r="M41" s="25"/>
      <c r="N41" s="24"/>
      <c r="O41" s="5"/>
      <c r="P41" s="5"/>
      <c r="Q41" s="5">
        <v>1</v>
      </c>
      <c r="R41" s="5"/>
      <c r="S41" s="5"/>
      <c r="T41" s="5"/>
      <c r="U41" s="25"/>
      <c r="V41" s="5"/>
      <c r="W41" s="5"/>
      <c r="X41" s="5"/>
      <c r="Y41" s="5"/>
      <c r="Z41" s="5"/>
      <c r="AA41" s="5"/>
      <c r="AB41" s="5"/>
      <c r="AC41" s="5"/>
      <c r="AD41" s="24"/>
      <c r="AE41" s="5"/>
      <c r="AF41" s="5"/>
      <c r="AG41" s="5"/>
      <c r="AH41" s="5"/>
      <c r="AI41" s="5"/>
      <c r="AJ41" s="5"/>
      <c r="AK41" s="25"/>
      <c r="AL41" s="5">
        <v>95</v>
      </c>
      <c r="AM41" s="8"/>
      <c r="AN41" s="8">
        <v>1</v>
      </c>
      <c r="AP41" s="67">
        <f t="shared" si="0"/>
        <v>2</v>
      </c>
      <c r="AQ41" s="76">
        <f t="shared" si="1"/>
        <v>8.3333333333333329E-2</v>
      </c>
      <c r="AR41" s="85">
        <v>23</v>
      </c>
      <c r="AT41" s="67">
        <v>1</v>
      </c>
      <c r="AU41" s="67">
        <f t="shared" si="2"/>
        <v>24</v>
      </c>
    </row>
    <row r="42" spans="1:47">
      <c r="A42" s="8">
        <v>97</v>
      </c>
      <c r="B42" s="8" t="s">
        <v>44</v>
      </c>
      <c r="C42" s="8" t="s">
        <v>349</v>
      </c>
      <c r="D42" s="8" t="s">
        <v>42</v>
      </c>
      <c r="E42" s="8">
        <v>97</v>
      </c>
      <c r="F42" s="24"/>
      <c r="G42" s="5">
        <v>1</v>
      </c>
      <c r="H42" s="5"/>
      <c r="I42" s="5">
        <v>1</v>
      </c>
      <c r="J42" s="5">
        <v>1</v>
      </c>
      <c r="K42" s="5">
        <v>1</v>
      </c>
      <c r="L42" s="5">
        <v>1</v>
      </c>
      <c r="M42" s="25">
        <v>1</v>
      </c>
      <c r="N42" s="24">
        <v>1</v>
      </c>
      <c r="O42" s="5">
        <v>1</v>
      </c>
      <c r="P42" s="5"/>
      <c r="Q42" s="5">
        <v>1</v>
      </c>
      <c r="R42" s="5">
        <v>1</v>
      </c>
      <c r="S42" s="5"/>
      <c r="T42" s="5">
        <v>1</v>
      </c>
      <c r="U42" s="25"/>
      <c r="V42" s="5"/>
      <c r="W42" s="5">
        <v>1</v>
      </c>
      <c r="X42" s="5">
        <v>1</v>
      </c>
      <c r="Y42" s="5"/>
      <c r="Z42" s="5"/>
      <c r="AA42" s="5"/>
      <c r="AB42" s="5"/>
      <c r="AC42" s="5"/>
      <c r="AD42" s="24"/>
      <c r="AE42" s="5"/>
      <c r="AF42" s="5"/>
      <c r="AG42" s="5"/>
      <c r="AH42" s="5"/>
      <c r="AI42" s="5">
        <v>1</v>
      </c>
      <c r="AJ42" s="5"/>
      <c r="AK42" s="25"/>
      <c r="AL42" s="5">
        <v>97</v>
      </c>
      <c r="AM42" s="8"/>
      <c r="AN42" s="8">
        <v>1</v>
      </c>
      <c r="AP42" s="67">
        <f t="shared" si="0"/>
        <v>14</v>
      </c>
      <c r="AQ42" s="76">
        <f t="shared" si="1"/>
        <v>0.4375</v>
      </c>
      <c r="AR42" s="85">
        <v>27</v>
      </c>
      <c r="AS42">
        <v>5</v>
      </c>
      <c r="AT42" s="67">
        <v>0</v>
      </c>
      <c r="AU42" s="67">
        <f t="shared" si="2"/>
        <v>32</v>
      </c>
    </row>
    <row r="43" spans="1:47">
      <c r="A43" s="8">
        <v>98</v>
      </c>
      <c r="B43" s="8" t="s">
        <v>62</v>
      </c>
      <c r="C43" s="8" t="s">
        <v>42</v>
      </c>
      <c r="D43" s="8" t="s">
        <v>42</v>
      </c>
      <c r="E43" s="8">
        <v>98</v>
      </c>
      <c r="F43" s="24"/>
      <c r="G43" s="5"/>
      <c r="H43" s="5"/>
      <c r="I43" s="5"/>
      <c r="J43" s="5"/>
      <c r="K43" s="5"/>
      <c r="L43" s="5"/>
      <c r="M43" s="25"/>
      <c r="N43" s="24"/>
      <c r="O43" s="5"/>
      <c r="P43" s="5"/>
      <c r="Q43" s="5"/>
      <c r="R43" s="5"/>
      <c r="S43" s="5"/>
      <c r="T43" s="5"/>
      <c r="U43" s="25"/>
      <c r="V43" s="5"/>
      <c r="W43" s="5"/>
      <c r="X43" s="5"/>
      <c r="Y43" s="5"/>
      <c r="Z43" s="5"/>
      <c r="AA43" s="5"/>
      <c r="AB43" s="5"/>
      <c r="AC43" s="5"/>
      <c r="AD43" s="24"/>
      <c r="AE43" s="5"/>
      <c r="AF43" s="5"/>
      <c r="AG43" s="5"/>
      <c r="AH43" s="5"/>
      <c r="AI43" s="5"/>
      <c r="AJ43" s="5"/>
      <c r="AK43" s="25">
        <v>1</v>
      </c>
      <c r="AL43" s="5">
        <v>98</v>
      </c>
      <c r="AM43" s="8"/>
      <c r="AN43" s="8">
        <v>1</v>
      </c>
      <c r="AP43" s="67">
        <f t="shared" si="0"/>
        <v>1</v>
      </c>
      <c r="AQ43" s="76">
        <f t="shared" si="1"/>
        <v>9.0909090909090912E-2</v>
      </c>
      <c r="AR43" s="85">
        <v>10</v>
      </c>
      <c r="AT43" s="67">
        <v>1</v>
      </c>
      <c r="AU43" s="67">
        <f t="shared" si="2"/>
        <v>11</v>
      </c>
    </row>
    <row r="44" spans="1:47">
      <c r="A44" s="8">
        <v>100</v>
      </c>
      <c r="B44" s="8" t="s">
        <v>62</v>
      </c>
      <c r="C44" s="8" t="s">
        <v>42</v>
      </c>
      <c r="D44" s="8" t="s">
        <v>42</v>
      </c>
      <c r="E44" s="8">
        <v>100</v>
      </c>
      <c r="F44" s="24"/>
      <c r="G44" s="5">
        <v>1</v>
      </c>
      <c r="H44" s="5"/>
      <c r="I44" s="5"/>
      <c r="J44" s="5"/>
      <c r="K44" s="5"/>
      <c r="L44" s="5"/>
      <c r="M44" s="25"/>
      <c r="N44" s="24"/>
      <c r="O44" s="5"/>
      <c r="P44" s="5"/>
      <c r="Q44" s="5"/>
      <c r="R44" s="5"/>
      <c r="S44" s="5"/>
      <c r="T44" s="5">
        <v>1</v>
      </c>
      <c r="U44" s="25">
        <v>1</v>
      </c>
      <c r="V44" s="5"/>
      <c r="W44" s="5"/>
      <c r="X44" s="5"/>
      <c r="Y44" s="5"/>
      <c r="Z44" s="5"/>
      <c r="AA44" s="5"/>
      <c r="AB44" s="5"/>
      <c r="AC44" s="5"/>
      <c r="AD44" s="24"/>
      <c r="AE44" s="5"/>
      <c r="AF44" s="5"/>
      <c r="AG44" s="5"/>
      <c r="AH44" s="5"/>
      <c r="AI44" s="5"/>
      <c r="AJ44" s="5"/>
      <c r="AK44" s="25"/>
      <c r="AL44" s="5">
        <v>100</v>
      </c>
      <c r="AM44" s="8"/>
      <c r="AN44" s="8">
        <v>1</v>
      </c>
      <c r="AP44" s="67">
        <f t="shared" si="0"/>
        <v>3</v>
      </c>
      <c r="AQ44" s="76">
        <f t="shared" si="1"/>
        <v>9.375E-2</v>
      </c>
      <c r="AR44" s="85">
        <v>32</v>
      </c>
      <c r="AT44" s="67">
        <v>0</v>
      </c>
      <c r="AU44" s="67">
        <f t="shared" si="2"/>
        <v>32</v>
      </c>
    </row>
    <row r="45" spans="1:47">
      <c r="A45" s="8">
        <v>104</v>
      </c>
      <c r="B45" s="8" t="s">
        <v>106</v>
      </c>
      <c r="C45" s="8" t="s">
        <v>349</v>
      </c>
      <c r="D45" s="8" t="s">
        <v>42</v>
      </c>
      <c r="E45" s="8">
        <v>104</v>
      </c>
      <c r="F45" s="24"/>
      <c r="G45" s="5"/>
      <c r="H45" s="5"/>
      <c r="I45" s="5">
        <v>1</v>
      </c>
      <c r="J45" s="5">
        <v>1</v>
      </c>
      <c r="K45" s="5">
        <v>1</v>
      </c>
      <c r="L45" s="5">
        <v>1</v>
      </c>
      <c r="M45" s="25">
        <v>1</v>
      </c>
      <c r="N45" s="24">
        <v>1</v>
      </c>
      <c r="O45" s="5">
        <v>1</v>
      </c>
      <c r="P45" s="5">
        <v>1</v>
      </c>
      <c r="Q45" s="5">
        <v>1</v>
      </c>
      <c r="R45" s="5"/>
      <c r="S45" s="5"/>
      <c r="T45" s="5"/>
      <c r="U45" s="25"/>
      <c r="V45" s="5"/>
      <c r="W45" s="5">
        <v>1</v>
      </c>
      <c r="X45" s="5"/>
      <c r="Y45" s="5">
        <v>1</v>
      </c>
      <c r="Z45" s="5">
        <v>1</v>
      </c>
      <c r="AA45" s="5">
        <v>1</v>
      </c>
      <c r="AB45" s="5">
        <v>1</v>
      </c>
      <c r="AC45" s="5">
        <v>1</v>
      </c>
      <c r="AD45" s="24"/>
      <c r="AE45" s="5"/>
      <c r="AF45" s="5">
        <v>1</v>
      </c>
      <c r="AG45" s="5"/>
      <c r="AH45" s="5"/>
      <c r="AI45" s="5"/>
      <c r="AJ45" s="5"/>
      <c r="AK45" s="25">
        <v>1</v>
      </c>
      <c r="AL45" s="5">
        <v>104</v>
      </c>
      <c r="AM45" s="8"/>
      <c r="AN45" s="8">
        <v>1</v>
      </c>
      <c r="AP45" s="67">
        <f t="shared" si="0"/>
        <v>17</v>
      </c>
      <c r="AQ45" s="76">
        <f t="shared" si="1"/>
        <v>0.56666666666666665</v>
      </c>
      <c r="AR45" s="85">
        <v>18</v>
      </c>
      <c r="AS45">
        <v>12</v>
      </c>
      <c r="AT45" s="67">
        <v>0</v>
      </c>
      <c r="AU45" s="67">
        <f t="shared" si="2"/>
        <v>30</v>
      </c>
    </row>
    <row r="46" spans="1:47">
      <c r="A46" s="8">
        <v>105</v>
      </c>
      <c r="B46" s="8" t="s">
        <v>55</v>
      </c>
      <c r="C46" s="8" t="s">
        <v>346</v>
      </c>
      <c r="D46" s="8"/>
      <c r="E46" s="8">
        <v>105</v>
      </c>
      <c r="F46" s="24"/>
      <c r="G46" s="5"/>
      <c r="H46" s="5"/>
      <c r="I46" s="5"/>
      <c r="J46" s="5"/>
      <c r="K46" s="5"/>
      <c r="L46" s="5"/>
      <c r="M46" s="25"/>
      <c r="N46" s="24"/>
      <c r="O46" s="5"/>
      <c r="P46" s="5"/>
      <c r="Q46" s="5"/>
      <c r="R46" s="5"/>
      <c r="S46" s="5"/>
      <c r="T46" s="5"/>
      <c r="U46" s="25"/>
      <c r="V46" s="5"/>
      <c r="W46" s="5"/>
      <c r="X46" s="5"/>
      <c r="Y46" s="5"/>
      <c r="Z46" s="5"/>
      <c r="AA46" s="5"/>
      <c r="AB46" s="5"/>
      <c r="AC46" s="5"/>
      <c r="AD46" s="24"/>
      <c r="AE46" s="5"/>
      <c r="AF46" s="5"/>
      <c r="AG46" s="5"/>
      <c r="AH46" s="5"/>
      <c r="AI46" s="5"/>
      <c r="AJ46" s="5"/>
      <c r="AK46" s="25"/>
      <c r="AL46" s="5">
        <v>105</v>
      </c>
      <c r="AM46" s="8">
        <v>1</v>
      </c>
      <c r="AN46" s="8"/>
      <c r="AP46" s="67">
        <f t="shared" si="0"/>
        <v>0</v>
      </c>
      <c r="AQ46" s="76">
        <f t="shared" si="1"/>
        <v>0</v>
      </c>
      <c r="AR46" s="85">
        <v>20</v>
      </c>
      <c r="AT46" s="67">
        <v>0</v>
      </c>
      <c r="AU46" s="67">
        <f t="shared" si="2"/>
        <v>20</v>
      </c>
    </row>
    <row r="47" spans="1:47">
      <c r="A47" s="8">
        <v>106</v>
      </c>
      <c r="B47" s="8" t="s">
        <v>55</v>
      </c>
      <c r="C47" s="8" t="s">
        <v>346</v>
      </c>
      <c r="D47" s="8"/>
      <c r="E47" s="8">
        <v>106</v>
      </c>
      <c r="F47" s="24"/>
      <c r="G47" s="5"/>
      <c r="H47" s="5"/>
      <c r="I47" s="5"/>
      <c r="J47" s="5"/>
      <c r="K47" s="5"/>
      <c r="L47" s="5"/>
      <c r="M47" s="25"/>
      <c r="N47" s="24"/>
      <c r="O47" s="5"/>
      <c r="P47" s="5"/>
      <c r="Q47" s="5"/>
      <c r="R47" s="5"/>
      <c r="S47" s="5"/>
      <c r="T47" s="5"/>
      <c r="U47" s="25"/>
      <c r="V47" s="5"/>
      <c r="W47" s="5"/>
      <c r="X47" s="5"/>
      <c r="Y47" s="5"/>
      <c r="Z47" s="5"/>
      <c r="AA47" s="5"/>
      <c r="AB47" s="5"/>
      <c r="AC47" s="5"/>
      <c r="AD47" s="24"/>
      <c r="AE47" s="5"/>
      <c r="AF47" s="5"/>
      <c r="AG47" s="5"/>
      <c r="AH47" s="5"/>
      <c r="AI47" s="5"/>
      <c r="AJ47" s="5"/>
      <c r="AK47" s="25"/>
      <c r="AL47" s="5">
        <v>106</v>
      </c>
      <c r="AM47" s="8">
        <v>1</v>
      </c>
      <c r="AN47" s="8"/>
      <c r="AP47" s="67">
        <f t="shared" si="0"/>
        <v>0</v>
      </c>
      <c r="AQ47" s="76">
        <f t="shared" si="1"/>
        <v>0</v>
      </c>
      <c r="AR47" s="85">
        <v>19</v>
      </c>
      <c r="AT47" s="67">
        <v>1</v>
      </c>
      <c r="AU47" s="67">
        <f t="shared" si="2"/>
        <v>20</v>
      </c>
    </row>
    <row r="48" spans="1:47">
      <c r="A48" s="8">
        <v>108</v>
      </c>
      <c r="B48" s="8" t="s">
        <v>99</v>
      </c>
      <c r="C48" s="8" t="s">
        <v>346</v>
      </c>
      <c r="D48" s="8"/>
      <c r="E48" s="8">
        <v>108</v>
      </c>
      <c r="F48" s="24"/>
      <c r="G48" s="5"/>
      <c r="H48" s="5"/>
      <c r="I48" s="5"/>
      <c r="J48" s="5"/>
      <c r="K48" s="5"/>
      <c r="L48" s="5"/>
      <c r="M48" s="25"/>
      <c r="N48" s="24"/>
      <c r="O48" s="5"/>
      <c r="P48" s="5"/>
      <c r="Q48" s="5"/>
      <c r="R48" s="5"/>
      <c r="S48" s="5"/>
      <c r="T48" s="5"/>
      <c r="U48" s="25"/>
      <c r="V48" s="5"/>
      <c r="W48" s="5"/>
      <c r="X48" s="5"/>
      <c r="Y48" s="5"/>
      <c r="Z48" s="5"/>
      <c r="AA48" s="5"/>
      <c r="AB48" s="5"/>
      <c r="AC48" s="5"/>
      <c r="AD48" s="24"/>
      <c r="AE48" s="5"/>
      <c r="AF48" s="5"/>
      <c r="AG48" s="5"/>
      <c r="AH48" s="5"/>
      <c r="AI48" s="5"/>
      <c r="AJ48" s="5"/>
      <c r="AK48" s="25"/>
      <c r="AL48" s="5">
        <v>108</v>
      </c>
      <c r="AM48" s="8">
        <v>1</v>
      </c>
      <c r="AN48" s="8"/>
      <c r="AP48" s="67">
        <f t="shared" si="0"/>
        <v>0</v>
      </c>
      <c r="AQ48" s="76">
        <f t="shared" si="1"/>
        <v>0</v>
      </c>
      <c r="AR48" s="85">
        <v>17</v>
      </c>
      <c r="AT48" s="67">
        <v>7</v>
      </c>
      <c r="AU48" s="67">
        <f t="shared" si="2"/>
        <v>24</v>
      </c>
    </row>
    <row r="49" spans="1:47">
      <c r="A49" s="8">
        <v>109</v>
      </c>
      <c r="B49" s="8" t="s">
        <v>107</v>
      </c>
      <c r="C49" s="8" t="s">
        <v>358</v>
      </c>
      <c r="D49" s="8" t="s">
        <v>6</v>
      </c>
      <c r="E49" s="8">
        <v>109</v>
      </c>
      <c r="F49" s="24"/>
      <c r="G49" s="5"/>
      <c r="H49" s="5"/>
      <c r="I49" s="5"/>
      <c r="J49" s="5"/>
      <c r="K49" s="5"/>
      <c r="L49" s="5"/>
      <c r="M49" s="25"/>
      <c r="N49" s="24"/>
      <c r="O49" s="5"/>
      <c r="P49" s="5"/>
      <c r="Q49" s="5"/>
      <c r="R49" s="5"/>
      <c r="S49" s="5"/>
      <c r="T49" s="5"/>
      <c r="U49" s="25"/>
      <c r="V49" s="5"/>
      <c r="W49" s="5"/>
      <c r="X49" s="5"/>
      <c r="Y49" s="5"/>
      <c r="Z49" s="5"/>
      <c r="AA49" s="5"/>
      <c r="AB49" s="5"/>
      <c r="AC49" s="5"/>
      <c r="AD49" s="24"/>
      <c r="AE49" s="5"/>
      <c r="AF49" s="5"/>
      <c r="AG49" s="5"/>
      <c r="AH49" s="5"/>
      <c r="AI49" s="5"/>
      <c r="AJ49" s="5"/>
      <c r="AK49" s="25"/>
      <c r="AL49" s="5">
        <v>109</v>
      </c>
      <c r="AM49" s="8">
        <v>1</v>
      </c>
      <c r="AN49" s="8"/>
      <c r="AP49" s="67">
        <f t="shared" si="0"/>
        <v>0</v>
      </c>
      <c r="AQ49" s="76">
        <f t="shared" si="1"/>
        <v>0</v>
      </c>
      <c r="AR49" s="85">
        <v>27</v>
      </c>
      <c r="AT49" s="67">
        <v>1</v>
      </c>
      <c r="AU49" s="67">
        <f t="shared" si="2"/>
        <v>28</v>
      </c>
    </row>
    <row r="50" spans="1:47">
      <c r="A50" s="8">
        <v>112</v>
      </c>
      <c r="B50" s="8" t="s">
        <v>62</v>
      </c>
      <c r="C50" s="8" t="s">
        <v>42</v>
      </c>
      <c r="D50" s="8" t="s">
        <v>42</v>
      </c>
      <c r="E50" s="8">
        <v>112</v>
      </c>
      <c r="F50" s="24"/>
      <c r="G50" s="5">
        <v>1</v>
      </c>
      <c r="H50" s="5">
        <v>1</v>
      </c>
      <c r="I50" s="5"/>
      <c r="J50" s="5"/>
      <c r="K50" s="5">
        <v>1</v>
      </c>
      <c r="L50" s="5">
        <v>1</v>
      </c>
      <c r="M50" s="25"/>
      <c r="N50" s="24"/>
      <c r="O50" s="5">
        <v>1</v>
      </c>
      <c r="P50" s="5">
        <v>1</v>
      </c>
      <c r="Q50" s="5"/>
      <c r="R50" s="5">
        <v>1</v>
      </c>
      <c r="S50" s="5">
        <v>1</v>
      </c>
      <c r="T50" s="5">
        <v>1</v>
      </c>
      <c r="U50" s="25"/>
      <c r="V50" s="5"/>
      <c r="W50" s="5"/>
      <c r="X50" s="5"/>
      <c r="Y50" s="5"/>
      <c r="Z50" s="5"/>
      <c r="AA50" s="5"/>
      <c r="AB50" s="5"/>
      <c r="AC50" s="5"/>
      <c r="AD50" s="24"/>
      <c r="AE50" s="5"/>
      <c r="AF50" s="5"/>
      <c r="AG50" s="5"/>
      <c r="AH50" s="5"/>
      <c r="AI50" s="5"/>
      <c r="AJ50" s="5"/>
      <c r="AK50" s="25"/>
      <c r="AL50" s="5">
        <v>112</v>
      </c>
      <c r="AM50" s="8"/>
      <c r="AN50" s="8">
        <v>1</v>
      </c>
      <c r="AP50" s="67">
        <f t="shared" si="0"/>
        <v>9</v>
      </c>
      <c r="AQ50" s="76">
        <f t="shared" si="1"/>
        <v>0.29032258064516131</v>
      </c>
      <c r="AR50" s="85">
        <v>25</v>
      </c>
      <c r="AS50">
        <v>6</v>
      </c>
      <c r="AT50" s="67">
        <v>0</v>
      </c>
      <c r="AU50" s="67">
        <f t="shared" si="2"/>
        <v>31</v>
      </c>
    </row>
    <row r="51" spans="1:47">
      <c r="A51" s="8">
        <v>115</v>
      </c>
      <c r="B51" s="8" t="s">
        <v>68</v>
      </c>
      <c r="C51" s="8" t="s">
        <v>357</v>
      </c>
      <c r="D51" s="8"/>
      <c r="E51" s="8">
        <v>115</v>
      </c>
      <c r="F51" s="24"/>
      <c r="G51" s="5"/>
      <c r="H51" s="5"/>
      <c r="I51" s="5"/>
      <c r="J51" s="5"/>
      <c r="K51" s="5"/>
      <c r="L51" s="5"/>
      <c r="M51" s="25"/>
      <c r="N51" s="24"/>
      <c r="O51" s="5"/>
      <c r="P51" s="5"/>
      <c r="Q51" s="5"/>
      <c r="R51" s="5"/>
      <c r="S51" s="5"/>
      <c r="T51" s="5"/>
      <c r="U51" s="25"/>
      <c r="V51" s="5"/>
      <c r="W51" s="5"/>
      <c r="X51" s="5"/>
      <c r="Y51" s="5"/>
      <c r="Z51" s="5"/>
      <c r="AA51" s="5"/>
      <c r="AB51" s="5"/>
      <c r="AC51" s="5"/>
      <c r="AD51" s="24"/>
      <c r="AE51" s="5"/>
      <c r="AF51" s="5"/>
      <c r="AG51" s="5"/>
      <c r="AH51" s="5"/>
      <c r="AI51" s="5"/>
      <c r="AJ51" s="5"/>
      <c r="AK51" s="25"/>
      <c r="AL51" s="5">
        <v>115</v>
      </c>
      <c r="AM51" s="8">
        <v>1</v>
      </c>
      <c r="AN51" s="8"/>
      <c r="AP51" s="67">
        <f t="shared" si="0"/>
        <v>0</v>
      </c>
      <c r="AQ51" s="76">
        <f t="shared" si="1"/>
        <v>0</v>
      </c>
      <c r="AR51" s="85">
        <v>22</v>
      </c>
      <c r="AT51" s="67">
        <v>2</v>
      </c>
      <c r="AU51" s="67">
        <f t="shared" si="2"/>
        <v>24</v>
      </c>
    </row>
    <row r="52" spans="1:47">
      <c r="A52" s="8">
        <v>116</v>
      </c>
      <c r="B52" s="8" t="s">
        <v>62</v>
      </c>
      <c r="C52" s="8" t="s">
        <v>42</v>
      </c>
      <c r="D52" s="8" t="s">
        <v>42</v>
      </c>
      <c r="E52" s="8">
        <v>116</v>
      </c>
      <c r="F52" s="24"/>
      <c r="G52" s="5">
        <v>1</v>
      </c>
      <c r="H52" s="5"/>
      <c r="I52" s="5"/>
      <c r="J52" s="5"/>
      <c r="K52" s="5"/>
      <c r="L52" s="5"/>
      <c r="M52" s="25"/>
      <c r="N52" s="24"/>
      <c r="O52" s="5"/>
      <c r="P52" s="5"/>
      <c r="Q52" s="5">
        <v>1</v>
      </c>
      <c r="R52" s="5"/>
      <c r="S52" s="5">
        <v>1</v>
      </c>
      <c r="T52" s="5">
        <v>1</v>
      </c>
      <c r="U52" s="25">
        <v>1</v>
      </c>
      <c r="V52" s="5">
        <v>1</v>
      </c>
      <c r="W52" s="5">
        <v>1</v>
      </c>
      <c r="X52" s="5"/>
      <c r="Y52" s="5"/>
      <c r="Z52" s="5"/>
      <c r="AA52" s="5"/>
      <c r="AB52" s="5"/>
      <c r="AC52" s="5"/>
      <c r="AD52" s="24"/>
      <c r="AE52" s="5"/>
      <c r="AF52" s="5"/>
      <c r="AG52" s="5"/>
      <c r="AH52" s="5"/>
      <c r="AI52" s="5"/>
      <c r="AJ52" s="5"/>
      <c r="AK52" s="25"/>
      <c r="AL52" s="5">
        <v>116</v>
      </c>
      <c r="AM52" s="8"/>
      <c r="AN52" s="8">
        <v>1</v>
      </c>
      <c r="AP52" s="67">
        <f t="shared" si="0"/>
        <v>7</v>
      </c>
      <c r="AQ52" s="76">
        <f t="shared" si="1"/>
        <v>0.22580645161290322</v>
      </c>
      <c r="AR52" s="85">
        <v>22</v>
      </c>
      <c r="AT52" s="67">
        <v>9</v>
      </c>
      <c r="AU52" s="67">
        <f t="shared" si="2"/>
        <v>31</v>
      </c>
    </row>
    <row r="53" spans="1:47">
      <c r="A53" s="8">
        <v>117</v>
      </c>
      <c r="B53" s="8" t="s">
        <v>55</v>
      </c>
      <c r="C53" s="8" t="s">
        <v>346</v>
      </c>
      <c r="D53" s="8"/>
      <c r="E53" s="8">
        <v>117</v>
      </c>
      <c r="F53" s="24"/>
      <c r="G53" s="5"/>
      <c r="H53" s="5"/>
      <c r="I53" s="5"/>
      <c r="J53" s="5"/>
      <c r="K53" s="5"/>
      <c r="L53" s="5"/>
      <c r="M53" s="25"/>
      <c r="N53" s="24"/>
      <c r="O53" s="5"/>
      <c r="P53" s="5"/>
      <c r="Q53" s="5"/>
      <c r="R53" s="5"/>
      <c r="S53" s="5"/>
      <c r="T53" s="5"/>
      <c r="U53" s="25"/>
      <c r="V53" s="5"/>
      <c r="W53" s="5"/>
      <c r="X53" s="5"/>
      <c r="Y53" s="5"/>
      <c r="Z53" s="5"/>
      <c r="AA53" s="5"/>
      <c r="AB53" s="5"/>
      <c r="AC53" s="5"/>
      <c r="AD53" s="24"/>
      <c r="AE53" s="5"/>
      <c r="AF53" s="5"/>
      <c r="AG53" s="5"/>
      <c r="AH53" s="5"/>
      <c r="AI53" s="5"/>
      <c r="AJ53" s="5"/>
      <c r="AK53" s="25"/>
      <c r="AL53" s="5">
        <v>117</v>
      </c>
      <c r="AM53" s="8">
        <v>1</v>
      </c>
      <c r="AN53" s="8"/>
      <c r="AP53" s="67">
        <f t="shared" si="0"/>
        <v>0</v>
      </c>
      <c r="AQ53" s="76">
        <f t="shared" si="1"/>
        <v>0</v>
      </c>
      <c r="AR53" s="85">
        <v>19</v>
      </c>
      <c r="AT53" s="67">
        <v>1</v>
      </c>
      <c r="AU53" s="67">
        <f t="shared" si="2"/>
        <v>20</v>
      </c>
    </row>
    <row r="54" spans="1:47">
      <c r="A54" s="8">
        <v>120</v>
      </c>
      <c r="B54" s="8" t="s">
        <v>73</v>
      </c>
      <c r="C54" s="8" t="s">
        <v>165</v>
      </c>
      <c r="D54" s="8" t="s">
        <v>42</v>
      </c>
      <c r="E54" s="8">
        <v>120</v>
      </c>
      <c r="F54" s="24"/>
      <c r="G54" s="5"/>
      <c r="H54" s="5"/>
      <c r="I54" s="5">
        <v>1</v>
      </c>
      <c r="J54" s="5"/>
      <c r="K54" s="5"/>
      <c r="L54" s="5"/>
      <c r="M54" s="25"/>
      <c r="N54" s="24"/>
      <c r="O54" s="5"/>
      <c r="P54" s="5"/>
      <c r="Q54" s="5"/>
      <c r="R54" s="5"/>
      <c r="S54" s="5">
        <v>1</v>
      </c>
      <c r="T54" s="5">
        <v>1</v>
      </c>
      <c r="U54" s="25">
        <v>1</v>
      </c>
      <c r="V54" s="5"/>
      <c r="W54" s="5"/>
      <c r="X54" s="5"/>
      <c r="Y54" s="5"/>
      <c r="Z54" s="5"/>
      <c r="AA54" s="5"/>
      <c r="AB54" s="5"/>
      <c r="AC54" s="5"/>
      <c r="AD54" s="24"/>
      <c r="AE54" s="5"/>
      <c r="AF54" s="5"/>
      <c r="AG54" s="5"/>
      <c r="AH54" s="5"/>
      <c r="AI54" s="5"/>
      <c r="AJ54" s="5"/>
      <c r="AK54" s="25"/>
      <c r="AL54" s="5">
        <v>120</v>
      </c>
      <c r="AM54" s="8"/>
      <c r="AN54" s="8">
        <v>1</v>
      </c>
      <c r="AP54" s="67">
        <f t="shared" si="0"/>
        <v>4</v>
      </c>
      <c r="AQ54" s="76">
        <f t="shared" si="1"/>
        <v>0.19047619047619047</v>
      </c>
      <c r="AR54" s="85">
        <v>18</v>
      </c>
      <c r="AS54">
        <v>2</v>
      </c>
      <c r="AT54" s="67">
        <v>1</v>
      </c>
      <c r="AU54" s="67">
        <f t="shared" si="2"/>
        <v>21</v>
      </c>
    </row>
    <row r="55" spans="1:47">
      <c r="A55" s="8">
        <v>121</v>
      </c>
      <c r="B55" s="8" t="s">
        <v>113</v>
      </c>
      <c r="C55" s="8" t="s">
        <v>357</v>
      </c>
      <c r="D55" s="8"/>
      <c r="E55" s="8">
        <v>121</v>
      </c>
      <c r="F55" s="24"/>
      <c r="G55" s="5"/>
      <c r="H55" s="5"/>
      <c r="I55" s="5"/>
      <c r="J55" s="5"/>
      <c r="K55" s="5"/>
      <c r="L55" s="5"/>
      <c r="M55" s="25"/>
      <c r="N55" s="24"/>
      <c r="O55" s="5"/>
      <c r="P55" s="5"/>
      <c r="Q55" s="5"/>
      <c r="R55" s="5"/>
      <c r="S55" s="5"/>
      <c r="T55" s="5"/>
      <c r="U55" s="25"/>
      <c r="V55" s="5"/>
      <c r="W55" s="5"/>
      <c r="X55" s="5"/>
      <c r="Y55" s="5"/>
      <c r="Z55" s="5"/>
      <c r="AA55" s="5"/>
      <c r="AB55" s="5"/>
      <c r="AC55" s="5"/>
      <c r="AD55" s="24"/>
      <c r="AE55" s="5"/>
      <c r="AF55" s="5"/>
      <c r="AG55" s="5"/>
      <c r="AH55" s="5"/>
      <c r="AI55" s="5"/>
      <c r="AJ55" s="5"/>
      <c r="AK55" s="25"/>
      <c r="AL55" s="5">
        <v>121</v>
      </c>
      <c r="AM55" s="8">
        <v>1</v>
      </c>
      <c r="AN55" s="8"/>
      <c r="AP55" s="67">
        <f t="shared" si="0"/>
        <v>0</v>
      </c>
      <c r="AQ55" s="76">
        <f t="shared" si="1"/>
        <v>0</v>
      </c>
      <c r="AR55" s="85">
        <v>28</v>
      </c>
      <c r="AT55" s="67">
        <v>0</v>
      </c>
      <c r="AU55" s="67">
        <f t="shared" si="2"/>
        <v>28</v>
      </c>
    </row>
    <row r="56" spans="1:47">
      <c r="A56" s="8">
        <v>122</v>
      </c>
      <c r="B56" s="8" t="s">
        <v>115</v>
      </c>
      <c r="C56" s="8" t="s">
        <v>357</v>
      </c>
      <c r="D56" s="8" t="s">
        <v>6</v>
      </c>
      <c r="E56" s="8">
        <v>122</v>
      </c>
      <c r="F56" s="24"/>
      <c r="G56" s="5"/>
      <c r="H56" s="5"/>
      <c r="I56" s="5"/>
      <c r="J56" s="5"/>
      <c r="K56" s="5"/>
      <c r="L56" s="5"/>
      <c r="M56" s="25"/>
      <c r="N56" s="24"/>
      <c r="O56" s="5"/>
      <c r="P56" s="5"/>
      <c r="Q56" s="5"/>
      <c r="R56" s="5"/>
      <c r="S56" s="5"/>
      <c r="T56" s="5"/>
      <c r="U56" s="25"/>
      <c r="V56" s="5"/>
      <c r="W56" s="5"/>
      <c r="X56" s="5"/>
      <c r="Y56" s="5"/>
      <c r="Z56" s="5"/>
      <c r="AA56" s="5"/>
      <c r="AB56" s="5"/>
      <c r="AC56" s="5"/>
      <c r="AD56" s="24"/>
      <c r="AE56" s="5"/>
      <c r="AF56" s="5"/>
      <c r="AG56" s="5"/>
      <c r="AH56" s="5"/>
      <c r="AI56" s="5"/>
      <c r="AJ56" s="5"/>
      <c r="AK56" s="25"/>
      <c r="AL56" s="5">
        <v>122</v>
      </c>
      <c r="AM56" s="8">
        <v>1</v>
      </c>
      <c r="AN56" s="8"/>
      <c r="AP56" s="67">
        <f t="shared" si="0"/>
        <v>0</v>
      </c>
      <c r="AQ56" s="76">
        <f t="shared" si="1"/>
        <v>0</v>
      </c>
      <c r="AR56" s="85">
        <v>28</v>
      </c>
      <c r="AT56" s="67">
        <v>0</v>
      </c>
      <c r="AU56" s="67">
        <f t="shared" si="2"/>
        <v>28</v>
      </c>
    </row>
    <row r="57" spans="1:47">
      <c r="A57" s="8">
        <v>125</v>
      </c>
      <c r="B57" s="8" t="s">
        <v>78</v>
      </c>
      <c r="C57" s="8" t="s">
        <v>359</v>
      </c>
      <c r="D57" s="8"/>
      <c r="E57" s="8">
        <v>125</v>
      </c>
      <c r="F57" s="24"/>
      <c r="G57" s="5"/>
      <c r="H57" s="5"/>
      <c r="I57" s="5"/>
      <c r="J57" s="5"/>
      <c r="K57" s="5"/>
      <c r="L57" s="5"/>
      <c r="M57" s="25"/>
      <c r="N57" s="24"/>
      <c r="O57" s="5"/>
      <c r="P57" s="5"/>
      <c r="Q57" s="5"/>
      <c r="R57" s="5"/>
      <c r="S57" s="5"/>
      <c r="T57" s="5"/>
      <c r="U57" s="25"/>
      <c r="V57" s="5"/>
      <c r="W57" s="5"/>
      <c r="X57" s="5"/>
      <c r="Y57" s="5"/>
      <c r="Z57" s="5"/>
      <c r="AA57" s="5"/>
      <c r="AB57" s="5"/>
      <c r="AC57" s="5"/>
      <c r="AD57" s="24"/>
      <c r="AE57" s="5"/>
      <c r="AF57" s="5"/>
      <c r="AG57" s="5"/>
      <c r="AH57" s="5"/>
      <c r="AI57" s="5"/>
      <c r="AJ57" s="5"/>
      <c r="AK57" s="25"/>
      <c r="AL57" s="5">
        <v>125</v>
      </c>
      <c r="AM57" s="8">
        <v>1</v>
      </c>
      <c r="AN57" s="8"/>
      <c r="AP57" s="67">
        <f t="shared" si="0"/>
        <v>0</v>
      </c>
      <c r="AQ57" s="76">
        <f t="shared" si="1"/>
        <v>0</v>
      </c>
      <c r="AR57" s="85">
        <v>17</v>
      </c>
      <c r="AT57" s="67">
        <v>3</v>
      </c>
      <c r="AU57" s="67">
        <f t="shared" si="2"/>
        <v>20</v>
      </c>
    </row>
    <row r="58" spans="1:47">
      <c r="A58" s="8">
        <v>127</v>
      </c>
      <c r="B58" s="8" t="s">
        <v>62</v>
      </c>
      <c r="C58" s="8" t="s">
        <v>42</v>
      </c>
      <c r="D58" s="8" t="s">
        <v>42</v>
      </c>
      <c r="E58" s="8">
        <v>127</v>
      </c>
      <c r="F58" s="24"/>
      <c r="G58" s="5"/>
      <c r="H58" s="5"/>
      <c r="I58" s="5"/>
      <c r="J58" s="5"/>
      <c r="K58" s="5"/>
      <c r="L58" s="5"/>
      <c r="M58" s="25"/>
      <c r="N58" s="24"/>
      <c r="O58" s="5"/>
      <c r="P58" s="5"/>
      <c r="Q58" s="5"/>
      <c r="R58" s="5"/>
      <c r="S58" s="5"/>
      <c r="T58" s="5">
        <v>1</v>
      </c>
      <c r="U58" s="25">
        <v>1</v>
      </c>
      <c r="V58" s="5"/>
      <c r="W58" s="5"/>
      <c r="X58" s="5"/>
      <c r="Y58" s="5"/>
      <c r="Z58" s="5"/>
      <c r="AA58" s="5"/>
      <c r="AB58" s="5"/>
      <c r="AC58" s="5"/>
      <c r="AD58" s="24"/>
      <c r="AE58" s="5"/>
      <c r="AF58" s="5"/>
      <c r="AG58" s="5"/>
      <c r="AH58" s="5"/>
      <c r="AI58" s="5"/>
      <c r="AJ58" s="5"/>
      <c r="AK58" s="25"/>
      <c r="AL58" s="5">
        <v>127</v>
      </c>
      <c r="AM58" s="8"/>
      <c r="AN58" s="8">
        <v>1</v>
      </c>
      <c r="AP58" s="67">
        <f t="shared" si="0"/>
        <v>2</v>
      </c>
      <c r="AQ58" s="76">
        <f t="shared" si="1"/>
        <v>6.25E-2</v>
      </c>
      <c r="AR58" s="85">
        <v>32</v>
      </c>
      <c r="AT58" s="67">
        <v>0</v>
      </c>
      <c r="AU58" s="67">
        <f t="shared" si="2"/>
        <v>32</v>
      </c>
    </row>
    <row r="59" spans="1:47">
      <c r="A59" s="8">
        <v>129</v>
      </c>
      <c r="B59" s="8" t="s">
        <v>88</v>
      </c>
      <c r="C59" s="8" t="s">
        <v>12</v>
      </c>
      <c r="D59" s="8" t="s">
        <v>6</v>
      </c>
      <c r="E59" s="8">
        <v>129</v>
      </c>
      <c r="F59" s="24"/>
      <c r="G59" s="5"/>
      <c r="H59" s="5"/>
      <c r="I59" s="5"/>
      <c r="J59" s="5"/>
      <c r="K59" s="5"/>
      <c r="L59" s="5"/>
      <c r="M59" s="25"/>
      <c r="N59" s="24"/>
      <c r="O59" s="5"/>
      <c r="P59" s="5"/>
      <c r="Q59" s="5"/>
      <c r="R59" s="5"/>
      <c r="S59" s="5"/>
      <c r="T59" s="5"/>
      <c r="U59" s="25"/>
      <c r="V59" s="5"/>
      <c r="W59" s="5"/>
      <c r="X59" s="5"/>
      <c r="Y59" s="5"/>
      <c r="Z59" s="5"/>
      <c r="AA59" s="5"/>
      <c r="AB59" s="5"/>
      <c r="AC59" s="5"/>
      <c r="AD59" s="24"/>
      <c r="AE59" s="5"/>
      <c r="AF59" s="5"/>
      <c r="AG59" s="5"/>
      <c r="AH59" s="5"/>
      <c r="AI59" s="5"/>
      <c r="AJ59" s="5"/>
      <c r="AK59" s="25"/>
      <c r="AL59" s="5">
        <v>129</v>
      </c>
      <c r="AM59" s="8">
        <v>1</v>
      </c>
      <c r="AN59" s="8"/>
      <c r="AP59" s="67">
        <f t="shared" si="0"/>
        <v>0</v>
      </c>
      <c r="AQ59" s="76">
        <f t="shared" si="1"/>
        <v>0</v>
      </c>
      <c r="AR59" s="85">
        <v>26</v>
      </c>
      <c r="AT59" s="67">
        <v>0</v>
      </c>
      <c r="AU59" s="67">
        <f t="shared" si="2"/>
        <v>26</v>
      </c>
    </row>
    <row r="60" spans="1:47">
      <c r="A60" s="8">
        <v>130</v>
      </c>
      <c r="B60" s="8" t="s">
        <v>41</v>
      </c>
      <c r="C60" s="8" t="s">
        <v>42</v>
      </c>
      <c r="D60" s="8" t="s">
        <v>42</v>
      </c>
      <c r="E60" s="8">
        <v>130</v>
      </c>
      <c r="F60" s="24"/>
      <c r="G60" s="5"/>
      <c r="H60" s="5"/>
      <c r="I60" s="5"/>
      <c r="J60" s="5"/>
      <c r="K60" s="5"/>
      <c r="L60" s="5"/>
      <c r="M60" s="25"/>
      <c r="N60" s="24"/>
      <c r="O60" s="5"/>
      <c r="P60" s="5"/>
      <c r="Q60" s="5"/>
      <c r="R60" s="5"/>
      <c r="S60" s="5"/>
      <c r="T60" s="5"/>
      <c r="U60" s="25"/>
      <c r="V60" s="5"/>
      <c r="W60" s="5"/>
      <c r="X60" s="5"/>
      <c r="Y60" s="5"/>
      <c r="Z60" s="5"/>
      <c r="AA60" s="5"/>
      <c r="AB60" s="5"/>
      <c r="AC60" s="5"/>
      <c r="AD60" s="24"/>
      <c r="AE60" s="5"/>
      <c r="AF60" s="5"/>
      <c r="AG60" s="5"/>
      <c r="AH60" s="5"/>
      <c r="AI60" s="5"/>
      <c r="AJ60" s="5"/>
      <c r="AK60" s="25"/>
      <c r="AL60" s="5">
        <v>130</v>
      </c>
      <c r="AM60" s="8">
        <v>1</v>
      </c>
      <c r="AN60" s="8"/>
      <c r="AP60" s="67">
        <f t="shared" si="0"/>
        <v>0</v>
      </c>
      <c r="AQ60" s="76">
        <f t="shared" si="1"/>
        <v>0</v>
      </c>
      <c r="AR60" s="85">
        <v>30</v>
      </c>
      <c r="AT60" s="67">
        <v>0</v>
      </c>
      <c r="AU60" s="67">
        <f t="shared" si="2"/>
        <v>30</v>
      </c>
    </row>
    <row r="61" spans="1:47">
      <c r="A61" s="8">
        <v>131</v>
      </c>
      <c r="B61" s="8" t="s">
        <v>63</v>
      </c>
      <c r="C61" s="8" t="s">
        <v>346</v>
      </c>
      <c r="D61" s="8"/>
      <c r="E61" s="8">
        <v>131</v>
      </c>
      <c r="F61" s="24"/>
      <c r="G61" s="5"/>
      <c r="H61" s="5"/>
      <c r="I61" s="5"/>
      <c r="J61" s="5"/>
      <c r="K61" s="5"/>
      <c r="L61" s="5"/>
      <c r="M61" s="25"/>
      <c r="N61" s="24"/>
      <c r="O61" s="5"/>
      <c r="P61" s="5"/>
      <c r="Q61" s="5"/>
      <c r="R61" s="5"/>
      <c r="S61" s="5"/>
      <c r="T61" s="5"/>
      <c r="U61" s="25"/>
      <c r="V61" s="5"/>
      <c r="W61" s="5"/>
      <c r="X61" s="5"/>
      <c r="Y61" s="5"/>
      <c r="Z61" s="5"/>
      <c r="AA61" s="5"/>
      <c r="AB61" s="5"/>
      <c r="AC61" s="5"/>
      <c r="AD61" s="24"/>
      <c r="AE61" s="5"/>
      <c r="AF61" s="5"/>
      <c r="AG61" s="5"/>
      <c r="AH61" s="5"/>
      <c r="AI61" s="5"/>
      <c r="AJ61" s="5"/>
      <c r="AK61" s="25"/>
      <c r="AL61" s="5">
        <v>131</v>
      </c>
      <c r="AM61" s="8">
        <v>1</v>
      </c>
      <c r="AN61" s="8"/>
      <c r="AP61" s="67">
        <f t="shared" si="0"/>
        <v>0</v>
      </c>
      <c r="AQ61" s="76">
        <f t="shared" si="1"/>
        <v>0</v>
      </c>
      <c r="AR61" s="85">
        <v>3</v>
      </c>
      <c r="AT61" s="67">
        <v>5</v>
      </c>
      <c r="AU61" s="67">
        <f t="shared" si="2"/>
        <v>8</v>
      </c>
    </row>
    <row r="62" spans="1:47">
      <c r="A62" s="8">
        <v>132</v>
      </c>
      <c r="B62" s="8" t="s">
        <v>99</v>
      </c>
      <c r="C62" s="8" t="s">
        <v>346</v>
      </c>
      <c r="D62" s="8"/>
      <c r="E62" s="8">
        <v>132</v>
      </c>
      <c r="F62" s="24"/>
      <c r="G62" s="5"/>
      <c r="H62" s="5"/>
      <c r="I62" s="5"/>
      <c r="J62" s="5"/>
      <c r="K62" s="5"/>
      <c r="L62" s="5"/>
      <c r="M62" s="25"/>
      <c r="N62" s="24"/>
      <c r="O62" s="5"/>
      <c r="P62" s="5"/>
      <c r="Q62" s="5"/>
      <c r="R62" s="5"/>
      <c r="S62" s="5"/>
      <c r="T62" s="5"/>
      <c r="U62" s="25"/>
      <c r="V62" s="5"/>
      <c r="W62" s="5"/>
      <c r="X62" s="5"/>
      <c r="Y62" s="5"/>
      <c r="Z62" s="5"/>
      <c r="AA62" s="5"/>
      <c r="AB62" s="5"/>
      <c r="AC62" s="5"/>
      <c r="AD62" s="24"/>
      <c r="AE62" s="5"/>
      <c r="AF62" s="5"/>
      <c r="AG62" s="5"/>
      <c r="AH62" s="5"/>
      <c r="AI62" s="5"/>
      <c r="AJ62" s="5"/>
      <c r="AK62" s="25"/>
      <c r="AL62" s="5">
        <v>132</v>
      </c>
      <c r="AM62" s="8">
        <v>1</v>
      </c>
      <c r="AN62" s="8"/>
      <c r="AP62" s="67">
        <f t="shared" si="0"/>
        <v>0</v>
      </c>
      <c r="AQ62" s="76">
        <f t="shared" si="1"/>
        <v>0</v>
      </c>
      <c r="AR62" s="85">
        <v>20</v>
      </c>
      <c r="AT62" s="67">
        <v>4</v>
      </c>
      <c r="AU62" s="67">
        <f t="shared" si="2"/>
        <v>24</v>
      </c>
    </row>
    <row r="63" spans="1:47">
      <c r="A63" s="8">
        <v>133</v>
      </c>
      <c r="B63" s="8" t="s">
        <v>41</v>
      </c>
      <c r="C63" s="8" t="s">
        <v>42</v>
      </c>
      <c r="D63" s="8" t="s">
        <v>6</v>
      </c>
      <c r="E63" s="8">
        <v>133</v>
      </c>
      <c r="F63" s="24"/>
      <c r="G63" s="5"/>
      <c r="H63" s="5"/>
      <c r="I63" s="5"/>
      <c r="J63" s="5"/>
      <c r="K63" s="5"/>
      <c r="L63" s="5"/>
      <c r="M63" s="25"/>
      <c r="N63" s="24"/>
      <c r="O63" s="5"/>
      <c r="P63" s="5"/>
      <c r="Q63" s="5"/>
      <c r="R63" s="5"/>
      <c r="S63" s="5"/>
      <c r="T63" s="5"/>
      <c r="U63" s="25"/>
      <c r="V63" s="5"/>
      <c r="W63" s="5"/>
      <c r="X63" s="5"/>
      <c r="Y63" s="5"/>
      <c r="Z63" s="5"/>
      <c r="AA63" s="5"/>
      <c r="AB63" s="5"/>
      <c r="AC63" s="5"/>
      <c r="AD63" s="24"/>
      <c r="AE63" s="5"/>
      <c r="AF63" s="5"/>
      <c r="AG63" s="5"/>
      <c r="AH63" s="5"/>
      <c r="AI63" s="5"/>
      <c r="AJ63" s="5"/>
      <c r="AK63" s="25"/>
      <c r="AL63" s="5">
        <v>133</v>
      </c>
      <c r="AM63" s="8">
        <v>1</v>
      </c>
      <c r="AN63" s="8"/>
      <c r="AP63" s="67">
        <f t="shared" si="0"/>
        <v>0</v>
      </c>
      <c r="AQ63" s="76">
        <f t="shared" si="1"/>
        <v>0</v>
      </c>
      <c r="AR63" s="85">
        <v>26</v>
      </c>
      <c r="AT63" s="67">
        <v>2</v>
      </c>
      <c r="AU63" s="67">
        <f t="shared" si="2"/>
        <v>28</v>
      </c>
    </row>
    <row r="64" spans="1:47">
      <c r="A64" s="8">
        <v>134</v>
      </c>
      <c r="B64" s="8" t="s">
        <v>74</v>
      </c>
      <c r="C64" s="8" t="s">
        <v>346</v>
      </c>
      <c r="D64" s="8"/>
      <c r="E64" s="8">
        <v>134</v>
      </c>
      <c r="F64" s="24"/>
      <c r="G64" s="5"/>
      <c r="H64" s="5"/>
      <c r="I64" s="5"/>
      <c r="J64" s="5"/>
      <c r="K64" s="5"/>
      <c r="L64" s="5"/>
      <c r="M64" s="25"/>
      <c r="N64" s="24"/>
      <c r="O64" s="5"/>
      <c r="P64" s="5"/>
      <c r="Q64" s="5"/>
      <c r="R64" s="5"/>
      <c r="S64" s="5"/>
      <c r="T64" s="5"/>
      <c r="U64" s="25"/>
      <c r="V64" s="5"/>
      <c r="W64" s="5"/>
      <c r="X64" s="5"/>
      <c r="Y64" s="5"/>
      <c r="Z64" s="5"/>
      <c r="AA64" s="5"/>
      <c r="AB64" s="5"/>
      <c r="AC64" s="5"/>
      <c r="AD64" s="24"/>
      <c r="AE64" s="5"/>
      <c r="AF64" s="5"/>
      <c r="AG64" s="5"/>
      <c r="AH64" s="5"/>
      <c r="AI64" s="5"/>
      <c r="AJ64" s="5"/>
      <c r="AK64" s="25"/>
      <c r="AL64" s="5">
        <v>134</v>
      </c>
      <c r="AM64" s="8">
        <v>1</v>
      </c>
      <c r="AN64" s="8"/>
      <c r="AP64" s="67">
        <f t="shared" si="0"/>
        <v>0</v>
      </c>
      <c r="AQ64" s="76">
        <f t="shared" si="1"/>
        <v>0</v>
      </c>
      <c r="AR64" s="85">
        <v>20</v>
      </c>
      <c r="AT64" s="67">
        <v>0</v>
      </c>
      <c r="AU64" s="67">
        <f t="shared" si="2"/>
        <v>20</v>
      </c>
    </row>
    <row r="65" spans="1:47">
      <c r="A65" s="8">
        <v>135</v>
      </c>
      <c r="B65" s="8" t="s">
        <v>63</v>
      </c>
      <c r="C65" s="8" t="s">
        <v>346</v>
      </c>
      <c r="D65" s="8"/>
      <c r="E65" s="8">
        <v>135</v>
      </c>
      <c r="F65" s="24"/>
      <c r="G65" s="5"/>
      <c r="H65" s="5"/>
      <c r="I65" s="5"/>
      <c r="J65" s="5"/>
      <c r="K65" s="5"/>
      <c r="L65" s="5"/>
      <c r="M65" s="25"/>
      <c r="N65" s="24"/>
      <c r="O65" s="5"/>
      <c r="P65" s="5"/>
      <c r="Q65" s="5"/>
      <c r="R65" s="5"/>
      <c r="S65" s="5"/>
      <c r="T65" s="5"/>
      <c r="U65" s="25"/>
      <c r="V65" s="5"/>
      <c r="W65" s="5"/>
      <c r="X65" s="5"/>
      <c r="Y65" s="5"/>
      <c r="Z65" s="5"/>
      <c r="AA65" s="5"/>
      <c r="AB65" s="5"/>
      <c r="AC65" s="5"/>
      <c r="AD65" s="24"/>
      <c r="AE65" s="5"/>
      <c r="AF65" s="5"/>
      <c r="AG65" s="5"/>
      <c r="AH65" s="5"/>
      <c r="AI65" s="5"/>
      <c r="AJ65" s="5"/>
      <c r="AK65" s="25"/>
      <c r="AL65" s="5">
        <v>135</v>
      </c>
      <c r="AM65" s="8">
        <v>1</v>
      </c>
      <c r="AN65" s="8"/>
      <c r="AP65" s="67">
        <f t="shared" si="0"/>
        <v>0</v>
      </c>
      <c r="AQ65" s="76">
        <f t="shared" si="1"/>
        <v>0</v>
      </c>
      <c r="AR65" s="85">
        <v>12</v>
      </c>
      <c r="AT65" s="67">
        <v>0</v>
      </c>
      <c r="AU65" s="67">
        <f t="shared" si="2"/>
        <v>12</v>
      </c>
    </row>
    <row r="66" spans="1:47">
      <c r="A66" s="8">
        <v>136</v>
      </c>
      <c r="B66" s="8" t="s">
        <v>54</v>
      </c>
      <c r="C66" s="8" t="s">
        <v>345</v>
      </c>
      <c r="D66" s="8"/>
      <c r="E66" s="8">
        <v>136</v>
      </c>
      <c r="F66" s="24"/>
      <c r="G66" s="5"/>
      <c r="H66" s="5"/>
      <c r="I66" s="5"/>
      <c r="J66" s="5"/>
      <c r="K66" s="5"/>
      <c r="L66" s="5"/>
      <c r="M66" s="25"/>
      <c r="N66" s="24"/>
      <c r="O66" s="5"/>
      <c r="P66" s="5"/>
      <c r="Q66" s="5"/>
      <c r="R66" s="5"/>
      <c r="S66" s="5"/>
      <c r="T66" s="5"/>
      <c r="U66" s="25"/>
      <c r="V66" s="5"/>
      <c r="W66" s="5"/>
      <c r="X66" s="5"/>
      <c r="Y66" s="5"/>
      <c r="Z66" s="5"/>
      <c r="AA66" s="5"/>
      <c r="AB66" s="5"/>
      <c r="AC66" s="5"/>
      <c r="AD66" s="24"/>
      <c r="AE66" s="5"/>
      <c r="AF66" s="5"/>
      <c r="AG66" s="5"/>
      <c r="AH66" s="5"/>
      <c r="AI66" s="5"/>
      <c r="AJ66" s="5"/>
      <c r="AK66" s="25"/>
      <c r="AL66" s="5">
        <v>136</v>
      </c>
      <c r="AM66" s="8">
        <v>1</v>
      </c>
      <c r="AN66" s="8"/>
      <c r="AP66" s="67">
        <f t="shared" si="0"/>
        <v>0</v>
      </c>
      <c r="AQ66" s="76">
        <f t="shared" si="1"/>
        <v>0</v>
      </c>
      <c r="AR66" s="85">
        <v>7</v>
      </c>
      <c r="AT66" s="67">
        <v>1</v>
      </c>
      <c r="AU66" s="67">
        <f t="shared" si="2"/>
        <v>8</v>
      </c>
    </row>
    <row r="67" spans="1:47">
      <c r="A67" s="8">
        <v>139</v>
      </c>
      <c r="B67" s="8" t="s">
        <v>123</v>
      </c>
      <c r="C67" s="8" t="s">
        <v>366</v>
      </c>
      <c r="D67" s="8" t="s">
        <v>42</v>
      </c>
      <c r="E67" s="8">
        <v>139</v>
      </c>
      <c r="F67" s="24">
        <v>1</v>
      </c>
      <c r="G67" s="5">
        <v>1</v>
      </c>
      <c r="H67" s="5">
        <v>1</v>
      </c>
      <c r="I67" s="5">
        <v>1</v>
      </c>
      <c r="J67" s="5"/>
      <c r="K67" s="5"/>
      <c r="L67" s="5"/>
      <c r="M67" s="25"/>
      <c r="N67" s="24"/>
      <c r="O67" s="5"/>
      <c r="P67" s="5"/>
      <c r="Q67" s="5">
        <v>1</v>
      </c>
      <c r="R67" s="5"/>
      <c r="S67" s="5"/>
      <c r="T67" s="5">
        <v>1</v>
      </c>
      <c r="U67" s="25">
        <v>1</v>
      </c>
      <c r="V67" s="5"/>
      <c r="W67" s="5">
        <v>1</v>
      </c>
      <c r="X67" s="5">
        <v>1</v>
      </c>
      <c r="Y67" s="5"/>
      <c r="Z67" s="5"/>
      <c r="AA67" s="5"/>
      <c r="AB67" s="5"/>
      <c r="AC67" s="5"/>
      <c r="AD67" s="24"/>
      <c r="AE67" s="5"/>
      <c r="AF67" s="5"/>
      <c r="AG67" s="5"/>
      <c r="AH67" s="5"/>
      <c r="AI67" s="5"/>
      <c r="AJ67" s="5"/>
      <c r="AK67" s="25"/>
      <c r="AL67" s="5">
        <v>139</v>
      </c>
      <c r="AM67" s="8"/>
      <c r="AN67" s="8">
        <v>1</v>
      </c>
      <c r="AP67" s="67">
        <f t="shared" si="0"/>
        <v>9</v>
      </c>
      <c r="AQ67" s="76">
        <f t="shared" si="1"/>
        <v>0.28125</v>
      </c>
      <c r="AR67" s="85">
        <v>32</v>
      </c>
      <c r="AT67" s="67">
        <v>0</v>
      </c>
      <c r="AU67" s="67">
        <f t="shared" si="2"/>
        <v>32</v>
      </c>
    </row>
    <row r="68" spans="1:47">
      <c r="A68" s="8">
        <v>140</v>
      </c>
      <c r="B68" s="8" t="s">
        <v>216</v>
      </c>
      <c r="C68" s="8" t="s">
        <v>42</v>
      </c>
      <c r="D68" s="8" t="s">
        <v>42</v>
      </c>
      <c r="E68" s="8">
        <v>140</v>
      </c>
      <c r="F68" s="24"/>
      <c r="G68" s="5"/>
      <c r="H68" s="5"/>
      <c r="I68" s="5"/>
      <c r="J68" s="5"/>
      <c r="K68" s="5"/>
      <c r="L68" s="5"/>
      <c r="M68" s="25"/>
      <c r="N68" s="24"/>
      <c r="O68" s="5"/>
      <c r="P68" s="5"/>
      <c r="Q68" s="5"/>
      <c r="R68" s="5"/>
      <c r="S68" s="5"/>
      <c r="T68" s="5"/>
      <c r="U68" s="25"/>
      <c r="V68" s="5"/>
      <c r="W68" s="5"/>
      <c r="X68" s="5"/>
      <c r="Y68" s="5"/>
      <c r="Z68" s="5"/>
      <c r="AA68" s="5"/>
      <c r="AB68" s="5"/>
      <c r="AC68" s="5"/>
      <c r="AD68" s="24"/>
      <c r="AE68" s="5"/>
      <c r="AF68" s="5"/>
      <c r="AG68" s="5"/>
      <c r="AH68" s="5"/>
      <c r="AI68" s="5"/>
      <c r="AJ68" s="5"/>
      <c r="AK68" s="25"/>
      <c r="AL68" s="5">
        <v>140</v>
      </c>
      <c r="AM68" s="8">
        <v>1</v>
      </c>
      <c r="AN68" s="8"/>
      <c r="AP68" s="67">
        <f t="shared" si="0"/>
        <v>0</v>
      </c>
      <c r="AQ68" s="76">
        <f t="shared" si="1"/>
        <v>0</v>
      </c>
      <c r="AR68" s="85">
        <v>9</v>
      </c>
      <c r="AT68" s="67">
        <v>8</v>
      </c>
      <c r="AU68" s="67">
        <f t="shared" si="2"/>
        <v>17</v>
      </c>
    </row>
    <row r="69" spans="1:47">
      <c r="A69" s="8">
        <v>141</v>
      </c>
      <c r="B69" s="8" t="s">
        <v>65</v>
      </c>
      <c r="C69" s="8" t="s">
        <v>12</v>
      </c>
      <c r="D69" s="8" t="s">
        <v>6</v>
      </c>
      <c r="E69" s="8">
        <v>141</v>
      </c>
      <c r="F69" s="24"/>
      <c r="G69" s="5"/>
      <c r="H69" s="5"/>
      <c r="I69" s="5"/>
      <c r="J69" s="5"/>
      <c r="K69" s="5"/>
      <c r="L69" s="5"/>
      <c r="M69" s="25"/>
      <c r="N69" s="24"/>
      <c r="O69" s="5"/>
      <c r="P69" s="5"/>
      <c r="Q69" s="5"/>
      <c r="R69" s="5"/>
      <c r="S69" s="5"/>
      <c r="T69" s="5"/>
      <c r="U69" s="25"/>
      <c r="V69" s="5"/>
      <c r="W69" s="5"/>
      <c r="X69" s="5"/>
      <c r="Y69" s="5"/>
      <c r="Z69" s="5"/>
      <c r="AA69" s="5"/>
      <c r="AB69" s="5"/>
      <c r="AC69" s="5"/>
      <c r="AD69" s="24"/>
      <c r="AE69" s="5"/>
      <c r="AF69" s="5"/>
      <c r="AG69" s="5"/>
      <c r="AH69" s="5"/>
      <c r="AI69" s="5">
        <v>1</v>
      </c>
      <c r="AJ69" s="5"/>
      <c r="AK69" s="25"/>
      <c r="AL69" s="5">
        <v>141</v>
      </c>
      <c r="AM69" s="8"/>
      <c r="AN69" s="8">
        <v>1</v>
      </c>
      <c r="AP69" s="67">
        <f t="shared" ref="AP69:AP132" si="3">SUM(F69:AK69)</f>
        <v>1</v>
      </c>
      <c r="AQ69" s="76">
        <f t="shared" ref="AQ69:AQ132" si="4">AP69/AU69</f>
        <v>3.125E-2</v>
      </c>
      <c r="AR69" s="85">
        <v>30</v>
      </c>
      <c r="AS69">
        <v>1</v>
      </c>
      <c r="AT69" s="67">
        <v>1</v>
      </c>
      <c r="AU69" s="67">
        <f t="shared" ref="AU69:AU132" si="5">SUM(AR69:AT69)</f>
        <v>32</v>
      </c>
    </row>
    <row r="70" spans="1:47">
      <c r="A70" s="8">
        <v>142</v>
      </c>
      <c r="B70" s="8" t="s">
        <v>71</v>
      </c>
      <c r="C70" s="8" t="s">
        <v>366</v>
      </c>
      <c r="D70" s="8" t="s">
        <v>42</v>
      </c>
      <c r="E70" s="8">
        <v>142</v>
      </c>
      <c r="F70" s="24"/>
      <c r="G70" s="5"/>
      <c r="H70" s="5"/>
      <c r="I70" s="5"/>
      <c r="J70" s="5"/>
      <c r="K70" s="5"/>
      <c r="L70" s="5"/>
      <c r="M70" s="25"/>
      <c r="N70" s="24"/>
      <c r="O70" s="5"/>
      <c r="P70" s="5"/>
      <c r="Q70" s="5"/>
      <c r="R70" s="5">
        <v>1</v>
      </c>
      <c r="S70" s="5">
        <v>1</v>
      </c>
      <c r="T70" s="5"/>
      <c r="U70" s="25">
        <v>1</v>
      </c>
      <c r="V70" s="5"/>
      <c r="W70" s="5"/>
      <c r="X70" s="5"/>
      <c r="Y70" s="5"/>
      <c r="Z70" s="5"/>
      <c r="AA70" s="5"/>
      <c r="AB70" s="5"/>
      <c r="AC70" s="5"/>
      <c r="AD70" s="24"/>
      <c r="AE70" s="5"/>
      <c r="AF70" s="5"/>
      <c r="AG70" s="5"/>
      <c r="AH70" s="5"/>
      <c r="AI70" s="5">
        <v>1</v>
      </c>
      <c r="AJ70" s="5">
        <v>1</v>
      </c>
      <c r="AK70" s="25">
        <v>1</v>
      </c>
      <c r="AL70" s="5">
        <v>142</v>
      </c>
      <c r="AM70" s="8"/>
      <c r="AN70" s="8">
        <v>1</v>
      </c>
      <c r="AP70" s="67">
        <f t="shared" si="3"/>
        <v>6</v>
      </c>
      <c r="AQ70" s="76">
        <f t="shared" si="4"/>
        <v>0.19354838709677419</v>
      </c>
      <c r="AR70" s="85">
        <v>30</v>
      </c>
      <c r="AS70">
        <v>1</v>
      </c>
      <c r="AT70" s="67">
        <v>0</v>
      </c>
      <c r="AU70" s="67">
        <f t="shared" si="5"/>
        <v>31</v>
      </c>
    </row>
    <row r="71" spans="1:47">
      <c r="A71" s="8">
        <v>143</v>
      </c>
      <c r="B71" s="8" t="s">
        <v>106</v>
      </c>
      <c r="C71" s="8" t="s">
        <v>349</v>
      </c>
      <c r="D71" s="8" t="s">
        <v>42</v>
      </c>
      <c r="E71" s="8">
        <v>143</v>
      </c>
      <c r="F71" s="24"/>
      <c r="G71" s="5"/>
      <c r="H71" s="5"/>
      <c r="I71" s="5"/>
      <c r="J71" s="5"/>
      <c r="K71" s="5"/>
      <c r="L71" s="5"/>
      <c r="M71" s="25"/>
      <c r="N71" s="24"/>
      <c r="O71" s="5"/>
      <c r="P71" s="5"/>
      <c r="Q71" s="5"/>
      <c r="R71" s="5"/>
      <c r="S71" s="5"/>
      <c r="T71" s="5"/>
      <c r="U71" s="25"/>
      <c r="V71" s="5"/>
      <c r="W71" s="5"/>
      <c r="X71" s="5"/>
      <c r="Y71" s="5"/>
      <c r="Z71" s="5"/>
      <c r="AA71" s="5"/>
      <c r="AB71" s="5"/>
      <c r="AC71" s="5"/>
      <c r="AD71" s="24"/>
      <c r="AE71" s="5"/>
      <c r="AF71" s="5"/>
      <c r="AG71" s="5"/>
      <c r="AH71" s="5"/>
      <c r="AI71" s="5"/>
      <c r="AJ71" s="5"/>
      <c r="AK71" s="25"/>
      <c r="AL71" s="5">
        <v>143</v>
      </c>
      <c r="AM71" s="8">
        <v>1</v>
      </c>
      <c r="AN71" s="8"/>
      <c r="AP71" s="67">
        <f t="shared" si="3"/>
        <v>0</v>
      </c>
      <c r="AQ71" s="76">
        <f t="shared" si="4"/>
        <v>0</v>
      </c>
      <c r="AR71" s="85">
        <v>6</v>
      </c>
      <c r="AS71">
        <v>19</v>
      </c>
      <c r="AT71" s="67">
        <v>3</v>
      </c>
      <c r="AU71" s="67">
        <f t="shared" si="5"/>
        <v>28</v>
      </c>
    </row>
    <row r="72" spans="1:47">
      <c r="A72" s="8">
        <v>144</v>
      </c>
      <c r="B72" s="8" t="s">
        <v>80</v>
      </c>
      <c r="C72" s="8" t="s">
        <v>346</v>
      </c>
      <c r="D72" s="8"/>
      <c r="E72" s="8">
        <v>144</v>
      </c>
      <c r="F72" s="24"/>
      <c r="G72" s="5"/>
      <c r="H72" s="5"/>
      <c r="I72" s="5"/>
      <c r="J72" s="5"/>
      <c r="K72" s="5"/>
      <c r="L72" s="5"/>
      <c r="M72" s="25"/>
      <c r="N72" s="24"/>
      <c r="O72" s="5"/>
      <c r="P72" s="5"/>
      <c r="Q72" s="5"/>
      <c r="R72" s="5"/>
      <c r="S72" s="5"/>
      <c r="T72" s="5"/>
      <c r="U72" s="25"/>
      <c r="V72" s="5"/>
      <c r="W72" s="5"/>
      <c r="X72" s="5"/>
      <c r="Y72" s="5"/>
      <c r="Z72" s="5"/>
      <c r="AA72" s="5"/>
      <c r="AB72" s="5"/>
      <c r="AC72" s="5"/>
      <c r="AD72" s="24"/>
      <c r="AE72" s="5"/>
      <c r="AF72" s="5"/>
      <c r="AG72" s="5"/>
      <c r="AH72" s="5"/>
      <c r="AI72" s="5"/>
      <c r="AJ72" s="5"/>
      <c r="AK72" s="25"/>
      <c r="AL72" s="5">
        <v>144</v>
      </c>
      <c r="AM72" s="8">
        <v>1</v>
      </c>
      <c r="AN72" s="8"/>
      <c r="AP72" s="67">
        <f t="shared" si="3"/>
        <v>0</v>
      </c>
      <c r="AQ72" s="76">
        <f t="shared" si="4"/>
        <v>0</v>
      </c>
      <c r="AR72" s="85">
        <v>20</v>
      </c>
      <c r="AT72" s="67">
        <v>0</v>
      </c>
      <c r="AU72" s="67">
        <f t="shared" si="5"/>
        <v>20</v>
      </c>
    </row>
    <row r="73" spans="1:47">
      <c r="A73" s="8">
        <v>145</v>
      </c>
      <c r="B73" s="8" t="s">
        <v>63</v>
      </c>
      <c r="C73" s="8" t="s">
        <v>346</v>
      </c>
      <c r="D73" s="8"/>
      <c r="E73" s="8">
        <v>145</v>
      </c>
      <c r="F73" s="24"/>
      <c r="G73" s="5"/>
      <c r="H73" s="5"/>
      <c r="I73" s="5"/>
      <c r="J73" s="5"/>
      <c r="K73" s="5"/>
      <c r="L73" s="5"/>
      <c r="M73" s="25"/>
      <c r="N73" s="24"/>
      <c r="O73" s="5"/>
      <c r="P73" s="5"/>
      <c r="Q73" s="5"/>
      <c r="R73" s="5"/>
      <c r="S73" s="5"/>
      <c r="T73" s="5"/>
      <c r="U73" s="25"/>
      <c r="V73" s="5"/>
      <c r="W73" s="5"/>
      <c r="X73" s="5"/>
      <c r="Y73" s="5"/>
      <c r="Z73" s="5"/>
      <c r="AA73" s="5"/>
      <c r="AB73" s="5"/>
      <c r="AC73" s="5"/>
      <c r="AD73" s="24"/>
      <c r="AE73" s="5"/>
      <c r="AF73" s="5"/>
      <c r="AG73" s="5"/>
      <c r="AH73" s="5"/>
      <c r="AI73" s="5"/>
      <c r="AJ73" s="5"/>
      <c r="AK73" s="25"/>
      <c r="AL73" s="5">
        <v>145</v>
      </c>
      <c r="AM73" s="8">
        <v>1</v>
      </c>
      <c r="AN73" s="8"/>
      <c r="AP73" s="67">
        <f t="shared" si="3"/>
        <v>0</v>
      </c>
      <c r="AQ73" s="76">
        <f t="shared" si="4"/>
        <v>0</v>
      </c>
      <c r="AR73" s="85">
        <v>11</v>
      </c>
      <c r="AT73" s="67">
        <v>4</v>
      </c>
      <c r="AU73" s="67">
        <f t="shared" si="5"/>
        <v>15</v>
      </c>
    </row>
    <row r="74" spans="1:47">
      <c r="A74" s="8">
        <v>147</v>
      </c>
      <c r="B74" s="8" t="s">
        <v>68</v>
      </c>
      <c r="C74" s="8" t="s">
        <v>357</v>
      </c>
      <c r="D74" s="8" t="s">
        <v>15</v>
      </c>
      <c r="E74" s="8">
        <v>147</v>
      </c>
      <c r="F74" s="24"/>
      <c r="G74" s="5"/>
      <c r="H74" s="5"/>
      <c r="I74" s="5"/>
      <c r="J74" s="5"/>
      <c r="K74" s="5"/>
      <c r="L74" s="5"/>
      <c r="M74" s="25"/>
      <c r="N74" s="24"/>
      <c r="O74" s="5"/>
      <c r="P74" s="5"/>
      <c r="Q74" s="5"/>
      <c r="R74" s="5"/>
      <c r="S74" s="5"/>
      <c r="T74" s="5"/>
      <c r="U74" s="25"/>
      <c r="V74" s="5"/>
      <c r="W74" s="5"/>
      <c r="X74" s="5"/>
      <c r="Y74" s="5"/>
      <c r="Z74" s="5"/>
      <c r="AA74" s="5"/>
      <c r="AB74" s="5"/>
      <c r="AC74" s="5"/>
      <c r="AD74" s="24"/>
      <c r="AE74" s="5"/>
      <c r="AF74" s="5"/>
      <c r="AG74" s="5"/>
      <c r="AH74" s="5"/>
      <c r="AI74" s="5"/>
      <c r="AJ74" s="5"/>
      <c r="AK74" s="25"/>
      <c r="AL74" s="5">
        <v>147</v>
      </c>
      <c r="AM74" s="8">
        <v>1</v>
      </c>
      <c r="AN74" s="8"/>
      <c r="AP74" s="67">
        <f t="shared" si="3"/>
        <v>0</v>
      </c>
      <c r="AQ74" s="76">
        <f t="shared" si="4"/>
        <v>0</v>
      </c>
      <c r="AR74" s="85">
        <v>15</v>
      </c>
      <c r="AT74" s="67">
        <v>9</v>
      </c>
      <c r="AU74" s="67">
        <f t="shared" si="5"/>
        <v>24</v>
      </c>
    </row>
    <row r="75" spans="1:47">
      <c r="A75" s="8">
        <v>148</v>
      </c>
      <c r="B75" s="8" t="s">
        <v>68</v>
      </c>
      <c r="C75" s="8" t="s">
        <v>357</v>
      </c>
      <c r="D75" s="8" t="s">
        <v>15</v>
      </c>
      <c r="E75" s="8">
        <v>148</v>
      </c>
      <c r="F75" s="24"/>
      <c r="G75" s="5"/>
      <c r="H75" s="5"/>
      <c r="I75" s="5"/>
      <c r="J75" s="5"/>
      <c r="K75" s="5"/>
      <c r="L75" s="5"/>
      <c r="M75" s="25"/>
      <c r="N75" s="24"/>
      <c r="O75" s="5"/>
      <c r="P75" s="5"/>
      <c r="Q75" s="5"/>
      <c r="R75" s="5">
        <v>1</v>
      </c>
      <c r="S75" s="5"/>
      <c r="T75" s="5"/>
      <c r="U75" s="25"/>
      <c r="V75" s="5"/>
      <c r="W75" s="5"/>
      <c r="X75" s="5"/>
      <c r="Y75" s="5"/>
      <c r="Z75" s="5"/>
      <c r="AA75" s="5"/>
      <c r="AB75" s="5"/>
      <c r="AC75" s="5"/>
      <c r="AD75" s="24"/>
      <c r="AE75" s="5"/>
      <c r="AF75" s="5">
        <v>1</v>
      </c>
      <c r="AG75" s="5">
        <v>1</v>
      </c>
      <c r="AH75" s="5"/>
      <c r="AI75" s="5"/>
      <c r="AJ75" s="5"/>
      <c r="AK75" s="25"/>
      <c r="AL75" s="5">
        <v>148</v>
      </c>
      <c r="AM75" s="8"/>
      <c r="AN75" s="8">
        <v>1</v>
      </c>
      <c r="AP75" s="67">
        <f t="shared" si="3"/>
        <v>3</v>
      </c>
      <c r="AQ75" s="76">
        <f t="shared" si="4"/>
        <v>0.13043478260869565</v>
      </c>
      <c r="AR75" s="85">
        <v>20</v>
      </c>
      <c r="AT75" s="67">
        <v>3</v>
      </c>
      <c r="AU75" s="67">
        <f t="shared" si="5"/>
        <v>23</v>
      </c>
    </row>
    <row r="76" spans="1:47">
      <c r="A76" s="8">
        <v>149</v>
      </c>
      <c r="B76" s="8" t="s">
        <v>80</v>
      </c>
      <c r="C76" s="8" t="s">
        <v>346</v>
      </c>
      <c r="D76" s="8"/>
      <c r="E76" s="8">
        <v>149</v>
      </c>
      <c r="F76" s="24"/>
      <c r="G76" s="5"/>
      <c r="H76" s="5"/>
      <c r="I76" s="5"/>
      <c r="J76" s="5"/>
      <c r="K76" s="5"/>
      <c r="L76" s="5"/>
      <c r="M76" s="25"/>
      <c r="N76" s="24"/>
      <c r="O76" s="5"/>
      <c r="P76" s="5"/>
      <c r="Q76" s="5"/>
      <c r="R76" s="5"/>
      <c r="S76" s="5"/>
      <c r="T76" s="5"/>
      <c r="U76" s="25"/>
      <c r="V76" s="5"/>
      <c r="W76" s="5"/>
      <c r="X76" s="5"/>
      <c r="Y76" s="5"/>
      <c r="Z76" s="5"/>
      <c r="AA76" s="5"/>
      <c r="AB76" s="5"/>
      <c r="AC76" s="5"/>
      <c r="AD76" s="24"/>
      <c r="AE76" s="5"/>
      <c r="AF76" s="5"/>
      <c r="AG76" s="5"/>
      <c r="AH76" s="5"/>
      <c r="AI76" s="5"/>
      <c r="AJ76" s="5"/>
      <c r="AK76" s="25"/>
      <c r="AL76" s="5">
        <v>149</v>
      </c>
      <c r="AM76" s="8">
        <v>1</v>
      </c>
      <c r="AN76" s="8"/>
      <c r="AP76" s="67">
        <f t="shared" si="3"/>
        <v>0</v>
      </c>
      <c r="AQ76" s="76">
        <f t="shared" si="4"/>
        <v>0</v>
      </c>
      <c r="AR76" s="85">
        <v>20</v>
      </c>
      <c r="AT76" s="67">
        <v>0</v>
      </c>
      <c r="AU76" s="67">
        <f t="shared" si="5"/>
        <v>20</v>
      </c>
    </row>
    <row r="77" spans="1:47">
      <c r="A77" s="8">
        <v>151</v>
      </c>
      <c r="B77" s="8" t="s">
        <v>130</v>
      </c>
      <c r="C77" s="8" t="s">
        <v>357</v>
      </c>
      <c r="D77" s="8"/>
      <c r="E77" s="8">
        <v>151</v>
      </c>
      <c r="F77" s="24"/>
      <c r="G77" s="5"/>
      <c r="H77" s="5"/>
      <c r="I77" s="5"/>
      <c r="J77" s="5"/>
      <c r="K77" s="5"/>
      <c r="L77" s="5"/>
      <c r="M77" s="25"/>
      <c r="N77" s="24"/>
      <c r="O77" s="5"/>
      <c r="P77" s="5"/>
      <c r="Q77" s="5"/>
      <c r="R77" s="5"/>
      <c r="S77" s="5"/>
      <c r="T77" s="5"/>
      <c r="U77" s="25"/>
      <c r="V77" s="5"/>
      <c r="W77" s="5"/>
      <c r="X77" s="5"/>
      <c r="Y77" s="5"/>
      <c r="Z77" s="5"/>
      <c r="AA77" s="5"/>
      <c r="AB77" s="5"/>
      <c r="AC77" s="5"/>
      <c r="AD77" s="24"/>
      <c r="AE77" s="5"/>
      <c r="AF77" s="5"/>
      <c r="AG77" s="5"/>
      <c r="AH77" s="5"/>
      <c r="AI77" s="5"/>
      <c r="AJ77" s="5"/>
      <c r="AK77" s="25"/>
      <c r="AL77" s="5">
        <v>151</v>
      </c>
      <c r="AM77" s="8">
        <v>1</v>
      </c>
      <c r="AN77" s="8"/>
      <c r="AP77" s="67">
        <f t="shared" si="3"/>
        <v>0</v>
      </c>
      <c r="AQ77" s="76">
        <f t="shared" si="4"/>
        <v>0</v>
      </c>
      <c r="AR77" s="85">
        <v>28</v>
      </c>
      <c r="AT77" s="67">
        <v>0</v>
      </c>
      <c r="AU77" s="67">
        <f t="shared" si="5"/>
        <v>28</v>
      </c>
    </row>
    <row r="78" spans="1:47">
      <c r="A78" s="8">
        <v>157</v>
      </c>
      <c r="B78" s="8" t="s">
        <v>55</v>
      </c>
      <c r="C78" s="8" t="s">
        <v>346</v>
      </c>
      <c r="D78" s="8"/>
      <c r="E78" s="8">
        <v>157</v>
      </c>
      <c r="F78" s="24"/>
      <c r="G78" s="5"/>
      <c r="H78" s="5"/>
      <c r="I78" s="5"/>
      <c r="J78" s="5"/>
      <c r="K78" s="5"/>
      <c r="L78" s="5"/>
      <c r="M78" s="25"/>
      <c r="N78" s="24"/>
      <c r="O78" s="5"/>
      <c r="P78" s="5"/>
      <c r="Q78" s="5"/>
      <c r="R78" s="5"/>
      <c r="S78" s="5"/>
      <c r="T78" s="5"/>
      <c r="U78" s="25"/>
      <c r="V78" s="5"/>
      <c r="W78" s="5"/>
      <c r="X78" s="5"/>
      <c r="Y78" s="5"/>
      <c r="Z78" s="5"/>
      <c r="AA78" s="5"/>
      <c r="AB78" s="5"/>
      <c r="AC78" s="5"/>
      <c r="AD78" s="24"/>
      <c r="AE78" s="5"/>
      <c r="AF78" s="5"/>
      <c r="AG78" s="5"/>
      <c r="AH78" s="5"/>
      <c r="AI78" s="5"/>
      <c r="AJ78" s="5"/>
      <c r="AK78" s="25"/>
      <c r="AL78" s="5">
        <v>157</v>
      </c>
      <c r="AM78" s="8">
        <v>1</v>
      </c>
      <c r="AN78" s="8"/>
      <c r="AP78" s="67">
        <f t="shared" si="3"/>
        <v>0</v>
      </c>
      <c r="AQ78" s="76">
        <f t="shared" si="4"/>
        <v>0</v>
      </c>
      <c r="AR78" s="85">
        <v>10</v>
      </c>
      <c r="AT78" s="67">
        <v>0</v>
      </c>
      <c r="AU78" s="67">
        <f t="shared" si="5"/>
        <v>10</v>
      </c>
    </row>
    <row r="79" spans="1:47">
      <c r="A79" s="8">
        <v>162</v>
      </c>
      <c r="B79" s="8" t="s">
        <v>80</v>
      </c>
      <c r="C79" s="8" t="s">
        <v>346</v>
      </c>
      <c r="D79" s="8"/>
      <c r="E79" s="8">
        <v>162</v>
      </c>
      <c r="F79" s="24"/>
      <c r="G79" s="5"/>
      <c r="H79" s="5"/>
      <c r="I79" s="5"/>
      <c r="J79" s="5"/>
      <c r="K79" s="5"/>
      <c r="L79" s="5"/>
      <c r="M79" s="25"/>
      <c r="N79" s="24"/>
      <c r="O79" s="5"/>
      <c r="P79" s="5"/>
      <c r="Q79" s="5"/>
      <c r="R79" s="5"/>
      <c r="S79" s="5"/>
      <c r="T79" s="5"/>
      <c r="U79" s="25"/>
      <c r="V79" s="5"/>
      <c r="W79" s="5"/>
      <c r="X79" s="5"/>
      <c r="Y79" s="5"/>
      <c r="Z79" s="5"/>
      <c r="AA79" s="5"/>
      <c r="AB79" s="5"/>
      <c r="AC79" s="5"/>
      <c r="AD79" s="24"/>
      <c r="AE79" s="5"/>
      <c r="AF79" s="5"/>
      <c r="AG79" s="5"/>
      <c r="AH79" s="5"/>
      <c r="AI79" s="5"/>
      <c r="AJ79" s="5"/>
      <c r="AK79" s="25"/>
      <c r="AL79" s="5">
        <v>162</v>
      </c>
      <c r="AM79" s="8">
        <v>1</v>
      </c>
      <c r="AN79" s="8"/>
      <c r="AP79" s="67">
        <f t="shared" si="3"/>
        <v>0</v>
      </c>
      <c r="AQ79" s="76">
        <f t="shared" si="4"/>
        <v>0</v>
      </c>
      <c r="AR79" s="85">
        <v>20</v>
      </c>
      <c r="AT79" s="67">
        <v>0</v>
      </c>
      <c r="AU79" s="67">
        <f t="shared" si="5"/>
        <v>20</v>
      </c>
    </row>
    <row r="80" spans="1:47">
      <c r="A80" s="8">
        <v>163</v>
      </c>
      <c r="B80" s="8" t="s">
        <v>62</v>
      </c>
      <c r="C80" s="8" t="s">
        <v>42</v>
      </c>
      <c r="D80" s="8" t="s">
        <v>42</v>
      </c>
      <c r="E80" s="8">
        <v>163</v>
      </c>
      <c r="F80" s="24"/>
      <c r="G80" s="5"/>
      <c r="H80" s="5"/>
      <c r="I80" s="5"/>
      <c r="J80" s="5"/>
      <c r="K80" s="5"/>
      <c r="L80" s="5"/>
      <c r="M80" s="25"/>
      <c r="N80" s="24"/>
      <c r="O80" s="5"/>
      <c r="P80" s="5"/>
      <c r="Q80" s="5"/>
      <c r="R80" s="5"/>
      <c r="S80" s="5"/>
      <c r="T80" s="5"/>
      <c r="U80" s="25"/>
      <c r="V80" s="5"/>
      <c r="W80" s="5"/>
      <c r="X80" s="5"/>
      <c r="Y80" s="5"/>
      <c r="Z80" s="5"/>
      <c r="AA80" s="5"/>
      <c r="AB80" s="5"/>
      <c r="AC80" s="5"/>
      <c r="AD80" s="24"/>
      <c r="AE80" s="5"/>
      <c r="AF80" s="5"/>
      <c r="AG80" s="5"/>
      <c r="AH80" s="5"/>
      <c r="AI80" s="5">
        <v>1</v>
      </c>
      <c r="AJ80" s="5"/>
      <c r="AK80" s="25"/>
      <c r="AL80" s="5">
        <v>163</v>
      </c>
      <c r="AM80" s="8"/>
      <c r="AN80" s="8">
        <v>1</v>
      </c>
      <c r="AP80" s="67">
        <f t="shared" si="3"/>
        <v>1</v>
      </c>
      <c r="AQ80" s="76">
        <f t="shared" si="4"/>
        <v>3.5714285714285712E-2</v>
      </c>
      <c r="AR80" s="85">
        <v>28</v>
      </c>
      <c r="AT80" s="67">
        <v>0</v>
      </c>
      <c r="AU80" s="67">
        <f t="shared" si="5"/>
        <v>28</v>
      </c>
    </row>
    <row r="81" spans="1:47">
      <c r="A81" s="8">
        <v>166</v>
      </c>
      <c r="B81" s="8" t="s">
        <v>136</v>
      </c>
      <c r="C81" s="8" t="s">
        <v>12</v>
      </c>
      <c r="D81" s="8" t="s">
        <v>6</v>
      </c>
      <c r="E81" s="8">
        <v>166</v>
      </c>
      <c r="F81" s="24"/>
      <c r="G81" s="5"/>
      <c r="H81" s="5"/>
      <c r="I81" s="5"/>
      <c r="J81" s="5"/>
      <c r="K81" s="5"/>
      <c r="L81" s="5"/>
      <c r="M81" s="25"/>
      <c r="N81" s="24"/>
      <c r="O81" s="5"/>
      <c r="P81" s="5"/>
      <c r="Q81" s="5"/>
      <c r="R81" s="5"/>
      <c r="S81" s="5"/>
      <c r="T81" s="5"/>
      <c r="U81" s="25"/>
      <c r="V81" s="5"/>
      <c r="W81" s="5"/>
      <c r="X81" s="5"/>
      <c r="Y81" s="5"/>
      <c r="Z81" s="5"/>
      <c r="AA81" s="5"/>
      <c r="AB81" s="5"/>
      <c r="AC81" s="5"/>
      <c r="AD81" s="24"/>
      <c r="AE81" s="5"/>
      <c r="AF81" s="5"/>
      <c r="AG81" s="5"/>
      <c r="AH81" s="5"/>
      <c r="AI81" s="5">
        <v>1</v>
      </c>
      <c r="AJ81" s="5"/>
      <c r="AK81" s="25"/>
      <c r="AL81" s="5">
        <v>166</v>
      </c>
      <c r="AM81" s="8"/>
      <c r="AN81" s="8">
        <v>1</v>
      </c>
      <c r="AP81" s="67">
        <f t="shared" si="3"/>
        <v>1</v>
      </c>
      <c r="AQ81" s="76">
        <f t="shared" si="4"/>
        <v>3.125E-2</v>
      </c>
      <c r="AR81" s="85">
        <v>32</v>
      </c>
      <c r="AT81" s="67">
        <v>0</v>
      </c>
      <c r="AU81" s="67">
        <f t="shared" si="5"/>
        <v>32</v>
      </c>
    </row>
    <row r="82" spans="1:47">
      <c r="A82" s="8">
        <v>169</v>
      </c>
      <c r="B82" s="8" t="s">
        <v>139</v>
      </c>
      <c r="C82" s="8" t="s">
        <v>357</v>
      </c>
      <c r="D82" s="8"/>
      <c r="E82" s="8">
        <v>169</v>
      </c>
      <c r="F82" s="24"/>
      <c r="G82" s="5"/>
      <c r="H82" s="5"/>
      <c r="I82" s="5"/>
      <c r="J82" s="5"/>
      <c r="K82" s="5"/>
      <c r="L82" s="5"/>
      <c r="M82" s="25"/>
      <c r="N82" s="24"/>
      <c r="O82" s="5"/>
      <c r="P82" s="5"/>
      <c r="Q82" s="5"/>
      <c r="R82" s="5"/>
      <c r="S82" s="5"/>
      <c r="T82" s="5"/>
      <c r="U82" s="25"/>
      <c r="V82" s="5"/>
      <c r="W82" s="5"/>
      <c r="X82" s="5"/>
      <c r="Y82" s="5"/>
      <c r="Z82" s="5"/>
      <c r="AA82" s="5"/>
      <c r="AB82" s="5"/>
      <c r="AC82" s="5"/>
      <c r="AD82" s="24"/>
      <c r="AE82" s="5"/>
      <c r="AF82" s="5"/>
      <c r="AG82" s="5"/>
      <c r="AH82" s="5"/>
      <c r="AI82" s="5"/>
      <c r="AJ82" s="5"/>
      <c r="AK82" s="25"/>
      <c r="AL82" s="5">
        <v>169</v>
      </c>
      <c r="AM82" s="8">
        <v>1</v>
      </c>
      <c r="AN82" s="8"/>
      <c r="AP82" s="67">
        <f t="shared" si="3"/>
        <v>0</v>
      </c>
      <c r="AQ82" s="76">
        <f t="shared" si="4"/>
        <v>0</v>
      </c>
      <c r="AR82" s="85">
        <v>24</v>
      </c>
      <c r="AT82" s="67">
        <v>0</v>
      </c>
      <c r="AU82" s="67">
        <f t="shared" si="5"/>
        <v>24</v>
      </c>
    </row>
    <row r="83" spans="1:47">
      <c r="A83" s="8">
        <v>170</v>
      </c>
      <c r="B83" s="8" t="s">
        <v>5</v>
      </c>
      <c r="C83" s="8" t="s">
        <v>42</v>
      </c>
      <c r="D83" s="8" t="s">
        <v>6</v>
      </c>
      <c r="E83" s="8">
        <v>170</v>
      </c>
      <c r="F83" s="24"/>
      <c r="G83" s="5"/>
      <c r="H83" s="5"/>
      <c r="I83" s="5"/>
      <c r="J83" s="5"/>
      <c r="K83" s="5"/>
      <c r="L83" s="5"/>
      <c r="M83" s="25"/>
      <c r="N83" s="24"/>
      <c r="O83" s="5"/>
      <c r="P83" s="5"/>
      <c r="Q83" s="5"/>
      <c r="R83" s="5"/>
      <c r="S83" s="5"/>
      <c r="T83" s="5"/>
      <c r="U83" s="25"/>
      <c r="V83" s="5"/>
      <c r="W83" s="5"/>
      <c r="X83" s="5"/>
      <c r="Y83" s="5"/>
      <c r="Z83" s="5"/>
      <c r="AA83" s="5"/>
      <c r="AB83" s="5"/>
      <c r="AC83" s="5"/>
      <c r="AD83" s="24"/>
      <c r="AE83" s="5"/>
      <c r="AF83" s="5"/>
      <c r="AG83" s="5"/>
      <c r="AH83" s="5"/>
      <c r="AI83" s="5"/>
      <c r="AJ83" s="5"/>
      <c r="AK83" s="25"/>
      <c r="AL83" s="5">
        <v>170</v>
      </c>
      <c r="AM83" s="8">
        <v>1</v>
      </c>
      <c r="AN83" s="8"/>
      <c r="AP83" s="67">
        <f t="shared" si="3"/>
        <v>0</v>
      </c>
      <c r="AQ83" s="76">
        <f t="shared" si="4"/>
        <v>0</v>
      </c>
      <c r="AR83" s="85">
        <v>31</v>
      </c>
      <c r="AS83">
        <v>1</v>
      </c>
      <c r="AT83" s="67">
        <v>0</v>
      </c>
      <c r="AU83" s="67">
        <f t="shared" si="5"/>
        <v>32</v>
      </c>
    </row>
    <row r="84" spans="1:47">
      <c r="A84" s="8">
        <v>171</v>
      </c>
      <c r="B84" s="8" t="s">
        <v>58</v>
      </c>
      <c r="C84" s="8" t="s">
        <v>358</v>
      </c>
      <c r="D84" s="8" t="s">
        <v>6</v>
      </c>
      <c r="E84" s="8">
        <v>171</v>
      </c>
      <c r="F84" s="24"/>
      <c r="G84" s="5"/>
      <c r="H84" s="5"/>
      <c r="I84" s="5"/>
      <c r="J84" s="5"/>
      <c r="K84" s="5"/>
      <c r="L84" s="5"/>
      <c r="M84" s="25"/>
      <c r="N84" s="24"/>
      <c r="O84" s="5"/>
      <c r="P84" s="5"/>
      <c r="Q84" s="5"/>
      <c r="R84" s="5"/>
      <c r="S84" s="5"/>
      <c r="T84" s="5">
        <v>1</v>
      </c>
      <c r="U84" s="25"/>
      <c r="V84" s="5"/>
      <c r="W84" s="5"/>
      <c r="X84" s="5"/>
      <c r="Y84" s="5"/>
      <c r="Z84" s="5"/>
      <c r="AA84" s="5"/>
      <c r="AB84" s="5"/>
      <c r="AC84" s="5"/>
      <c r="AD84" s="24"/>
      <c r="AE84" s="5"/>
      <c r="AF84" s="5"/>
      <c r="AG84" s="5"/>
      <c r="AH84" s="5"/>
      <c r="AI84" s="5"/>
      <c r="AJ84" s="5"/>
      <c r="AK84" s="25"/>
      <c r="AL84" s="5">
        <v>171</v>
      </c>
      <c r="AM84" s="8"/>
      <c r="AN84" s="8">
        <v>1</v>
      </c>
      <c r="AP84" s="67">
        <f t="shared" si="3"/>
        <v>1</v>
      </c>
      <c r="AQ84" s="76">
        <f t="shared" si="4"/>
        <v>3.5714285714285712E-2</v>
      </c>
      <c r="AR84" s="85">
        <v>28</v>
      </c>
      <c r="AT84" s="67">
        <v>0</v>
      </c>
      <c r="AU84" s="67">
        <f t="shared" si="5"/>
        <v>28</v>
      </c>
    </row>
    <row r="85" spans="1:47">
      <c r="A85" s="8">
        <v>172</v>
      </c>
      <c r="B85" s="8" t="s">
        <v>71</v>
      </c>
      <c r="C85" s="8" t="s">
        <v>366</v>
      </c>
      <c r="D85" s="8" t="s">
        <v>6</v>
      </c>
      <c r="E85" s="8">
        <v>172</v>
      </c>
      <c r="F85" s="24"/>
      <c r="G85" s="5"/>
      <c r="H85" s="5"/>
      <c r="I85" s="5"/>
      <c r="J85" s="5"/>
      <c r="K85" s="5"/>
      <c r="L85" s="5"/>
      <c r="M85" s="25"/>
      <c r="N85" s="24"/>
      <c r="O85" s="5"/>
      <c r="P85" s="5"/>
      <c r="Q85" s="5"/>
      <c r="R85" s="5"/>
      <c r="S85" s="5"/>
      <c r="T85" s="5"/>
      <c r="U85" s="25"/>
      <c r="V85" s="5"/>
      <c r="W85" s="5"/>
      <c r="X85" s="5"/>
      <c r="Y85" s="5"/>
      <c r="Z85" s="5"/>
      <c r="AA85" s="5"/>
      <c r="AB85" s="5"/>
      <c r="AC85" s="5"/>
      <c r="AD85" s="24"/>
      <c r="AE85" s="5"/>
      <c r="AF85" s="5"/>
      <c r="AG85" s="5"/>
      <c r="AH85" s="5"/>
      <c r="AI85" s="5"/>
      <c r="AJ85" s="5"/>
      <c r="AK85" s="25"/>
      <c r="AL85" s="5">
        <v>172</v>
      </c>
      <c r="AM85" s="8">
        <v>1</v>
      </c>
      <c r="AN85" s="8"/>
      <c r="AP85" s="67">
        <f t="shared" si="3"/>
        <v>0</v>
      </c>
      <c r="AQ85" s="76">
        <f t="shared" si="4"/>
        <v>0</v>
      </c>
      <c r="AR85" s="85">
        <v>31</v>
      </c>
      <c r="AS85">
        <v>1</v>
      </c>
      <c r="AT85" s="67">
        <v>0</v>
      </c>
      <c r="AU85" s="67">
        <f t="shared" si="5"/>
        <v>32</v>
      </c>
    </row>
    <row r="86" spans="1:47">
      <c r="A86" s="8">
        <v>174</v>
      </c>
      <c r="B86" s="8" t="s">
        <v>141</v>
      </c>
      <c r="C86" s="8" t="s">
        <v>346</v>
      </c>
      <c r="D86" s="8"/>
      <c r="E86" s="8">
        <v>174</v>
      </c>
      <c r="F86" s="24"/>
      <c r="G86" s="5"/>
      <c r="H86" s="5"/>
      <c r="I86" s="5"/>
      <c r="J86" s="5"/>
      <c r="K86" s="5"/>
      <c r="L86" s="5"/>
      <c r="M86" s="25"/>
      <c r="N86" s="24"/>
      <c r="O86" s="5"/>
      <c r="P86" s="5"/>
      <c r="Q86" s="5"/>
      <c r="R86" s="5"/>
      <c r="S86" s="5"/>
      <c r="T86" s="5"/>
      <c r="U86" s="25"/>
      <c r="V86" s="5"/>
      <c r="W86" s="5"/>
      <c r="X86" s="5"/>
      <c r="Y86" s="5"/>
      <c r="Z86" s="5"/>
      <c r="AA86" s="5"/>
      <c r="AB86" s="5"/>
      <c r="AC86" s="5"/>
      <c r="AD86" s="24"/>
      <c r="AE86" s="5"/>
      <c r="AF86" s="5"/>
      <c r="AG86" s="5"/>
      <c r="AH86" s="5"/>
      <c r="AI86" s="5"/>
      <c r="AJ86" s="5"/>
      <c r="AK86" s="25"/>
      <c r="AL86" s="5">
        <v>174</v>
      </c>
      <c r="AM86" s="8">
        <v>1</v>
      </c>
      <c r="AN86" s="8"/>
      <c r="AP86" s="67">
        <f t="shared" si="3"/>
        <v>0</v>
      </c>
      <c r="AQ86" s="76">
        <f t="shared" si="4"/>
        <v>0</v>
      </c>
      <c r="AR86" s="85">
        <v>20</v>
      </c>
      <c r="AT86" s="67">
        <v>0</v>
      </c>
      <c r="AU86" s="67">
        <f t="shared" si="5"/>
        <v>20</v>
      </c>
    </row>
    <row r="87" spans="1:47">
      <c r="A87" s="8">
        <v>176</v>
      </c>
      <c r="B87" s="8" t="s">
        <v>44</v>
      </c>
      <c r="C87" s="8" t="s">
        <v>349</v>
      </c>
      <c r="D87" s="8" t="s">
        <v>42</v>
      </c>
      <c r="E87" s="8">
        <v>176</v>
      </c>
      <c r="F87" s="24"/>
      <c r="G87" s="5"/>
      <c r="H87" s="5">
        <v>1</v>
      </c>
      <c r="I87" s="5">
        <v>1</v>
      </c>
      <c r="J87" s="5"/>
      <c r="K87" s="5"/>
      <c r="L87" s="5"/>
      <c r="M87" s="25"/>
      <c r="N87" s="24">
        <v>1</v>
      </c>
      <c r="O87" s="5"/>
      <c r="P87" s="5"/>
      <c r="Q87" s="5"/>
      <c r="R87" s="5"/>
      <c r="S87" s="5"/>
      <c r="T87" s="5"/>
      <c r="U87" s="25"/>
      <c r="V87" s="5"/>
      <c r="W87" s="5"/>
      <c r="X87" s="5"/>
      <c r="Y87" s="5"/>
      <c r="Z87" s="5"/>
      <c r="AA87" s="5"/>
      <c r="AB87" s="5"/>
      <c r="AC87" s="5"/>
      <c r="AD87" s="24"/>
      <c r="AE87" s="5"/>
      <c r="AF87" s="5"/>
      <c r="AG87" s="5"/>
      <c r="AH87" s="5"/>
      <c r="AI87" s="5"/>
      <c r="AJ87" s="5"/>
      <c r="AK87" s="25"/>
      <c r="AL87" s="5">
        <v>176</v>
      </c>
      <c r="AM87" s="8"/>
      <c r="AN87" s="8">
        <v>1</v>
      </c>
      <c r="AP87" s="67">
        <f t="shared" si="3"/>
        <v>3</v>
      </c>
      <c r="AQ87" s="76">
        <f t="shared" si="4"/>
        <v>0.10344827586206896</v>
      </c>
      <c r="AR87" s="85">
        <v>15</v>
      </c>
      <c r="AS87">
        <v>6</v>
      </c>
      <c r="AT87" s="67">
        <v>8</v>
      </c>
      <c r="AU87" s="67">
        <f t="shared" si="5"/>
        <v>29</v>
      </c>
    </row>
    <row r="88" spans="1:47">
      <c r="A88" s="8">
        <v>178</v>
      </c>
      <c r="B88" s="8" t="s">
        <v>5</v>
      </c>
      <c r="C88" s="8" t="s">
        <v>42</v>
      </c>
      <c r="D88" s="8" t="s">
        <v>6</v>
      </c>
      <c r="E88" s="8">
        <v>178</v>
      </c>
      <c r="F88" s="24"/>
      <c r="G88" s="5"/>
      <c r="H88" s="5"/>
      <c r="I88" s="5"/>
      <c r="J88" s="5"/>
      <c r="K88" s="5"/>
      <c r="L88" s="5"/>
      <c r="M88" s="25"/>
      <c r="N88" s="24"/>
      <c r="O88" s="5"/>
      <c r="P88" s="5"/>
      <c r="Q88" s="5"/>
      <c r="R88" s="5"/>
      <c r="S88" s="5"/>
      <c r="T88" s="5"/>
      <c r="U88" s="25"/>
      <c r="V88" s="5"/>
      <c r="W88" s="5"/>
      <c r="X88" s="5">
        <v>1</v>
      </c>
      <c r="Y88" s="5"/>
      <c r="Z88" s="5"/>
      <c r="AA88" s="5"/>
      <c r="AB88" s="5"/>
      <c r="AC88" s="5"/>
      <c r="AD88" s="24"/>
      <c r="AE88" s="5"/>
      <c r="AF88" s="5"/>
      <c r="AG88" s="5"/>
      <c r="AH88" s="5"/>
      <c r="AI88" s="5"/>
      <c r="AJ88" s="5"/>
      <c r="AK88" s="25"/>
      <c r="AL88" s="5">
        <v>178</v>
      </c>
      <c r="AM88" s="8"/>
      <c r="AN88" s="8">
        <v>1</v>
      </c>
      <c r="AP88" s="67">
        <f t="shared" si="3"/>
        <v>1</v>
      </c>
      <c r="AQ88" s="76">
        <f t="shared" si="4"/>
        <v>3.2258064516129031E-2</v>
      </c>
      <c r="AR88" s="85">
        <v>29</v>
      </c>
      <c r="AS88">
        <v>2</v>
      </c>
      <c r="AT88" s="67">
        <v>0</v>
      </c>
      <c r="AU88" s="67">
        <f t="shared" si="5"/>
        <v>31</v>
      </c>
    </row>
    <row r="89" spans="1:47">
      <c r="A89" s="8">
        <v>179</v>
      </c>
      <c r="B89" s="8" t="s">
        <v>48</v>
      </c>
      <c r="C89" s="8" t="s">
        <v>357</v>
      </c>
      <c r="D89" s="8"/>
      <c r="E89" s="8">
        <v>179</v>
      </c>
      <c r="F89" s="24"/>
      <c r="G89" s="5"/>
      <c r="H89" s="5"/>
      <c r="I89" s="5"/>
      <c r="J89" s="5"/>
      <c r="K89" s="5"/>
      <c r="L89" s="5"/>
      <c r="M89" s="25"/>
      <c r="N89" s="24"/>
      <c r="O89" s="5"/>
      <c r="P89" s="5"/>
      <c r="Q89" s="5"/>
      <c r="R89" s="5"/>
      <c r="S89" s="5"/>
      <c r="T89" s="5"/>
      <c r="U89" s="25"/>
      <c r="V89" s="5"/>
      <c r="W89" s="5"/>
      <c r="X89" s="5"/>
      <c r="Y89" s="5"/>
      <c r="Z89" s="5"/>
      <c r="AA89" s="5"/>
      <c r="AB89" s="5"/>
      <c r="AC89" s="5"/>
      <c r="AD89" s="24"/>
      <c r="AE89" s="5"/>
      <c r="AF89" s="5"/>
      <c r="AG89" s="5"/>
      <c r="AH89" s="5">
        <v>1</v>
      </c>
      <c r="AI89" s="5"/>
      <c r="AJ89" s="5"/>
      <c r="AK89" s="25"/>
      <c r="AL89" s="5">
        <v>179</v>
      </c>
      <c r="AM89" s="8"/>
      <c r="AN89" s="8">
        <v>1</v>
      </c>
      <c r="AP89" s="67">
        <f t="shared" si="3"/>
        <v>1</v>
      </c>
      <c r="AQ89" s="76">
        <f t="shared" si="4"/>
        <v>4.3478260869565216E-2</v>
      </c>
      <c r="AR89" s="85">
        <v>21</v>
      </c>
      <c r="AT89" s="67">
        <v>2</v>
      </c>
      <c r="AU89" s="67">
        <f t="shared" si="5"/>
        <v>23</v>
      </c>
    </row>
    <row r="90" spans="1:47">
      <c r="A90" s="8">
        <v>180</v>
      </c>
      <c r="B90" s="8" t="s">
        <v>143</v>
      </c>
      <c r="C90" s="8" t="s">
        <v>357</v>
      </c>
      <c r="D90" s="8"/>
      <c r="E90" s="8">
        <v>180</v>
      </c>
      <c r="F90" s="24"/>
      <c r="G90" s="5"/>
      <c r="H90" s="5"/>
      <c r="I90" s="5"/>
      <c r="J90" s="5"/>
      <c r="K90" s="5"/>
      <c r="L90" s="5"/>
      <c r="M90" s="25"/>
      <c r="N90" s="24"/>
      <c r="O90" s="5"/>
      <c r="P90" s="5"/>
      <c r="Q90" s="5"/>
      <c r="R90" s="5"/>
      <c r="S90" s="5"/>
      <c r="T90" s="5"/>
      <c r="U90" s="25"/>
      <c r="V90" s="5"/>
      <c r="W90" s="5"/>
      <c r="X90" s="5"/>
      <c r="Y90" s="5"/>
      <c r="Z90" s="5"/>
      <c r="AA90" s="5"/>
      <c r="AB90" s="5"/>
      <c r="AC90" s="5"/>
      <c r="AD90" s="24"/>
      <c r="AE90" s="5"/>
      <c r="AF90" s="5"/>
      <c r="AG90" s="5"/>
      <c r="AH90" s="5"/>
      <c r="AI90" s="5"/>
      <c r="AJ90" s="5"/>
      <c r="AK90" s="25"/>
      <c r="AL90" s="5">
        <v>180</v>
      </c>
      <c r="AM90" s="8">
        <v>1</v>
      </c>
      <c r="AN90" s="8"/>
      <c r="AP90" s="67">
        <f t="shared" si="3"/>
        <v>0</v>
      </c>
      <c r="AQ90" s="76">
        <f t="shared" si="4"/>
        <v>0</v>
      </c>
      <c r="AR90" s="85">
        <v>22</v>
      </c>
      <c r="AT90" s="67">
        <v>0</v>
      </c>
      <c r="AU90" s="67">
        <f t="shared" si="5"/>
        <v>22</v>
      </c>
    </row>
    <row r="91" spans="1:47">
      <c r="A91" s="8">
        <v>181</v>
      </c>
      <c r="B91" s="8" t="s">
        <v>145</v>
      </c>
      <c r="C91" s="8" t="s">
        <v>357</v>
      </c>
      <c r="D91" s="8" t="s">
        <v>15</v>
      </c>
      <c r="E91" s="8">
        <v>181</v>
      </c>
      <c r="F91" s="24"/>
      <c r="G91" s="5"/>
      <c r="H91" s="5">
        <v>1</v>
      </c>
      <c r="I91" s="5"/>
      <c r="J91" s="5"/>
      <c r="K91" s="5"/>
      <c r="L91" s="5"/>
      <c r="M91" s="25"/>
      <c r="N91" s="24"/>
      <c r="O91" s="5"/>
      <c r="P91" s="5"/>
      <c r="Q91" s="5"/>
      <c r="R91" s="5"/>
      <c r="S91" s="5"/>
      <c r="T91" s="5"/>
      <c r="U91" s="25"/>
      <c r="V91" s="5"/>
      <c r="W91" s="5"/>
      <c r="X91" s="5">
        <v>1</v>
      </c>
      <c r="Y91" s="5"/>
      <c r="Z91" s="5"/>
      <c r="AA91" s="5"/>
      <c r="AB91" s="5"/>
      <c r="AC91" s="5"/>
      <c r="AD91" s="24"/>
      <c r="AE91" s="5"/>
      <c r="AF91" s="5"/>
      <c r="AG91" s="5"/>
      <c r="AH91" s="5"/>
      <c r="AI91" s="5"/>
      <c r="AJ91" s="5"/>
      <c r="AK91" s="25"/>
      <c r="AL91" s="5">
        <v>181</v>
      </c>
      <c r="AM91" s="8"/>
      <c r="AN91" s="8">
        <v>1</v>
      </c>
      <c r="AP91" s="67">
        <f t="shared" si="3"/>
        <v>2</v>
      </c>
      <c r="AQ91" s="76">
        <f t="shared" si="4"/>
        <v>7.1428571428571425E-2</v>
      </c>
      <c r="AR91" s="85">
        <v>28</v>
      </c>
      <c r="AT91" s="67">
        <v>0</v>
      </c>
      <c r="AU91" s="67">
        <f t="shared" si="5"/>
        <v>28</v>
      </c>
    </row>
    <row r="92" spans="1:47">
      <c r="A92" s="8">
        <v>185</v>
      </c>
      <c r="B92" s="8" t="s">
        <v>5</v>
      </c>
      <c r="C92" s="8" t="s">
        <v>42</v>
      </c>
      <c r="D92" s="8" t="s">
        <v>42</v>
      </c>
      <c r="E92" s="8">
        <v>185</v>
      </c>
      <c r="F92" s="24"/>
      <c r="G92" s="5"/>
      <c r="H92" s="5"/>
      <c r="I92" s="5"/>
      <c r="J92" s="5"/>
      <c r="K92" s="5"/>
      <c r="L92" s="5"/>
      <c r="M92" s="25"/>
      <c r="N92" s="24"/>
      <c r="O92" s="5"/>
      <c r="P92" s="5"/>
      <c r="Q92" s="5"/>
      <c r="R92" s="5"/>
      <c r="S92" s="5">
        <v>1</v>
      </c>
      <c r="T92" s="5"/>
      <c r="U92" s="25"/>
      <c r="V92" s="5"/>
      <c r="W92" s="5"/>
      <c r="X92" s="5"/>
      <c r="Y92" s="5"/>
      <c r="Z92" s="5"/>
      <c r="AA92" s="5"/>
      <c r="AB92" s="5"/>
      <c r="AC92" s="5"/>
      <c r="AD92" s="24"/>
      <c r="AE92" s="5"/>
      <c r="AF92" s="5"/>
      <c r="AG92" s="5"/>
      <c r="AH92" s="5"/>
      <c r="AI92" s="5"/>
      <c r="AJ92" s="5"/>
      <c r="AK92" s="25"/>
      <c r="AL92" s="5">
        <v>185</v>
      </c>
      <c r="AM92" s="8"/>
      <c r="AN92" s="8">
        <v>1</v>
      </c>
      <c r="AP92" s="67">
        <f t="shared" si="3"/>
        <v>1</v>
      </c>
      <c r="AQ92" s="76">
        <f t="shared" si="4"/>
        <v>3.125E-2</v>
      </c>
      <c r="AR92" s="85">
        <v>32</v>
      </c>
      <c r="AT92" s="67">
        <v>0</v>
      </c>
      <c r="AU92" s="67">
        <f t="shared" si="5"/>
        <v>32</v>
      </c>
    </row>
    <row r="93" spans="1:47">
      <c r="A93" s="8">
        <v>187</v>
      </c>
      <c r="B93" s="8" t="s">
        <v>44</v>
      </c>
      <c r="C93" s="8" t="s">
        <v>349</v>
      </c>
      <c r="D93" s="8" t="s">
        <v>6</v>
      </c>
      <c r="E93" s="8">
        <v>187</v>
      </c>
      <c r="F93" s="24">
        <v>1</v>
      </c>
      <c r="G93" s="5">
        <v>1</v>
      </c>
      <c r="H93" s="5"/>
      <c r="I93" s="5"/>
      <c r="J93" s="5">
        <v>1</v>
      </c>
      <c r="K93" s="5"/>
      <c r="L93" s="5"/>
      <c r="M93" s="25"/>
      <c r="N93" s="24"/>
      <c r="O93" s="5"/>
      <c r="P93" s="5"/>
      <c r="Q93" s="5">
        <v>1</v>
      </c>
      <c r="R93" s="5">
        <v>1</v>
      </c>
      <c r="S93" s="5"/>
      <c r="T93" s="5"/>
      <c r="U93" s="25"/>
      <c r="V93" s="5"/>
      <c r="W93" s="5"/>
      <c r="X93" s="5"/>
      <c r="Y93" s="5"/>
      <c r="Z93" s="5"/>
      <c r="AA93" s="5"/>
      <c r="AB93" s="5"/>
      <c r="AC93" s="5"/>
      <c r="AD93" s="24"/>
      <c r="AE93" s="5"/>
      <c r="AF93" s="5"/>
      <c r="AG93" s="5">
        <v>1</v>
      </c>
      <c r="AH93" s="5">
        <v>1</v>
      </c>
      <c r="AI93" s="5"/>
      <c r="AJ93" s="5"/>
      <c r="AK93" s="25"/>
      <c r="AL93" s="5">
        <v>187</v>
      </c>
      <c r="AM93" s="8"/>
      <c r="AN93" s="8">
        <v>1</v>
      </c>
      <c r="AP93" s="67">
        <f t="shared" si="3"/>
        <v>7</v>
      </c>
      <c r="AQ93" s="76">
        <f t="shared" si="4"/>
        <v>0.22580645161290322</v>
      </c>
      <c r="AR93" s="85">
        <v>20</v>
      </c>
      <c r="AS93">
        <v>8</v>
      </c>
      <c r="AT93" s="67">
        <v>3</v>
      </c>
      <c r="AU93" s="67">
        <f t="shared" si="5"/>
        <v>31</v>
      </c>
    </row>
    <row r="94" spans="1:47">
      <c r="A94" s="8">
        <v>192</v>
      </c>
      <c r="B94" s="8" t="s">
        <v>149</v>
      </c>
      <c r="C94" s="8" t="s">
        <v>346</v>
      </c>
      <c r="D94" s="8"/>
      <c r="E94" s="8">
        <v>192</v>
      </c>
      <c r="F94" s="24"/>
      <c r="G94" s="5"/>
      <c r="H94" s="5"/>
      <c r="I94" s="5"/>
      <c r="J94" s="5"/>
      <c r="K94" s="5"/>
      <c r="L94" s="5"/>
      <c r="M94" s="25"/>
      <c r="N94" s="24"/>
      <c r="O94" s="5"/>
      <c r="P94" s="5"/>
      <c r="Q94" s="5"/>
      <c r="R94" s="5"/>
      <c r="S94" s="5"/>
      <c r="T94" s="5"/>
      <c r="U94" s="25"/>
      <c r="V94" s="5"/>
      <c r="W94" s="5"/>
      <c r="X94" s="5"/>
      <c r="Y94" s="5"/>
      <c r="Z94" s="5"/>
      <c r="AA94" s="5"/>
      <c r="AB94" s="5"/>
      <c r="AC94" s="5"/>
      <c r="AD94" s="24"/>
      <c r="AE94" s="5"/>
      <c r="AF94" s="5"/>
      <c r="AG94" s="5"/>
      <c r="AH94" s="5"/>
      <c r="AI94" s="5"/>
      <c r="AJ94" s="5"/>
      <c r="AK94" s="25"/>
      <c r="AL94" s="5">
        <v>192</v>
      </c>
      <c r="AM94" s="8">
        <v>1</v>
      </c>
      <c r="AN94" s="8"/>
      <c r="AP94" s="67">
        <f t="shared" si="3"/>
        <v>0</v>
      </c>
      <c r="AQ94" s="76">
        <f t="shared" si="4"/>
        <v>0</v>
      </c>
      <c r="AR94" s="85">
        <v>20</v>
      </c>
      <c r="AT94" s="67">
        <v>0</v>
      </c>
      <c r="AU94" s="67">
        <f t="shared" si="5"/>
        <v>20</v>
      </c>
    </row>
    <row r="95" spans="1:47">
      <c r="A95" s="8">
        <v>193</v>
      </c>
      <c r="B95" s="8" t="s">
        <v>123</v>
      </c>
      <c r="C95" s="8" t="s">
        <v>366</v>
      </c>
      <c r="D95" s="8" t="s">
        <v>6</v>
      </c>
      <c r="E95" s="8">
        <v>193</v>
      </c>
      <c r="F95" s="24">
        <v>1</v>
      </c>
      <c r="G95" s="5">
        <v>1</v>
      </c>
      <c r="H95" s="5">
        <v>1</v>
      </c>
      <c r="I95" s="5">
        <v>1</v>
      </c>
      <c r="J95" s="5">
        <v>1</v>
      </c>
      <c r="K95" s="5"/>
      <c r="L95" s="5">
        <v>1</v>
      </c>
      <c r="M95" s="25">
        <v>1</v>
      </c>
      <c r="N95" s="24"/>
      <c r="O95" s="5">
        <v>1</v>
      </c>
      <c r="P95" s="5"/>
      <c r="Q95" s="5">
        <v>1</v>
      </c>
      <c r="R95" s="5">
        <v>1</v>
      </c>
      <c r="S95" s="5">
        <v>1</v>
      </c>
      <c r="T95" s="5"/>
      <c r="U95" s="25"/>
      <c r="V95" s="5">
        <v>1</v>
      </c>
      <c r="W95" s="5">
        <v>1</v>
      </c>
      <c r="X95" s="5"/>
      <c r="Y95" s="5">
        <v>1</v>
      </c>
      <c r="Z95" s="5">
        <v>1</v>
      </c>
      <c r="AA95" s="5"/>
      <c r="AB95" s="5"/>
      <c r="AC95" s="5"/>
      <c r="AD95" s="24"/>
      <c r="AE95" s="5"/>
      <c r="AF95" s="5">
        <v>1</v>
      </c>
      <c r="AG95" s="5">
        <v>1</v>
      </c>
      <c r="AH95" s="5">
        <v>1</v>
      </c>
      <c r="AI95" s="5"/>
      <c r="AJ95" s="5">
        <v>1</v>
      </c>
      <c r="AK95" s="25">
        <v>1</v>
      </c>
      <c r="AL95" s="5">
        <v>193</v>
      </c>
      <c r="AM95" s="8"/>
      <c r="AN95" s="8">
        <v>1</v>
      </c>
      <c r="AP95" s="67">
        <f t="shared" si="3"/>
        <v>20</v>
      </c>
      <c r="AQ95" s="76">
        <f t="shared" si="4"/>
        <v>0.625</v>
      </c>
      <c r="AR95" s="85">
        <v>29</v>
      </c>
      <c r="AS95">
        <v>3</v>
      </c>
      <c r="AT95" s="67">
        <v>0</v>
      </c>
      <c r="AU95" s="67">
        <f t="shared" si="5"/>
        <v>32</v>
      </c>
    </row>
    <row r="96" spans="1:47">
      <c r="A96" s="8">
        <v>194</v>
      </c>
      <c r="B96" s="8" t="s">
        <v>62</v>
      </c>
      <c r="C96" s="8" t="s">
        <v>42</v>
      </c>
      <c r="D96" s="8" t="s">
        <v>42</v>
      </c>
      <c r="E96" s="8">
        <v>194</v>
      </c>
      <c r="F96" s="24"/>
      <c r="G96" s="5"/>
      <c r="H96" s="5"/>
      <c r="I96" s="5"/>
      <c r="J96" s="5"/>
      <c r="K96" s="5"/>
      <c r="L96" s="5"/>
      <c r="M96" s="25"/>
      <c r="N96" s="24"/>
      <c r="O96" s="5"/>
      <c r="P96" s="5"/>
      <c r="Q96" s="5"/>
      <c r="R96" s="5">
        <v>1</v>
      </c>
      <c r="S96" s="5"/>
      <c r="T96" s="5"/>
      <c r="U96" s="25"/>
      <c r="V96" s="5">
        <v>1</v>
      </c>
      <c r="W96" s="5">
        <v>1</v>
      </c>
      <c r="X96" s="5"/>
      <c r="Y96" s="5"/>
      <c r="Z96" s="5"/>
      <c r="AA96" s="5"/>
      <c r="AB96" s="5"/>
      <c r="AC96" s="5"/>
      <c r="AD96" s="24"/>
      <c r="AE96" s="5"/>
      <c r="AF96" s="5"/>
      <c r="AG96" s="5"/>
      <c r="AH96" s="5"/>
      <c r="AI96" s="5">
        <v>1</v>
      </c>
      <c r="AJ96" s="5"/>
      <c r="AK96" s="25"/>
      <c r="AL96" s="5">
        <v>194</v>
      </c>
      <c r="AM96" s="8"/>
      <c r="AN96" s="8">
        <v>1</v>
      </c>
      <c r="AP96" s="67">
        <f t="shared" si="3"/>
        <v>4</v>
      </c>
      <c r="AQ96" s="76">
        <f t="shared" si="4"/>
        <v>0.125</v>
      </c>
      <c r="AR96" s="85">
        <v>30</v>
      </c>
      <c r="AS96">
        <v>1</v>
      </c>
      <c r="AT96" s="67">
        <v>1</v>
      </c>
      <c r="AU96" s="67">
        <f t="shared" si="5"/>
        <v>32</v>
      </c>
    </row>
    <row r="97" spans="1:47">
      <c r="A97" s="8">
        <v>205</v>
      </c>
      <c r="B97" s="8" t="s">
        <v>74</v>
      </c>
      <c r="C97" s="8" t="s">
        <v>346</v>
      </c>
      <c r="D97" s="8"/>
      <c r="E97" s="8">
        <v>205</v>
      </c>
      <c r="F97" s="24"/>
      <c r="G97" s="5"/>
      <c r="H97" s="5"/>
      <c r="I97" s="5"/>
      <c r="J97" s="5"/>
      <c r="K97" s="5"/>
      <c r="L97" s="5"/>
      <c r="M97" s="25"/>
      <c r="N97" s="24"/>
      <c r="O97" s="5"/>
      <c r="P97" s="5"/>
      <c r="Q97" s="5"/>
      <c r="R97" s="5"/>
      <c r="S97" s="5"/>
      <c r="T97" s="5"/>
      <c r="U97" s="25"/>
      <c r="V97" s="5"/>
      <c r="W97" s="5"/>
      <c r="X97" s="5"/>
      <c r="Y97" s="5"/>
      <c r="Z97" s="5"/>
      <c r="AA97" s="5"/>
      <c r="AB97" s="5"/>
      <c r="AC97" s="5"/>
      <c r="AD97" s="24"/>
      <c r="AE97" s="5"/>
      <c r="AF97" s="5"/>
      <c r="AG97" s="5"/>
      <c r="AH97" s="5"/>
      <c r="AI97" s="5"/>
      <c r="AJ97" s="5"/>
      <c r="AK97" s="25"/>
      <c r="AL97" s="5">
        <v>205</v>
      </c>
      <c r="AM97" s="8">
        <v>1</v>
      </c>
      <c r="AN97" s="8"/>
      <c r="AP97" s="67">
        <f t="shared" si="3"/>
        <v>0</v>
      </c>
      <c r="AQ97" s="76">
        <f t="shared" si="4"/>
        <v>0</v>
      </c>
      <c r="AR97" s="85">
        <v>12</v>
      </c>
      <c r="AT97" s="67">
        <v>0</v>
      </c>
      <c r="AU97" s="67">
        <f t="shared" si="5"/>
        <v>12</v>
      </c>
    </row>
    <row r="98" spans="1:47">
      <c r="A98" s="8">
        <v>206</v>
      </c>
      <c r="B98" s="8" t="s">
        <v>139</v>
      </c>
      <c r="C98" s="8" t="s">
        <v>357</v>
      </c>
      <c r="D98" s="8"/>
      <c r="E98" s="8">
        <v>206</v>
      </c>
      <c r="F98" s="24"/>
      <c r="G98" s="5"/>
      <c r="H98" s="5"/>
      <c r="I98" s="5"/>
      <c r="J98" s="5"/>
      <c r="K98" s="5"/>
      <c r="L98" s="5"/>
      <c r="M98" s="25"/>
      <c r="N98" s="24"/>
      <c r="O98" s="5"/>
      <c r="P98" s="5"/>
      <c r="Q98" s="5"/>
      <c r="R98" s="5"/>
      <c r="S98" s="5"/>
      <c r="T98" s="5"/>
      <c r="U98" s="25"/>
      <c r="V98" s="5"/>
      <c r="W98" s="5"/>
      <c r="X98" s="5"/>
      <c r="Y98" s="5"/>
      <c r="Z98" s="5"/>
      <c r="AA98" s="5"/>
      <c r="AB98" s="5"/>
      <c r="AC98" s="5"/>
      <c r="AD98" s="24"/>
      <c r="AE98" s="5"/>
      <c r="AF98" s="5"/>
      <c r="AG98" s="5"/>
      <c r="AH98" s="5"/>
      <c r="AI98" s="5"/>
      <c r="AJ98" s="5"/>
      <c r="AK98" s="25"/>
      <c r="AL98" s="5">
        <v>206</v>
      </c>
      <c r="AM98" s="8">
        <v>1</v>
      </c>
      <c r="AN98" s="8"/>
      <c r="AP98" s="67">
        <f t="shared" si="3"/>
        <v>0</v>
      </c>
      <c r="AQ98" s="76">
        <f t="shared" si="4"/>
        <v>0</v>
      </c>
      <c r="AR98" s="85">
        <v>4</v>
      </c>
      <c r="AT98" s="67">
        <v>0</v>
      </c>
      <c r="AU98" s="67">
        <f t="shared" si="5"/>
        <v>4</v>
      </c>
    </row>
    <row r="99" spans="1:47">
      <c r="A99" s="8">
        <v>210</v>
      </c>
      <c r="B99" s="8" t="s">
        <v>55</v>
      </c>
      <c r="C99" s="8" t="s">
        <v>346</v>
      </c>
      <c r="D99" s="8"/>
      <c r="E99" s="8">
        <v>210</v>
      </c>
      <c r="F99" s="24"/>
      <c r="G99" s="5"/>
      <c r="H99" s="5"/>
      <c r="I99" s="5"/>
      <c r="J99" s="5"/>
      <c r="K99" s="5"/>
      <c r="L99" s="5"/>
      <c r="M99" s="25"/>
      <c r="N99" s="24"/>
      <c r="O99" s="5"/>
      <c r="P99" s="5"/>
      <c r="Q99" s="5"/>
      <c r="R99" s="5"/>
      <c r="S99" s="5"/>
      <c r="T99" s="5"/>
      <c r="U99" s="25"/>
      <c r="V99" s="5"/>
      <c r="W99" s="5"/>
      <c r="X99" s="5"/>
      <c r="Y99" s="5"/>
      <c r="Z99" s="5"/>
      <c r="AA99" s="5"/>
      <c r="AB99" s="5"/>
      <c r="AC99" s="5"/>
      <c r="AD99" s="24"/>
      <c r="AE99" s="5"/>
      <c r="AF99" s="5"/>
      <c r="AG99" s="5"/>
      <c r="AH99" s="5"/>
      <c r="AI99" s="5"/>
      <c r="AJ99" s="5"/>
      <c r="AK99" s="25"/>
      <c r="AL99" s="5">
        <v>210</v>
      </c>
      <c r="AM99" s="8">
        <v>1</v>
      </c>
      <c r="AN99" s="8"/>
      <c r="AP99" s="67">
        <f t="shared" si="3"/>
        <v>0</v>
      </c>
      <c r="AQ99" s="76">
        <f t="shared" si="4"/>
        <v>0</v>
      </c>
      <c r="AR99" s="85">
        <v>20</v>
      </c>
      <c r="AT99" s="67">
        <v>0</v>
      </c>
      <c r="AU99" s="67">
        <f t="shared" si="5"/>
        <v>20</v>
      </c>
    </row>
    <row r="100" spans="1:47">
      <c r="A100" s="8">
        <v>213</v>
      </c>
      <c r="B100" s="8" t="s">
        <v>62</v>
      </c>
      <c r="C100" s="8" t="s">
        <v>42</v>
      </c>
      <c r="D100" s="8" t="s">
        <v>42</v>
      </c>
      <c r="E100" s="8">
        <v>213</v>
      </c>
      <c r="F100" s="24"/>
      <c r="G100" s="5">
        <v>1</v>
      </c>
      <c r="H100" s="5">
        <v>1</v>
      </c>
      <c r="I100" s="5">
        <v>1</v>
      </c>
      <c r="J100" s="5"/>
      <c r="K100" s="5"/>
      <c r="L100" s="5"/>
      <c r="M100" s="25"/>
      <c r="N100" s="24"/>
      <c r="O100" s="5"/>
      <c r="P100" s="5"/>
      <c r="Q100" s="5"/>
      <c r="R100" s="5"/>
      <c r="S100" s="5">
        <v>1</v>
      </c>
      <c r="T100" s="5">
        <v>1</v>
      </c>
      <c r="U100" s="25"/>
      <c r="V100" s="5"/>
      <c r="W100" s="5"/>
      <c r="X100" s="5"/>
      <c r="Y100" s="5"/>
      <c r="Z100" s="5"/>
      <c r="AA100" s="5"/>
      <c r="AB100" s="5"/>
      <c r="AC100" s="5"/>
      <c r="AD100" s="24"/>
      <c r="AE100" s="5"/>
      <c r="AF100" s="5"/>
      <c r="AG100" s="5"/>
      <c r="AH100" s="5"/>
      <c r="AI100" s="5">
        <v>1</v>
      </c>
      <c r="AJ100" s="5"/>
      <c r="AK100" s="25">
        <v>1</v>
      </c>
      <c r="AL100" s="5">
        <v>213</v>
      </c>
      <c r="AM100" s="8"/>
      <c r="AN100" s="8">
        <v>1</v>
      </c>
      <c r="AP100" s="67">
        <f t="shared" si="3"/>
        <v>7</v>
      </c>
      <c r="AQ100" s="76">
        <f t="shared" si="4"/>
        <v>0.21875</v>
      </c>
      <c r="AR100" s="85">
        <v>30</v>
      </c>
      <c r="AS100">
        <v>2</v>
      </c>
      <c r="AT100" s="67">
        <v>0</v>
      </c>
      <c r="AU100" s="67">
        <f t="shared" si="5"/>
        <v>32</v>
      </c>
    </row>
    <row r="101" spans="1:47">
      <c r="A101" s="8">
        <v>214</v>
      </c>
      <c r="B101" s="8" t="s">
        <v>63</v>
      </c>
      <c r="C101" s="8" t="s">
        <v>346</v>
      </c>
      <c r="D101" s="8"/>
      <c r="E101" s="8">
        <v>214</v>
      </c>
      <c r="F101" s="24"/>
      <c r="G101" s="5"/>
      <c r="H101" s="5"/>
      <c r="I101" s="5"/>
      <c r="J101" s="5"/>
      <c r="K101" s="5"/>
      <c r="L101" s="5"/>
      <c r="M101" s="25"/>
      <c r="N101" s="24"/>
      <c r="O101" s="5"/>
      <c r="P101" s="5"/>
      <c r="Q101" s="5"/>
      <c r="R101" s="5"/>
      <c r="S101" s="5"/>
      <c r="T101" s="5"/>
      <c r="U101" s="25"/>
      <c r="V101" s="5"/>
      <c r="W101" s="5"/>
      <c r="X101" s="5"/>
      <c r="Y101" s="5"/>
      <c r="Z101" s="5"/>
      <c r="AA101" s="5"/>
      <c r="AB101" s="5"/>
      <c r="AC101" s="5"/>
      <c r="AD101" s="24"/>
      <c r="AE101" s="5"/>
      <c r="AF101" s="5"/>
      <c r="AG101" s="5"/>
      <c r="AH101" s="5"/>
      <c r="AI101" s="5"/>
      <c r="AJ101" s="5"/>
      <c r="AK101" s="25"/>
      <c r="AL101" s="5">
        <v>214</v>
      </c>
      <c r="AM101" s="8">
        <v>1</v>
      </c>
      <c r="AN101" s="8"/>
      <c r="AP101" s="67">
        <f t="shared" si="3"/>
        <v>0</v>
      </c>
      <c r="AQ101" s="76">
        <f t="shared" si="4"/>
        <v>0</v>
      </c>
      <c r="AR101" s="85">
        <v>10</v>
      </c>
      <c r="AT101" s="67">
        <v>2</v>
      </c>
      <c r="AU101" s="67">
        <f t="shared" si="5"/>
        <v>12</v>
      </c>
    </row>
    <row r="102" spans="1:47">
      <c r="A102" s="8">
        <v>216</v>
      </c>
      <c r="B102" s="81" t="s">
        <v>71</v>
      </c>
      <c r="C102" s="8" t="s">
        <v>366</v>
      </c>
      <c r="D102" s="81" t="s">
        <v>42</v>
      </c>
      <c r="E102" s="8">
        <v>216</v>
      </c>
      <c r="F102" s="24"/>
      <c r="G102" s="5"/>
      <c r="H102" s="5"/>
      <c r="I102" s="5"/>
      <c r="J102" s="5"/>
      <c r="K102" s="5"/>
      <c r="L102" s="5">
        <v>1</v>
      </c>
      <c r="M102" s="25"/>
      <c r="N102" s="24"/>
      <c r="O102" s="5"/>
      <c r="P102" s="5"/>
      <c r="Q102" s="5"/>
      <c r="R102" s="5"/>
      <c r="S102" s="5"/>
      <c r="T102" s="5"/>
      <c r="U102" s="25"/>
      <c r="V102" s="5"/>
      <c r="W102" s="5"/>
      <c r="X102" s="5"/>
      <c r="Y102" s="5"/>
      <c r="Z102" s="5"/>
      <c r="AA102" s="5"/>
      <c r="AB102" s="5"/>
      <c r="AC102" s="5">
        <v>1</v>
      </c>
      <c r="AD102" s="24">
        <v>1</v>
      </c>
      <c r="AE102" s="5"/>
      <c r="AF102" s="5"/>
      <c r="AG102" s="5"/>
      <c r="AH102" s="5">
        <v>1</v>
      </c>
      <c r="AI102" s="5"/>
      <c r="AJ102" s="5"/>
      <c r="AK102" s="25"/>
      <c r="AL102" s="5">
        <v>216</v>
      </c>
      <c r="AM102" s="8"/>
      <c r="AN102" s="8">
        <v>1</v>
      </c>
      <c r="AP102" s="67">
        <f t="shared" si="3"/>
        <v>4</v>
      </c>
      <c r="AQ102" s="76">
        <f t="shared" si="4"/>
        <v>0.13333333333333333</v>
      </c>
      <c r="AR102" s="85">
        <v>24</v>
      </c>
      <c r="AS102">
        <v>5</v>
      </c>
      <c r="AT102" s="67">
        <v>1</v>
      </c>
      <c r="AU102" s="67">
        <f t="shared" si="5"/>
        <v>30</v>
      </c>
    </row>
    <row r="103" spans="1:47">
      <c r="A103" s="8">
        <v>219</v>
      </c>
      <c r="B103" s="81" t="s">
        <v>106</v>
      </c>
      <c r="C103" s="8" t="s">
        <v>349</v>
      </c>
      <c r="D103" s="81" t="s">
        <v>6</v>
      </c>
      <c r="E103" s="8">
        <v>219</v>
      </c>
      <c r="F103" s="24"/>
      <c r="G103" s="5"/>
      <c r="H103" s="5"/>
      <c r="I103" s="5"/>
      <c r="J103" s="5"/>
      <c r="K103" s="5"/>
      <c r="L103" s="5"/>
      <c r="M103" s="25"/>
      <c r="N103" s="24"/>
      <c r="O103" s="5"/>
      <c r="P103" s="5">
        <v>1</v>
      </c>
      <c r="Q103" s="5"/>
      <c r="R103" s="5"/>
      <c r="S103" s="5"/>
      <c r="T103" s="5"/>
      <c r="U103" s="25"/>
      <c r="V103" s="5"/>
      <c r="W103" s="5"/>
      <c r="X103" s="5"/>
      <c r="Y103" s="5"/>
      <c r="Z103" s="5"/>
      <c r="AA103" s="5"/>
      <c r="AB103" s="5"/>
      <c r="AC103" s="5"/>
      <c r="AD103" s="24"/>
      <c r="AE103" s="5"/>
      <c r="AF103" s="5"/>
      <c r="AG103" s="5"/>
      <c r="AH103" s="5"/>
      <c r="AI103" s="5"/>
      <c r="AJ103" s="5"/>
      <c r="AK103" s="25"/>
      <c r="AL103" s="5">
        <v>219</v>
      </c>
      <c r="AM103" s="8"/>
      <c r="AN103" s="8">
        <v>1</v>
      </c>
      <c r="AP103" s="67">
        <f t="shared" si="3"/>
        <v>1</v>
      </c>
      <c r="AQ103" s="76">
        <f t="shared" si="4"/>
        <v>3.5714285714285712E-2</v>
      </c>
      <c r="AR103" s="85">
        <v>2</v>
      </c>
      <c r="AS103">
        <v>25</v>
      </c>
      <c r="AT103" s="67">
        <v>1</v>
      </c>
      <c r="AU103" s="67">
        <f t="shared" si="5"/>
        <v>28</v>
      </c>
    </row>
    <row r="104" spans="1:47">
      <c r="A104" s="8">
        <v>220</v>
      </c>
      <c r="B104" s="81" t="s">
        <v>71</v>
      </c>
      <c r="C104" s="8" t="s">
        <v>366</v>
      </c>
      <c r="D104" s="81" t="s">
        <v>6</v>
      </c>
      <c r="E104" s="8">
        <v>220</v>
      </c>
      <c r="F104" s="24">
        <v>1</v>
      </c>
      <c r="G104" s="5"/>
      <c r="H104" s="5">
        <v>1</v>
      </c>
      <c r="I104" s="5">
        <v>1</v>
      </c>
      <c r="J104" s="5"/>
      <c r="K104" s="5"/>
      <c r="L104" s="5"/>
      <c r="M104" s="25"/>
      <c r="N104" s="24"/>
      <c r="O104" s="5"/>
      <c r="P104" s="5"/>
      <c r="Q104" s="5"/>
      <c r="R104" s="5"/>
      <c r="S104" s="5"/>
      <c r="T104" s="5"/>
      <c r="U104" s="25"/>
      <c r="V104" s="5">
        <v>1</v>
      </c>
      <c r="W104" s="5">
        <v>1</v>
      </c>
      <c r="X104" s="5">
        <v>1</v>
      </c>
      <c r="Y104" s="5"/>
      <c r="Z104" s="5"/>
      <c r="AA104" s="5"/>
      <c r="AB104" s="5"/>
      <c r="AC104" s="5"/>
      <c r="AD104" s="24"/>
      <c r="AE104" s="5"/>
      <c r="AF104" s="5"/>
      <c r="AG104" s="5"/>
      <c r="AH104" s="5"/>
      <c r="AI104" s="5"/>
      <c r="AJ104" s="5"/>
      <c r="AK104" s="25"/>
      <c r="AL104" s="5">
        <v>220</v>
      </c>
      <c r="AM104" s="8"/>
      <c r="AN104" s="8">
        <v>1</v>
      </c>
      <c r="AP104" s="67">
        <f t="shared" si="3"/>
        <v>6</v>
      </c>
      <c r="AQ104" s="76">
        <f t="shared" si="4"/>
        <v>0.19354838709677419</v>
      </c>
      <c r="AR104" s="85">
        <v>22</v>
      </c>
      <c r="AS104">
        <v>1</v>
      </c>
      <c r="AT104" s="67">
        <v>8</v>
      </c>
      <c r="AU104" s="67">
        <f t="shared" si="5"/>
        <v>31</v>
      </c>
    </row>
    <row r="105" spans="1:47">
      <c r="A105" s="8">
        <v>222</v>
      </c>
      <c r="B105" s="8" t="s">
        <v>131</v>
      </c>
      <c r="C105" s="8" t="s">
        <v>358</v>
      </c>
      <c r="D105" s="8"/>
      <c r="E105" s="8">
        <v>222</v>
      </c>
      <c r="F105" s="24"/>
      <c r="G105" s="5"/>
      <c r="H105" s="5"/>
      <c r="I105" s="5"/>
      <c r="J105" s="5"/>
      <c r="K105" s="5"/>
      <c r="L105" s="5"/>
      <c r="M105" s="25"/>
      <c r="N105" s="24"/>
      <c r="O105" s="5"/>
      <c r="P105" s="5"/>
      <c r="Q105" s="5"/>
      <c r="R105" s="5"/>
      <c r="S105" s="5"/>
      <c r="T105" s="5"/>
      <c r="U105" s="25"/>
      <c r="V105" s="5"/>
      <c r="W105" s="5"/>
      <c r="X105" s="5"/>
      <c r="Y105" s="5"/>
      <c r="Z105" s="5"/>
      <c r="AA105" s="5"/>
      <c r="AB105" s="5"/>
      <c r="AC105" s="5"/>
      <c r="AD105" s="24"/>
      <c r="AE105" s="5"/>
      <c r="AF105" s="5"/>
      <c r="AG105" s="5"/>
      <c r="AH105" s="5"/>
      <c r="AI105" s="5"/>
      <c r="AJ105" s="5"/>
      <c r="AK105" s="25"/>
      <c r="AL105" s="5">
        <v>222</v>
      </c>
      <c r="AM105" s="8">
        <v>1</v>
      </c>
      <c r="AN105" s="8"/>
      <c r="AP105" s="67">
        <f t="shared" si="3"/>
        <v>0</v>
      </c>
      <c r="AQ105" s="76">
        <f t="shared" si="4"/>
        <v>0</v>
      </c>
      <c r="AR105" s="85">
        <v>17</v>
      </c>
      <c r="AT105" s="67">
        <v>11</v>
      </c>
      <c r="AU105" s="67">
        <f t="shared" si="5"/>
        <v>28</v>
      </c>
    </row>
    <row r="106" spans="1:47">
      <c r="A106" s="8">
        <v>224</v>
      </c>
      <c r="B106" s="8" t="s">
        <v>68</v>
      </c>
      <c r="C106" s="8" t="s">
        <v>357</v>
      </c>
      <c r="D106" s="8"/>
      <c r="E106" s="8">
        <v>224</v>
      </c>
      <c r="F106" s="24"/>
      <c r="G106" s="5"/>
      <c r="H106" s="5"/>
      <c r="I106" s="5"/>
      <c r="J106" s="5"/>
      <c r="K106" s="5"/>
      <c r="L106" s="5"/>
      <c r="M106" s="25"/>
      <c r="N106" s="24"/>
      <c r="O106" s="5"/>
      <c r="P106" s="5"/>
      <c r="Q106" s="5"/>
      <c r="R106" s="5"/>
      <c r="S106" s="5"/>
      <c r="T106" s="5"/>
      <c r="U106" s="25"/>
      <c r="V106" s="5"/>
      <c r="W106" s="5"/>
      <c r="X106" s="5"/>
      <c r="Y106" s="5"/>
      <c r="Z106" s="5"/>
      <c r="AA106" s="5"/>
      <c r="AB106" s="5"/>
      <c r="AC106" s="5"/>
      <c r="AD106" s="24"/>
      <c r="AE106" s="5"/>
      <c r="AF106" s="5"/>
      <c r="AG106" s="5"/>
      <c r="AH106" s="5"/>
      <c r="AI106" s="5"/>
      <c r="AJ106" s="5"/>
      <c r="AK106" s="25"/>
      <c r="AL106" s="5">
        <v>224</v>
      </c>
      <c r="AM106" s="8">
        <v>1</v>
      </c>
      <c r="AN106" s="8"/>
      <c r="AP106" s="67">
        <f t="shared" si="3"/>
        <v>0</v>
      </c>
      <c r="AQ106" s="76">
        <f t="shared" si="4"/>
        <v>0</v>
      </c>
      <c r="AR106" s="85">
        <v>24</v>
      </c>
      <c r="AT106" s="67">
        <v>0</v>
      </c>
      <c r="AU106" s="67">
        <f t="shared" si="5"/>
        <v>24</v>
      </c>
    </row>
    <row r="107" spans="1:47">
      <c r="A107" s="8">
        <v>227</v>
      </c>
      <c r="B107" s="8" t="s">
        <v>123</v>
      </c>
      <c r="C107" s="8" t="s">
        <v>366</v>
      </c>
      <c r="D107" s="8" t="s">
        <v>6</v>
      </c>
      <c r="E107" s="8">
        <v>227</v>
      </c>
      <c r="F107" s="24"/>
      <c r="G107" s="5"/>
      <c r="H107" s="5"/>
      <c r="I107" s="5">
        <v>1</v>
      </c>
      <c r="J107" s="5"/>
      <c r="K107" s="5"/>
      <c r="L107" s="5"/>
      <c r="M107" s="25"/>
      <c r="N107" s="24">
        <v>1</v>
      </c>
      <c r="O107" s="5"/>
      <c r="P107" s="5"/>
      <c r="Q107" s="5"/>
      <c r="R107" s="5">
        <v>1</v>
      </c>
      <c r="S107" s="5"/>
      <c r="T107" s="5"/>
      <c r="U107" s="25"/>
      <c r="V107" s="5"/>
      <c r="W107" s="5"/>
      <c r="X107" s="5"/>
      <c r="Y107" s="5"/>
      <c r="Z107" s="5"/>
      <c r="AA107" s="5"/>
      <c r="AB107" s="5"/>
      <c r="AC107" s="5"/>
      <c r="AD107" s="24"/>
      <c r="AE107" s="5"/>
      <c r="AF107" s="5"/>
      <c r="AG107" s="5"/>
      <c r="AH107" s="5"/>
      <c r="AI107" s="5"/>
      <c r="AJ107" s="5"/>
      <c r="AK107" s="25"/>
      <c r="AL107" s="5">
        <v>227</v>
      </c>
      <c r="AM107" s="8"/>
      <c r="AN107" s="8">
        <v>1</v>
      </c>
      <c r="AP107" s="67">
        <f t="shared" si="3"/>
        <v>3</v>
      </c>
      <c r="AQ107" s="76">
        <f t="shared" si="4"/>
        <v>0.10714285714285714</v>
      </c>
      <c r="AR107" s="85">
        <v>20</v>
      </c>
      <c r="AS107">
        <v>4</v>
      </c>
      <c r="AT107" s="67">
        <v>4</v>
      </c>
      <c r="AU107" s="67">
        <f t="shared" si="5"/>
        <v>28</v>
      </c>
    </row>
    <row r="108" spans="1:47">
      <c r="A108" s="8">
        <v>228</v>
      </c>
      <c r="B108" s="8" t="s">
        <v>74</v>
      </c>
      <c r="C108" s="8" t="s">
        <v>346</v>
      </c>
      <c r="D108" s="8"/>
      <c r="E108" s="8">
        <v>228</v>
      </c>
      <c r="F108" s="24"/>
      <c r="G108" s="5"/>
      <c r="H108" s="5"/>
      <c r="I108" s="5"/>
      <c r="J108" s="5"/>
      <c r="K108" s="5"/>
      <c r="L108" s="5"/>
      <c r="M108" s="25"/>
      <c r="N108" s="24"/>
      <c r="O108" s="5"/>
      <c r="P108" s="5"/>
      <c r="Q108" s="5"/>
      <c r="R108" s="5"/>
      <c r="S108" s="5"/>
      <c r="T108" s="5"/>
      <c r="U108" s="25"/>
      <c r="V108" s="5"/>
      <c r="W108" s="5"/>
      <c r="X108" s="5"/>
      <c r="Y108" s="5"/>
      <c r="Z108" s="5"/>
      <c r="AA108" s="5"/>
      <c r="AB108" s="5"/>
      <c r="AC108" s="5"/>
      <c r="AD108" s="24"/>
      <c r="AE108" s="5"/>
      <c r="AF108" s="5"/>
      <c r="AG108" s="5"/>
      <c r="AH108" s="5"/>
      <c r="AI108" s="5"/>
      <c r="AJ108" s="5"/>
      <c r="AK108" s="25"/>
      <c r="AL108" s="5">
        <v>228</v>
      </c>
      <c r="AM108" s="8">
        <v>1</v>
      </c>
      <c r="AN108" s="8"/>
      <c r="AP108" s="67">
        <f t="shared" si="3"/>
        <v>0</v>
      </c>
      <c r="AQ108" s="76">
        <f t="shared" si="4"/>
        <v>0</v>
      </c>
      <c r="AR108" s="85">
        <v>20</v>
      </c>
      <c r="AT108" s="67">
        <v>0</v>
      </c>
      <c r="AU108" s="67">
        <f t="shared" si="5"/>
        <v>20</v>
      </c>
    </row>
    <row r="109" spans="1:47">
      <c r="A109" s="8">
        <v>229</v>
      </c>
      <c r="B109" s="8" t="s">
        <v>74</v>
      </c>
      <c r="C109" s="8" t="s">
        <v>346</v>
      </c>
      <c r="D109" s="8"/>
      <c r="E109" s="8">
        <v>229</v>
      </c>
      <c r="F109" s="24"/>
      <c r="G109" s="5"/>
      <c r="H109" s="5"/>
      <c r="I109" s="5"/>
      <c r="J109" s="5"/>
      <c r="K109" s="5"/>
      <c r="L109" s="5"/>
      <c r="M109" s="25"/>
      <c r="N109" s="24"/>
      <c r="O109" s="5"/>
      <c r="P109" s="5"/>
      <c r="Q109" s="5"/>
      <c r="R109" s="5"/>
      <c r="S109" s="5"/>
      <c r="T109" s="5"/>
      <c r="U109" s="25"/>
      <c r="V109" s="5"/>
      <c r="W109" s="5"/>
      <c r="X109" s="5"/>
      <c r="Y109" s="5"/>
      <c r="Z109" s="5"/>
      <c r="AA109" s="5"/>
      <c r="AB109" s="5"/>
      <c r="AC109" s="5"/>
      <c r="AD109" s="24"/>
      <c r="AE109" s="5"/>
      <c r="AF109" s="5"/>
      <c r="AG109" s="5"/>
      <c r="AH109" s="5"/>
      <c r="AI109" s="5"/>
      <c r="AJ109" s="5"/>
      <c r="AK109" s="25"/>
      <c r="AL109" s="5">
        <v>229</v>
      </c>
      <c r="AM109" s="8">
        <v>1</v>
      </c>
      <c r="AN109" s="8"/>
      <c r="AP109" s="67">
        <f t="shared" si="3"/>
        <v>0</v>
      </c>
      <c r="AQ109" s="76">
        <f t="shared" si="4"/>
        <v>0</v>
      </c>
      <c r="AR109" s="85">
        <v>14</v>
      </c>
      <c r="AT109" s="67">
        <v>6</v>
      </c>
      <c r="AU109" s="67">
        <f t="shared" si="5"/>
        <v>20</v>
      </c>
    </row>
    <row r="110" spans="1:47">
      <c r="A110" s="8">
        <v>234</v>
      </c>
      <c r="B110" s="8" t="s">
        <v>44</v>
      </c>
      <c r="C110" s="8" t="s">
        <v>349</v>
      </c>
      <c r="D110" s="8" t="s">
        <v>42</v>
      </c>
      <c r="E110" s="8">
        <v>234</v>
      </c>
      <c r="F110" s="24"/>
      <c r="G110" s="5"/>
      <c r="H110" s="5"/>
      <c r="I110" s="5"/>
      <c r="J110" s="5"/>
      <c r="K110" s="5"/>
      <c r="L110" s="5">
        <v>1</v>
      </c>
      <c r="M110" s="25">
        <v>1</v>
      </c>
      <c r="N110" s="24">
        <v>1</v>
      </c>
      <c r="O110" s="5">
        <v>1</v>
      </c>
      <c r="P110" s="5">
        <v>1</v>
      </c>
      <c r="Q110" s="5"/>
      <c r="R110" s="5"/>
      <c r="S110" s="5"/>
      <c r="T110" s="5"/>
      <c r="U110" s="25"/>
      <c r="V110" s="5"/>
      <c r="W110" s="5"/>
      <c r="X110" s="5"/>
      <c r="Y110" s="5"/>
      <c r="Z110" s="5"/>
      <c r="AA110" s="5"/>
      <c r="AB110" s="5"/>
      <c r="AC110" s="5"/>
      <c r="AD110" s="24"/>
      <c r="AE110" s="5"/>
      <c r="AF110" s="5"/>
      <c r="AG110" s="5">
        <v>1</v>
      </c>
      <c r="AH110" s="5">
        <v>1</v>
      </c>
      <c r="AI110" s="5"/>
      <c r="AJ110" s="5"/>
      <c r="AK110" s="25"/>
      <c r="AL110" s="5">
        <v>234</v>
      </c>
      <c r="AM110" s="8"/>
      <c r="AN110" s="8">
        <v>1</v>
      </c>
      <c r="AP110" s="67">
        <f t="shared" si="3"/>
        <v>7</v>
      </c>
      <c r="AQ110" s="76">
        <f t="shared" si="4"/>
        <v>0.25</v>
      </c>
      <c r="AR110" s="85">
        <v>11</v>
      </c>
      <c r="AS110">
        <v>17</v>
      </c>
      <c r="AT110" s="67">
        <v>0</v>
      </c>
      <c r="AU110" s="67">
        <f t="shared" si="5"/>
        <v>28</v>
      </c>
    </row>
    <row r="111" spans="1:47">
      <c r="A111" s="8">
        <v>237</v>
      </c>
      <c r="B111" s="8" t="s">
        <v>63</v>
      </c>
      <c r="C111" s="8" t="s">
        <v>346</v>
      </c>
      <c r="D111" s="8"/>
      <c r="E111" s="8">
        <v>237</v>
      </c>
      <c r="F111" s="24"/>
      <c r="G111" s="5"/>
      <c r="H111" s="5"/>
      <c r="I111" s="5"/>
      <c r="J111" s="5"/>
      <c r="K111" s="5"/>
      <c r="L111" s="5"/>
      <c r="M111" s="25"/>
      <c r="N111" s="24"/>
      <c r="O111" s="5"/>
      <c r="P111" s="5"/>
      <c r="Q111" s="5"/>
      <c r="R111" s="5"/>
      <c r="S111" s="5"/>
      <c r="T111" s="5"/>
      <c r="U111" s="25"/>
      <c r="V111" s="5"/>
      <c r="W111" s="5"/>
      <c r="X111" s="5"/>
      <c r="Y111" s="5"/>
      <c r="Z111" s="5"/>
      <c r="AA111" s="5"/>
      <c r="AB111" s="5"/>
      <c r="AC111" s="5"/>
      <c r="AD111" s="24"/>
      <c r="AE111" s="5"/>
      <c r="AF111" s="5"/>
      <c r="AG111" s="5"/>
      <c r="AH111" s="5"/>
      <c r="AI111" s="5"/>
      <c r="AJ111" s="5"/>
      <c r="AK111" s="25"/>
      <c r="AL111" s="5">
        <v>237</v>
      </c>
      <c r="AM111" s="8">
        <v>1</v>
      </c>
      <c r="AN111" s="8"/>
      <c r="AP111" s="67">
        <f t="shared" si="3"/>
        <v>0</v>
      </c>
      <c r="AQ111" s="76">
        <f t="shared" si="4"/>
        <v>0</v>
      </c>
      <c r="AR111" s="85">
        <v>5</v>
      </c>
      <c r="AT111" s="67">
        <v>0</v>
      </c>
      <c r="AU111" s="67">
        <f t="shared" si="5"/>
        <v>5</v>
      </c>
    </row>
    <row r="112" spans="1:47">
      <c r="A112" s="8">
        <v>241</v>
      </c>
      <c r="B112" s="8" t="s">
        <v>78</v>
      </c>
      <c r="C112" s="8" t="s">
        <v>359</v>
      </c>
      <c r="D112" s="8"/>
      <c r="E112" s="8">
        <v>241</v>
      </c>
      <c r="F112" s="24"/>
      <c r="G112" s="5"/>
      <c r="H112" s="5"/>
      <c r="I112" s="5"/>
      <c r="J112" s="5"/>
      <c r="K112" s="5"/>
      <c r="L112" s="5"/>
      <c r="M112" s="25"/>
      <c r="N112" s="24"/>
      <c r="O112" s="5"/>
      <c r="P112" s="5"/>
      <c r="Q112" s="5"/>
      <c r="R112" s="5"/>
      <c r="S112" s="5"/>
      <c r="T112" s="5"/>
      <c r="U112" s="25"/>
      <c r="V112" s="5"/>
      <c r="W112" s="5"/>
      <c r="X112" s="5"/>
      <c r="Y112" s="5"/>
      <c r="Z112" s="5"/>
      <c r="AA112" s="5"/>
      <c r="AB112" s="5"/>
      <c r="AC112" s="5"/>
      <c r="AD112" s="24"/>
      <c r="AE112" s="5"/>
      <c r="AF112" s="5"/>
      <c r="AG112" s="5"/>
      <c r="AH112" s="5"/>
      <c r="AI112" s="5"/>
      <c r="AJ112" s="5"/>
      <c r="AK112" s="25"/>
      <c r="AL112" s="5">
        <v>241</v>
      </c>
      <c r="AM112" s="8">
        <v>1</v>
      </c>
      <c r="AN112" s="8"/>
      <c r="AP112" s="67">
        <f t="shared" si="3"/>
        <v>0</v>
      </c>
      <c r="AQ112" s="76">
        <f t="shared" si="4"/>
        <v>0</v>
      </c>
      <c r="AR112" s="85">
        <v>19</v>
      </c>
      <c r="AT112" s="67">
        <v>5</v>
      </c>
      <c r="AU112" s="67">
        <f t="shared" si="5"/>
        <v>24</v>
      </c>
    </row>
    <row r="113" spans="1:47">
      <c r="A113" s="8">
        <v>246</v>
      </c>
      <c r="B113" s="8" t="s">
        <v>59</v>
      </c>
      <c r="C113" s="8" t="s">
        <v>346</v>
      </c>
      <c r="D113" s="8"/>
      <c r="E113" s="8">
        <v>246</v>
      </c>
      <c r="F113" s="24"/>
      <c r="G113" s="5"/>
      <c r="H113" s="5"/>
      <c r="I113" s="5"/>
      <c r="J113" s="5"/>
      <c r="K113" s="5"/>
      <c r="L113" s="5"/>
      <c r="M113" s="25"/>
      <c r="N113" s="24"/>
      <c r="O113" s="5"/>
      <c r="P113" s="5"/>
      <c r="Q113" s="5"/>
      <c r="R113" s="5"/>
      <c r="S113" s="5"/>
      <c r="T113" s="5"/>
      <c r="U113" s="25"/>
      <c r="V113" s="5"/>
      <c r="W113" s="5"/>
      <c r="X113" s="5"/>
      <c r="Y113" s="5"/>
      <c r="Z113" s="5">
        <v>1</v>
      </c>
      <c r="AA113" s="5"/>
      <c r="AB113" s="5"/>
      <c r="AC113" s="5"/>
      <c r="AD113" s="24"/>
      <c r="AE113" s="5"/>
      <c r="AF113" s="5"/>
      <c r="AG113" s="5"/>
      <c r="AH113" s="5"/>
      <c r="AI113" s="5"/>
      <c r="AJ113" s="5"/>
      <c r="AK113" s="25"/>
      <c r="AL113" s="5">
        <v>246</v>
      </c>
      <c r="AM113" s="8"/>
      <c r="AN113" s="8">
        <v>1</v>
      </c>
      <c r="AP113" s="67">
        <f t="shared" si="3"/>
        <v>1</v>
      </c>
      <c r="AQ113" s="76">
        <f t="shared" si="4"/>
        <v>0.05</v>
      </c>
      <c r="AR113" s="85">
        <v>20</v>
      </c>
      <c r="AT113" s="67">
        <v>0</v>
      </c>
      <c r="AU113" s="67">
        <f t="shared" si="5"/>
        <v>20</v>
      </c>
    </row>
    <row r="114" spans="1:47">
      <c r="A114" s="8">
        <v>251</v>
      </c>
      <c r="B114" s="55" t="s">
        <v>161</v>
      </c>
      <c r="C114" s="8" t="s">
        <v>357</v>
      </c>
      <c r="D114" s="8"/>
      <c r="E114" s="8">
        <v>251</v>
      </c>
      <c r="F114" s="24"/>
      <c r="G114" s="5"/>
      <c r="H114" s="5"/>
      <c r="I114" s="5"/>
      <c r="J114" s="5"/>
      <c r="K114" s="5"/>
      <c r="L114" s="5"/>
      <c r="M114" s="25"/>
      <c r="N114" s="24"/>
      <c r="O114" s="5"/>
      <c r="P114" s="5"/>
      <c r="Q114" s="5"/>
      <c r="R114" s="5"/>
      <c r="S114" s="5"/>
      <c r="T114" s="5"/>
      <c r="U114" s="25"/>
      <c r="V114" s="5"/>
      <c r="W114" s="5"/>
      <c r="X114" s="5"/>
      <c r="Y114" s="5"/>
      <c r="Z114" s="5"/>
      <c r="AA114" s="5"/>
      <c r="AB114" s="5"/>
      <c r="AC114" s="5"/>
      <c r="AD114" s="24"/>
      <c r="AE114" s="5"/>
      <c r="AF114" s="5"/>
      <c r="AG114" s="5"/>
      <c r="AH114" s="5"/>
      <c r="AI114" s="5"/>
      <c r="AJ114" s="5"/>
      <c r="AK114" s="25"/>
      <c r="AL114" s="5">
        <v>251</v>
      </c>
      <c r="AM114" s="8">
        <v>1</v>
      </c>
      <c r="AN114" s="8"/>
      <c r="AP114" s="67">
        <f t="shared" si="3"/>
        <v>0</v>
      </c>
      <c r="AQ114" s="76">
        <f t="shared" si="4"/>
        <v>0</v>
      </c>
      <c r="AR114" s="85">
        <v>13</v>
      </c>
      <c r="AT114" s="67">
        <v>0</v>
      </c>
      <c r="AU114" s="67">
        <f t="shared" si="5"/>
        <v>13</v>
      </c>
    </row>
    <row r="115" spans="1:47">
      <c r="A115" s="8">
        <v>254</v>
      </c>
      <c r="B115" s="8" t="s">
        <v>162</v>
      </c>
      <c r="C115" s="8" t="s">
        <v>12</v>
      </c>
      <c r="D115" s="8" t="s">
        <v>42</v>
      </c>
      <c r="E115" s="8">
        <v>254</v>
      </c>
      <c r="F115" s="24"/>
      <c r="G115" s="5"/>
      <c r="H115" s="5"/>
      <c r="I115" s="5"/>
      <c r="J115" s="5"/>
      <c r="K115" s="5"/>
      <c r="L115" s="5"/>
      <c r="M115" s="25"/>
      <c r="N115" s="24"/>
      <c r="O115" s="5"/>
      <c r="P115" s="5"/>
      <c r="Q115" s="5"/>
      <c r="R115" s="5"/>
      <c r="S115" s="5"/>
      <c r="T115" s="5"/>
      <c r="U115" s="25"/>
      <c r="V115" s="5"/>
      <c r="W115" s="5"/>
      <c r="X115" s="5"/>
      <c r="Y115" s="5"/>
      <c r="Z115" s="5"/>
      <c r="AA115" s="5"/>
      <c r="AB115" s="5"/>
      <c r="AC115" s="5"/>
      <c r="AD115" s="24"/>
      <c r="AE115" s="5"/>
      <c r="AF115" s="5"/>
      <c r="AG115" s="5"/>
      <c r="AH115" s="5"/>
      <c r="AI115" s="5">
        <v>1</v>
      </c>
      <c r="AJ115" s="5"/>
      <c r="AK115" s="25"/>
      <c r="AL115" s="5">
        <v>254</v>
      </c>
      <c r="AM115" s="8"/>
      <c r="AN115" s="8">
        <v>1</v>
      </c>
      <c r="AP115" s="67">
        <f t="shared" si="3"/>
        <v>1</v>
      </c>
      <c r="AQ115" s="76">
        <f t="shared" si="4"/>
        <v>3.125E-2</v>
      </c>
      <c r="AR115" s="85">
        <v>32</v>
      </c>
      <c r="AT115" s="67">
        <v>0</v>
      </c>
      <c r="AU115" s="67">
        <f t="shared" si="5"/>
        <v>32</v>
      </c>
    </row>
    <row r="116" spans="1:47" s="8" customFormat="1">
      <c r="A116" s="8">
        <v>255</v>
      </c>
      <c r="B116" s="8" t="s">
        <v>59</v>
      </c>
      <c r="C116" s="8" t="s">
        <v>346</v>
      </c>
      <c r="E116" s="8">
        <v>255</v>
      </c>
      <c r="F116" s="24"/>
      <c r="G116" s="5"/>
      <c r="H116" s="5"/>
      <c r="I116" s="5"/>
      <c r="J116" s="5"/>
      <c r="K116" s="5"/>
      <c r="L116" s="5"/>
      <c r="M116" s="25"/>
      <c r="N116" s="24"/>
      <c r="O116" s="5"/>
      <c r="P116" s="5"/>
      <c r="Q116" s="5"/>
      <c r="R116" s="5"/>
      <c r="S116" s="5"/>
      <c r="T116" s="5"/>
      <c r="U116" s="25"/>
      <c r="V116" s="5"/>
      <c r="W116" s="5"/>
      <c r="X116" s="5"/>
      <c r="Y116" s="5"/>
      <c r="Z116" s="5"/>
      <c r="AA116" s="5"/>
      <c r="AB116" s="5"/>
      <c r="AC116" s="5"/>
      <c r="AD116" s="24"/>
      <c r="AE116" s="5"/>
      <c r="AF116" s="5"/>
      <c r="AG116" s="5"/>
      <c r="AH116" s="5"/>
      <c r="AI116" s="5"/>
      <c r="AJ116" s="5"/>
      <c r="AK116" s="25"/>
      <c r="AL116" s="5">
        <v>255</v>
      </c>
      <c r="AM116" s="8">
        <v>1</v>
      </c>
      <c r="AP116" s="67">
        <f t="shared" si="3"/>
        <v>0</v>
      </c>
      <c r="AQ116" s="76">
        <f t="shared" si="4"/>
        <v>0</v>
      </c>
      <c r="AR116" s="85">
        <v>1</v>
      </c>
      <c r="AT116" s="67">
        <v>0</v>
      </c>
      <c r="AU116" s="67">
        <f t="shared" si="5"/>
        <v>1</v>
      </c>
    </row>
    <row r="117" spans="1:47">
      <c r="A117" s="8">
        <v>256</v>
      </c>
      <c r="B117" s="8" t="s">
        <v>44</v>
      </c>
      <c r="C117" s="8" t="s">
        <v>349</v>
      </c>
      <c r="D117" s="8" t="s">
        <v>42</v>
      </c>
      <c r="E117" s="8">
        <v>256</v>
      </c>
      <c r="F117" s="24"/>
      <c r="G117" s="5"/>
      <c r="H117" s="5"/>
      <c r="I117" s="5"/>
      <c r="J117" s="5"/>
      <c r="K117" s="5"/>
      <c r="L117" s="5"/>
      <c r="M117" s="25"/>
      <c r="N117" s="24"/>
      <c r="O117" s="5"/>
      <c r="P117" s="5"/>
      <c r="Q117" s="5"/>
      <c r="R117" s="5"/>
      <c r="S117" s="5"/>
      <c r="T117" s="5"/>
      <c r="U117" s="25"/>
      <c r="V117" s="5"/>
      <c r="W117" s="5"/>
      <c r="X117" s="5"/>
      <c r="Y117" s="5"/>
      <c r="Z117" s="5"/>
      <c r="AA117" s="5"/>
      <c r="AB117" s="5"/>
      <c r="AC117" s="5">
        <v>1</v>
      </c>
      <c r="AD117" s="24"/>
      <c r="AE117" s="5"/>
      <c r="AF117" s="5"/>
      <c r="AG117" s="5"/>
      <c r="AH117" s="5"/>
      <c r="AI117" s="5"/>
      <c r="AJ117" s="5"/>
      <c r="AK117" s="25"/>
      <c r="AL117" s="5">
        <v>256</v>
      </c>
      <c r="AM117" s="8"/>
      <c r="AN117" s="8">
        <v>1</v>
      </c>
      <c r="AP117" s="67">
        <f t="shared" si="3"/>
        <v>1</v>
      </c>
      <c r="AQ117" s="76">
        <f t="shared" si="4"/>
        <v>7.1428571428571425E-2</v>
      </c>
      <c r="AR117" s="85">
        <v>8</v>
      </c>
      <c r="AS117">
        <v>4</v>
      </c>
      <c r="AT117" s="67">
        <v>2</v>
      </c>
      <c r="AU117" s="67">
        <f t="shared" si="5"/>
        <v>14</v>
      </c>
    </row>
    <row r="118" spans="1:47">
      <c r="A118" s="8">
        <v>257</v>
      </c>
      <c r="B118" s="8" t="s">
        <v>55</v>
      </c>
      <c r="C118" s="8" t="s">
        <v>346</v>
      </c>
      <c r="D118" s="8"/>
      <c r="E118" s="8">
        <v>257</v>
      </c>
      <c r="F118" s="24"/>
      <c r="G118" s="5"/>
      <c r="H118" s="5"/>
      <c r="I118" s="5"/>
      <c r="J118" s="5"/>
      <c r="K118" s="5"/>
      <c r="L118" s="5"/>
      <c r="M118" s="25"/>
      <c r="N118" s="24"/>
      <c r="O118" s="5"/>
      <c r="P118" s="5"/>
      <c r="Q118" s="5"/>
      <c r="R118" s="5"/>
      <c r="S118" s="5"/>
      <c r="T118" s="5"/>
      <c r="U118" s="25"/>
      <c r="V118" s="5"/>
      <c r="W118" s="5"/>
      <c r="X118" s="5"/>
      <c r="Y118" s="5"/>
      <c r="Z118" s="5"/>
      <c r="AA118" s="5"/>
      <c r="AB118" s="5"/>
      <c r="AC118" s="5"/>
      <c r="AD118" s="24"/>
      <c r="AE118" s="5"/>
      <c r="AF118" s="5"/>
      <c r="AG118" s="5"/>
      <c r="AH118" s="5"/>
      <c r="AI118" s="5"/>
      <c r="AJ118" s="5"/>
      <c r="AK118" s="25"/>
      <c r="AL118" s="5">
        <v>257</v>
      </c>
      <c r="AM118" s="8">
        <v>1</v>
      </c>
      <c r="AN118" s="8"/>
      <c r="AP118" s="67">
        <f t="shared" si="3"/>
        <v>0</v>
      </c>
      <c r="AQ118" s="76">
        <f t="shared" si="4"/>
        <v>0</v>
      </c>
      <c r="AR118" s="85">
        <v>16</v>
      </c>
      <c r="AT118" s="67">
        <v>4</v>
      </c>
      <c r="AU118" s="67">
        <f t="shared" si="5"/>
        <v>20</v>
      </c>
    </row>
    <row r="119" spans="1:47" s="67" customFormat="1">
      <c r="A119" s="8">
        <v>258</v>
      </c>
      <c r="B119" s="8" t="s">
        <v>74</v>
      </c>
      <c r="C119" s="8" t="s">
        <v>346</v>
      </c>
      <c r="D119" s="8"/>
      <c r="E119" s="8">
        <v>258</v>
      </c>
      <c r="F119" s="24"/>
      <c r="G119" s="5"/>
      <c r="H119" s="5"/>
      <c r="I119" s="5"/>
      <c r="J119" s="5"/>
      <c r="K119" s="5"/>
      <c r="L119" s="5"/>
      <c r="M119" s="25"/>
      <c r="N119" s="24"/>
      <c r="O119" s="5"/>
      <c r="P119" s="5"/>
      <c r="Q119" s="5"/>
      <c r="R119" s="5"/>
      <c r="S119" s="5"/>
      <c r="T119" s="5"/>
      <c r="U119" s="25"/>
      <c r="V119" s="5"/>
      <c r="W119" s="5"/>
      <c r="X119" s="5"/>
      <c r="Y119" s="5"/>
      <c r="Z119" s="5"/>
      <c r="AA119" s="5"/>
      <c r="AB119" s="5"/>
      <c r="AC119" s="5"/>
      <c r="AD119" s="24"/>
      <c r="AE119" s="5"/>
      <c r="AF119" s="5"/>
      <c r="AG119" s="5"/>
      <c r="AH119" s="5"/>
      <c r="AI119" s="5"/>
      <c r="AJ119" s="5"/>
      <c r="AK119" s="25"/>
      <c r="AL119" s="8">
        <v>258</v>
      </c>
      <c r="AM119" s="8">
        <v>1</v>
      </c>
      <c r="AN119" s="8"/>
      <c r="AP119" s="67">
        <f t="shared" si="3"/>
        <v>0</v>
      </c>
      <c r="AQ119" s="76">
        <f t="shared" si="4"/>
        <v>0</v>
      </c>
      <c r="AR119" s="85">
        <v>5</v>
      </c>
      <c r="AT119" s="67">
        <v>3</v>
      </c>
      <c r="AU119" s="67">
        <f t="shared" si="5"/>
        <v>8</v>
      </c>
    </row>
    <row r="120" spans="1:47">
      <c r="A120" s="8">
        <v>263</v>
      </c>
      <c r="B120" s="8" t="s">
        <v>5</v>
      </c>
      <c r="C120" s="8" t="s">
        <v>42</v>
      </c>
      <c r="D120" s="8" t="s">
        <v>6</v>
      </c>
      <c r="E120" s="8">
        <v>263</v>
      </c>
      <c r="F120" s="24"/>
      <c r="G120" s="5"/>
      <c r="H120" s="5"/>
      <c r="I120" s="5"/>
      <c r="J120" s="5"/>
      <c r="K120" s="5"/>
      <c r="L120" s="5"/>
      <c r="M120" s="25"/>
      <c r="N120" s="24"/>
      <c r="O120" s="5"/>
      <c r="P120" s="5"/>
      <c r="Q120" s="5"/>
      <c r="R120" s="5"/>
      <c r="S120" s="5"/>
      <c r="T120" s="5"/>
      <c r="U120" s="25"/>
      <c r="V120" s="5"/>
      <c r="W120" s="5"/>
      <c r="X120" s="5"/>
      <c r="Y120" s="5"/>
      <c r="Z120" s="5"/>
      <c r="AA120" s="5"/>
      <c r="AB120" s="5"/>
      <c r="AC120" s="5"/>
      <c r="AD120" s="24"/>
      <c r="AE120" s="5"/>
      <c r="AF120" s="5"/>
      <c r="AG120" s="5"/>
      <c r="AH120" s="5"/>
      <c r="AI120" s="5"/>
      <c r="AJ120" s="5"/>
      <c r="AK120" s="25"/>
      <c r="AL120" s="5">
        <v>263</v>
      </c>
      <c r="AM120" s="8">
        <v>1</v>
      </c>
      <c r="AN120" s="8"/>
      <c r="AP120" s="67">
        <f t="shared" si="3"/>
        <v>0</v>
      </c>
      <c r="AQ120" s="76">
        <f t="shared" si="4"/>
        <v>0</v>
      </c>
      <c r="AR120" s="85">
        <v>32</v>
      </c>
      <c r="AT120" s="67">
        <v>0</v>
      </c>
      <c r="AU120" s="67">
        <f t="shared" si="5"/>
        <v>32</v>
      </c>
    </row>
    <row r="121" spans="1:47">
      <c r="A121" s="8">
        <v>266</v>
      </c>
      <c r="B121" s="8" t="s">
        <v>197</v>
      </c>
      <c r="C121" s="8" t="s">
        <v>357</v>
      </c>
      <c r="D121" s="8"/>
      <c r="E121" s="8">
        <v>266</v>
      </c>
      <c r="F121" s="24"/>
      <c r="G121" s="5"/>
      <c r="H121" s="5"/>
      <c r="I121" s="5"/>
      <c r="J121" s="5"/>
      <c r="K121" s="5"/>
      <c r="L121" s="5"/>
      <c r="M121" s="25"/>
      <c r="N121" s="24"/>
      <c r="O121" s="5"/>
      <c r="P121" s="5"/>
      <c r="Q121" s="5"/>
      <c r="R121" s="5"/>
      <c r="S121" s="5"/>
      <c r="T121" s="5"/>
      <c r="U121" s="25"/>
      <c r="V121" s="5"/>
      <c r="W121" s="5">
        <v>1</v>
      </c>
      <c r="X121" s="5"/>
      <c r="Y121" s="5"/>
      <c r="Z121" s="5"/>
      <c r="AA121" s="5"/>
      <c r="AB121" s="5"/>
      <c r="AC121" s="5"/>
      <c r="AD121" s="24"/>
      <c r="AE121" s="5"/>
      <c r="AF121" s="5"/>
      <c r="AG121" s="5"/>
      <c r="AH121" s="5"/>
      <c r="AI121" s="5"/>
      <c r="AJ121" s="5"/>
      <c r="AK121" s="25"/>
      <c r="AL121" s="5">
        <v>266</v>
      </c>
      <c r="AM121" s="8"/>
      <c r="AN121" s="8">
        <v>1</v>
      </c>
      <c r="AP121" s="67">
        <f t="shared" si="3"/>
        <v>1</v>
      </c>
      <c r="AQ121" s="76">
        <f t="shared" si="4"/>
        <v>4.3478260869565216E-2</v>
      </c>
      <c r="AR121" s="85">
        <v>22</v>
      </c>
      <c r="AT121" s="67">
        <v>1</v>
      </c>
      <c r="AU121" s="67">
        <f t="shared" si="5"/>
        <v>23</v>
      </c>
    </row>
    <row r="122" spans="1:47">
      <c r="A122" s="8">
        <v>267</v>
      </c>
      <c r="B122" s="8" t="s">
        <v>73</v>
      </c>
      <c r="C122" s="8" t="s">
        <v>165</v>
      </c>
      <c r="D122" s="8" t="s">
        <v>6</v>
      </c>
      <c r="E122" s="8">
        <v>267</v>
      </c>
      <c r="F122" s="24"/>
      <c r="G122" s="5"/>
      <c r="H122" s="5"/>
      <c r="I122" s="5"/>
      <c r="J122" s="5"/>
      <c r="K122" s="5"/>
      <c r="L122" s="5"/>
      <c r="M122" s="25"/>
      <c r="N122" s="24"/>
      <c r="O122" s="5"/>
      <c r="P122" s="5"/>
      <c r="Q122" s="5"/>
      <c r="R122" s="5"/>
      <c r="S122" s="5"/>
      <c r="T122" s="5"/>
      <c r="U122" s="25"/>
      <c r="V122" s="5"/>
      <c r="W122" s="5"/>
      <c r="X122" s="5"/>
      <c r="Y122" s="5"/>
      <c r="Z122" s="5"/>
      <c r="AA122" s="5"/>
      <c r="AB122" s="5"/>
      <c r="AC122" s="5"/>
      <c r="AD122" s="24"/>
      <c r="AE122" s="5"/>
      <c r="AF122" s="5"/>
      <c r="AG122" s="5"/>
      <c r="AH122" s="5"/>
      <c r="AI122" s="5"/>
      <c r="AJ122" s="5"/>
      <c r="AK122" s="25"/>
      <c r="AL122" s="5">
        <v>267</v>
      </c>
      <c r="AM122" s="8">
        <v>1</v>
      </c>
      <c r="AN122" s="8"/>
      <c r="AP122" s="67">
        <f t="shared" si="3"/>
        <v>0</v>
      </c>
      <c r="AQ122" s="76">
        <f t="shared" si="4"/>
        <v>0</v>
      </c>
      <c r="AR122" s="85">
        <v>22</v>
      </c>
      <c r="AS122">
        <v>2</v>
      </c>
      <c r="AT122" s="67">
        <v>4</v>
      </c>
      <c r="AU122" s="67">
        <f t="shared" si="5"/>
        <v>28</v>
      </c>
    </row>
    <row r="123" spans="1:47">
      <c r="A123" s="8">
        <v>270</v>
      </c>
      <c r="B123" s="8" t="s">
        <v>197</v>
      </c>
      <c r="C123" s="8" t="s">
        <v>357</v>
      </c>
      <c r="D123" s="8"/>
      <c r="E123" s="8">
        <v>270</v>
      </c>
      <c r="F123" s="24"/>
      <c r="G123" s="5"/>
      <c r="H123" s="5"/>
      <c r="I123" s="5"/>
      <c r="J123" s="5"/>
      <c r="K123" s="5"/>
      <c r="L123" s="5"/>
      <c r="M123" s="25"/>
      <c r="N123" s="24"/>
      <c r="O123" s="5"/>
      <c r="P123" s="5"/>
      <c r="Q123" s="5"/>
      <c r="R123" s="5"/>
      <c r="S123" s="5"/>
      <c r="T123" s="5"/>
      <c r="U123" s="25"/>
      <c r="V123" s="5"/>
      <c r="W123" s="5"/>
      <c r="X123" s="5"/>
      <c r="Y123" s="5"/>
      <c r="Z123" s="5"/>
      <c r="AA123" s="5"/>
      <c r="AB123" s="5"/>
      <c r="AC123" s="5"/>
      <c r="AD123" s="24"/>
      <c r="AE123" s="5"/>
      <c r="AF123" s="5"/>
      <c r="AG123" s="5"/>
      <c r="AH123" s="5"/>
      <c r="AI123" s="5"/>
      <c r="AJ123" s="5"/>
      <c r="AK123" s="25"/>
      <c r="AL123" s="5">
        <v>270</v>
      </c>
      <c r="AM123" s="8">
        <v>1</v>
      </c>
      <c r="AN123" s="8"/>
      <c r="AP123" s="67">
        <f t="shared" si="3"/>
        <v>0</v>
      </c>
      <c r="AQ123" s="76">
        <f t="shared" si="4"/>
        <v>0</v>
      </c>
      <c r="AR123" s="85">
        <v>21</v>
      </c>
      <c r="AT123" s="67">
        <v>0</v>
      </c>
      <c r="AU123" s="67">
        <f t="shared" si="5"/>
        <v>21</v>
      </c>
    </row>
    <row r="124" spans="1:47">
      <c r="A124" s="8">
        <v>271</v>
      </c>
      <c r="B124" s="8" t="s">
        <v>62</v>
      </c>
      <c r="C124" s="8" t="s">
        <v>42</v>
      </c>
      <c r="D124" s="8" t="s">
        <v>6</v>
      </c>
      <c r="E124" s="8">
        <v>271</v>
      </c>
      <c r="F124" s="24"/>
      <c r="G124" s="5"/>
      <c r="H124" s="5"/>
      <c r="I124" s="5"/>
      <c r="J124" s="5"/>
      <c r="K124" s="5"/>
      <c r="L124" s="5"/>
      <c r="M124" s="25"/>
      <c r="N124" s="24"/>
      <c r="O124" s="5"/>
      <c r="P124" s="5"/>
      <c r="Q124" s="5"/>
      <c r="R124" s="5"/>
      <c r="S124" s="5"/>
      <c r="T124" s="5"/>
      <c r="U124" s="25"/>
      <c r="V124" s="5"/>
      <c r="W124" s="5"/>
      <c r="X124" s="5"/>
      <c r="Y124" s="5"/>
      <c r="Z124" s="5"/>
      <c r="AA124" s="5"/>
      <c r="AB124" s="5"/>
      <c r="AC124" s="5"/>
      <c r="AD124" s="24"/>
      <c r="AE124" s="5"/>
      <c r="AF124" s="5"/>
      <c r="AG124" s="5"/>
      <c r="AH124" s="5"/>
      <c r="AI124" s="5"/>
      <c r="AJ124" s="5"/>
      <c r="AK124" s="25"/>
      <c r="AL124" s="5">
        <v>271</v>
      </c>
      <c r="AM124" s="8">
        <v>1</v>
      </c>
      <c r="AN124" s="8"/>
      <c r="AP124" s="67">
        <f t="shared" si="3"/>
        <v>0</v>
      </c>
      <c r="AQ124" s="76">
        <f t="shared" si="4"/>
        <v>0</v>
      </c>
      <c r="AR124" s="85">
        <v>22</v>
      </c>
      <c r="AS124">
        <v>5</v>
      </c>
      <c r="AT124" s="67">
        <v>1</v>
      </c>
      <c r="AU124" s="67">
        <f t="shared" si="5"/>
        <v>28</v>
      </c>
    </row>
    <row r="125" spans="1:47">
      <c r="A125" s="8">
        <v>272</v>
      </c>
      <c r="B125" s="8" t="s">
        <v>41</v>
      </c>
      <c r="C125" s="8" t="s">
        <v>42</v>
      </c>
      <c r="D125" s="8" t="s">
        <v>6</v>
      </c>
      <c r="E125" s="8">
        <v>272</v>
      </c>
      <c r="F125" s="24"/>
      <c r="G125" s="5"/>
      <c r="H125" s="5"/>
      <c r="I125" s="5"/>
      <c r="J125" s="5"/>
      <c r="K125" s="5"/>
      <c r="L125" s="5"/>
      <c r="M125" s="25"/>
      <c r="N125" s="24"/>
      <c r="O125" s="5"/>
      <c r="P125" s="5"/>
      <c r="Q125" s="5"/>
      <c r="R125" s="5"/>
      <c r="S125" s="5"/>
      <c r="T125" s="5"/>
      <c r="U125" s="25"/>
      <c r="V125" s="5"/>
      <c r="W125" s="5"/>
      <c r="X125" s="5"/>
      <c r="Y125" s="5"/>
      <c r="Z125" s="5"/>
      <c r="AA125" s="5"/>
      <c r="AB125" s="5"/>
      <c r="AC125" s="5"/>
      <c r="AD125" s="24"/>
      <c r="AE125" s="5"/>
      <c r="AF125" s="5"/>
      <c r="AG125" s="5"/>
      <c r="AH125" s="5"/>
      <c r="AI125" s="5"/>
      <c r="AJ125" s="5"/>
      <c r="AK125" s="25"/>
      <c r="AL125" s="5">
        <v>272</v>
      </c>
      <c r="AM125" s="8">
        <v>1</v>
      </c>
      <c r="AN125" s="8"/>
      <c r="AP125" s="67">
        <f t="shared" si="3"/>
        <v>0</v>
      </c>
      <c r="AQ125" s="76">
        <f t="shared" si="4"/>
        <v>0</v>
      </c>
      <c r="AR125" s="85">
        <v>16</v>
      </c>
      <c r="AS125">
        <v>3</v>
      </c>
      <c r="AT125" s="67">
        <v>2</v>
      </c>
      <c r="AU125" s="67">
        <f t="shared" si="5"/>
        <v>21</v>
      </c>
    </row>
    <row r="126" spans="1:47">
      <c r="A126" s="8">
        <v>273</v>
      </c>
      <c r="B126" s="8" t="s">
        <v>5</v>
      </c>
      <c r="C126" s="8" t="s">
        <v>42</v>
      </c>
      <c r="D126" s="8" t="s">
        <v>42</v>
      </c>
      <c r="E126" s="8">
        <v>273</v>
      </c>
      <c r="F126" s="24">
        <v>1</v>
      </c>
      <c r="G126" s="5"/>
      <c r="H126" s="5"/>
      <c r="I126" s="5"/>
      <c r="J126" s="5">
        <v>1</v>
      </c>
      <c r="K126" s="5">
        <v>1</v>
      </c>
      <c r="L126" s="5"/>
      <c r="M126" s="25"/>
      <c r="N126" s="24"/>
      <c r="O126" s="5"/>
      <c r="P126" s="5"/>
      <c r="Q126" s="5"/>
      <c r="R126" s="5"/>
      <c r="S126" s="5"/>
      <c r="T126" s="5">
        <v>1</v>
      </c>
      <c r="U126" s="25">
        <v>1</v>
      </c>
      <c r="V126" s="5"/>
      <c r="W126" s="5"/>
      <c r="X126" s="5">
        <v>1</v>
      </c>
      <c r="Y126" s="5"/>
      <c r="Z126" s="5"/>
      <c r="AA126" s="5"/>
      <c r="AB126" s="5"/>
      <c r="AC126" s="5"/>
      <c r="AD126" s="24"/>
      <c r="AE126" s="5"/>
      <c r="AF126" s="5"/>
      <c r="AG126" s="5"/>
      <c r="AH126" s="5"/>
      <c r="AI126" s="5">
        <v>1</v>
      </c>
      <c r="AJ126" s="5"/>
      <c r="AK126" s="25"/>
      <c r="AL126" s="5">
        <v>273</v>
      </c>
      <c r="AM126" s="8"/>
      <c r="AN126" s="8">
        <v>1</v>
      </c>
      <c r="AP126" s="67">
        <f t="shared" si="3"/>
        <v>7</v>
      </c>
      <c r="AQ126" s="76">
        <f t="shared" si="4"/>
        <v>0.21875</v>
      </c>
      <c r="AR126" s="85">
        <v>28</v>
      </c>
      <c r="AS126">
        <v>2</v>
      </c>
      <c r="AT126" s="67">
        <v>2</v>
      </c>
      <c r="AU126" s="67">
        <f t="shared" si="5"/>
        <v>32</v>
      </c>
    </row>
    <row r="127" spans="1:47">
      <c r="A127" s="8">
        <v>280</v>
      </c>
      <c r="B127" s="8" t="s">
        <v>123</v>
      </c>
      <c r="C127" s="8" t="s">
        <v>366</v>
      </c>
      <c r="D127" s="8" t="s">
        <v>42</v>
      </c>
      <c r="E127" s="8">
        <v>280</v>
      </c>
      <c r="F127" s="24"/>
      <c r="G127" s="5">
        <v>1</v>
      </c>
      <c r="H127" s="5"/>
      <c r="I127" s="5"/>
      <c r="J127" s="5"/>
      <c r="K127" s="5"/>
      <c r="L127" s="5"/>
      <c r="M127" s="25"/>
      <c r="N127" s="24"/>
      <c r="O127" s="5"/>
      <c r="P127" s="5"/>
      <c r="Q127" s="5"/>
      <c r="R127" s="5"/>
      <c r="S127" s="5">
        <v>1</v>
      </c>
      <c r="T127" s="5">
        <v>1</v>
      </c>
      <c r="U127" s="25"/>
      <c r="V127" s="5"/>
      <c r="W127" s="5"/>
      <c r="X127" s="5"/>
      <c r="Y127" s="5"/>
      <c r="Z127" s="5"/>
      <c r="AA127" s="5"/>
      <c r="AB127" s="5"/>
      <c r="AC127" s="5"/>
      <c r="AD127" s="24"/>
      <c r="AE127" s="5"/>
      <c r="AF127" s="5"/>
      <c r="AG127" s="5"/>
      <c r="AH127" s="5"/>
      <c r="AI127" s="5"/>
      <c r="AJ127" s="5"/>
      <c r="AK127" s="25"/>
      <c r="AL127" s="5">
        <v>280</v>
      </c>
      <c r="AM127" s="8"/>
      <c r="AN127" s="8">
        <v>1</v>
      </c>
      <c r="AP127" s="67">
        <f t="shared" si="3"/>
        <v>3</v>
      </c>
      <c r="AQ127" s="76">
        <f t="shared" si="4"/>
        <v>9.375E-2</v>
      </c>
      <c r="AR127" s="85">
        <v>24</v>
      </c>
      <c r="AS127">
        <v>3</v>
      </c>
      <c r="AT127" s="67">
        <v>5</v>
      </c>
      <c r="AU127" s="67">
        <f t="shared" si="5"/>
        <v>32</v>
      </c>
    </row>
    <row r="128" spans="1:47">
      <c r="A128" s="8">
        <v>283</v>
      </c>
      <c r="B128" s="8" t="s">
        <v>74</v>
      </c>
      <c r="C128" s="8" t="s">
        <v>346</v>
      </c>
      <c r="D128" s="8"/>
      <c r="E128" s="8">
        <v>283</v>
      </c>
      <c r="F128" s="24"/>
      <c r="G128" s="5"/>
      <c r="H128" s="5"/>
      <c r="I128" s="5"/>
      <c r="J128" s="5"/>
      <c r="K128" s="5"/>
      <c r="L128" s="5"/>
      <c r="M128" s="25"/>
      <c r="N128" s="24"/>
      <c r="O128" s="5"/>
      <c r="P128" s="5"/>
      <c r="Q128" s="5"/>
      <c r="R128" s="5"/>
      <c r="S128" s="5"/>
      <c r="T128" s="5"/>
      <c r="U128" s="25"/>
      <c r="V128" s="5"/>
      <c r="W128" s="5"/>
      <c r="X128" s="5"/>
      <c r="Y128" s="5"/>
      <c r="Z128" s="5"/>
      <c r="AA128" s="5"/>
      <c r="AB128" s="5"/>
      <c r="AC128" s="5"/>
      <c r="AD128" s="24"/>
      <c r="AE128" s="5"/>
      <c r="AF128" s="5"/>
      <c r="AG128" s="5"/>
      <c r="AH128" s="5"/>
      <c r="AI128" s="5"/>
      <c r="AJ128" s="5"/>
      <c r="AK128" s="25"/>
      <c r="AL128" s="5">
        <v>283</v>
      </c>
      <c r="AM128" s="8">
        <v>1</v>
      </c>
      <c r="AN128" s="8"/>
      <c r="AP128" s="67">
        <f t="shared" si="3"/>
        <v>0</v>
      </c>
      <c r="AQ128" s="76">
        <f t="shared" si="4"/>
        <v>0</v>
      </c>
      <c r="AR128" s="85">
        <v>2</v>
      </c>
      <c r="AT128" s="67">
        <v>2</v>
      </c>
      <c r="AU128" s="67">
        <f t="shared" si="5"/>
        <v>4</v>
      </c>
    </row>
    <row r="129" spans="1:47">
      <c r="A129" s="8">
        <v>286</v>
      </c>
      <c r="B129" s="8" t="s">
        <v>63</v>
      </c>
      <c r="C129" s="8" t="s">
        <v>346</v>
      </c>
      <c r="D129" s="8"/>
      <c r="E129" s="8">
        <v>286</v>
      </c>
      <c r="F129" s="24"/>
      <c r="G129" s="5"/>
      <c r="H129" s="5"/>
      <c r="I129" s="5"/>
      <c r="J129" s="5"/>
      <c r="K129" s="5"/>
      <c r="L129" s="5"/>
      <c r="M129" s="25"/>
      <c r="N129" s="24"/>
      <c r="O129" s="5"/>
      <c r="P129" s="5"/>
      <c r="Q129" s="5"/>
      <c r="R129" s="5"/>
      <c r="S129" s="5"/>
      <c r="T129" s="5"/>
      <c r="U129" s="25"/>
      <c r="V129" s="5"/>
      <c r="W129" s="5"/>
      <c r="X129" s="5"/>
      <c r="Y129" s="5"/>
      <c r="Z129" s="5"/>
      <c r="AA129" s="5"/>
      <c r="AB129" s="5"/>
      <c r="AC129" s="5"/>
      <c r="AD129" s="24"/>
      <c r="AE129" s="5"/>
      <c r="AF129" s="5"/>
      <c r="AG129" s="5"/>
      <c r="AH129" s="5"/>
      <c r="AI129" s="5"/>
      <c r="AJ129" s="5"/>
      <c r="AK129" s="25"/>
      <c r="AL129" s="5">
        <v>286</v>
      </c>
      <c r="AM129" s="8">
        <v>1</v>
      </c>
      <c r="AN129" s="8"/>
      <c r="AP129" s="67">
        <f t="shared" si="3"/>
        <v>0</v>
      </c>
      <c r="AQ129" s="76">
        <f t="shared" si="4"/>
        <v>0</v>
      </c>
      <c r="AR129" s="85">
        <v>12</v>
      </c>
      <c r="AT129" s="67">
        <v>4</v>
      </c>
      <c r="AU129" s="67">
        <f t="shared" si="5"/>
        <v>16</v>
      </c>
    </row>
    <row r="130" spans="1:47">
      <c r="A130" s="8">
        <v>287</v>
      </c>
      <c r="B130" s="8" t="s">
        <v>71</v>
      </c>
      <c r="C130" s="8" t="s">
        <v>366</v>
      </c>
      <c r="D130" s="8" t="s">
        <v>42</v>
      </c>
      <c r="E130" s="8">
        <v>287</v>
      </c>
      <c r="F130" s="24"/>
      <c r="G130" s="5"/>
      <c r="H130" s="5"/>
      <c r="I130" s="5"/>
      <c r="J130" s="5"/>
      <c r="K130" s="5"/>
      <c r="L130" s="5"/>
      <c r="M130" s="25"/>
      <c r="N130" s="24"/>
      <c r="O130" s="5"/>
      <c r="P130" s="5"/>
      <c r="Q130" s="5"/>
      <c r="R130" s="5"/>
      <c r="S130" s="5"/>
      <c r="T130" s="5"/>
      <c r="U130" s="25"/>
      <c r="V130" s="5"/>
      <c r="W130" s="5"/>
      <c r="X130" s="5"/>
      <c r="Y130" s="5"/>
      <c r="Z130" s="5"/>
      <c r="AA130" s="5"/>
      <c r="AB130" s="5"/>
      <c r="AC130" s="5"/>
      <c r="AD130" s="24"/>
      <c r="AE130" s="5"/>
      <c r="AF130" s="5"/>
      <c r="AG130" s="5"/>
      <c r="AH130" s="5"/>
      <c r="AI130" s="5"/>
      <c r="AJ130" s="5"/>
      <c r="AK130" s="25"/>
      <c r="AL130" s="5">
        <v>287</v>
      </c>
      <c r="AM130" s="8">
        <v>1</v>
      </c>
      <c r="AN130" s="8"/>
      <c r="AP130" s="67">
        <f t="shared" si="3"/>
        <v>0</v>
      </c>
      <c r="AQ130" s="76">
        <f t="shared" si="4"/>
        <v>0</v>
      </c>
      <c r="AR130" s="85">
        <v>27</v>
      </c>
      <c r="AT130" s="67">
        <v>5</v>
      </c>
      <c r="AU130" s="67">
        <f t="shared" si="5"/>
        <v>32</v>
      </c>
    </row>
    <row r="131" spans="1:47">
      <c r="A131" s="8">
        <v>288</v>
      </c>
      <c r="B131" s="8" t="s">
        <v>71</v>
      </c>
      <c r="C131" s="8" t="s">
        <v>366</v>
      </c>
      <c r="D131" s="8" t="s">
        <v>42</v>
      </c>
      <c r="E131" s="8">
        <v>288</v>
      </c>
      <c r="F131" s="24"/>
      <c r="G131" s="5"/>
      <c r="H131" s="5"/>
      <c r="I131" s="5"/>
      <c r="J131" s="5">
        <v>1</v>
      </c>
      <c r="K131" s="5"/>
      <c r="L131" s="5"/>
      <c r="M131" s="25"/>
      <c r="N131" s="24"/>
      <c r="O131" s="5"/>
      <c r="P131" s="5"/>
      <c r="Q131" s="5"/>
      <c r="R131" s="5"/>
      <c r="S131" s="5"/>
      <c r="T131" s="5"/>
      <c r="U131" s="25"/>
      <c r="V131" s="5"/>
      <c r="W131" s="5"/>
      <c r="X131" s="5"/>
      <c r="Y131" s="5"/>
      <c r="Z131" s="5"/>
      <c r="AA131" s="5"/>
      <c r="AB131" s="5"/>
      <c r="AC131" s="5"/>
      <c r="AD131" s="24"/>
      <c r="AE131" s="5"/>
      <c r="AF131" s="5"/>
      <c r="AG131" s="5"/>
      <c r="AH131" s="5"/>
      <c r="AI131" s="5"/>
      <c r="AJ131" s="5"/>
      <c r="AK131" s="25"/>
      <c r="AL131" s="5">
        <v>288</v>
      </c>
      <c r="AM131" s="8"/>
      <c r="AN131" s="8">
        <v>1</v>
      </c>
      <c r="AP131" s="67">
        <f t="shared" si="3"/>
        <v>1</v>
      </c>
      <c r="AQ131" s="76">
        <f t="shared" si="4"/>
        <v>3.125E-2</v>
      </c>
      <c r="AR131" s="85">
        <v>32</v>
      </c>
      <c r="AT131" s="67">
        <v>0</v>
      </c>
      <c r="AU131" s="67">
        <f t="shared" si="5"/>
        <v>32</v>
      </c>
    </row>
    <row r="132" spans="1:47">
      <c r="A132" s="8">
        <v>291</v>
      </c>
      <c r="B132" s="8" t="s">
        <v>80</v>
      </c>
      <c r="C132" s="8" t="s">
        <v>346</v>
      </c>
      <c r="D132" s="8"/>
      <c r="E132" s="8">
        <v>291</v>
      </c>
      <c r="F132" s="24"/>
      <c r="G132" s="5"/>
      <c r="H132" s="5"/>
      <c r="I132" s="5"/>
      <c r="J132" s="5"/>
      <c r="K132" s="5"/>
      <c r="L132" s="5"/>
      <c r="M132" s="25"/>
      <c r="N132" s="24"/>
      <c r="O132" s="5"/>
      <c r="P132" s="5"/>
      <c r="Q132" s="5"/>
      <c r="R132" s="5"/>
      <c r="S132" s="5"/>
      <c r="T132" s="5"/>
      <c r="U132" s="25"/>
      <c r="V132" s="5"/>
      <c r="W132" s="5"/>
      <c r="X132" s="5"/>
      <c r="Y132" s="5"/>
      <c r="Z132" s="5"/>
      <c r="AA132" s="5"/>
      <c r="AB132" s="5"/>
      <c r="AC132" s="5"/>
      <c r="AD132" s="24"/>
      <c r="AE132" s="5"/>
      <c r="AF132" s="5"/>
      <c r="AG132" s="5"/>
      <c r="AH132" s="5"/>
      <c r="AI132" s="5"/>
      <c r="AJ132" s="5"/>
      <c r="AK132" s="25"/>
      <c r="AL132" s="5">
        <v>291</v>
      </c>
      <c r="AM132" s="8">
        <v>1</v>
      </c>
      <c r="AN132" s="8"/>
      <c r="AP132" s="67">
        <f t="shared" si="3"/>
        <v>0</v>
      </c>
      <c r="AQ132" s="76">
        <f t="shared" si="4"/>
        <v>0</v>
      </c>
      <c r="AR132" s="85">
        <v>12</v>
      </c>
      <c r="AT132" s="67">
        <v>3</v>
      </c>
      <c r="AU132" s="67">
        <f t="shared" si="5"/>
        <v>15</v>
      </c>
    </row>
    <row r="133" spans="1:47">
      <c r="A133" s="8">
        <v>292</v>
      </c>
      <c r="B133" s="8" t="s">
        <v>74</v>
      </c>
      <c r="C133" s="8" t="s">
        <v>346</v>
      </c>
      <c r="D133" s="8"/>
      <c r="E133" s="8">
        <v>292</v>
      </c>
      <c r="F133" s="24"/>
      <c r="G133" s="5"/>
      <c r="H133" s="5"/>
      <c r="I133" s="5"/>
      <c r="J133" s="5"/>
      <c r="K133" s="5"/>
      <c r="L133" s="5"/>
      <c r="M133" s="25"/>
      <c r="N133" s="24"/>
      <c r="O133" s="5"/>
      <c r="P133" s="5"/>
      <c r="Q133" s="5"/>
      <c r="R133" s="5"/>
      <c r="S133" s="5"/>
      <c r="T133" s="5"/>
      <c r="U133" s="25"/>
      <c r="V133" s="5"/>
      <c r="W133" s="5"/>
      <c r="X133" s="5"/>
      <c r="Y133" s="5"/>
      <c r="Z133" s="5"/>
      <c r="AA133" s="5"/>
      <c r="AB133" s="5"/>
      <c r="AC133" s="5"/>
      <c r="AD133" s="24"/>
      <c r="AE133" s="5"/>
      <c r="AF133" s="5"/>
      <c r="AG133" s="5"/>
      <c r="AH133" s="5"/>
      <c r="AI133" s="5"/>
      <c r="AJ133" s="5"/>
      <c r="AK133" s="25"/>
      <c r="AL133" s="5">
        <v>292</v>
      </c>
      <c r="AM133" s="8">
        <v>1</v>
      </c>
      <c r="AN133" s="8"/>
      <c r="AP133" s="67">
        <f t="shared" ref="AP133:AP196" si="6">SUM(F133:AK133)</f>
        <v>0</v>
      </c>
      <c r="AQ133" s="76">
        <f t="shared" ref="AQ133:AQ196" si="7">AP133/AU133</f>
        <v>0</v>
      </c>
      <c r="AR133" s="85">
        <v>12</v>
      </c>
      <c r="AT133" s="67">
        <v>0</v>
      </c>
      <c r="AU133" s="67">
        <f t="shared" ref="AU133:AU196" si="8">SUM(AR133:AT133)</f>
        <v>12</v>
      </c>
    </row>
    <row r="134" spans="1:47">
      <c r="A134" s="8">
        <v>293</v>
      </c>
      <c r="B134" s="8" t="s">
        <v>106</v>
      </c>
      <c r="C134" s="8" t="s">
        <v>349</v>
      </c>
      <c r="D134" s="8" t="s">
        <v>6</v>
      </c>
      <c r="E134" s="8">
        <v>293</v>
      </c>
      <c r="F134" s="24"/>
      <c r="G134" s="5"/>
      <c r="H134" s="5"/>
      <c r="I134" s="5"/>
      <c r="J134" s="5"/>
      <c r="K134" s="5"/>
      <c r="L134" s="5"/>
      <c r="M134" s="25"/>
      <c r="N134" s="24"/>
      <c r="O134" s="5"/>
      <c r="P134" s="5"/>
      <c r="Q134" s="5"/>
      <c r="R134" s="5"/>
      <c r="S134" s="5"/>
      <c r="T134" s="5"/>
      <c r="U134" s="25"/>
      <c r="V134" s="5"/>
      <c r="W134" s="5"/>
      <c r="X134" s="5"/>
      <c r="Y134" s="5"/>
      <c r="Z134" s="5"/>
      <c r="AA134" s="5"/>
      <c r="AB134" s="5"/>
      <c r="AC134" s="5"/>
      <c r="AD134" s="24"/>
      <c r="AE134" s="5"/>
      <c r="AF134" s="5"/>
      <c r="AG134" s="5"/>
      <c r="AH134" s="5"/>
      <c r="AI134" s="5"/>
      <c r="AJ134" s="5"/>
      <c r="AK134" s="25"/>
      <c r="AL134" s="5">
        <v>293</v>
      </c>
      <c r="AM134" s="8">
        <v>1</v>
      </c>
      <c r="AN134" s="8"/>
      <c r="AP134" s="67">
        <f t="shared" si="6"/>
        <v>0</v>
      </c>
      <c r="AQ134" s="76">
        <f t="shared" si="7"/>
        <v>0</v>
      </c>
      <c r="AR134" s="85">
        <v>31</v>
      </c>
      <c r="AT134" s="67">
        <v>0</v>
      </c>
      <c r="AU134" s="67">
        <f t="shared" si="8"/>
        <v>31</v>
      </c>
    </row>
    <row r="135" spans="1:47">
      <c r="A135" s="8">
        <v>299</v>
      </c>
      <c r="B135" s="8" t="s">
        <v>63</v>
      </c>
      <c r="C135" s="8" t="s">
        <v>346</v>
      </c>
      <c r="D135" s="8"/>
      <c r="E135" s="8">
        <v>299</v>
      </c>
      <c r="F135" s="24"/>
      <c r="G135" s="5"/>
      <c r="H135" s="5"/>
      <c r="I135" s="5"/>
      <c r="J135" s="5"/>
      <c r="K135" s="5"/>
      <c r="L135" s="5"/>
      <c r="M135" s="25"/>
      <c r="N135" s="24"/>
      <c r="O135" s="5"/>
      <c r="P135" s="5"/>
      <c r="Q135" s="5"/>
      <c r="R135" s="5"/>
      <c r="S135" s="5"/>
      <c r="T135" s="5"/>
      <c r="U135" s="25"/>
      <c r="V135" s="5"/>
      <c r="W135" s="5"/>
      <c r="X135" s="5"/>
      <c r="Y135" s="5"/>
      <c r="Z135" s="5"/>
      <c r="AA135" s="5"/>
      <c r="AB135" s="5"/>
      <c r="AC135" s="5"/>
      <c r="AD135" s="24"/>
      <c r="AE135" s="5"/>
      <c r="AF135" s="5"/>
      <c r="AG135" s="5"/>
      <c r="AH135" s="5"/>
      <c r="AI135" s="5"/>
      <c r="AJ135" s="5"/>
      <c r="AK135" s="25"/>
      <c r="AL135" s="5">
        <v>299</v>
      </c>
      <c r="AM135" s="8">
        <v>1</v>
      </c>
      <c r="AN135" s="8"/>
      <c r="AP135" s="67">
        <f t="shared" si="6"/>
        <v>0</v>
      </c>
      <c r="AQ135" s="76">
        <f t="shared" si="7"/>
        <v>0</v>
      </c>
      <c r="AR135" s="85">
        <v>5</v>
      </c>
      <c r="AT135" s="67">
        <v>1</v>
      </c>
      <c r="AU135" s="67">
        <f t="shared" si="8"/>
        <v>6</v>
      </c>
    </row>
    <row r="136" spans="1:47">
      <c r="A136" s="8">
        <v>301</v>
      </c>
      <c r="B136" s="8" t="s">
        <v>123</v>
      </c>
      <c r="C136" s="8" t="s">
        <v>366</v>
      </c>
      <c r="D136" s="8" t="s">
        <v>42</v>
      </c>
      <c r="E136" s="8">
        <v>301</v>
      </c>
      <c r="F136" s="24">
        <v>1</v>
      </c>
      <c r="G136" s="5">
        <v>1</v>
      </c>
      <c r="H136" s="5"/>
      <c r="I136" s="5"/>
      <c r="J136" s="5">
        <v>1</v>
      </c>
      <c r="K136" s="5"/>
      <c r="L136" s="5"/>
      <c r="M136" s="25"/>
      <c r="N136" s="24"/>
      <c r="O136" s="5"/>
      <c r="P136" s="5"/>
      <c r="Q136" s="5"/>
      <c r="R136" s="5">
        <v>1</v>
      </c>
      <c r="S136" s="5">
        <v>1</v>
      </c>
      <c r="T136" s="5"/>
      <c r="U136" s="25"/>
      <c r="V136" s="5"/>
      <c r="W136" s="5"/>
      <c r="X136" s="5"/>
      <c r="Y136" s="5"/>
      <c r="Z136" s="5"/>
      <c r="AA136" s="5"/>
      <c r="AB136" s="5"/>
      <c r="AC136" s="5"/>
      <c r="AD136" s="24"/>
      <c r="AE136" s="5"/>
      <c r="AF136" s="5"/>
      <c r="AG136" s="5">
        <v>1</v>
      </c>
      <c r="AH136" s="5"/>
      <c r="AI136" s="5"/>
      <c r="AJ136" s="5"/>
      <c r="AK136" s="25"/>
      <c r="AL136" s="5">
        <v>301</v>
      </c>
      <c r="AM136" s="8"/>
      <c r="AN136" s="8">
        <v>1</v>
      </c>
      <c r="AP136" s="67">
        <f t="shared" si="6"/>
        <v>6</v>
      </c>
      <c r="AQ136" s="76">
        <f t="shared" si="7"/>
        <v>0.19354838709677419</v>
      </c>
      <c r="AR136" s="85">
        <v>21</v>
      </c>
      <c r="AS136">
        <v>7</v>
      </c>
      <c r="AT136" s="67">
        <v>3</v>
      </c>
      <c r="AU136" s="67">
        <f t="shared" si="8"/>
        <v>31</v>
      </c>
    </row>
    <row r="137" spans="1:47">
      <c r="A137" s="8">
        <v>302</v>
      </c>
      <c r="B137" s="8" t="s">
        <v>41</v>
      </c>
      <c r="C137" s="8" t="s">
        <v>42</v>
      </c>
      <c r="D137" s="8" t="s">
        <v>42</v>
      </c>
      <c r="E137" s="8">
        <v>302</v>
      </c>
      <c r="F137" s="24"/>
      <c r="G137" s="5"/>
      <c r="H137" s="5"/>
      <c r="I137" s="5"/>
      <c r="J137" s="5"/>
      <c r="K137" s="5"/>
      <c r="L137" s="5"/>
      <c r="M137" s="25"/>
      <c r="N137" s="24"/>
      <c r="O137" s="5"/>
      <c r="P137" s="5"/>
      <c r="Q137" s="5"/>
      <c r="R137" s="5"/>
      <c r="S137" s="5"/>
      <c r="T137" s="5"/>
      <c r="U137" s="25"/>
      <c r="V137" s="5"/>
      <c r="W137" s="5"/>
      <c r="X137" s="5"/>
      <c r="Y137" s="5"/>
      <c r="Z137" s="5"/>
      <c r="AA137" s="5"/>
      <c r="AB137" s="5"/>
      <c r="AC137" s="5"/>
      <c r="AD137" s="24"/>
      <c r="AE137" s="5"/>
      <c r="AF137" s="5"/>
      <c r="AG137" s="5"/>
      <c r="AH137" s="5"/>
      <c r="AI137" s="5"/>
      <c r="AJ137" s="5"/>
      <c r="AK137" s="25"/>
      <c r="AL137" s="5">
        <v>302</v>
      </c>
      <c r="AM137" s="8">
        <v>1</v>
      </c>
      <c r="AN137" s="8"/>
      <c r="AP137" s="67">
        <f t="shared" si="6"/>
        <v>0</v>
      </c>
      <c r="AQ137" s="76">
        <f t="shared" si="7"/>
        <v>0</v>
      </c>
      <c r="AR137" s="85">
        <v>31</v>
      </c>
      <c r="AT137" s="67">
        <v>1</v>
      </c>
      <c r="AU137" s="67">
        <f t="shared" si="8"/>
        <v>32</v>
      </c>
    </row>
    <row r="138" spans="1:47">
      <c r="A138" s="8">
        <v>303</v>
      </c>
      <c r="B138" s="8" t="s">
        <v>136</v>
      </c>
      <c r="C138" s="8" t="s">
        <v>12</v>
      </c>
      <c r="D138" s="8" t="s">
        <v>42</v>
      </c>
      <c r="E138" s="8">
        <v>303</v>
      </c>
      <c r="F138" s="24"/>
      <c r="G138" s="5"/>
      <c r="H138" s="5"/>
      <c r="I138" s="5"/>
      <c r="J138" s="5"/>
      <c r="K138" s="5"/>
      <c r="L138" s="5"/>
      <c r="M138" s="25"/>
      <c r="N138" s="24"/>
      <c r="O138" s="5"/>
      <c r="P138" s="5"/>
      <c r="Q138" s="5"/>
      <c r="R138" s="5"/>
      <c r="S138" s="5"/>
      <c r="T138" s="5"/>
      <c r="U138" s="25"/>
      <c r="V138" s="5"/>
      <c r="W138" s="5"/>
      <c r="X138" s="5"/>
      <c r="Y138" s="5"/>
      <c r="Z138" s="5"/>
      <c r="AA138" s="5"/>
      <c r="AB138" s="5"/>
      <c r="AC138" s="5"/>
      <c r="AD138" s="24"/>
      <c r="AE138" s="5"/>
      <c r="AF138" s="5"/>
      <c r="AG138" s="5"/>
      <c r="AH138" s="5"/>
      <c r="AI138" s="5"/>
      <c r="AJ138" s="5"/>
      <c r="AK138" s="25"/>
      <c r="AL138" s="5">
        <v>303</v>
      </c>
      <c r="AM138" s="8">
        <v>1</v>
      </c>
      <c r="AN138" s="8"/>
      <c r="AP138" s="67">
        <f t="shared" si="6"/>
        <v>0</v>
      </c>
      <c r="AQ138" s="76">
        <f t="shared" si="7"/>
        <v>0</v>
      </c>
      <c r="AR138" s="85">
        <v>32</v>
      </c>
      <c r="AT138" s="67">
        <v>0</v>
      </c>
      <c r="AU138" s="67">
        <f t="shared" si="8"/>
        <v>32</v>
      </c>
    </row>
    <row r="139" spans="1:47">
      <c r="A139" s="8">
        <v>304</v>
      </c>
      <c r="B139" s="8" t="s">
        <v>93</v>
      </c>
      <c r="C139" s="8" t="s">
        <v>12</v>
      </c>
      <c r="D139" s="8" t="s">
        <v>42</v>
      </c>
      <c r="E139" s="8">
        <v>304</v>
      </c>
      <c r="F139" s="24"/>
      <c r="G139" s="5"/>
      <c r="H139" s="5"/>
      <c r="I139" s="5"/>
      <c r="J139" s="5"/>
      <c r="K139" s="5"/>
      <c r="L139" s="5"/>
      <c r="M139" s="25"/>
      <c r="N139" s="24"/>
      <c r="O139" s="5"/>
      <c r="P139" s="5"/>
      <c r="Q139" s="5"/>
      <c r="R139" s="5"/>
      <c r="S139" s="5"/>
      <c r="T139" s="5"/>
      <c r="U139" s="25"/>
      <c r="V139" s="5"/>
      <c r="W139" s="5"/>
      <c r="X139" s="5"/>
      <c r="Y139" s="5"/>
      <c r="Z139" s="5"/>
      <c r="AA139" s="5"/>
      <c r="AB139" s="5"/>
      <c r="AC139" s="5"/>
      <c r="AD139" s="24"/>
      <c r="AE139" s="5"/>
      <c r="AF139" s="5"/>
      <c r="AG139" s="5"/>
      <c r="AH139" s="5"/>
      <c r="AI139" s="5"/>
      <c r="AJ139" s="5"/>
      <c r="AK139" s="25"/>
      <c r="AL139" s="5">
        <v>304</v>
      </c>
      <c r="AM139" s="8">
        <v>1</v>
      </c>
      <c r="AN139" s="8"/>
      <c r="AP139" s="67">
        <f t="shared" si="6"/>
        <v>0</v>
      </c>
      <c r="AQ139" s="76">
        <f t="shared" si="7"/>
        <v>0</v>
      </c>
      <c r="AR139" s="85">
        <v>29</v>
      </c>
      <c r="AS139">
        <v>1</v>
      </c>
      <c r="AT139" s="67">
        <v>0</v>
      </c>
      <c r="AU139" s="67">
        <f t="shared" si="8"/>
        <v>30</v>
      </c>
    </row>
    <row r="140" spans="1:47">
      <c r="A140" s="8">
        <v>308</v>
      </c>
      <c r="B140" s="8" t="s">
        <v>123</v>
      </c>
      <c r="C140" s="8" t="s">
        <v>366</v>
      </c>
      <c r="D140" s="8" t="s">
        <v>6</v>
      </c>
      <c r="E140" s="8">
        <v>308</v>
      </c>
      <c r="F140" s="24"/>
      <c r="G140" s="5"/>
      <c r="H140" s="5"/>
      <c r="I140" s="5"/>
      <c r="J140" s="5"/>
      <c r="K140" s="5"/>
      <c r="L140" s="5"/>
      <c r="M140" s="25"/>
      <c r="N140" s="24"/>
      <c r="O140" s="5"/>
      <c r="P140" s="5"/>
      <c r="Q140" s="5"/>
      <c r="R140" s="5"/>
      <c r="S140" s="5"/>
      <c r="T140" s="5"/>
      <c r="U140" s="25"/>
      <c r="V140" s="5"/>
      <c r="W140" s="5">
        <v>1</v>
      </c>
      <c r="X140" s="5">
        <v>1</v>
      </c>
      <c r="Y140" s="5"/>
      <c r="Z140" s="5"/>
      <c r="AA140" s="5"/>
      <c r="AB140" s="5"/>
      <c r="AC140" s="5"/>
      <c r="AD140" s="24"/>
      <c r="AE140" s="5"/>
      <c r="AF140" s="5"/>
      <c r="AG140" s="5"/>
      <c r="AH140" s="5"/>
      <c r="AI140" s="5"/>
      <c r="AJ140" s="5"/>
      <c r="AK140" s="25"/>
      <c r="AL140" s="5">
        <v>308</v>
      </c>
      <c r="AM140" s="8"/>
      <c r="AN140" s="8">
        <v>1</v>
      </c>
      <c r="AP140" s="67">
        <f t="shared" si="6"/>
        <v>2</v>
      </c>
      <c r="AQ140" s="76">
        <f t="shared" si="7"/>
        <v>6.4516129032258063E-2</v>
      </c>
      <c r="AR140" s="85">
        <v>20</v>
      </c>
      <c r="AS140">
        <v>7</v>
      </c>
      <c r="AT140" s="67">
        <v>4</v>
      </c>
      <c r="AU140" s="67">
        <f t="shared" si="8"/>
        <v>31</v>
      </c>
    </row>
    <row r="141" spans="1:47">
      <c r="A141" s="8">
        <v>311</v>
      </c>
      <c r="B141" s="8" t="s">
        <v>130</v>
      </c>
      <c r="C141" s="8" t="s">
        <v>357</v>
      </c>
      <c r="D141" s="8"/>
      <c r="E141" s="8">
        <v>311</v>
      </c>
      <c r="F141" s="24"/>
      <c r="G141" s="5"/>
      <c r="H141" s="5"/>
      <c r="I141" s="5"/>
      <c r="J141" s="5"/>
      <c r="K141" s="5"/>
      <c r="L141" s="5"/>
      <c r="M141" s="25"/>
      <c r="N141" s="24"/>
      <c r="O141" s="5"/>
      <c r="P141" s="5"/>
      <c r="Q141" s="5"/>
      <c r="R141" s="5"/>
      <c r="S141" s="5"/>
      <c r="T141" s="5"/>
      <c r="U141" s="25"/>
      <c r="V141" s="5"/>
      <c r="W141" s="5"/>
      <c r="X141" s="5"/>
      <c r="Y141" s="5"/>
      <c r="Z141" s="5"/>
      <c r="AA141" s="5"/>
      <c r="AB141" s="5"/>
      <c r="AC141" s="5"/>
      <c r="AD141" s="24"/>
      <c r="AE141" s="5"/>
      <c r="AF141" s="5"/>
      <c r="AG141" s="5"/>
      <c r="AH141" s="5"/>
      <c r="AI141" s="5"/>
      <c r="AJ141" s="5"/>
      <c r="AK141" s="25"/>
      <c r="AL141" s="5">
        <v>311</v>
      </c>
      <c r="AM141" s="8">
        <v>1</v>
      </c>
      <c r="AN141" s="8"/>
      <c r="AP141" s="67">
        <f t="shared" si="6"/>
        <v>0</v>
      </c>
      <c r="AQ141" s="76">
        <f t="shared" si="7"/>
        <v>0</v>
      </c>
      <c r="AR141" s="85">
        <v>24</v>
      </c>
      <c r="AT141" s="67">
        <v>1</v>
      </c>
      <c r="AU141" s="67">
        <f t="shared" si="8"/>
        <v>25</v>
      </c>
    </row>
    <row r="142" spans="1:47">
      <c r="A142" s="8">
        <v>315</v>
      </c>
      <c r="B142" s="8" t="s">
        <v>71</v>
      </c>
      <c r="C142" s="8" t="s">
        <v>366</v>
      </c>
      <c r="D142" s="8" t="s">
        <v>42</v>
      </c>
      <c r="E142" s="8">
        <v>315</v>
      </c>
      <c r="F142" s="24"/>
      <c r="G142" s="5"/>
      <c r="H142" s="5"/>
      <c r="I142" s="5"/>
      <c r="J142" s="5"/>
      <c r="K142" s="5"/>
      <c r="L142" s="5"/>
      <c r="M142" s="25"/>
      <c r="N142" s="24"/>
      <c r="O142" s="5"/>
      <c r="P142" s="5"/>
      <c r="Q142" s="5"/>
      <c r="R142" s="5"/>
      <c r="S142" s="5">
        <v>1</v>
      </c>
      <c r="T142" s="5"/>
      <c r="U142" s="25"/>
      <c r="V142" s="5"/>
      <c r="W142" s="5"/>
      <c r="X142" s="5"/>
      <c r="Y142" s="5"/>
      <c r="Z142" s="5"/>
      <c r="AA142" s="5"/>
      <c r="AB142" s="5"/>
      <c r="AC142" s="5"/>
      <c r="AD142" s="24"/>
      <c r="AE142" s="5"/>
      <c r="AF142" s="5"/>
      <c r="AG142" s="5"/>
      <c r="AH142" s="5"/>
      <c r="AI142" s="5">
        <v>1</v>
      </c>
      <c r="AJ142" s="5">
        <v>1</v>
      </c>
      <c r="AK142" s="25"/>
      <c r="AL142" s="5">
        <v>315</v>
      </c>
      <c r="AM142" s="8"/>
      <c r="AN142" s="8">
        <v>1</v>
      </c>
      <c r="AP142" s="67">
        <f t="shared" si="6"/>
        <v>3</v>
      </c>
      <c r="AQ142" s="76">
        <f t="shared" si="7"/>
        <v>9.6774193548387094E-2</v>
      </c>
      <c r="AR142" s="85">
        <v>26</v>
      </c>
      <c r="AS142">
        <v>2</v>
      </c>
      <c r="AT142" s="67">
        <v>3</v>
      </c>
      <c r="AU142" s="67">
        <f t="shared" si="8"/>
        <v>31</v>
      </c>
    </row>
    <row r="143" spans="1:47">
      <c r="A143" s="8">
        <v>321</v>
      </c>
      <c r="B143" s="8" t="s">
        <v>54</v>
      </c>
      <c r="C143" s="8" t="s">
        <v>345</v>
      </c>
      <c r="D143" s="8"/>
      <c r="E143" s="8">
        <v>321</v>
      </c>
      <c r="F143" s="24"/>
      <c r="G143" s="5"/>
      <c r="H143" s="5"/>
      <c r="I143" s="5"/>
      <c r="J143" s="5"/>
      <c r="K143" s="5"/>
      <c r="L143" s="5"/>
      <c r="M143" s="25"/>
      <c r="N143" s="24"/>
      <c r="O143" s="5"/>
      <c r="P143" s="5"/>
      <c r="Q143" s="5"/>
      <c r="R143" s="5"/>
      <c r="S143" s="5"/>
      <c r="T143" s="5"/>
      <c r="U143" s="25"/>
      <c r="V143" s="5"/>
      <c r="W143" s="5"/>
      <c r="X143" s="5"/>
      <c r="Y143" s="5"/>
      <c r="Z143" s="5"/>
      <c r="AA143" s="5"/>
      <c r="AB143" s="5"/>
      <c r="AC143" s="5"/>
      <c r="AD143" s="24"/>
      <c r="AE143" s="5"/>
      <c r="AF143" s="5"/>
      <c r="AG143" s="5"/>
      <c r="AH143" s="5"/>
      <c r="AI143" s="5"/>
      <c r="AJ143" s="5"/>
      <c r="AK143" s="25"/>
      <c r="AL143" s="5">
        <v>321</v>
      </c>
      <c r="AM143" s="8">
        <v>1</v>
      </c>
      <c r="AN143" s="8"/>
      <c r="AP143" s="67">
        <f t="shared" si="6"/>
        <v>0</v>
      </c>
      <c r="AQ143" s="76">
        <f t="shared" si="7"/>
        <v>0</v>
      </c>
      <c r="AR143" s="85">
        <v>7</v>
      </c>
      <c r="AT143" s="67">
        <v>0</v>
      </c>
      <c r="AU143" s="67">
        <f t="shared" si="8"/>
        <v>7</v>
      </c>
    </row>
    <row r="144" spans="1:47">
      <c r="A144" s="8">
        <v>331</v>
      </c>
      <c r="B144" s="8" t="s">
        <v>240</v>
      </c>
      <c r="C144" s="8" t="s">
        <v>42</v>
      </c>
      <c r="D144" s="8" t="s">
        <v>42</v>
      </c>
      <c r="E144" s="8">
        <v>331</v>
      </c>
      <c r="F144" s="24"/>
      <c r="G144" s="5"/>
      <c r="H144" s="5"/>
      <c r="I144" s="5"/>
      <c r="J144" s="5">
        <v>1</v>
      </c>
      <c r="K144" s="5"/>
      <c r="L144" s="5"/>
      <c r="M144" s="25"/>
      <c r="N144" s="24"/>
      <c r="O144" s="5"/>
      <c r="P144" s="5"/>
      <c r="Q144" s="5"/>
      <c r="R144" s="5"/>
      <c r="S144" s="5"/>
      <c r="T144" s="5"/>
      <c r="U144" s="25"/>
      <c r="V144" s="5"/>
      <c r="W144" s="5"/>
      <c r="X144" s="5"/>
      <c r="Y144" s="5"/>
      <c r="Z144" s="5"/>
      <c r="AA144" s="5"/>
      <c r="AB144" s="5"/>
      <c r="AC144" s="5"/>
      <c r="AD144" s="24"/>
      <c r="AE144" s="5"/>
      <c r="AF144" s="5"/>
      <c r="AG144" s="5"/>
      <c r="AH144" s="5"/>
      <c r="AI144" s="5"/>
      <c r="AJ144" s="5"/>
      <c r="AK144" s="25"/>
      <c r="AL144" s="5">
        <v>331</v>
      </c>
      <c r="AM144" s="8"/>
      <c r="AN144" s="8">
        <v>1</v>
      </c>
      <c r="AP144" s="67">
        <f t="shared" si="6"/>
        <v>1</v>
      </c>
      <c r="AQ144" s="76">
        <f t="shared" si="7"/>
        <v>3.2258064516129031E-2</v>
      </c>
      <c r="AR144" s="85">
        <v>24</v>
      </c>
      <c r="AS144">
        <v>7</v>
      </c>
      <c r="AT144" s="67">
        <v>0</v>
      </c>
      <c r="AU144" s="67">
        <f t="shared" si="8"/>
        <v>31</v>
      </c>
    </row>
    <row r="145" spans="1:47">
      <c r="A145" s="8">
        <v>334</v>
      </c>
      <c r="B145" s="8" t="s">
        <v>5</v>
      </c>
      <c r="C145" s="8" t="s">
        <v>42</v>
      </c>
      <c r="D145" s="8" t="s">
        <v>6</v>
      </c>
      <c r="E145" s="8">
        <v>334</v>
      </c>
      <c r="F145" s="24"/>
      <c r="G145" s="5"/>
      <c r="H145" s="5">
        <v>1</v>
      </c>
      <c r="I145" s="5"/>
      <c r="J145" s="5"/>
      <c r="K145" s="5"/>
      <c r="L145" s="5"/>
      <c r="M145" s="25"/>
      <c r="N145" s="24"/>
      <c r="O145" s="5"/>
      <c r="P145" s="5"/>
      <c r="Q145" s="5"/>
      <c r="R145" s="5"/>
      <c r="S145" s="5"/>
      <c r="T145" s="5"/>
      <c r="U145" s="25"/>
      <c r="V145" s="5"/>
      <c r="W145" s="5"/>
      <c r="X145" s="5"/>
      <c r="Y145" s="5"/>
      <c r="Z145" s="5"/>
      <c r="AA145" s="5"/>
      <c r="AB145" s="5"/>
      <c r="AC145" s="5"/>
      <c r="AD145" s="24"/>
      <c r="AE145" s="5"/>
      <c r="AF145" s="5"/>
      <c r="AG145" s="5"/>
      <c r="AH145" s="5"/>
      <c r="AI145" s="5"/>
      <c r="AJ145" s="5"/>
      <c r="AK145" s="25"/>
      <c r="AL145" s="5">
        <v>334</v>
      </c>
      <c r="AM145" s="8"/>
      <c r="AN145" s="8">
        <v>1</v>
      </c>
      <c r="AP145" s="67">
        <f t="shared" si="6"/>
        <v>1</v>
      </c>
      <c r="AQ145" s="76">
        <f t="shared" si="7"/>
        <v>3.5714285714285712E-2</v>
      </c>
      <c r="AR145" s="85">
        <v>28</v>
      </c>
      <c r="AT145" s="67">
        <v>0</v>
      </c>
      <c r="AU145" s="67">
        <f t="shared" si="8"/>
        <v>28</v>
      </c>
    </row>
    <row r="146" spans="1:47">
      <c r="A146" s="8">
        <v>335</v>
      </c>
      <c r="B146" s="8" t="s">
        <v>74</v>
      </c>
      <c r="C146" s="8" t="s">
        <v>346</v>
      </c>
      <c r="D146" s="8"/>
      <c r="E146" s="8">
        <v>335</v>
      </c>
      <c r="F146" s="24"/>
      <c r="G146" s="5"/>
      <c r="H146" s="5"/>
      <c r="I146" s="5"/>
      <c r="J146" s="5"/>
      <c r="K146" s="5"/>
      <c r="L146" s="5"/>
      <c r="M146" s="25"/>
      <c r="N146" s="24"/>
      <c r="O146" s="5"/>
      <c r="P146" s="5"/>
      <c r="Q146" s="5"/>
      <c r="R146" s="5"/>
      <c r="S146" s="5"/>
      <c r="T146" s="5"/>
      <c r="U146" s="25"/>
      <c r="V146" s="5"/>
      <c r="W146" s="5"/>
      <c r="X146" s="5"/>
      <c r="Y146" s="5"/>
      <c r="Z146" s="5"/>
      <c r="AA146" s="5"/>
      <c r="AB146" s="5"/>
      <c r="AC146" s="5"/>
      <c r="AD146" s="24"/>
      <c r="AE146" s="5"/>
      <c r="AF146" s="5"/>
      <c r="AG146" s="5"/>
      <c r="AH146" s="5"/>
      <c r="AI146" s="5"/>
      <c r="AJ146" s="5"/>
      <c r="AK146" s="25"/>
      <c r="AL146" s="5">
        <v>335</v>
      </c>
      <c r="AM146" s="8">
        <v>1</v>
      </c>
      <c r="AN146" s="8"/>
      <c r="AP146" s="67">
        <f t="shared" si="6"/>
        <v>0</v>
      </c>
      <c r="AQ146" s="76">
        <f t="shared" si="7"/>
        <v>0</v>
      </c>
      <c r="AR146" s="85">
        <v>8</v>
      </c>
      <c r="AT146" s="67">
        <v>5</v>
      </c>
      <c r="AU146" s="67">
        <f t="shared" si="8"/>
        <v>13</v>
      </c>
    </row>
    <row r="147" spans="1:47">
      <c r="A147" s="8">
        <v>336</v>
      </c>
      <c r="B147" s="8" t="s">
        <v>55</v>
      </c>
      <c r="C147" s="8" t="s">
        <v>346</v>
      </c>
      <c r="D147" s="8"/>
      <c r="E147" s="8">
        <v>336</v>
      </c>
      <c r="F147" s="24"/>
      <c r="G147" s="5"/>
      <c r="H147" s="5"/>
      <c r="I147" s="5"/>
      <c r="J147" s="5"/>
      <c r="K147" s="5"/>
      <c r="L147" s="5"/>
      <c r="M147" s="25"/>
      <c r="N147" s="24"/>
      <c r="O147" s="5"/>
      <c r="P147" s="5"/>
      <c r="Q147" s="5"/>
      <c r="R147" s="5"/>
      <c r="S147" s="5"/>
      <c r="T147" s="5"/>
      <c r="U147" s="25"/>
      <c r="V147" s="5"/>
      <c r="W147" s="5"/>
      <c r="X147" s="5"/>
      <c r="Y147" s="5"/>
      <c r="Z147" s="5"/>
      <c r="AA147" s="5"/>
      <c r="AB147" s="5"/>
      <c r="AC147" s="5"/>
      <c r="AD147" s="24"/>
      <c r="AE147" s="5"/>
      <c r="AF147" s="5"/>
      <c r="AG147" s="5"/>
      <c r="AH147" s="5"/>
      <c r="AI147" s="5"/>
      <c r="AJ147" s="5"/>
      <c r="AK147" s="25"/>
      <c r="AL147" s="5">
        <v>336</v>
      </c>
      <c r="AM147" s="8">
        <v>1</v>
      </c>
      <c r="AN147" s="8"/>
      <c r="AP147" s="67">
        <f t="shared" si="6"/>
        <v>0</v>
      </c>
      <c r="AQ147" s="76">
        <f t="shared" si="7"/>
        <v>0</v>
      </c>
      <c r="AR147" s="85">
        <v>16</v>
      </c>
      <c r="AT147" s="67">
        <v>4</v>
      </c>
      <c r="AU147" s="67">
        <f t="shared" si="8"/>
        <v>20</v>
      </c>
    </row>
    <row r="148" spans="1:47">
      <c r="A148" s="8">
        <v>339</v>
      </c>
      <c r="B148" s="8" t="s">
        <v>91</v>
      </c>
      <c r="C148" s="8" t="s">
        <v>366</v>
      </c>
      <c r="D148" s="8" t="s">
        <v>42</v>
      </c>
      <c r="E148" s="8">
        <v>339</v>
      </c>
      <c r="F148" s="24"/>
      <c r="G148" s="5"/>
      <c r="H148" s="5"/>
      <c r="I148" s="5"/>
      <c r="J148" s="5"/>
      <c r="K148" s="5"/>
      <c r="L148" s="5"/>
      <c r="M148" s="25"/>
      <c r="N148" s="24">
        <v>1</v>
      </c>
      <c r="O148" s="5"/>
      <c r="P148" s="5"/>
      <c r="Q148" s="5"/>
      <c r="R148" s="5"/>
      <c r="S148" s="5"/>
      <c r="T148" s="5"/>
      <c r="U148" s="25"/>
      <c r="V148" s="5"/>
      <c r="W148" s="5"/>
      <c r="X148" s="5"/>
      <c r="Y148" s="5"/>
      <c r="Z148" s="5"/>
      <c r="AA148" s="5"/>
      <c r="AB148" s="5"/>
      <c r="AC148" s="5"/>
      <c r="AD148" s="24"/>
      <c r="AE148" s="5"/>
      <c r="AF148" s="5"/>
      <c r="AG148" s="5"/>
      <c r="AH148" s="5"/>
      <c r="AI148" s="5"/>
      <c r="AJ148" s="5"/>
      <c r="AK148" s="25"/>
      <c r="AL148" s="5">
        <v>339</v>
      </c>
      <c r="AM148" s="8"/>
      <c r="AN148" s="8">
        <v>1</v>
      </c>
      <c r="AP148" s="67">
        <f t="shared" si="6"/>
        <v>1</v>
      </c>
      <c r="AQ148" s="76">
        <f t="shared" si="7"/>
        <v>3.125E-2</v>
      </c>
      <c r="AR148" s="85">
        <v>31</v>
      </c>
      <c r="AT148" s="67">
        <v>1</v>
      </c>
      <c r="AU148" s="67">
        <f t="shared" si="8"/>
        <v>32</v>
      </c>
    </row>
    <row r="149" spans="1:47">
      <c r="A149" s="8">
        <v>340</v>
      </c>
      <c r="B149" s="8" t="s">
        <v>44</v>
      </c>
      <c r="C149" s="8" t="s">
        <v>349</v>
      </c>
      <c r="D149" s="8" t="s">
        <v>6</v>
      </c>
      <c r="E149" s="8">
        <v>340</v>
      </c>
      <c r="F149" s="24"/>
      <c r="G149" s="5"/>
      <c r="H149" s="5"/>
      <c r="I149" s="5"/>
      <c r="J149" s="5">
        <v>1</v>
      </c>
      <c r="K149" s="5">
        <v>1</v>
      </c>
      <c r="L149" s="5">
        <v>1</v>
      </c>
      <c r="M149" s="25">
        <v>1</v>
      </c>
      <c r="N149" s="24">
        <v>1</v>
      </c>
      <c r="O149" s="5">
        <v>1</v>
      </c>
      <c r="P149" s="5">
        <v>1</v>
      </c>
      <c r="Q149" s="5"/>
      <c r="R149" s="5"/>
      <c r="S149" s="5"/>
      <c r="T149" s="5"/>
      <c r="U149" s="25"/>
      <c r="V149" s="5"/>
      <c r="W149" s="5"/>
      <c r="X149" s="5"/>
      <c r="Y149" s="5"/>
      <c r="Z149" s="5"/>
      <c r="AA149" s="5"/>
      <c r="AB149" s="5"/>
      <c r="AC149" s="5"/>
      <c r="AD149" s="24"/>
      <c r="AE149" s="5"/>
      <c r="AF149" s="5"/>
      <c r="AG149" s="5"/>
      <c r="AH149" s="5"/>
      <c r="AI149" s="5"/>
      <c r="AJ149" s="5"/>
      <c r="AK149" s="25"/>
      <c r="AL149" s="5">
        <v>340</v>
      </c>
      <c r="AM149" s="8"/>
      <c r="AN149" s="8">
        <v>1</v>
      </c>
      <c r="AP149" s="67">
        <f t="shared" si="6"/>
        <v>7</v>
      </c>
      <c r="AQ149" s="76">
        <f t="shared" si="7"/>
        <v>0.25</v>
      </c>
      <c r="AR149" s="85">
        <v>10</v>
      </c>
      <c r="AS149">
        <v>12</v>
      </c>
      <c r="AT149" s="67">
        <v>6</v>
      </c>
      <c r="AU149" s="67">
        <f t="shared" si="8"/>
        <v>28</v>
      </c>
    </row>
    <row r="150" spans="1:47">
      <c r="A150" s="8">
        <v>343</v>
      </c>
      <c r="B150" s="8" t="s">
        <v>216</v>
      </c>
      <c r="C150" s="8" t="s">
        <v>42</v>
      </c>
      <c r="D150" s="8" t="s">
        <v>6</v>
      </c>
      <c r="E150" s="8">
        <v>343</v>
      </c>
      <c r="F150" s="24"/>
      <c r="G150" s="5"/>
      <c r="H150" s="5"/>
      <c r="I150" s="5"/>
      <c r="J150" s="5"/>
      <c r="K150" s="5"/>
      <c r="L150" s="5"/>
      <c r="M150" s="25"/>
      <c r="N150" s="24"/>
      <c r="O150" s="5"/>
      <c r="P150" s="5"/>
      <c r="Q150" s="5"/>
      <c r="R150" s="5"/>
      <c r="S150" s="5"/>
      <c r="T150" s="5"/>
      <c r="U150" s="25"/>
      <c r="V150" s="5"/>
      <c r="W150" s="5"/>
      <c r="X150" s="5"/>
      <c r="Y150" s="5"/>
      <c r="Z150" s="5"/>
      <c r="AA150" s="5"/>
      <c r="AB150" s="5"/>
      <c r="AC150" s="5"/>
      <c r="AD150" s="24"/>
      <c r="AE150" s="5"/>
      <c r="AF150" s="5"/>
      <c r="AG150" s="5"/>
      <c r="AH150" s="5"/>
      <c r="AI150" s="5"/>
      <c r="AJ150" s="5"/>
      <c r="AK150" s="25"/>
      <c r="AL150" s="5">
        <v>343</v>
      </c>
      <c r="AM150" s="8">
        <v>1</v>
      </c>
      <c r="AN150" s="8"/>
      <c r="AP150" s="67">
        <f t="shared" si="6"/>
        <v>0</v>
      </c>
      <c r="AQ150" s="76">
        <f t="shared" si="7"/>
        <v>0</v>
      </c>
      <c r="AR150" s="85">
        <v>31</v>
      </c>
      <c r="AT150" s="67">
        <v>0</v>
      </c>
      <c r="AU150" s="67">
        <f t="shared" si="8"/>
        <v>31</v>
      </c>
    </row>
    <row r="151" spans="1:47">
      <c r="A151" s="8">
        <v>344</v>
      </c>
      <c r="B151" s="8" t="s">
        <v>63</v>
      </c>
      <c r="C151" s="8" t="s">
        <v>346</v>
      </c>
      <c r="D151" s="8"/>
      <c r="E151" s="8">
        <v>344</v>
      </c>
      <c r="F151" s="24"/>
      <c r="G151" s="5"/>
      <c r="H151" s="5"/>
      <c r="I151" s="5"/>
      <c r="J151" s="5"/>
      <c r="K151" s="5"/>
      <c r="L151" s="5"/>
      <c r="M151" s="25"/>
      <c r="N151" s="24"/>
      <c r="O151" s="5"/>
      <c r="P151" s="5"/>
      <c r="Q151" s="5"/>
      <c r="R151" s="5"/>
      <c r="S151" s="5"/>
      <c r="T151" s="5"/>
      <c r="U151" s="25"/>
      <c r="V151" s="5"/>
      <c r="W151" s="5"/>
      <c r="X151" s="5"/>
      <c r="Y151" s="5"/>
      <c r="Z151" s="5"/>
      <c r="AA151" s="5"/>
      <c r="AB151" s="5"/>
      <c r="AC151" s="5"/>
      <c r="AD151" s="24"/>
      <c r="AE151" s="5"/>
      <c r="AF151" s="5"/>
      <c r="AG151" s="5"/>
      <c r="AH151" s="5"/>
      <c r="AI151" s="5"/>
      <c r="AJ151" s="5"/>
      <c r="AK151" s="25"/>
      <c r="AL151" s="5">
        <v>344</v>
      </c>
      <c r="AM151" s="8">
        <v>1</v>
      </c>
      <c r="AN151" s="8"/>
      <c r="AP151" s="67">
        <f t="shared" si="6"/>
        <v>0</v>
      </c>
      <c r="AQ151" s="76">
        <f t="shared" si="7"/>
        <v>0</v>
      </c>
      <c r="AR151" s="85">
        <v>15</v>
      </c>
      <c r="AT151" s="67">
        <v>1</v>
      </c>
      <c r="AU151" s="67">
        <f t="shared" si="8"/>
        <v>16</v>
      </c>
    </row>
    <row r="152" spans="1:47">
      <c r="A152" s="8">
        <v>345</v>
      </c>
      <c r="B152" s="8" t="s">
        <v>59</v>
      </c>
      <c r="C152" s="8" t="s">
        <v>346</v>
      </c>
      <c r="D152" s="8"/>
      <c r="E152" s="8">
        <v>345</v>
      </c>
      <c r="F152" s="24"/>
      <c r="G152" s="5"/>
      <c r="H152" s="5"/>
      <c r="I152" s="5"/>
      <c r="J152" s="5"/>
      <c r="K152" s="5"/>
      <c r="L152" s="5"/>
      <c r="M152" s="25"/>
      <c r="N152" s="24"/>
      <c r="O152" s="5"/>
      <c r="P152" s="5"/>
      <c r="Q152" s="5"/>
      <c r="R152" s="5"/>
      <c r="S152" s="5"/>
      <c r="T152" s="5"/>
      <c r="U152" s="25"/>
      <c r="V152" s="5"/>
      <c r="W152" s="5"/>
      <c r="X152" s="5"/>
      <c r="Y152" s="5"/>
      <c r="Z152" s="5"/>
      <c r="AA152" s="5"/>
      <c r="AB152" s="5"/>
      <c r="AC152" s="5"/>
      <c r="AD152" s="24"/>
      <c r="AE152" s="5"/>
      <c r="AF152" s="5"/>
      <c r="AG152" s="5"/>
      <c r="AH152" s="5"/>
      <c r="AI152" s="5"/>
      <c r="AJ152" s="5"/>
      <c r="AK152" s="25"/>
      <c r="AL152" s="5">
        <v>345</v>
      </c>
      <c r="AM152" s="8">
        <v>1</v>
      </c>
      <c r="AN152" s="8"/>
      <c r="AP152" s="67">
        <f t="shared" si="6"/>
        <v>0</v>
      </c>
      <c r="AQ152" s="76">
        <f t="shared" si="7"/>
        <v>0</v>
      </c>
      <c r="AR152" s="85">
        <v>16</v>
      </c>
      <c r="AT152" s="67">
        <v>4</v>
      </c>
      <c r="AU152" s="67">
        <f t="shared" si="8"/>
        <v>20</v>
      </c>
    </row>
    <row r="153" spans="1:47">
      <c r="A153" s="8">
        <v>346</v>
      </c>
      <c r="B153" s="8" t="s">
        <v>5</v>
      </c>
      <c r="C153" s="8" t="s">
        <v>42</v>
      </c>
      <c r="D153" s="8" t="s">
        <v>6</v>
      </c>
      <c r="E153" s="8">
        <v>346</v>
      </c>
      <c r="F153" s="24"/>
      <c r="G153" s="5"/>
      <c r="H153" s="5"/>
      <c r="I153" s="5"/>
      <c r="J153" s="5"/>
      <c r="K153" s="5"/>
      <c r="L153" s="5"/>
      <c r="M153" s="25"/>
      <c r="N153" s="24"/>
      <c r="O153" s="5"/>
      <c r="P153" s="5"/>
      <c r="Q153" s="5"/>
      <c r="R153" s="5"/>
      <c r="S153" s="5"/>
      <c r="T153" s="5"/>
      <c r="U153" s="25"/>
      <c r="V153" s="5"/>
      <c r="W153" s="5"/>
      <c r="X153" s="5"/>
      <c r="Y153" s="5"/>
      <c r="Z153" s="5"/>
      <c r="AA153" s="5"/>
      <c r="AB153" s="5"/>
      <c r="AC153" s="5"/>
      <c r="AD153" s="24"/>
      <c r="AE153" s="5"/>
      <c r="AF153" s="5"/>
      <c r="AG153" s="5"/>
      <c r="AH153" s="5"/>
      <c r="AI153" s="5"/>
      <c r="AJ153" s="5"/>
      <c r="AK153" s="25"/>
      <c r="AL153" s="5">
        <v>346</v>
      </c>
      <c r="AM153" s="8">
        <v>1</v>
      </c>
      <c r="AN153" s="8"/>
      <c r="AP153" s="67">
        <f t="shared" si="6"/>
        <v>0</v>
      </c>
      <c r="AQ153" s="76">
        <f t="shared" si="7"/>
        <v>0</v>
      </c>
      <c r="AR153" s="85">
        <v>30</v>
      </c>
      <c r="AS153">
        <v>1</v>
      </c>
      <c r="AT153" s="67">
        <v>0</v>
      </c>
      <c r="AU153" s="67">
        <f t="shared" si="8"/>
        <v>31</v>
      </c>
    </row>
    <row r="154" spans="1:47">
      <c r="A154" s="8">
        <v>347</v>
      </c>
      <c r="B154" s="8" t="s">
        <v>141</v>
      </c>
      <c r="C154" s="8" t="s">
        <v>346</v>
      </c>
      <c r="D154" s="8"/>
      <c r="E154" s="8">
        <v>347</v>
      </c>
      <c r="F154" s="24"/>
      <c r="G154" s="5"/>
      <c r="H154" s="5"/>
      <c r="I154" s="5"/>
      <c r="J154" s="5"/>
      <c r="K154" s="5"/>
      <c r="L154" s="5"/>
      <c r="M154" s="25"/>
      <c r="N154" s="24"/>
      <c r="O154" s="5"/>
      <c r="P154" s="5"/>
      <c r="Q154" s="5"/>
      <c r="R154" s="5"/>
      <c r="S154" s="5"/>
      <c r="T154" s="5"/>
      <c r="U154" s="25"/>
      <c r="V154" s="5"/>
      <c r="W154" s="5"/>
      <c r="X154" s="5"/>
      <c r="Y154" s="5"/>
      <c r="Z154" s="5"/>
      <c r="AA154" s="5"/>
      <c r="AB154" s="5"/>
      <c r="AC154" s="5"/>
      <c r="AD154" s="24"/>
      <c r="AE154" s="5"/>
      <c r="AF154" s="5"/>
      <c r="AG154" s="5"/>
      <c r="AH154" s="5"/>
      <c r="AI154" s="5"/>
      <c r="AJ154" s="5"/>
      <c r="AK154" s="25"/>
      <c r="AL154" s="5">
        <v>347</v>
      </c>
      <c r="AM154" s="8">
        <v>1</v>
      </c>
      <c r="AN154" s="8"/>
      <c r="AP154" s="67">
        <f t="shared" si="6"/>
        <v>0</v>
      </c>
      <c r="AQ154" s="76">
        <f t="shared" si="7"/>
        <v>0</v>
      </c>
      <c r="AR154" s="85">
        <v>11</v>
      </c>
      <c r="AT154" s="67">
        <v>5</v>
      </c>
      <c r="AU154" s="67">
        <f t="shared" si="8"/>
        <v>16</v>
      </c>
    </row>
    <row r="155" spans="1:47">
      <c r="A155" s="8">
        <v>348</v>
      </c>
      <c r="B155" s="8" t="s">
        <v>106</v>
      </c>
      <c r="C155" s="8" t="s">
        <v>349</v>
      </c>
      <c r="D155" s="8" t="s">
        <v>6</v>
      </c>
      <c r="E155" s="8">
        <v>348</v>
      </c>
      <c r="F155" s="24"/>
      <c r="G155" s="5">
        <v>1</v>
      </c>
      <c r="H155" s="5">
        <v>1</v>
      </c>
      <c r="I155" s="5"/>
      <c r="J155" s="5"/>
      <c r="K155" s="5"/>
      <c r="L155" s="5">
        <v>1</v>
      </c>
      <c r="M155" s="25"/>
      <c r="N155" s="24">
        <v>1</v>
      </c>
      <c r="O155" s="5"/>
      <c r="P155" s="5"/>
      <c r="Q155" s="5"/>
      <c r="R155" s="5"/>
      <c r="S155" s="5"/>
      <c r="T155" s="5"/>
      <c r="U155" s="25"/>
      <c r="V155" s="5"/>
      <c r="W155" s="5"/>
      <c r="X155" s="5"/>
      <c r="Y155" s="5"/>
      <c r="Z155" s="5"/>
      <c r="AA155" s="5"/>
      <c r="AB155" s="5"/>
      <c r="AC155" s="5"/>
      <c r="AD155" s="24"/>
      <c r="AE155" s="5"/>
      <c r="AF155" s="5"/>
      <c r="AG155" s="5"/>
      <c r="AH155" s="5"/>
      <c r="AI155" s="5"/>
      <c r="AJ155" s="5"/>
      <c r="AK155" s="25"/>
      <c r="AL155" s="5">
        <v>348</v>
      </c>
      <c r="AM155" s="8"/>
      <c r="AN155" s="8">
        <v>1</v>
      </c>
      <c r="AP155" s="67">
        <f t="shared" si="6"/>
        <v>4</v>
      </c>
      <c r="AQ155" s="76">
        <f t="shared" si="7"/>
        <v>0.14814814814814814</v>
      </c>
      <c r="AR155" s="85">
        <v>10</v>
      </c>
      <c r="AS155">
        <v>14</v>
      </c>
      <c r="AT155" s="67">
        <v>3</v>
      </c>
      <c r="AU155" s="67">
        <f t="shared" si="8"/>
        <v>27</v>
      </c>
    </row>
    <row r="156" spans="1:47">
      <c r="A156" s="8">
        <v>349</v>
      </c>
      <c r="B156" s="8" t="s">
        <v>103</v>
      </c>
      <c r="C156" s="8" t="s">
        <v>357</v>
      </c>
      <c r="D156" s="8" t="s">
        <v>15</v>
      </c>
      <c r="E156" s="8">
        <v>349</v>
      </c>
      <c r="F156" s="24"/>
      <c r="G156" s="5"/>
      <c r="H156" s="5"/>
      <c r="I156" s="5"/>
      <c r="J156" s="5"/>
      <c r="K156" s="5"/>
      <c r="L156" s="5"/>
      <c r="M156" s="25"/>
      <c r="N156" s="24"/>
      <c r="O156" s="5"/>
      <c r="P156" s="5"/>
      <c r="Q156" s="5"/>
      <c r="R156" s="5"/>
      <c r="S156" s="5"/>
      <c r="T156" s="5"/>
      <c r="U156" s="25"/>
      <c r="V156" s="5"/>
      <c r="W156" s="5"/>
      <c r="X156" s="5"/>
      <c r="Y156" s="5"/>
      <c r="Z156" s="5"/>
      <c r="AA156" s="5"/>
      <c r="AB156" s="5"/>
      <c r="AC156" s="5"/>
      <c r="AD156" s="24"/>
      <c r="AE156" s="5"/>
      <c r="AF156" s="5"/>
      <c r="AG156" s="5"/>
      <c r="AH156" s="5"/>
      <c r="AI156" s="5"/>
      <c r="AJ156" s="5"/>
      <c r="AK156" s="25"/>
      <c r="AL156" s="5">
        <v>349</v>
      </c>
      <c r="AM156" s="8">
        <v>1</v>
      </c>
      <c r="AN156" s="8"/>
      <c r="AP156" s="67">
        <f t="shared" si="6"/>
        <v>0</v>
      </c>
      <c r="AQ156" s="76">
        <f t="shared" si="7"/>
        <v>0</v>
      </c>
      <c r="AR156" s="85">
        <v>28</v>
      </c>
      <c r="AT156" s="67">
        <v>0</v>
      </c>
      <c r="AU156" s="67">
        <f t="shared" si="8"/>
        <v>28</v>
      </c>
    </row>
    <row r="157" spans="1:47">
      <c r="A157" s="8">
        <v>350</v>
      </c>
      <c r="B157" s="8" t="s">
        <v>80</v>
      </c>
      <c r="C157" s="8" t="s">
        <v>346</v>
      </c>
      <c r="D157" s="8"/>
      <c r="E157" s="8">
        <v>350</v>
      </c>
      <c r="F157" s="24"/>
      <c r="G157" s="5"/>
      <c r="H157" s="5"/>
      <c r="I157" s="5"/>
      <c r="J157" s="5"/>
      <c r="K157" s="5"/>
      <c r="L157" s="5"/>
      <c r="M157" s="25"/>
      <c r="N157" s="24"/>
      <c r="O157" s="5"/>
      <c r="P157" s="5"/>
      <c r="Q157" s="5"/>
      <c r="R157" s="5"/>
      <c r="S157" s="5"/>
      <c r="T157" s="5"/>
      <c r="U157" s="25"/>
      <c r="V157" s="5"/>
      <c r="W157" s="5"/>
      <c r="X157" s="5"/>
      <c r="Y157" s="5"/>
      <c r="Z157" s="5"/>
      <c r="AA157" s="5"/>
      <c r="AB157" s="5"/>
      <c r="AC157" s="5"/>
      <c r="AD157" s="24"/>
      <c r="AE157" s="5"/>
      <c r="AF157" s="5"/>
      <c r="AG157" s="5"/>
      <c r="AH157" s="5"/>
      <c r="AI157" s="5"/>
      <c r="AJ157" s="5"/>
      <c r="AK157" s="25"/>
      <c r="AL157" s="5">
        <v>350</v>
      </c>
      <c r="AM157" s="8">
        <v>1</v>
      </c>
      <c r="AN157" s="8"/>
      <c r="AP157" s="67">
        <f t="shared" si="6"/>
        <v>0</v>
      </c>
      <c r="AQ157" s="76">
        <f t="shared" si="7"/>
        <v>0</v>
      </c>
      <c r="AR157" s="85">
        <v>17</v>
      </c>
      <c r="AT157" s="67">
        <v>3</v>
      </c>
      <c r="AU157" s="67">
        <f t="shared" si="8"/>
        <v>20</v>
      </c>
    </row>
    <row r="158" spans="1:47">
      <c r="A158" s="8">
        <v>351</v>
      </c>
      <c r="B158" s="8" t="s">
        <v>106</v>
      </c>
      <c r="C158" s="8" t="s">
        <v>349</v>
      </c>
      <c r="D158" s="8" t="s">
        <v>6</v>
      </c>
      <c r="E158" s="8">
        <v>351</v>
      </c>
      <c r="F158" s="24"/>
      <c r="G158" s="5"/>
      <c r="H158" s="5"/>
      <c r="I158" s="5"/>
      <c r="J158" s="5"/>
      <c r="K158" s="5"/>
      <c r="L158" s="5"/>
      <c r="M158" s="25"/>
      <c r="N158" s="24"/>
      <c r="O158" s="5"/>
      <c r="P158" s="5"/>
      <c r="Q158" s="5"/>
      <c r="R158" s="5"/>
      <c r="S158" s="5"/>
      <c r="T158" s="5"/>
      <c r="U158" s="25"/>
      <c r="V158" s="5"/>
      <c r="W158" s="5"/>
      <c r="X158" s="5"/>
      <c r="Y158" s="5"/>
      <c r="Z158" s="5"/>
      <c r="AA158" s="5"/>
      <c r="AB158" s="5"/>
      <c r="AC158" s="5"/>
      <c r="AD158" s="24"/>
      <c r="AE158" s="5"/>
      <c r="AF158" s="5"/>
      <c r="AG158" s="5"/>
      <c r="AH158" s="5"/>
      <c r="AI158" s="5"/>
      <c r="AJ158" s="5"/>
      <c r="AK158" s="25"/>
      <c r="AL158" s="5">
        <v>351</v>
      </c>
      <c r="AM158" s="8">
        <v>1</v>
      </c>
      <c r="AN158" s="8"/>
      <c r="AP158" s="67">
        <f t="shared" si="6"/>
        <v>0</v>
      </c>
      <c r="AQ158" s="76">
        <f t="shared" si="7"/>
        <v>0</v>
      </c>
      <c r="AR158" s="85">
        <v>29</v>
      </c>
      <c r="AT158" s="67">
        <v>3</v>
      </c>
      <c r="AU158" s="67">
        <f t="shared" si="8"/>
        <v>32</v>
      </c>
    </row>
    <row r="159" spans="1:47">
      <c r="A159" s="8">
        <v>354</v>
      </c>
      <c r="B159" s="8" t="s">
        <v>136</v>
      </c>
      <c r="C159" s="8" t="s">
        <v>12</v>
      </c>
      <c r="D159" s="8" t="s">
        <v>42</v>
      </c>
      <c r="E159" s="8">
        <v>354</v>
      </c>
      <c r="F159" s="24"/>
      <c r="G159" s="5"/>
      <c r="H159" s="5"/>
      <c r="I159" s="5"/>
      <c r="J159" s="5"/>
      <c r="K159" s="5"/>
      <c r="L159" s="5"/>
      <c r="M159" s="25"/>
      <c r="N159" s="24"/>
      <c r="O159" s="5"/>
      <c r="P159" s="5"/>
      <c r="Q159" s="5"/>
      <c r="R159" s="5"/>
      <c r="S159" s="5"/>
      <c r="T159" s="5"/>
      <c r="U159" s="25"/>
      <c r="V159" s="5"/>
      <c r="W159" s="5"/>
      <c r="X159" s="5"/>
      <c r="Y159" s="5"/>
      <c r="Z159" s="5"/>
      <c r="AA159" s="5"/>
      <c r="AB159" s="5"/>
      <c r="AC159" s="5"/>
      <c r="AD159" s="24"/>
      <c r="AE159" s="5"/>
      <c r="AF159" s="5"/>
      <c r="AG159" s="5"/>
      <c r="AH159" s="5"/>
      <c r="AI159" s="5"/>
      <c r="AJ159" s="5"/>
      <c r="AK159" s="25"/>
      <c r="AL159" s="5">
        <v>354</v>
      </c>
      <c r="AM159" s="8">
        <v>1</v>
      </c>
      <c r="AN159" s="8"/>
      <c r="AP159" s="67">
        <f t="shared" si="6"/>
        <v>0</v>
      </c>
      <c r="AQ159" s="76">
        <f t="shared" si="7"/>
        <v>0</v>
      </c>
      <c r="AR159" s="85">
        <v>31</v>
      </c>
      <c r="AT159" s="67">
        <v>0</v>
      </c>
      <c r="AU159" s="67">
        <f t="shared" si="8"/>
        <v>31</v>
      </c>
    </row>
    <row r="160" spans="1:47">
      <c r="A160" s="8">
        <v>358</v>
      </c>
      <c r="B160" s="8" t="s">
        <v>136</v>
      </c>
      <c r="C160" s="8" t="s">
        <v>12</v>
      </c>
      <c r="D160" s="8" t="s">
        <v>42</v>
      </c>
      <c r="E160" s="8">
        <v>358</v>
      </c>
      <c r="F160" s="24"/>
      <c r="G160" s="5"/>
      <c r="H160" s="5"/>
      <c r="I160" s="5"/>
      <c r="J160" s="5"/>
      <c r="K160" s="5"/>
      <c r="L160" s="5"/>
      <c r="M160" s="25"/>
      <c r="N160" s="24"/>
      <c r="O160" s="5"/>
      <c r="P160" s="5"/>
      <c r="Q160" s="5"/>
      <c r="R160" s="5"/>
      <c r="S160" s="5"/>
      <c r="T160" s="5"/>
      <c r="U160" s="25"/>
      <c r="V160" s="5"/>
      <c r="W160" s="5"/>
      <c r="X160" s="5"/>
      <c r="Y160" s="5"/>
      <c r="Z160" s="5"/>
      <c r="AA160" s="5"/>
      <c r="AB160" s="5"/>
      <c r="AC160" s="5"/>
      <c r="AD160" s="24"/>
      <c r="AE160" s="5"/>
      <c r="AF160" s="5"/>
      <c r="AG160" s="5"/>
      <c r="AH160" s="5"/>
      <c r="AI160" s="5"/>
      <c r="AJ160" s="5"/>
      <c r="AK160" s="25"/>
      <c r="AL160" s="5">
        <v>358</v>
      </c>
      <c r="AM160" s="8">
        <v>1</v>
      </c>
      <c r="AN160" s="8"/>
      <c r="AP160" s="67">
        <f t="shared" si="6"/>
        <v>0</v>
      </c>
      <c r="AQ160" s="76">
        <f t="shared" si="7"/>
        <v>0</v>
      </c>
      <c r="AR160" s="85">
        <v>31</v>
      </c>
      <c r="AT160" s="67">
        <v>1</v>
      </c>
      <c r="AU160" s="67">
        <f t="shared" si="8"/>
        <v>32</v>
      </c>
    </row>
    <row r="161" spans="1:47">
      <c r="A161" s="8">
        <v>359</v>
      </c>
      <c r="B161" s="8" t="s">
        <v>78</v>
      </c>
      <c r="C161" s="8" t="s">
        <v>359</v>
      </c>
      <c r="D161" s="8"/>
      <c r="E161" s="8">
        <v>359</v>
      </c>
      <c r="F161" s="24"/>
      <c r="G161" s="5"/>
      <c r="H161" s="5"/>
      <c r="I161" s="5"/>
      <c r="J161" s="5"/>
      <c r="K161" s="5"/>
      <c r="L161" s="5"/>
      <c r="M161" s="25"/>
      <c r="N161" s="24"/>
      <c r="O161" s="5"/>
      <c r="P161" s="5"/>
      <c r="Q161" s="5"/>
      <c r="R161" s="5"/>
      <c r="S161" s="5"/>
      <c r="T161" s="5"/>
      <c r="U161" s="25"/>
      <c r="V161" s="5"/>
      <c r="W161" s="5"/>
      <c r="X161" s="5"/>
      <c r="Y161" s="5"/>
      <c r="Z161" s="5"/>
      <c r="AA161" s="5"/>
      <c r="AB161" s="5"/>
      <c r="AC161" s="5"/>
      <c r="AD161" s="24"/>
      <c r="AE161" s="5"/>
      <c r="AF161" s="5"/>
      <c r="AG161" s="5"/>
      <c r="AH161" s="5"/>
      <c r="AI161" s="5"/>
      <c r="AJ161" s="5"/>
      <c r="AK161" s="25"/>
      <c r="AL161" s="5">
        <v>359</v>
      </c>
      <c r="AM161" s="8">
        <v>1</v>
      </c>
      <c r="AN161" s="8"/>
      <c r="AP161" s="67">
        <f t="shared" si="6"/>
        <v>0</v>
      </c>
      <c r="AQ161" s="76">
        <f t="shared" si="7"/>
        <v>0</v>
      </c>
      <c r="AR161" s="85">
        <v>15</v>
      </c>
      <c r="AT161" s="67">
        <v>2</v>
      </c>
      <c r="AU161" s="67">
        <f t="shared" si="8"/>
        <v>17</v>
      </c>
    </row>
    <row r="162" spans="1:47">
      <c r="A162" s="8">
        <v>360</v>
      </c>
      <c r="B162" s="8" t="s">
        <v>71</v>
      </c>
      <c r="C162" s="8" t="s">
        <v>366</v>
      </c>
      <c r="D162" s="8" t="s">
        <v>42</v>
      </c>
      <c r="E162" s="8">
        <v>360</v>
      </c>
      <c r="F162" s="24"/>
      <c r="G162" s="5">
        <v>1</v>
      </c>
      <c r="H162" s="5"/>
      <c r="I162" s="5"/>
      <c r="J162" s="5">
        <v>1</v>
      </c>
      <c r="K162" s="5"/>
      <c r="L162" s="5"/>
      <c r="M162" s="25"/>
      <c r="N162" s="24"/>
      <c r="O162" s="5"/>
      <c r="P162" s="5"/>
      <c r="Q162" s="5">
        <v>1</v>
      </c>
      <c r="R162" s="5"/>
      <c r="S162" s="5">
        <v>1</v>
      </c>
      <c r="T162" s="5"/>
      <c r="U162" s="25"/>
      <c r="V162" s="5"/>
      <c r="W162" s="5"/>
      <c r="X162" s="5"/>
      <c r="Y162" s="5">
        <v>1</v>
      </c>
      <c r="Z162" s="5"/>
      <c r="AA162" s="5"/>
      <c r="AB162" s="5"/>
      <c r="AC162" s="5"/>
      <c r="AD162" s="24"/>
      <c r="AE162" s="5"/>
      <c r="AF162" s="5"/>
      <c r="AG162" s="5"/>
      <c r="AH162" s="5"/>
      <c r="AI162" s="5">
        <v>1</v>
      </c>
      <c r="AJ162" s="5"/>
      <c r="AK162" s="25"/>
      <c r="AL162" s="5">
        <v>360</v>
      </c>
      <c r="AM162" s="8"/>
      <c r="AN162" s="8">
        <v>1</v>
      </c>
      <c r="AP162" s="67">
        <f t="shared" si="6"/>
        <v>6</v>
      </c>
      <c r="AQ162" s="76">
        <f t="shared" si="7"/>
        <v>0.20689655172413793</v>
      </c>
      <c r="AR162" s="85">
        <v>24</v>
      </c>
      <c r="AS162">
        <v>4</v>
      </c>
      <c r="AT162" s="67">
        <v>1</v>
      </c>
      <c r="AU162" s="67">
        <f t="shared" si="8"/>
        <v>29</v>
      </c>
    </row>
    <row r="163" spans="1:47">
      <c r="A163" s="8">
        <v>361</v>
      </c>
      <c r="B163" s="8" t="s">
        <v>55</v>
      </c>
      <c r="C163" s="8" t="s">
        <v>346</v>
      </c>
      <c r="D163" s="8"/>
      <c r="E163" s="8">
        <v>361</v>
      </c>
      <c r="F163" s="24"/>
      <c r="G163" s="5"/>
      <c r="H163" s="5"/>
      <c r="I163" s="5"/>
      <c r="J163" s="5"/>
      <c r="K163" s="5"/>
      <c r="L163" s="5"/>
      <c r="M163" s="25"/>
      <c r="N163" s="24"/>
      <c r="O163" s="5"/>
      <c r="P163" s="5"/>
      <c r="Q163" s="5"/>
      <c r="R163" s="5"/>
      <c r="S163" s="5"/>
      <c r="T163" s="5"/>
      <c r="U163" s="25"/>
      <c r="V163" s="5"/>
      <c r="W163" s="5"/>
      <c r="X163" s="5"/>
      <c r="Y163" s="5"/>
      <c r="Z163" s="5"/>
      <c r="AA163" s="5"/>
      <c r="AB163" s="5"/>
      <c r="AC163" s="5"/>
      <c r="AD163" s="24"/>
      <c r="AE163" s="5"/>
      <c r="AF163" s="5"/>
      <c r="AG163" s="5"/>
      <c r="AH163" s="5"/>
      <c r="AI163" s="5"/>
      <c r="AJ163" s="5"/>
      <c r="AK163" s="25"/>
      <c r="AL163" s="5">
        <v>361</v>
      </c>
      <c r="AM163" s="8">
        <v>1</v>
      </c>
      <c r="AN163" s="8"/>
      <c r="AP163" s="67">
        <f t="shared" si="6"/>
        <v>0</v>
      </c>
      <c r="AQ163" s="76">
        <f t="shared" si="7"/>
        <v>0</v>
      </c>
      <c r="AR163" s="85">
        <v>18</v>
      </c>
      <c r="AT163" s="67">
        <v>2</v>
      </c>
      <c r="AU163" s="67">
        <f t="shared" si="8"/>
        <v>20</v>
      </c>
    </row>
    <row r="164" spans="1:47">
      <c r="A164" s="8">
        <v>363</v>
      </c>
      <c r="B164" s="8" t="s">
        <v>216</v>
      </c>
      <c r="C164" s="8" t="s">
        <v>42</v>
      </c>
      <c r="D164" s="8" t="s">
        <v>6</v>
      </c>
      <c r="E164" s="8">
        <v>363</v>
      </c>
      <c r="F164" s="24"/>
      <c r="G164" s="5"/>
      <c r="H164" s="5"/>
      <c r="I164" s="5"/>
      <c r="J164" s="5"/>
      <c r="K164" s="5"/>
      <c r="L164" s="5"/>
      <c r="M164" s="25"/>
      <c r="N164" s="24"/>
      <c r="O164" s="5"/>
      <c r="P164" s="5"/>
      <c r="Q164" s="5"/>
      <c r="R164" s="5"/>
      <c r="S164" s="5"/>
      <c r="T164" s="5"/>
      <c r="U164" s="25">
        <v>1</v>
      </c>
      <c r="V164" s="5"/>
      <c r="W164" s="5"/>
      <c r="X164" s="5"/>
      <c r="Y164" s="5"/>
      <c r="Z164" s="5"/>
      <c r="AA164" s="5"/>
      <c r="AB164" s="5"/>
      <c r="AC164" s="5"/>
      <c r="AD164" s="24"/>
      <c r="AE164" s="5"/>
      <c r="AF164" s="5"/>
      <c r="AG164" s="5"/>
      <c r="AH164" s="5"/>
      <c r="AI164" s="5"/>
      <c r="AJ164" s="5"/>
      <c r="AK164" s="25"/>
      <c r="AL164" s="5">
        <v>363</v>
      </c>
      <c r="AM164" s="8"/>
      <c r="AN164" s="8">
        <v>1</v>
      </c>
      <c r="AP164" s="67">
        <f t="shared" si="6"/>
        <v>1</v>
      </c>
      <c r="AQ164" s="76">
        <f t="shared" si="7"/>
        <v>3.125E-2</v>
      </c>
      <c r="AR164" s="85">
        <v>30</v>
      </c>
      <c r="AT164" s="67">
        <v>2</v>
      </c>
      <c r="AU164" s="67">
        <f t="shared" si="8"/>
        <v>32</v>
      </c>
    </row>
    <row r="165" spans="1:47">
      <c r="A165" s="8">
        <v>365</v>
      </c>
      <c r="B165" s="8" t="s">
        <v>197</v>
      </c>
      <c r="C165" s="8" t="s">
        <v>357</v>
      </c>
      <c r="D165" s="8"/>
      <c r="E165" s="8">
        <v>365</v>
      </c>
      <c r="F165" s="24"/>
      <c r="G165" s="5"/>
      <c r="H165" s="5"/>
      <c r="I165" s="5"/>
      <c r="J165" s="5"/>
      <c r="K165" s="5"/>
      <c r="L165" s="5"/>
      <c r="M165" s="25"/>
      <c r="N165" s="24"/>
      <c r="O165" s="5"/>
      <c r="P165" s="5"/>
      <c r="Q165" s="5"/>
      <c r="R165" s="5"/>
      <c r="S165" s="5"/>
      <c r="T165" s="5"/>
      <c r="U165" s="25"/>
      <c r="V165" s="5"/>
      <c r="W165" s="5"/>
      <c r="X165" s="5"/>
      <c r="Y165" s="5"/>
      <c r="Z165" s="5"/>
      <c r="AA165" s="5"/>
      <c r="AB165" s="5"/>
      <c r="AC165" s="5"/>
      <c r="AD165" s="24"/>
      <c r="AE165" s="5"/>
      <c r="AF165" s="5"/>
      <c r="AG165" s="5"/>
      <c r="AH165" s="5"/>
      <c r="AI165" s="5"/>
      <c r="AJ165" s="5"/>
      <c r="AK165" s="25"/>
      <c r="AL165" s="5">
        <v>365</v>
      </c>
      <c r="AM165" s="8">
        <v>1</v>
      </c>
      <c r="AN165" s="8"/>
      <c r="AP165" s="67">
        <f t="shared" si="6"/>
        <v>0</v>
      </c>
      <c r="AQ165" s="76">
        <f t="shared" si="7"/>
        <v>0</v>
      </c>
      <c r="AR165" s="85">
        <v>9</v>
      </c>
      <c r="AT165" s="67">
        <v>0</v>
      </c>
      <c r="AU165" s="67">
        <f t="shared" si="8"/>
        <v>9</v>
      </c>
    </row>
    <row r="166" spans="1:47">
      <c r="A166" s="8">
        <v>367</v>
      </c>
      <c r="B166" s="8" t="s">
        <v>80</v>
      </c>
      <c r="C166" s="8" t="s">
        <v>346</v>
      </c>
      <c r="D166" s="8"/>
      <c r="E166" s="8">
        <v>367</v>
      </c>
      <c r="F166" s="24"/>
      <c r="G166" s="5"/>
      <c r="H166" s="5"/>
      <c r="I166" s="5"/>
      <c r="J166" s="5"/>
      <c r="K166" s="5"/>
      <c r="L166" s="5"/>
      <c r="M166" s="25"/>
      <c r="N166" s="24"/>
      <c r="O166" s="5"/>
      <c r="P166" s="5"/>
      <c r="Q166" s="5"/>
      <c r="R166" s="5"/>
      <c r="S166" s="5"/>
      <c r="T166" s="5"/>
      <c r="U166" s="25"/>
      <c r="V166" s="5"/>
      <c r="W166" s="5"/>
      <c r="X166" s="5"/>
      <c r="Y166" s="5"/>
      <c r="Z166" s="5"/>
      <c r="AA166" s="5"/>
      <c r="AB166" s="5"/>
      <c r="AC166" s="5"/>
      <c r="AD166" s="24"/>
      <c r="AE166" s="5"/>
      <c r="AF166" s="5"/>
      <c r="AG166" s="5"/>
      <c r="AH166" s="5"/>
      <c r="AI166" s="5"/>
      <c r="AJ166" s="5"/>
      <c r="AK166" s="25"/>
      <c r="AL166" s="5">
        <v>367</v>
      </c>
      <c r="AM166" s="8">
        <v>1</v>
      </c>
      <c r="AN166" s="8"/>
      <c r="AP166" s="67">
        <f t="shared" si="6"/>
        <v>0</v>
      </c>
      <c r="AQ166" s="76">
        <f t="shared" si="7"/>
        <v>0</v>
      </c>
      <c r="AR166" s="85">
        <v>11</v>
      </c>
      <c r="AT166" s="67">
        <v>9</v>
      </c>
      <c r="AU166" s="67">
        <f t="shared" si="8"/>
        <v>20</v>
      </c>
    </row>
    <row r="167" spans="1:47">
      <c r="A167" s="8">
        <v>371</v>
      </c>
      <c r="B167" s="8" t="s">
        <v>73</v>
      </c>
      <c r="C167" s="8" t="s">
        <v>165</v>
      </c>
      <c r="D167" s="8" t="s">
        <v>42</v>
      </c>
      <c r="E167" s="8">
        <v>371</v>
      </c>
      <c r="F167" s="24"/>
      <c r="G167" s="5"/>
      <c r="H167" s="5"/>
      <c r="I167" s="5"/>
      <c r="J167" s="5"/>
      <c r="K167" s="5"/>
      <c r="L167" s="5"/>
      <c r="M167" s="25"/>
      <c r="N167" s="24"/>
      <c r="O167" s="5"/>
      <c r="P167" s="5"/>
      <c r="Q167" s="5"/>
      <c r="R167" s="5"/>
      <c r="S167" s="5"/>
      <c r="T167" s="5"/>
      <c r="U167" s="25"/>
      <c r="V167" s="5"/>
      <c r="W167" s="5"/>
      <c r="X167" s="5"/>
      <c r="Y167" s="5"/>
      <c r="Z167" s="5"/>
      <c r="AA167" s="5"/>
      <c r="AB167" s="5"/>
      <c r="AC167" s="5"/>
      <c r="AD167" s="24"/>
      <c r="AE167" s="5"/>
      <c r="AF167" s="5"/>
      <c r="AG167" s="5"/>
      <c r="AH167" s="5"/>
      <c r="AI167" s="5"/>
      <c r="AJ167" s="5"/>
      <c r="AK167" s="25"/>
      <c r="AL167" s="5">
        <v>371</v>
      </c>
      <c r="AM167" s="8">
        <v>1</v>
      </c>
      <c r="AN167" s="8"/>
      <c r="AP167" s="67">
        <f t="shared" si="6"/>
        <v>0</v>
      </c>
      <c r="AQ167" s="76">
        <f t="shared" si="7"/>
        <v>0</v>
      </c>
      <c r="AR167" s="85">
        <v>32</v>
      </c>
      <c r="AT167" s="67">
        <v>0</v>
      </c>
      <c r="AU167" s="67">
        <f t="shared" si="8"/>
        <v>32</v>
      </c>
    </row>
    <row r="168" spans="1:47">
      <c r="A168" s="8">
        <v>375</v>
      </c>
      <c r="B168" s="8" t="s">
        <v>44</v>
      </c>
      <c r="C168" s="8" t="s">
        <v>349</v>
      </c>
      <c r="D168" s="8" t="s">
        <v>6</v>
      </c>
      <c r="E168" s="8">
        <v>375</v>
      </c>
      <c r="F168" s="24"/>
      <c r="G168" s="5"/>
      <c r="H168" s="5"/>
      <c r="I168" s="5"/>
      <c r="J168" s="5"/>
      <c r="K168" s="5"/>
      <c r="L168" s="5">
        <v>1</v>
      </c>
      <c r="M168" s="25"/>
      <c r="N168" s="24"/>
      <c r="O168" s="5"/>
      <c r="P168" s="5"/>
      <c r="Q168" s="5">
        <v>1</v>
      </c>
      <c r="R168" s="5"/>
      <c r="S168" s="5"/>
      <c r="T168" s="5"/>
      <c r="U168" s="25"/>
      <c r="V168" s="5"/>
      <c r="W168" s="5"/>
      <c r="X168" s="5"/>
      <c r="Y168" s="5"/>
      <c r="Z168" s="5"/>
      <c r="AA168" s="5"/>
      <c r="AB168" s="5"/>
      <c r="AC168" s="5"/>
      <c r="AD168" s="24"/>
      <c r="AE168" s="5"/>
      <c r="AF168" s="5"/>
      <c r="AG168" s="5"/>
      <c r="AH168" s="5"/>
      <c r="AI168" s="5"/>
      <c r="AJ168" s="5"/>
      <c r="AK168" s="25"/>
      <c r="AL168" s="5">
        <v>375</v>
      </c>
      <c r="AM168" s="8"/>
      <c r="AN168" s="8">
        <v>1</v>
      </c>
      <c r="AP168" s="67">
        <f t="shared" si="6"/>
        <v>2</v>
      </c>
      <c r="AQ168" s="76">
        <f t="shared" si="7"/>
        <v>7.407407407407407E-2</v>
      </c>
      <c r="AR168" s="85">
        <v>11</v>
      </c>
      <c r="AS168">
        <v>14</v>
      </c>
      <c r="AT168" s="67">
        <v>2</v>
      </c>
      <c r="AU168" s="67">
        <f t="shared" si="8"/>
        <v>27</v>
      </c>
    </row>
    <row r="169" spans="1:47">
      <c r="A169" s="8">
        <v>376</v>
      </c>
      <c r="B169" s="8" t="s">
        <v>106</v>
      </c>
      <c r="C169" s="8" t="s">
        <v>349</v>
      </c>
      <c r="D169" s="8" t="s">
        <v>6</v>
      </c>
      <c r="E169" s="8">
        <v>376</v>
      </c>
      <c r="F169" s="24"/>
      <c r="G169" s="5"/>
      <c r="H169" s="5">
        <v>1</v>
      </c>
      <c r="I169" s="5"/>
      <c r="J169" s="5"/>
      <c r="K169" s="5"/>
      <c r="L169" s="5"/>
      <c r="M169" s="25"/>
      <c r="N169" s="24"/>
      <c r="O169" s="5"/>
      <c r="P169" s="5"/>
      <c r="Q169" s="5"/>
      <c r="R169" s="5"/>
      <c r="S169" s="5"/>
      <c r="T169" s="5"/>
      <c r="U169" s="25"/>
      <c r="V169" s="5"/>
      <c r="W169" s="5"/>
      <c r="X169" s="5"/>
      <c r="Y169" s="5"/>
      <c r="Z169" s="5"/>
      <c r="AA169" s="5"/>
      <c r="AB169" s="5"/>
      <c r="AC169" s="5"/>
      <c r="AD169" s="24"/>
      <c r="AE169" s="5"/>
      <c r="AF169" s="5">
        <v>1</v>
      </c>
      <c r="AG169" s="5">
        <v>1</v>
      </c>
      <c r="AH169" s="5"/>
      <c r="AI169" s="5"/>
      <c r="AJ169" s="5"/>
      <c r="AK169" s="25"/>
      <c r="AL169" s="5">
        <v>376</v>
      </c>
      <c r="AM169" s="8"/>
      <c r="AN169" s="8">
        <v>1</v>
      </c>
      <c r="AP169" s="67">
        <f t="shared" si="6"/>
        <v>3</v>
      </c>
      <c r="AQ169" s="76">
        <f t="shared" si="7"/>
        <v>0.11538461538461539</v>
      </c>
      <c r="AR169" s="85">
        <v>2</v>
      </c>
      <c r="AS169">
        <v>21</v>
      </c>
      <c r="AT169" s="67">
        <v>3</v>
      </c>
      <c r="AU169" s="67">
        <f t="shared" si="8"/>
        <v>26</v>
      </c>
    </row>
    <row r="170" spans="1:47">
      <c r="A170" s="8">
        <v>377</v>
      </c>
      <c r="B170" s="8" t="s">
        <v>62</v>
      </c>
      <c r="C170" s="8" t="s">
        <v>42</v>
      </c>
      <c r="D170" s="8" t="s">
        <v>6</v>
      </c>
      <c r="E170" s="8">
        <v>377</v>
      </c>
      <c r="F170" s="24"/>
      <c r="G170" s="5"/>
      <c r="H170" s="5"/>
      <c r="I170" s="5"/>
      <c r="J170" s="5"/>
      <c r="K170" s="5"/>
      <c r="L170" s="5"/>
      <c r="M170" s="25"/>
      <c r="N170" s="24"/>
      <c r="O170" s="5"/>
      <c r="P170" s="5"/>
      <c r="Q170" s="5"/>
      <c r="R170" s="5"/>
      <c r="S170" s="5"/>
      <c r="T170" s="5"/>
      <c r="U170" s="25"/>
      <c r="V170" s="5"/>
      <c r="W170" s="5"/>
      <c r="X170" s="5">
        <v>1</v>
      </c>
      <c r="Y170" s="5"/>
      <c r="Z170" s="5"/>
      <c r="AA170" s="5"/>
      <c r="AB170" s="5"/>
      <c r="AC170" s="5"/>
      <c r="AD170" s="24"/>
      <c r="AE170" s="5"/>
      <c r="AF170" s="5"/>
      <c r="AG170" s="5"/>
      <c r="AH170" s="5"/>
      <c r="AI170" s="5">
        <v>1</v>
      </c>
      <c r="AJ170" s="5"/>
      <c r="AK170" s="25"/>
      <c r="AL170" s="5">
        <v>377</v>
      </c>
      <c r="AM170" s="8"/>
      <c r="AN170" s="8">
        <v>1</v>
      </c>
      <c r="AP170" s="67">
        <f t="shared" si="6"/>
        <v>2</v>
      </c>
      <c r="AQ170" s="76">
        <f t="shared" si="7"/>
        <v>6.4516129032258063E-2</v>
      </c>
      <c r="AR170" s="85">
        <v>28</v>
      </c>
      <c r="AT170" s="67">
        <v>3</v>
      </c>
      <c r="AU170" s="67">
        <f t="shared" si="8"/>
        <v>31</v>
      </c>
    </row>
    <row r="171" spans="1:47">
      <c r="A171" s="8">
        <v>380</v>
      </c>
      <c r="B171" s="8" t="s">
        <v>136</v>
      </c>
      <c r="C171" s="8" t="s">
        <v>12</v>
      </c>
      <c r="D171" s="8" t="s">
        <v>42</v>
      </c>
      <c r="E171" s="8">
        <v>380</v>
      </c>
      <c r="F171" s="24"/>
      <c r="G171" s="5"/>
      <c r="H171" s="5"/>
      <c r="I171" s="5"/>
      <c r="J171" s="5"/>
      <c r="K171" s="5"/>
      <c r="L171" s="5"/>
      <c r="M171" s="25"/>
      <c r="N171" s="24"/>
      <c r="O171" s="5"/>
      <c r="P171" s="5"/>
      <c r="Q171" s="5"/>
      <c r="R171" s="5"/>
      <c r="S171" s="5"/>
      <c r="T171" s="5"/>
      <c r="U171" s="25"/>
      <c r="V171" s="5"/>
      <c r="W171" s="5"/>
      <c r="X171" s="5"/>
      <c r="Y171" s="5"/>
      <c r="Z171" s="5"/>
      <c r="AA171" s="5"/>
      <c r="AB171" s="5"/>
      <c r="AC171" s="5"/>
      <c r="AD171" s="24"/>
      <c r="AE171" s="5"/>
      <c r="AF171" s="5"/>
      <c r="AG171" s="5"/>
      <c r="AH171" s="5"/>
      <c r="AI171" s="5"/>
      <c r="AJ171" s="5"/>
      <c r="AK171" s="25"/>
      <c r="AL171" s="5">
        <v>380</v>
      </c>
      <c r="AM171" s="8">
        <v>1</v>
      </c>
      <c r="AN171" s="8"/>
      <c r="AP171" s="67">
        <f t="shared" si="6"/>
        <v>0</v>
      </c>
      <c r="AQ171" s="76">
        <f t="shared" si="7"/>
        <v>0</v>
      </c>
      <c r="AR171" s="85">
        <v>30</v>
      </c>
      <c r="AT171" s="67">
        <v>0</v>
      </c>
      <c r="AU171" s="67">
        <f t="shared" si="8"/>
        <v>30</v>
      </c>
    </row>
    <row r="172" spans="1:47">
      <c r="A172" s="8">
        <v>386</v>
      </c>
      <c r="B172" s="8" t="s">
        <v>80</v>
      </c>
      <c r="C172" s="8" t="s">
        <v>346</v>
      </c>
      <c r="D172" s="8"/>
      <c r="E172" s="8">
        <v>386</v>
      </c>
      <c r="F172" s="24"/>
      <c r="G172" s="5"/>
      <c r="H172" s="5"/>
      <c r="I172" s="5"/>
      <c r="J172" s="5"/>
      <c r="K172" s="5"/>
      <c r="L172" s="5"/>
      <c r="M172" s="25"/>
      <c r="N172" s="24"/>
      <c r="O172" s="5"/>
      <c r="P172" s="5"/>
      <c r="Q172" s="5"/>
      <c r="R172" s="5"/>
      <c r="S172" s="5"/>
      <c r="T172" s="5"/>
      <c r="U172" s="25"/>
      <c r="V172" s="5"/>
      <c r="W172" s="5"/>
      <c r="X172" s="5"/>
      <c r="Y172" s="5"/>
      <c r="Z172" s="5"/>
      <c r="AA172" s="5"/>
      <c r="AB172" s="5"/>
      <c r="AC172" s="5"/>
      <c r="AD172" s="24"/>
      <c r="AE172" s="5"/>
      <c r="AF172" s="5"/>
      <c r="AG172" s="5"/>
      <c r="AH172" s="5"/>
      <c r="AI172" s="5"/>
      <c r="AJ172" s="5"/>
      <c r="AK172" s="25"/>
      <c r="AL172" s="5">
        <v>386</v>
      </c>
      <c r="AM172" s="8">
        <v>1</v>
      </c>
      <c r="AN172" s="8"/>
      <c r="AP172" s="67">
        <f t="shared" si="6"/>
        <v>0</v>
      </c>
      <c r="AQ172" s="76">
        <f t="shared" si="7"/>
        <v>0</v>
      </c>
      <c r="AR172" s="85">
        <v>16</v>
      </c>
      <c r="AT172" s="67">
        <v>4</v>
      </c>
      <c r="AU172" s="67">
        <f t="shared" si="8"/>
        <v>20</v>
      </c>
    </row>
    <row r="173" spans="1:47">
      <c r="A173" s="8">
        <v>392</v>
      </c>
      <c r="B173" s="8" t="s">
        <v>80</v>
      </c>
      <c r="C173" s="8" t="s">
        <v>346</v>
      </c>
      <c r="D173" s="8"/>
      <c r="E173" s="8">
        <v>392</v>
      </c>
      <c r="F173" s="24"/>
      <c r="G173" s="5"/>
      <c r="H173" s="5"/>
      <c r="I173" s="5"/>
      <c r="J173" s="5"/>
      <c r="K173" s="5"/>
      <c r="L173" s="5"/>
      <c r="M173" s="25"/>
      <c r="N173" s="24"/>
      <c r="O173" s="5"/>
      <c r="P173" s="5"/>
      <c r="Q173" s="5"/>
      <c r="R173" s="5"/>
      <c r="S173" s="5"/>
      <c r="T173" s="5"/>
      <c r="U173" s="25"/>
      <c r="V173" s="5"/>
      <c r="W173" s="5"/>
      <c r="X173" s="5"/>
      <c r="Y173" s="5"/>
      <c r="Z173" s="5"/>
      <c r="AA173" s="5"/>
      <c r="AB173" s="5"/>
      <c r="AC173" s="5"/>
      <c r="AD173" s="24"/>
      <c r="AE173" s="5"/>
      <c r="AF173" s="5"/>
      <c r="AG173" s="5"/>
      <c r="AH173" s="5"/>
      <c r="AI173" s="5"/>
      <c r="AJ173" s="5"/>
      <c r="AK173" s="25"/>
      <c r="AL173" s="5">
        <v>392</v>
      </c>
      <c r="AM173" s="8">
        <v>1</v>
      </c>
      <c r="AN173" s="8"/>
      <c r="AP173" s="67">
        <f t="shared" si="6"/>
        <v>0</v>
      </c>
      <c r="AQ173" s="76">
        <f t="shared" si="7"/>
        <v>0</v>
      </c>
      <c r="AR173" s="85">
        <v>16</v>
      </c>
      <c r="AT173" s="67">
        <v>4</v>
      </c>
      <c r="AU173" s="67">
        <f t="shared" si="8"/>
        <v>20</v>
      </c>
    </row>
    <row r="174" spans="1:47">
      <c r="A174" s="8">
        <v>401</v>
      </c>
      <c r="B174" s="8" t="s">
        <v>123</v>
      </c>
      <c r="C174" s="8" t="s">
        <v>366</v>
      </c>
      <c r="D174" s="8" t="s">
        <v>42</v>
      </c>
      <c r="E174" s="8">
        <v>401</v>
      </c>
      <c r="F174" s="24"/>
      <c r="G174" s="5"/>
      <c r="H174" s="5"/>
      <c r="I174" s="5"/>
      <c r="J174" s="5">
        <v>1</v>
      </c>
      <c r="K174" s="5">
        <v>1</v>
      </c>
      <c r="L174" s="5"/>
      <c r="M174" s="25"/>
      <c r="N174" s="24"/>
      <c r="O174" s="5"/>
      <c r="P174" s="5">
        <v>1</v>
      </c>
      <c r="Q174" s="5"/>
      <c r="R174" s="5">
        <v>1</v>
      </c>
      <c r="S174" s="5">
        <v>1</v>
      </c>
      <c r="T174" s="5"/>
      <c r="U174" s="25"/>
      <c r="V174" s="5"/>
      <c r="W174" s="5"/>
      <c r="X174" s="5"/>
      <c r="Y174" s="5"/>
      <c r="Z174" s="5"/>
      <c r="AA174" s="5"/>
      <c r="AB174" s="5"/>
      <c r="AC174" s="5"/>
      <c r="AD174" s="24"/>
      <c r="AE174" s="5"/>
      <c r="AF174" s="5"/>
      <c r="AG174" s="5"/>
      <c r="AH174" s="5">
        <v>1</v>
      </c>
      <c r="AI174" s="5"/>
      <c r="AJ174" s="5"/>
      <c r="AK174" s="25"/>
      <c r="AL174" s="5">
        <v>401</v>
      </c>
      <c r="AM174" s="8"/>
      <c r="AN174" s="8">
        <v>1</v>
      </c>
      <c r="AP174" s="67">
        <f t="shared" si="6"/>
        <v>6</v>
      </c>
      <c r="AQ174" s="76">
        <f t="shared" si="7"/>
        <v>0.2</v>
      </c>
      <c r="AR174" s="85">
        <v>23</v>
      </c>
      <c r="AS174">
        <v>7</v>
      </c>
      <c r="AT174" s="67">
        <v>0</v>
      </c>
      <c r="AU174" s="67">
        <f t="shared" si="8"/>
        <v>30</v>
      </c>
    </row>
    <row r="175" spans="1:47">
      <c r="A175" s="8">
        <v>402</v>
      </c>
      <c r="B175" s="8" t="s">
        <v>88</v>
      </c>
      <c r="C175" s="8" t="s">
        <v>12</v>
      </c>
      <c r="D175" s="8" t="s">
        <v>6</v>
      </c>
      <c r="E175" s="8">
        <v>402</v>
      </c>
      <c r="F175" s="24"/>
      <c r="G175" s="5"/>
      <c r="H175" s="5"/>
      <c r="I175" s="5"/>
      <c r="J175" s="5"/>
      <c r="K175" s="5"/>
      <c r="L175" s="5"/>
      <c r="M175" s="25"/>
      <c r="N175" s="24"/>
      <c r="O175" s="5"/>
      <c r="P175" s="5"/>
      <c r="Q175" s="5"/>
      <c r="R175" s="5"/>
      <c r="S175" s="5"/>
      <c r="T175" s="5"/>
      <c r="U175" s="25"/>
      <c r="V175" s="5"/>
      <c r="W175" s="5"/>
      <c r="X175" s="5"/>
      <c r="Y175" s="5"/>
      <c r="Z175" s="5"/>
      <c r="AA175" s="5"/>
      <c r="AB175" s="5"/>
      <c r="AC175" s="5"/>
      <c r="AD175" s="24"/>
      <c r="AE175" s="5"/>
      <c r="AF175" s="5"/>
      <c r="AG175" s="5"/>
      <c r="AH175" s="5"/>
      <c r="AI175" s="5"/>
      <c r="AJ175" s="5"/>
      <c r="AK175" s="25"/>
      <c r="AL175" s="5">
        <v>402</v>
      </c>
      <c r="AM175" s="8">
        <v>1</v>
      </c>
      <c r="AN175" s="8"/>
      <c r="AP175" s="67">
        <f t="shared" si="6"/>
        <v>0</v>
      </c>
      <c r="AQ175" s="76">
        <f t="shared" si="7"/>
        <v>0</v>
      </c>
      <c r="AR175" s="85">
        <v>32</v>
      </c>
      <c r="AT175" s="67">
        <v>0</v>
      </c>
      <c r="AU175" s="67">
        <f t="shared" si="8"/>
        <v>32</v>
      </c>
    </row>
    <row r="176" spans="1:47">
      <c r="A176" s="8">
        <v>412</v>
      </c>
      <c r="B176" s="8" t="s">
        <v>41</v>
      </c>
      <c r="C176" s="8" t="s">
        <v>42</v>
      </c>
      <c r="D176" s="8" t="s">
        <v>42</v>
      </c>
      <c r="E176" s="8">
        <v>412</v>
      </c>
      <c r="F176" s="24"/>
      <c r="G176" s="5"/>
      <c r="H176" s="5"/>
      <c r="I176" s="5"/>
      <c r="J176" s="5"/>
      <c r="K176" s="5"/>
      <c r="L176" s="5"/>
      <c r="M176" s="25"/>
      <c r="N176" s="24"/>
      <c r="O176" s="5"/>
      <c r="P176" s="5"/>
      <c r="Q176" s="5"/>
      <c r="R176" s="5"/>
      <c r="S176" s="5"/>
      <c r="T176" s="5"/>
      <c r="U176" s="25"/>
      <c r="V176" s="5"/>
      <c r="W176" s="5"/>
      <c r="X176" s="5"/>
      <c r="Y176" s="5"/>
      <c r="Z176" s="5"/>
      <c r="AA176" s="5"/>
      <c r="AB176" s="5"/>
      <c r="AC176" s="5"/>
      <c r="AD176" s="24"/>
      <c r="AE176" s="5"/>
      <c r="AF176" s="5"/>
      <c r="AG176" s="5"/>
      <c r="AH176" s="5"/>
      <c r="AI176" s="5"/>
      <c r="AJ176" s="5">
        <v>1</v>
      </c>
      <c r="AK176" s="25"/>
      <c r="AL176" s="5">
        <v>412</v>
      </c>
      <c r="AM176" s="8"/>
      <c r="AN176" s="8">
        <v>1</v>
      </c>
      <c r="AP176" s="67">
        <f t="shared" si="6"/>
        <v>1</v>
      </c>
      <c r="AQ176" s="76">
        <f t="shared" si="7"/>
        <v>3.125E-2</v>
      </c>
      <c r="AR176" s="85">
        <v>29</v>
      </c>
      <c r="AS176">
        <v>1</v>
      </c>
      <c r="AT176" s="67">
        <v>2</v>
      </c>
      <c r="AU176" s="67">
        <f t="shared" si="8"/>
        <v>32</v>
      </c>
    </row>
    <row r="177" spans="1:47">
      <c r="A177" s="8">
        <v>414</v>
      </c>
      <c r="B177" s="8" t="s">
        <v>62</v>
      </c>
      <c r="C177" s="8" t="s">
        <v>42</v>
      </c>
      <c r="D177" s="8" t="s">
        <v>42</v>
      </c>
      <c r="E177" s="8">
        <v>414</v>
      </c>
      <c r="F177" s="24"/>
      <c r="G177" s="5"/>
      <c r="H177" s="5"/>
      <c r="I177" s="5"/>
      <c r="J177" s="5"/>
      <c r="K177" s="5"/>
      <c r="L177" s="5"/>
      <c r="M177" s="25"/>
      <c r="N177" s="24"/>
      <c r="O177" s="5"/>
      <c r="P177" s="5"/>
      <c r="Q177" s="5"/>
      <c r="R177" s="5"/>
      <c r="S177" s="5"/>
      <c r="T177" s="5"/>
      <c r="U177" s="25"/>
      <c r="V177" s="5"/>
      <c r="W177" s="5"/>
      <c r="X177" s="5"/>
      <c r="Y177" s="5"/>
      <c r="Z177" s="5"/>
      <c r="AA177" s="5"/>
      <c r="AB177" s="5"/>
      <c r="AC177" s="5"/>
      <c r="AD177" s="24"/>
      <c r="AE177" s="5"/>
      <c r="AF177" s="5"/>
      <c r="AG177" s="5"/>
      <c r="AH177" s="5"/>
      <c r="AI177" s="5"/>
      <c r="AJ177" s="5"/>
      <c r="AK177" s="25"/>
      <c r="AL177" s="5">
        <v>414</v>
      </c>
      <c r="AM177" s="8">
        <v>1</v>
      </c>
      <c r="AN177" s="8"/>
      <c r="AP177" s="67">
        <f t="shared" si="6"/>
        <v>0</v>
      </c>
      <c r="AQ177" s="76">
        <f t="shared" si="7"/>
        <v>0</v>
      </c>
      <c r="AR177" s="85">
        <v>32</v>
      </c>
      <c r="AT177" s="67">
        <v>0</v>
      </c>
      <c r="AU177" s="67">
        <f t="shared" si="8"/>
        <v>32</v>
      </c>
    </row>
    <row r="178" spans="1:47">
      <c r="A178" s="8">
        <v>417</v>
      </c>
      <c r="B178" s="8" t="s">
        <v>78</v>
      </c>
      <c r="C178" s="8" t="s">
        <v>359</v>
      </c>
      <c r="D178" s="8"/>
      <c r="E178" s="8">
        <v>417</v>
      </c>
      <c r="F178" s="24"/>
      <c r="G178" s="5"/>
      <c r="H178" s="5"/>
      <c r="I178" s="5"/>
      <c r="J178" s="5"/>
      <c r="K178" s="5"/>
      <c r="L178" s="5"/>
      <c r="M178" s="25"/>
      <c r="N178" s="24"/>
      <c r="O178" s="5"/>
      <c r="P178" s="5"/>
      <c r="Q178" s="5"/>
      <c r="R178" s="5"/>
      <c r="S178" s="5"/>
      <c r="T178" s="5"/>
      <c r="U178" s="25"/>
      <c r="V178" s="5"/>
      <c r="W178" s="5"/>
      <c r="X178" s="5"/>
      <c r="Y178" s="5"/>
      <c r="Z178" s="5"/>
      <c r="AA178" s="5"/>
      <c r="AB178" s="5"/>
      <c r="AC178" s="5"/>
      <c r="AD178" s="24"/>
      <c r="AE178" s="5"/>
      <c r="AF178" s="5"/>
      <c r="AG178" s="5"/>
      <c r="AH178" s="5"/>
      <c r="AI178" s="5"/>
      <c r="AJ178" s="5"/>
      <c r="AK178" s="25"/>
      <c r="AL178" s="5">
        <v>417</v>
      </c>
      <c r="AM178" s="8">
        <v>1</v>
      </c>
      <c r="AN178" s="8"/>
      <c r="AP178" s="67">
        <f t="shared" si="6"/>
        <v>0</v>
      </c>
      <c r="AQ178" s="76">
        <f t="shared" si="7"/>
        <v>0</v>
      </c>
      <c r="AR178" s="85">
        <v>23</v>
      </c>
      <c r="AT178" s="67">
        <v>1</v>
      </c>
      <c r="AU178" s="67">
        <f t="shared" si="8"/>
        <v>24</v>
      </c>
    </row>
    <row r="179" spans="1:47">
      <c r="A179" s="8">
        <v>418</v>
      </c>
      <c r="B179" s="8" t="s">
        <v>80</v>
      </c>
      <c r="C179" s="8" t="s">
        <v>346</v>
      </c>
      <c r="D179" s="8"/>
      <c r="E179" s="8">
        <v>418</v>
      </c>
      <c r="F179" s="24"/>
      <c r="G179" s="5"/>
      <c r="H179" s="5"/>
      <c r="I179" s="5"/>
      <c r="J179" s="5"/>
      <c r="K179" s="5"/>
      <c r="L179" s="5"/>
      <c r="M179" s="25"/>
      <c r="N179" s="24"/>
      <c r="O179" s="5"/>
      <c r="P179" s="5"/>
      <c r="Q179" s="5"/>
      <c r="R179" s="5"/>
      <c r="S179" s="5"/>
      <c r="T179" s="5"/>
      <c r="U179" s="25"/>
      <c r="V179" s="5"/>
      <c r="W179" s="5"/>
      <c r="X179" s="5"/>
      <c r="Y179" s="5"/>
      <c r="Z179" s="5"/>
      <c r="AA179" s="5"/>
      <c r="AB179" s="5"/>
      <c r="AC179" s="5"/>
      <c r="AD179" s="24"/>
      <c r="AE179" s="5"/>
      <c r="AF179" s="5"/>
      <c r="AG179" s="5"/>
      <c r="AH179" s="5"/>
      <c r="AI179" s="5"/>
      <c r="AJ179" s="5"/>
      <c r="AK179" s="25"/>
      <c r="AL179" s="5">
        <v>418</v>
      </c>
      <c r="AM179" s="8">
        <v>1</v>
      </c>
      <c r="AN179" s="8"/>
      <c r="AP179" s="67">
        <f t="shared" si="6"/>
        <v>0</v>
      </c>
      <c r="AQ179" s="76">
        <f t="shared" si="7"/>
        <v>0</v>
      </c>
      <c r="AR179" s="85">
        <v>19</v>
      </c>
      <c r="AT179" s="67">
        <v>1</v>
      </c>
      <c r="AU179" s="67">
        <f t="shared" si="8"/>
        <v>20</v>
      </c>
    </row>
    <row r="180" spans="1:47">
      <c r="A180" s="8">
        <v>419</v>
      </c>
      <c r="B180" s="8" t="s">
        <v>123</v>
      </c>
      <c r="C180" s="8" t="s">
        <v>366</v>
      </c>
      <c r="D180" s="8" t="s">
        <v>6</v>
      </c>
      <c r="E180" s="8">
        <v>419</v>
      </c>
      <c r="F180" s="24"/>
      <c r="G180" s="5"/>
      <c r="H180" s="5"/>
      <c r="I180" s="5"/>
      <c r="J180" s="5"/>
      <c r="K180" s="5"/>
      <c r="L180" s="5"/>
      <c r="M180" s="25"/>
      <c r="N180" s="24"/>
      <c r="O180" s="5"/>
      <c r="P180" s="5"/>
      <c r="Q180" s="5"/>
      <c r="R180" s="5"/>
      <c r="S180" s="5"/>
      <c r="T180" s="5"/>
      <c r="U180" s="25"/>
      <c r="V180" s="5"/>
      <c r="W180" s="5"/>
      <c r="X180" s="5"/>
      <c r="Y180" s="5"/>
      <c r="Z180" s="5"/>
      <c r="AA180" s="5"/>
      <c r="AB180" s="5"/>
      <c r="AC180" s="5"/>
      <c r="AD180" s="24"/>
      <c r="AE180" s="5"/>
      <c r="AF180" s="5"/>
      <c r="AG180" s="5"/>
      <c r="AH180" s="5"/>
      <c r="AI180" s="5"/>
      <c r="AJ180" s="5"/>
      <c r="AK180" s="25"/>
      <c r="AL180" s="5">
        <v>419</v>
      </c>
      <c r="AM180" s="8">
        <v>1</v>
      </c>
      <c r="AN180" s="8"/>
      <c r="AP180" s="67">
        <f t="shared" si="6"/>
        <v>0</v>
      </c>
      <c r="AQ180" s="76">
        <f t="shared" si="7"/>
        <v>0</v>
      </c>
      <c r="AR180" s="85">
        <v>27</v>
      </c>
      <c r="AS180">
        <v>2</v>
      </c>
      <c r="AT180" s="67">
        <v>0</v>
      </c>
      <c r="AU180" s="67">
        <f t="shared" si="8"/>
        <v>29</v>
      </c>
    </row>
    <row r="181" spans="1:47">
      <c r="A181" s="8">
        <v>421</v>
      </c>
      <c r="B181" s="8" t="s">
        <v>41</v>
      </c>
      <c r="C181" s="8" t="s">
        <v>42</v>
      </c>
      <c r="D181" s="8" t="s">
        <v>6</v>
      </c>
      <c r="E181" s="8">
        <v>421</v>
      </c>
      <c r="F181" s="24"/>
      <c r="G181" s="5"/>
      <c r="H181" s="5"/>
      <c r="I181" s="5"/>
      <c r="J181" s="5"/>
      <c r="K181" s="5"/>
      <c r="L181" s="5"/>
      <c r="M181" s="25"/>
      <c r="N181" s="24"/>
      <c r="O181" s="5"/>
      <c r="P181" s="5"/>
      <c r="Q181" s="5"/>
      <c r="R181" s="5"/>
      <c r="S181" s="5"/>
      <c r="T181" s="5"/>
      <c r="U181" s="25"/>
      <c r="V181" s="5"/>
      <c r="W181" s="5"/>
      <c r="X181" s="5"/>
      <c r="Y181" s="5"/>
      <c r="Z181" s="5"/>
      <c r="AA181" s="5"/>
      <c r="AB181" s="5"/>
      <c r="AC181" s="5"/>
      <c r="AD181" s="24"/>
      <c r="AE181" s="5"/>
      <c r="AF181" s="5"/>
      <c r="AG181" s="5"/>
      <c r="AH181" s="5"/>
      <c r="AI181" s="5"/>
      <c r="AJ181" s="5"/>
      <c r="AK181" s="25"/>
      <c r="AL181" s="5">
        <v>421</v>
      </c>
      <c r="AM181" s="8">
        <v>1</v>
      </c>
      <c r="AN181" s="8"/>
      <c r="AP181" s="67">
        <f t="shared" si="6"/>
        <v>0</v>
      </c>
      <c r="AQ181" s="76">
        <f t="shared" si="7"/>
        <v>0</v>
      </c>
      <c r="AR181" s="85">
        <v>32</v>
      </c>
      <c r="AT181" s="67">
        <v>0</v>
      </c>
      <c r="AU181" s="67">
        <f t="shared" si="8"/>
        <v>32</v>
      </c>
    </row>
    <row r="182" spans="1:47">
      <c r="A182" s="8">
        <v>424</v>
      </c>
      <c r="B182" s="8" t="s">
        <v>63</v>
      </c>
      <c r="C182" s="8" t="s">
        <v>346</v>
      </c>
      <c r="D182" s="8"/>
      <c r="E182" s="8">
        <v>424</v>
      </c>
      <c r="F182" s="24"/>
      <c r="G182" s="5"/>
      <c r="H182" s="5"/>
      <c r="I182" s="5"/>
      <c r="J182" s="5"/>
      <c r="K182" s="5"/>
      <c r="L182" s="5"/>
      <c r="M182" s="25"/>
      <c r="N182" s="24"/>
      <c r="O182" s="5"/>
      <c r="P182" s="5"/>
      <c r="Q182" s="5"/>
      <c r="R182" s="5"/>
      <c r="S182" s="5"/>
      <c r="T182" s="5"/>
      <c r="U182" s="25"/>
      <c r="V182" s="5"/>
      <c r="W182" s="5"/>
      <c r="X182" s="5"/>
      <c r="Y182" s="5"/>
      <c r="Z182" s="5"/>
      <c r="AA182" s="5"/>
      <c r="AB182" s="5"/>
      <c r="AC182" s="5"/>
      <c r="AD182" s="24"/>
      <c r="AE182" s="5"/>
      <c r="AF182" s="5"/>
      <c r="AG182" s="5"/>
      <c r="AH182" s="5"/>
      <c r="AI182" s="5"/>
      <c r="AJ182" s="5"/>
      <c r="AK182" s="25"/>
      <c r="AL182" s="5">
        <v>424</v>
      </c>
      <c r="AM182" s="8">
        <v>1</v>
      </c>
      <c r="AN182" s="8"/>
      <c r="AP182" s="67">
        <f t="shared" si="6"/>
        <v>0</v>
      </c>
      <c r="AQ182" s="76">
        <f t="shared" si="7"/>
        <v>0</v>
      </c>
      <c r="AR182" s="85">
        <v>8</v>
      </c>
      <c r="AT182" s="67">
        <v>3</v>
      </c>
      <c r="AU182" s="67">
        <f t="shared" si="8"/>
        <v>11</v>
      </c>
    </row>
    <row r="183" spans="1:47">
      <c r="A183" s="8">
        <v>425</v>
      </c>
      <c r="B183" s="8" t="s">
        <v>63</v>
      </c>
      <c r="C183" s="8" t="s">
        <v>346</v>
      </c>
      <c r="D183" s="8"/>
      <c r="E183" s="8">
        <v>425</v>
      </c>
      <c r="F183" s="24"/>
      <c r="G183" s="5"/>
      <c r="H183" s="5"/>
      <c r="I183" s="5"/>
      <c r="J183" s="5"/>
      <c r="K183" s="5"/>
      <c r="L183" s="5"/>
      <c r="M183" s="25"/>
      <c r="N183" s="24"/>
      <c r="O183" s="5"/>
      <c r="P183" s="5"/>
      <c r="Q183" s="5"/>
      <c r="R183" s="5"/>
      <c r="S183" s="5"/>
      <c r="T183" s="5"/>
      <c r="U183" s="25"/>
      <c r="V183" s="5"/>
      <c r="W183" s="5"/>
      <c r="X183" s="5"/>
      <c r="Y183" s="5"/>
      <c r="Z183" s="5"/>
      <c r="AA183" s="5"/>
      <c r="AB183" s="5"/>
      <c r="AC183" s="5"/>
      <c r="AD183" s="24"/>
      <c r="AE183" s="5"/>
      <c r="AF183" s="5"/>
      <c r="AG183" s="5"/>
      <c r="AH183" s="5"/>
      <c r="AI183" s="5"/>
      <c r="AJ183" s="5"/>
      <c r="AK183" s="25"/>
      <c r="AL183" s="5">
        <v>425</v>
      </c>
      <c r="AM183" s="8">
        <v>1</v>
      </c>
      <c r="AN183" s="8"/>
      <c r="AP183" s="67">
        <f t="shared" si="6"/>
        <v>0</v>
      </c>
      <c r="AQ183" s="76">
        <f t="shared" si="7"/>
        <v>0</v>
      </c>
      <c r="AR183" s="85">
        <v>7</v>
      </c>
      <c r="AT183" s="67">
        <v>5</v>
      </c>
      <c r="AU183" s="67">
        <f t="shared" si="8"/>
        <v>12</v>
      </c>
    </row>
    <row r="184" spans="1:47">
      <c r="A184" s="8">
        <v>426</v>
      </c>
      <c r="B184" s="8" t="s">
        <v>44</v>
      </c>
      <c r="C184" s="8" t="s">
        <v>349</v>
      </c>
      <c r="D184" s="8" t="s">
        <v>6</v>
      </c>
      <c r="E184" s="8">
        <v>426</v>
      </c>
      <c r="F184" s="24"/>
      <c r="G184" s="5"/>
      <c r="H184" s="5"/>
      <c r="I184" s="5"/>
      <c r="J184" s="5">
        <v>1</v>
      </c>
      <c r="K184" s="5">
        <v>1</v>
      </c>
      <c r="L184" s="5"/>
      <c r="M184" s="25"/>
      <c r="N184" s="24"/>
      <c r="O184" s="5"/>
      <c r="P184" s="5">
        <v>1</v>
      </c>
      <c r="Q184" s="5">
        <v>1</v>
      </c>
      <c r="R184" s="5"/>
      <c r="S184" s="5"/>
      <c r="T184" s="5"/>
      <c r="U184" s="25"/>
      <c r="V184" s="5"/>
      <c r="W184" s="5"/>
      <c r="X184" s="5"/>
      <c r="Y184" s="5"/>
      <c r="Z184" s="5"/>
      <c r="AA184" s="5"/>
      <c r="AB184" s="5"/>
      <c r="AC184" s="5"/>
      <c r="AD184" s="24"/>
      <c r="AE184" s="5"/>
      <c r="AF184" s="5"/>
      <c r="AG184" s="5"/>
      <c r="AH184" s="5">
        <v>1</v>
      </c>
      <c r="AI184" s="5">
        <v>1</v>
      </c>
      <c r="AJ184" s="5"/>
      <c r="AK184" s="25"/>
      <c r="AL184" s="5">
        <v>426</v>
      </c>
      <c r="AM184" s="8"/>
      <c r="AN184" s="8">
        <v>1</v>
      </c>
      <c r="AP184" s="67">
        <f t="shared" si="6"/>
        <v>6</v>
      </c>
      <c r="AQ184" s="76">
        <f t="shared" si="7"/>
        <v>0.21428571428571427</v>
      </c>
      <c r="AR184" s="85">
        <v>5</v>
      </c>
      <c r="AS184">
        <v>13</v>
      </c>
      <c r="AT184" s="67">
        <v>10</v>
      </c>
      <c r="AU184" s="67">
        <f t="shared" si="8"/>
        <v>28</v>
      </c>
    </row>
    <row r="185" spans="1:47">
      <c r="A185" s="8">
        <v>429</v>
      </c>
      <c r="B185" s="8" t="s">
        <v>73</v>
      </c>
      <c r="C185" s="8" t="s">
        <v>165</v>
      </c>
      <c r="D185" s="8" t="s">
        <v>6</v>
      </c>
      <c r="E185" s="8">
        <v>429</v>
      </c>
      <c r="F185" s="24"/>
      <c r="G185" s="5"/>
      <c r="H185" s="5"/>
      <c r="I185" s="5"/>
      <c r="J185" s="5"/>
      <c r="K185" s="5"/>
      <c r="L185" s="5"/>
      <c r="M185" s="25"/>
      <c r="N185" s="24"/>
      <c r="O185" s="5"/>
      <c r="P185" s="5"/>
      <c r="Q185" s="5"/>
      <c r="R185" s="5"/>
      <c r="S185" s="5"/>
      <c r="T185" s="5"/>
      <c r="U185" s="25"/>
      <c r="V185" s="5"/>
      <c r="W185" s="5"/>
      <c r="X185" s="5"/>
      <c r="Y185" s="5"/>
      <c r="Z185" s="5"/>
      <c r="AA185" s="5"/>
      <c r="AB185" s="5"/>
      <c r="AC185" s="5"/>
      <c r="AD185" s="24"/>
      <c r="AE185" s="5"/>
      <c r="AF185" s="5"/>
      <c r="AG185" s="5"/>
      <c r="AH185" s="5"/>
      <c r="AI185" s="5"/>
      <c r="AJ185" s="5"/>
      <c r="AK185" s="25"/>
      <c r="AL185" s="5">
        <v>429</v>
      </c>
      <c r="AM185" s="8">
        <v>1</v>
      </c>
      <c r="AN185" s="8"/>
      <c r="AP185" s="67">
        <f t="shared" si="6"/>
        <v>0</v>
      </c>
      <c r="AQ185" s="76">
        <f t="shared" si="7"/>
        <v>0</v>
      </c>
      <c r="AR185" s="85">
        <v>32</v>
      </c>
      <c r="AT185" s="67">
        <v>0</v>
      </c>
      <c r="AU185" s="67">
        <f t="shared" si="8"/>
        <v>32</v>
      </c>
    </row>
    <row r="186" spans="1:47">
      <c r="A186" s="8">
        <v>434</v>
      </c>
      <c r="B186" s="8" t="s">
        <v>56</v>
      </c>
      <c r="C186" s="8" t="s">
        <v>360</v>
      </c>
      <c r="D186" s="8"/>
      <c r="E186" s="8">
        <v>434</v>
      </c>
      <c r="F186" s="24"/>
      <c r="G186" s="5"/>
      <c r="H186" s="5"/>
      <c r="I186" s="5"/>
      <c r="J186" s="5"/>
      <c r="K186" s="5"/>
      <c r="L186" s="5"/>
      <c r="M186" s="25"/>
      <c r="N186" s="24"/>
      <c r="O186" s="5"/>
      <c r="P186" s="5"/>
      <c r="Q186" s="5"/>
      <c r="R186" s="5"/>
      <c r="S186" s="5"/>
      <c r="T186" s="5"/>
      <c r="U186" s="25"/>
      <c r="V186" s="5"/>
      <c r="W186" s="5"/>
      <c r="X186" s="5"/>
      <c r="Y186" s="5"/>
      <c r="Z186" s="5"/>
      <c r="AA186" s="5"/>
      <c r="AB186" s="5"/>
      <c r="AC186" s="5"/>
      <c r="AD186" s="24"/>
      <c r="AE186" s="5"/>
      <c r="AF186" s="5"/>
      <c r="AG186" s="5"/>
      <c r="AH186" s="5"/>
      <c r="AI186" s="5"/>
      <c r="AJ186" s="5"/>
      <c r="AK186" s="25"/>
      <c r="AL186" s="5">
        <v>434</v>
      </c>
      <c r="AM186" s="8">
        <v>1</v>
      </c>
      <c r="AN186" s="8"/>
      <c r="AP186" s="67">
        <f t="shared" si="6"/>
        <v>0</v>
      </c>
      <c r="AQ186" s="76">
        <f t="shared" si="7"/>
        <v>0</v>
      </c>
      <c r="AR186" s="85">
        <v>4</v>
      </c>
      <c r="AT186" s="67">
        <v>0</v>
      </c>
      <c r="AU186" s="67">
        <f t="shared" si="8"/>
        <v>4</v>
      </c>
    </row>
    <row r="187" spans="1:47">
      <c r="A187" s="8">
        <v>435</v>
      </c>
      <c r="B187" s="8" t="s">
        <v>201</v>
      </c>
      <c r="C187" s="8" t="s">
        <v>357</v>
      </c>
      <c r="D187" s="8" t="s">
        <v>15</v>
      </c>
      <c r="E187" s="8">
        <v>435</v>
      </c>
      <c r="F187" s="24"/>
      <c r="G187" s="5"/>
      <c r="H187" s="5"/>
      <c r="I187" s="5"/>
      <c r="J187" s="5"/>
      <c r="K187" s="5"/>
      <c r="L187" s="5"/>
      <c r="M187" s="25"/>
      <c r="N187" s="24"/>
      <c r="O187" s="5"/>
      <c r="P187" s="5"/>
      <c r="Q187" s="5"/>
      <c r="R187" s="5"/>
      <c r="S187" s="5"/>
      <c r="T187" s="5"/>
      <c r="U187" s="25"/>
      <c r="V187" s="5"/>
      <c r="W187" s="5"/>
      <c r="X187" s="5"/>
      <c r="Y187" s="5"/>
      <c r="Z187" s="5"/>
      <c r="AA187" s="5"/>
      <c r="AB187" s="5"/>
      <c r="AC187" s="5"/>
      <c r="AD187" s="24"/>
      <c r="AE187" s="5"/>
      <c r="AF187" s="5"/>
      <c r="AG187" s="5"/>
      <c r="AH187" s="5"/>
      <c r="AI187" s="5"/>
      <c r="AJ187" s="5"/>
      <c r="AK187" s="25"/>
      <c r="AL187" s="5">
        <v>435</v>
      </c>
      <c r="AM187" s="8">
        <v>1</v>
      </c>
      <c r="AN187" s="8"/>
      <c r="AP187" s="67">
        <f t="shared" si="6"/>
        <v>0</v>
      </c>
      <c r="AQ187" s="76">
        <f t="shared" si="7"/>
        <v>0</v>
      </c>
      <c r="AR187" s="85">
        <v>27</v>
      </c>
      <c r="AT187" s="67">
        <v>1</v>
      </c>
      <c r="AU187" s="67">
        <f t="shared" si="8"/>
        <v>28</v>
      </c>
    </row>
    <row r="188" spans="1:47">
      <c r="A188" s="8">
        <v>436</v>
      </c>
      <c r="B188" s="8" t="s">
        <v>44</v>
      </c>
      <c r="C188" s="8" t="s">
        <v>349</v>
      </c>
      <c r="D188" s="8" t="s">
        <v>6</v>
      </c>
      <c r="E188" s="8">
        <v>436</v>
      </c>
      <c r="F188" s="24"/>
      <c r="G188" s="5"/>
      <c r="H188" s="5">
        <v>1</v>
      </c>
      <c r="I188" s="5">
        <v>1</v>
      </c>
      <c r="J188" s="5">
        <v>1</v>
      </c>
      <c r="K188" s="5"/>
      <c r="L188" s="5"/>
      <c r="M188" s="25"/>
      <c r="N188" s="24"/>
      <c r="O188" s="5"/>
      <c r="P188" s="5"/>
      <c r="Q188" s="5"/>
      <c r="R188" s="5"/>
      <c r="S188" s="5">
        <v>1</v>
      </c>
      <c r="T188" s="5"/>
      <c r="U188" s="25"/>
      <c r="V188" s="5"/>
      <c r="W188" s="5"/>
      <c r="X188" s="5"/>
      <c r="Y188" s="5">
        <v>1</v>
      </c>
      <c r="Z188" s="5">
        <v>1</v>
      </c>
      <c r="AA188" s="5">
        <v>1</v>
      </c>
      <c r="AB188" s="5"/>
      <c r="AC188" s="5"/>
      <c r="AD188" s="24"/>
      <c r="AE188" s="5"/>
      <c r="AF188" s="5"/>
      <c r="AG188" s="5"/>
      <c r="AH188" s="5"/>
      <c r="AI188" s="5"/>
      <c r="AJ188" s="5">
        <v>1</v>
      </c>
      <c r="AK188" s="25"/>
      <c r="AL188" s="5">
        <v>436</v>
      </c>
      <c r="AM188" s="8"/>
      <c r="AN188" s="8">
        <v>1</v>
      </c>
      <c r="AP188" s="67">
        <f t="shared" si="6"/>
        <v>8</v>
      </c>
      <c r="AQ188" s="76">
        <f t="shared" si="7"/>
        <v>0.33333333333333331</v>
      </c>
      <c r="AR188" s="85">
        <v>20</v>
      </c>
      <c r="AS188">
        <v>3</v>
      </c>
      <c r="AT188" s="67">
        <v>1</v>
      </c>
      <c r="AU188" s="67">
        <f t="shared" si="8"/>
        <v>24</v>
      </c>
    </row>
    <row r="189" spans="1:47">
      <c r="A189" s="8">
        <v>437</v>
      </c>
      <c r="B189" s="8" t="s">
        <v>68</v>
      </c>
      <c r="C189" s="8" t="s">
        <v>357</v>
      </c>
      <c r="D189" s="8"/>
      <c r="E189" s="8">
        <v>437</v>
      </c>
      <c r="F189" s="24"/>
      <c r="G189" s="5"/>
      <c r="H189" s="5"/>
      <c r="I189" s="5"/>
      <c r="J189" s="5"/>
      <c r="K189" s="5"/>
      <c r="L189" s="5"/>
      <c r="M189" s="25"/>
      <c r="N189" s="24"/>
      <c r="O189" s="5"/>
      <c r="P189" s="5"/>
      <c r="Q189" s="5"/>
      <c r="R189" s="5"/>
      <c r="S189" s="5"/>
      <c r="T189" s="5"/>
      <c r="U189" s="25"/>
      <c r="V189" s="5"/>
      <c r="W189" s="5"/>
      <c r="X189" s="5"/>
      <c r="Y189" s="5"/>
      <c r="Z189" s="5"/>
      <c r="AA189" s="5"/>
      <c r="AB189" s="5"/>
      <c r="AC189" s="5"/>
      <c r="AD189" s="24"/>
      <c r="AE189" s="5"/>
      <c r="AF189" s="5"/>
      <c r="AG189" s="5"/>
      <c r="AH189" s="5"/>
      <c r="AI189" s="5"/>
      <c r="AJ189" s="5"/>
      <c r="AK189" s="25"/>
      <c r="AL189" s="5">
        <v>437</v>
      </c>
      <c r="AM189" s="8">
        <v>1</v>
      </c>
      <c r="AN189" s="8"/>
      <c r="AP189" s="67">
        <f t="shared" si="6"/>
        <v>0</v>
      </c>
      <c r="AQ189" s="76">
        <f t="shared" si="7"/>
        <v>0</v>
      </c>
      <c r="AR189" s="85">
        <v>24</v>
      </c>
      <c r="AT189" s="67">
        <v>0</v>
      </c>
      <c r="AU189" s="67">
        <f t="shared" si="8"/>
        <v>24</v>
      </c>
    </row>
    <row r="190" spans="1:47">
      <c r="A190" s="8">
        <v>440</v>
      </c>
      <c r="B190" s="8" t="s">
        <v>5</v>
      </c>
      <c r="C190" s="8" t="s">
        <v>42</v>
      </c>
      <c r="D190" s="8" t="s">
        <v>42</v>
      </c>
      <c r="E190" s="8">
        <v>440</v>
      </c>
      <c r="F190" s="24"/>
      <c r="G190" s="5"/>
      <c r="H190" s="5">
        <v>1</v>
      </c>
      <c r="I190" s="5"/>
      <c r="J190" s="5"/>
      <c r="K190" s="5"/>
      <c r="L190" s="5"/>
      <c r="M190" s="25"/>
      <c r="N190" s="24"/>
      <c r="O190" s="5"/>
      <c r="P190" s="5"/>
      <c r="Q190" s="5"/>
      <c r="R190" s="5"/>
      <c r="S190" s="5">
        <v>1</v>
      </c>
      <c r="T190" s="5"/>
      <c r="U190" s="25"/>
      <c r="V190" s="5"/>
      <c r="W190" s="5">
        <v>1</v>
      </c>
      <c r="X190" s="5"/>
      <c r="Y190" s="5"/>
      <c r="Z190" s="5"/>
      <c r="AA190" s="5"/>
      <c r="AB190" s="5"/>
      <c r="AC190" s="5"/>
      <c r="AD190" s="24"/>
      <c r="AE190" s="5"/>
      <c r="AF190" s="5"/>
      <c r="AG190" s="5"/>
      <c r="AH190" s="5"/>
      <c r="AI190" s="5"/>
      <c r="AJ190" s="5"/>
      <c r="AK190" s="25"/>
      <c r="AL190" s="5">
        <v>440</v>
      </c>
      <c r="AM190" s="8"/>
      <c r="AN190" s="8">
        <v>1</v>
      </c>
      <c r="AP190" s="67">
        <f t="shared" si="6"/>
        <v>3</v>
      </c>
      <c r="AQ190" s="76">
        <f t="shared" si="7"/>
        <v>0.10714285714285714</v>
      </c>
      <c r="AR190" s="85">
        <v>26</v>
      </c>
      <c r="AT190" s="67">
        <v>2</v>
      </c>
      <c r="AU190" s="67">
        <f t="shared" si="8"/>
        <v>28</v>
      </c>
    </row>
    <row r="191" spans="1:47">
      <c r="A191" s="8" t="s">
        <v>271</v>
      </c>
      <c r="B191" s="8" t="s">
        <v>55</v>
      </c>
      <c r="C191" s="8" t="s">
        <v>346</v>
      </c>
      <c r="D191" s="8"/>
      <c r="E191" s="8" t="s">
        <v>271</v>
      </c>
      <c r="F191" s="24"/>
      <c r="G191" s="5"/>
      <c r="H191" s="5"/>
      <c r="I191" s="5"/>
      <c r="J191" s="5"/>
      <c r="K191" s="5"/>
      <c r="L191" s="5"/>
      <c r="M191" s="25"/>
      <c r="N191" s="24"/>
      <c r="O191" s="5"/>
      <c r="P191" s="5"/>
      <c r="Q191" s="5"/>
      <c r="R191" s="5"/>
      <c r="S191" s="5"/>
      <c r="T191" s="5"/>
      <c r="U191" s="25"/>
      <c r="V191" s="5"/>
      <c r="W191" s="5"/>
      <c r="X191" s="5"/>
      <c r="Y191" s="5"/>
      <c r="Z191" s="5"/>
      <c r="AA191" s="5"/>
      <c r="AB191" s="5"/>
      <c r="AC191" s="5"/>
      <c r="AD191" s="24"/>
      <c r="AE191" s="5"/>
      <c r="AF191" s="5"/>
      <c r="AG191" s="5"/>
      <c r="AH191" s="5"/>
      <c r="AI191" s="5"/>
      <c r="AJ191" s="5"/>
      <c r="AK191" s="25"/>
      <c r="AL191" s="5" t="s">
        <v>271</v>
      </c>
      <c r="AM191" s="8">
        <v>1</v>
      </c>
      <c r="AN191" s="8"/>
      <c r="AP191" s="67">
        <f t="shared" si="6"/>
        <v>0</v>
      </c>
      <c r="AQ191" s="76">
        <f t="shared" si="7"/>
        <v>0</v>
      </c>
      <c r="AR191" s="85">
        <v>20</v>
      </c>
      <c r="AT191" s="67">
        <v>0</v>
      </c>
      <c r="AU191" s="67">
        <f t="shared" si="8"/>
        <v>20</v>
      </c>
    </row>
    <row r="192" spans="1:47">
      <c r="A192" s="8">
        <v>444</v>
      </c>
      <c r="B192" s="8" t="s">
        <v>44</v>
      </c>
      <c r="C192" s="8" t="s">
        <v>349</v>
      </c>
      <c r="D192" s="8" t="s">
        <v>6</v>
      </c>
      <c r="E192" s="8">
        <v>444</v>
      </c>
      <c r="F192" s="24"/>
      <c r="G192" s="5"/>
      <c r="H192" s="5"/>
      <c r="I192" s="5"/>
      <c r="J192" s="5"/>
      <c r="K192" s="5"/>
      <c r="L192" s="5"/>
      <c r="M192" s="25"/>
      <c r="N192" s="24"/>
      <c r="O192" s="5"/>
      <c r="P192" s="5"/>
      <c r="Q192" s="5"/>
      <c r="R192" s="5"/>
      <c r="S192" s="5"/>
      <c r="T192" s="5"/>
      <c r="U192" s="25"/>
      <c r="V192" s="5"/>
      <c r="W192" s="5"/>
      <c r="X192" s="5"/>
      <c r="Y192" s="5"/>
      <c r="Z192" s="5"/>
      <c r="AA192" s="5"/>
      <c r="AB192" s="5"/>
      <c r="AC192" s="5"/>
      <c r="AD192" s="24"/>
      <c r="AE192" s="5"/>
      <c r="AF192" s="5"/>
      <c r="AG192" s="5"/>
      <c r="AH192" s="5"/>
      <c r="AI192" s="5"/>
      <c r="AJ192" s="5"/>
      <c r="AK192" s="25"/>
      <c r="AL192" s="5">
        <v>444</v>
      </c>
      <c r="AM192" s="8">
        <v>1</v>
      </c>
      <c r="AN192" s="8"/>
      <c r="AP192" s="67">
        <f t="shared" si="6"/>
        <v>0</v>
      </c>
      <c r="AQ192" s="76">
        <f t="shared" si="7"/>
        <v>0</v>
      </c>
      <c r="AR192" s="85">
        <v>12</v>
      </c>
      <c r="AS192">
        <v>2</v>
      </c>
      <c r="AT192" s="67">
        <v>12</v>
      </c>
      <c r="AU192" s="67">
        <f t="shared" si="8"/>
        <v>26</v>
      </c>
    </row>
    <row r="193" spans="1:47">
      <c r="A193" s="8">
        <v>445</v>
      </c>
      <c r="B193" s="8" t="s">
        <v>106</v>
      </c>
      <c r="C193" s="8" t="s">
        <v>349</v>
      </c>
      <c r="D193" s="8" t="s">
        <v>6</v>
      </c>
      <c r="E193" s="8">
        <v>445</v>
      </c>
      <c r="F193" s="24"/>
      <c r="G193" s="5"/>
      <c r="H193" s="5"/>
      <c r="I193" s="5"/>
      <c r="J193" s="5"/>
      <c r="K193" s="5"/>
      <c r="L193" s="5"/>
      <c r="M193" s="25"/>
      <c r="N193" s="24"/>
      <c r="O193" s="5"/>
      <c r="P193" s="5"/>
      <c r="Q193" s="5"/>
      <c r="R193" s="5"/>
      <c r="S193" s="5"/>
      <c r="T193" s="5"/>
      <c r="U193" s="25"/>
      <c r="V193" s="5"/>
      <c r="W193" s="5">
        <v>1</v>
      </c>
      <c r="X193" s="5"/>
      <c r="Y193" s="5"/>
      <c r="Z193" s="5"/>
      <c r="AA193" s="5"/>
      <c r="AB193" s="5"/>
      <c r="AC193" s="5"/>
      <c r="AD193" s="24"/>
      <c r="AE193" s="5"/>
      <c r="AF193" s="5">
        <v>1</v>
      </c>
      <c r="AG193" s="5"/>
      <c r="AH193" s="5"/>
      <c r="AI193" s="5"/>
      <c r="AJ193" s="5"/>
      <c r="AK193" s="25"/>
      <c r="AL193" s="5">
        <v>445</v>
      </c>
      <c r="AM193" s="8"/>
      <c r="AN193" s="8">
        <v>1</v>
      </c>
      <c r="AP193" s="67">
        <f t="shared" si="6"/>
        <v>2</v>
      </c>
      <c r="AQ193" s="76">
        <f t="shared" si="7"/>
        <v>6.25E-2</v>
      </c>
      <c r="AR193" s="85">
        <v>28</v>
      </c>
      <c r="AS193">
        <v>3</v>
      </c>
      <c r="AT193" s="67">
        <v>1</v>
      </c>
      <c r="AU193" s="67">
        <f t="shared" si="8"/>
        <v>32</v>
      </c>
    </row>
    <row r="194" spans="1:47">
      <c r="A194" s="8">
        <v>449</v>
      </c>
      <c r="B194" s="8" t="s">
        <v>62</v>
      </c>
      <c r="C194" s="8" t="s">
        <v>42</v>
      </c>
      <c r="D194" s="8" t="s">
        <v>42</v>
      </c>
      <c r="E194" s="8">
        <v>449</v>
      </c>
      <c r="F194" s="24"/>
      <c r="G194" s="5"/>
      <c r="H194" s="5"/>
      <c r="I194" s="5"/>
      <c r="J194" s="5"/>
      <c r="K194" s="5"/>
      <c r="L194" s="5"/>
      <c r="M194" s="25"/>
      <c r="N194" s="24"/>
      <c r="O194" s="5"/>
      <c r="P194" s="5"/>
      <c r="Q194" s="5"/>
      <c r="R194" s="5"/>
      <c r="S194" s="5"/>
      <c r="T194" s="5"/>
      <c r="U194" s="25"/>
      <c r="V194" s="5"/>
      <c r="W194" s="5"/>
      <c r="X194" s="5"/>
      <c r="Y194" s="5"/>
      <c r="Z194" s="5"/>
      <c r="AA194" s="5"/>
      <c r="AB194" s="5"/>
      <c r="AC194" s="5"/>
      <c r="AD194" s="24">
        <v>1</v>
      </c>
      <c r="AE194" s="5"/>
      <c r="AF194" s="5"/>
      <c r="AG194" s="5"/>
      <c r="AH194" s="5"/>
      <c r="AI194" s="5"/>
      <c r="AJ194" s="5"/>
      <c r="AK194" s="25"/>
      <c r="AL194" s="5">
        <v>449</v>
      </c>
      <c r="AM194" s="8"/>
      <c r="AN194" s="8">
        <v>1</v>
      </c>
      <c r="AP194" s="67">
        <f t="shared" si="6"/>
        <v>1</v>
      </c>
      <c r="AQ194" s="76">
        <f t="shared" si="7"/>
        <v>3.3333333333333333E-2</v>
      </c>
      <c r="AR194" s="85">
        <v>30</v>
      </c>
      <c r="AT194" s="67">
        <v>0</v>
      </c>
      <c r="AU194" s="67">
        <f t="shared" si="8"/>
        <v>30</v>
      </c>
    </row>
    <row r="195" spans="1:47">
      <c r="A195" s="8">
        <v>450</v>
      </c>
      <c r="B195" s="8" t="s">
        <v>73</v>
      </c>
      <c r="C195" s="8" t="s">
        <v>165</v>
      </c>
      <c r="D195" s="8" t="s">
        <v>6</v>
      </c>
      <c r="E195" s="8">
        <v>450</v>
      </c>
      <c r="F195" s="24"/>
      <c r="G195" s="5"/>
      <c r="H195" s="5"/>
      <c r="I195" s="5"/>
      <c r="J195" s="5"/>
      <c r="K195" s="5"/>
      <c r="L195" s="5"/>
      <c r="M195" s="25"/>
      <c r="N195" s="24"/>
      <c r="O195" s="5"/>
      <c r="P195" s="5"/>
      <c r="Q195" s="5"/>
      <c r="R195" s="5"/>
      <c r="S195" s="5"/>
      <c r="T195" s="5"/>
      <c r="U195" s="25"/>
      <c r="V195" s="5">
        <v>1</v>
      </c>
      <c r="W195" s="5"/>
      <c r="X195" s="5"/>
      <c r="Y195" s="5"/>
      <c r="Z195" s="5"/>
      <c r="AA195" s="5"/>
      <c r="AB195" s="5"/>
      <c r="AC195" s="5"/>
      <c r="AD195" s="24"/>
      <c r="AE195" s="5"/>
      <c r="AF195" s="5"/>
      <c r="AG195" s="5"/>
      <c r="AH195" s="5"/>
      <c r="AI195" s="5"/>
      <c r="AJ195" s="5"/>
      <c r="AK195" s="25">
        <v>1</v>
      </c>
      <c r="AL195" s="5">
        <v>450</v>
      </c>
      <c r="AM195" s="8"/>
      <c r="AN195" s="8">
        <v>1</v>
      </c>
      <c r="AP195" s="67">
        <f t="shared" si="6"/>
        <v>2</v>
      </c>
      <c r="AQ195" s="76">
        <f t="shared" si="7"/>
        <v>6.4516129032258063E-2</v>
      </c>
      <c r="AR195" s="85">
        <v>28</v>
      </c>
      <c r="AS195">
        <v>1</v>
      </c>
      <c r="AT195" s="67">
        <v>2</v>
      </c>
      <c r="AU195" s="67">
        <f t="shared" si="8"/>
        <v>31</v>
      </c>
    </row>
    <row r="196" spans="1:47">
      <c r="A196" s="8">
        <v>452</v>
      </c>
      <c r="B196" s="8" t="s">
        <v>63</v>
      </c>
      <c r="C196" s="8" t="s">
        <v>346</v>
      </c>
      <c r="D196" s="8"/>
      <c r="E196" s="8">
        <v>452</v>
      </c>
      <c r="F196" s="24"/>
      <c r="G196" s="5"/>
      <c r="H196" s="5"/>
      <c r="I196" s="5"/>
      <c r="J196" s="5"/>
      <c r="K196" s="5"/>
      <c r="L196" s="5"/>
      <c r="M196" s="25"/>
      <c r="N196" s="24"/>
      <c r="O196" s="5"/>
      <c r="P196" s="5"/>
      <c r="Q196" s="5"/>
      <c r="R196" s="5"/>
      <c r="S196" s="5"/>
      <c r="T196" s="5"/>
      <c r="U196" s="25"/>
      <c r="V196" s="5"/>
      <c r="W196" s="5"/>
      <c r="X196" s="5"/>
      <c r="Y196" s="5"/>
      <c r="Z196" s="5"/>
      <c r="AA196" s="5"/>
      <c r="AB196" s="5"/>
      <c r="AC196" s="5"/>
      <c r="AD196" s="24"/>
      <c r="AE196" s="5"/>
      <c r="AF196" s="5"/>
      <c r="AG196" s="5"/>
      <c r="AH196" s="5"/>
      <c r="AI196" s="5"/>
      <c r="AJ196" s="5"/>
      <c r="AK196" s="25"/>
      <c r="AL196" s="5">
        <v>452</v>
      </c>
      <c r="AM196" s="8">
        <v>1</v>
      </c>
      <c r="AN196" s="8"/>
      <c r="AP196" s="67">
        <f t="shared" si="6"/>
        <v>0</v>
      </c>
      <c r="AQ196" s="76">
        <f t="shared" si="7"/>
        <v>0</v>
      </c>
      <c r="AR196" s="85">
        <v>10</v>
      </c>
      <c r="AT196" s="67">
        <v>2</v>
      </c>
      <c r="AU196" s="67">
        <f t="shared" si="8"/>
        <v>12</v>
      </c>
    </row>
    <row r="197" spans="1:47">
      <c r="A197" s="8">
        <v>454</v>
      </c>
      <c r="B197" s="8" t="s">
        <v>88</v>
      </c>
      <c r="C197" s="8" t="s">
        <v>12</v>
      </c>
      <c r="D197" s="8" t="s">
        <v>42</v>
      </c>
      <c r="E197" s="8">
        <v>454</v>
      </c>
      <c r="F197" s="24"/>
      <c r="G197" s="5"/>
      <c r="H197" s="5"/>
      <c r="I197" s="5"/>
      <c r="J197" s="5"/>
      <c r="K197" s="5"/>
      <c r="L197" s="5"/>
      <c r="M197" s="25"/>
      <c r="N197" s="24"/>
      <c r="O197" s="5"/>
      <c r="P197" s="5"/>
      <c r="Q197" s="5"/>
      <c r="R197" s="5"/>
      <c r="S197" s="5"/>
      <c r="T197" s="5"/>
      <c r="U197" s="25"/>
      <c r="V197" s="5"/>
      <c r="W197" s="5"/>
      <c r="X197" s="5"/>
      <c r="Y197" s="5"/>
      <c r="Z197" s="5"/>
      <c r="AA197" s="5"/>
      <c r="AB197" s="5"/>
      <c r="AC197" s="5"/>
      <c r="AD197" s="24"/>
      <c r="AE197" s="5"/>
      <c r="AF197" s="5"/>
      <c r="AG197" s="5"/>
      <c r="AH197" s="5"/>
      <c r="AI197" s="5"/>
      <c r="AJ197" s="5"/>
      <c r="AK197" s="25"/>
      <c r="AL197" s="5">
        <v>454</v>
      </c>
      <c r="AM197" s="8">
        <v>1</v>
      </c>
      <c r="AN197" s="8"/>
      <c r="AP197" s="67">
        <f t="shared" ref="AP197:AP254" si="9">SUM(F197:AK197)</f>
        <v>0</v>
      </c>
      <c r="AQ197" s="76">
        <f t="shared" ref="AQ197:AQ254" si="10">AP197/AU197</f>
        <v>0</v>
      </c>
      <c r="AR197" s="85">
        <v>32</v>
      </c>
      <c r="AT197" s="67">
        <v>0</v>
      </c>
      <c r="AU197" s="67">
        <f t="shared" ref="AU197:AU254" si="11">SUM(AR197:AT197)</f>
        <v>32</v>
      </c>
    </row>
    <row r="198" spans="1:47">
      <c r="A198" s="8">
        <v>459</v>
      </c>
      <c r="B198" s="8" t="s">
        <v>201</v>
      </c>
      <c r="C198" s="8" t="s">
        <v>357</v>
      </c>
      <c r="D198" s="8" t="s">
        <v>42</v>
      </c>
      <c r="E198" s="8">
        <v>459</v>
      </c>
      <c r="F198" s="24"/>
      <c r="G198" s="5"/>
      <c r="H198" s="5"/>
      <c r="I198" s="5"/>
      <c r="J198" s="5"/>
      <c r="K198" s="5"/>
      <c r="L198" s="5"/>
      <c r="M198" s="25"/>
      <c r="N198" s="24"/>
      <c r="O198" s="5"/>
      <c r="P198" s="5"/>
      <c r="Q198" s="5"/>
      <c r="R198" s="5"/>
      <c r="S198" s="5"/>
      <c r="T198" s="5"/>
      <c r="U198" s="25"/>
      <c r="V198" s="5"/>
      <c r="W198" s="5"/>
      <c r="X198" s="5"/>
      <c r="Y198" s="5"/>
      <c r="Z198" s="5"/>
      <c r="AA198" s="5"/>
      <c r="AB198" s="5"/>
      <c r="AC198" s="5"/>
      <c r="AD198" s="24"/>
      <c r="AE198" s="5"/>
      <c r="AF198" s="5"/>
      <c r="AG198" s="5"/>
      <c r="AH198" s="5"/>
      <c r="AI198" s="5"/>
      <c r="AJ198" s="5"/>
      <c r="AK198" s="25"/>
      <c r="AL198" s="5">
        <v>459</v>
      </c>
      <c r="AM198" s="8">
        <v>1</v>
      </c>
      <c r="AN198" s="8"/>
      <c r="AP198" s="67">
        <f t="shared" si="9"/>
        <v>0</v>
      </c>
      <c r="AQ198" s="76">
        <f t="shared" si="10"/>
        <v>0</v>
      </c>
      <c r="AR198" s="85">
        <v>28</v>
      </c>
      <c r="AT198" s="67">
        <v>0</v>
      </c>
      <c r="AU198" s="67">
        <f t="shared" si="11"/>
        <v>28</v>
      </c>
    </row>
    <row r="199" spans="1:47">
      <c r="A199" s="8">
        <v>464</v>
      </c>
      <c r="B199" s="8" t="s">
        <v>99</v>
      </c>
      <c r="C199" s="8" t="s">
        <v>346</v>
      </c>
      <c r="D199" s="8"/>
      <c r="E199" s="8">
        <v>464</v>
      </c>
      <c r="F199" s="24"/>
      <c r="G199" s="5"/>
      <c r="H199" s="5"/>
      <c r="I199" s="5"/>
      <c r="J199" s="5"/>
      <c r="K199" s="5"/>
      <c r="L199" s="5"/>
      <c r="M199" s="25"/>
      <c r="N199" s="24"/>
      <c r="O199" s="5"/>
      <c r="P199" s="5"/>
      <c r="Q199" s="5"/>
      <c r="R199" s="5"/>
      <c r="S199" s="5"/>
      <c r="T199" s="5"/>
      <c r="U199" s="25"/>
      <c r="V199" s="5"/>
      <c r="W199" s="5"/>
      <c r="X199" s="5"/>
      <c r="Y199" s="5"/>
      <c r="Z199" s="5"/>
      <c r="AA199" s="5"/>
      <c r="AB199" s="5"/>
      <c r="AC199" s="5"/>
      <c r="AD199" s="24"/>
      <c r="AE199" s="5"/>
      <c r="AF199" s="5"/>
      <c r="AG199" s="5">
        <v>1</v>
      </c>
      <c r="AH199" s="5"/>
      <c r="AI199" s="5"/>
      <c r="AJ199" s="5"/>
      <c r="AK199" s="25"/>
      <c r="AL199" s="5">
        <v>464</v>
      </c>
      <c r="AM199" s="8"/>
      <c r="AN199" s="8">
        <v>1</v>
      </c>
      <c r="AP199" s="67">
        <f t="shared" si="9"/>
        <v>1</v>
      </c>
      <c r="AQ199" s="76">
        <f t="shared" si="10"/>
        <v>4.1666666666666664E-2</v>
      </c>
      <c r="AR199" s="85">
        <v>24</v>
      </c>
      <c r="AT199" s="67">
        <v>0</v>
      </c>
      <c r="AU199" s="67">
        <f t="shared" si="11"/>
        <v>24</v>
      </c>
    </row>
    <row r="200" spans="1:47">
      <c r="A200" s="8">
        <v>466</v>
      </c>
      <c r="B200" s="8" t="s">
        <v>41</v>
      </c>
      <c r="C200" s="8" t="s">
        <v>42</v>
      </c>
      <c r="D200" s="8" t="s">
        <v>6</v>
      </c>
      <c r="E200" s="8">
        <v>466</v>
      </c>
      <c r="F200" s="24"/>
      <c r="G200" s="5"/>
      <c r="H200" s="5"/>
      <c r="I200" s="5"/>
      <c r="J200" s="5"/>
      <c r="K200" s="5"/>
      <c r="L200" s="5"/>
      <c r="M200" s="25"/>
      <c r="N200" s="24"/>
      <c r="O200" s="5"/>
      <c r="P200" s="5"/>
      <c r="Q200" s="5">
        <v>1</v>
      </c>
      <c r="R200" s="5"/>
      <c r="S200" s="5">
        <v>1</v>
      </c>
      <c r="T200" s="5"/>
      <c r="U200" s="25"/>
      <c r="V200" s="5"/>
      <c r="W200" s="5"/>
      <c r="X200" s="5"/>
      <c r="Y200" s="5"/>
      <c r="Z200" s="5"/>
      <c r="AA200" s="5"/>
      <c r="AB200" s="5"/>
      <c r="AC200" s="5"/>
      <c r="AD200" s="24"/>
      <c r="AE200" s="5"/>
      <c r="AF200" s="5"/>
      <c r="AG200" s="5"/>
      <c r="AH200" s="5"/>
      <c r="AI200" s="5"/>
      <c r="AJ200" s="5">
        <v>1</v>
      </c>
      <c r="AK200" s="25"/>
      <c r="AL200" s="5">
        <v>466</v>
      </c>
      <c r="AM200" s="8"/>
      <c r="AN200" s="8">
        <v>1</v>
      </c>
      <c r="AP200" s="67">
        <f t="shared" si="9"/>
        <v>3</v>
      </c>
      <c r="AQ200" s="76">
        <f t="shared" si="10"/>
        <v>9.375E-2</v>
      </c>
      <c r="AR200" s="85">
        <v>29</v>
      </c>
      <c r="AS200">
        <v>1</v>
      </c>
      <c r="AT200" s="67">
        <v>2</v>
      </c>
      <c r="AU200" s="67">
        <f t="shared" si="11"/>
        <v>32</v>
      </c>
    </row>
    <row r="201" spans="1:47">
      <c r="A201" s="8">
        <v>467</v>
      </c>
      <c r="B201" s="8" t="s">
        <v>41</v>
      </c>
      <c r="C201" s="8" t="s">
        <v>42</v>
      </c>
      <c r="D201" s="8" t="s">
        <v>6</v>
      </c>
      <c r="E201" s="8">
        <v>467</v>
      </c>
      <c r="F201" s="24"/>
      <c r="G201" s="5"/>
      <c r="H201" s="5"/>
      <c r="I201" s="5"/>
      <c r="J201" s="5"/>
      <c r="K201" s="5"/>
      <c r="L201" s="5"/>
      <c r="M201" s="25"/>
      <c r="N201" s="24"/>
      <c r="O201" s="5"/>
      <c r="P201" s="5"/>
      <c r="Q201" s="5"/>
      <c r="R201" s="5"/>
      <c r="S201" s="5"/>
      <c r="T201" s="5"/>
      <c r="U201" s="25"/>
      <c r="V201" s="5"/>
      <c r="W201" s="5"/>
      <c r="X201" s="5"/>
      <c r="Y201" s="5"/>
      <c r="Z201" s="5"/>
      <c r="AA201" s="5"/>
      <c r="AB201" s="5"/>
      <c r="AC201" s="5"/>
      <c r="AD201" s="24"/>
      <c r="AE201" s="5"/>
      <c r="AF201" s="5"/>
      <c r="AG201" s="5"/>
      <c r="AH201" s="5"/>
      <c r="AI201" s="5"/>
      <c r="AJ201" s="5"/>
      <c r="AK201" s="25"/>
      <c r="AL201" s="5">
        <v>467</v>
      </c>
      <c r="AM201" s="8">
        <v>1</v>
      </c>
      <c r="AN201" s="8"/>
      <c r="AP201" s="67">
        <f t="shared" si="9"/>
        <v>0</v>
      </c>
      <c r="AQ201" s="76">
        <f t="shared" si="10"/>
        <v>0</v>
      </c>
      <c r="AR201" s="85">
        <v>32</v>
      </c>
      <c r="AT201" s="67">
        <v>0</v>
      </c>
      <c r="AU201" s="67">
        <f t="shared" si="11"/>
        <v>32</v>
      </c>
    </row>
    <row r="202" spans="1:47">
      <c r="A202" s="8">
        <v>468</v>
      </c>
      <c r="B202" s="8" t="s">
        <v>282</v>
      </c>
      <c r="C202" s="8" t="s">
        <v>358</v>
      </c>
      <c r="D202" s="8" t="s">
        <v>6</v>
      </c>
      <c r="E202" s="8">
        <v>468</v>
      </c>
      <c r="F202" s="24"/>
      <c r="G202" s="5"/>
      <c r="H202" s="5"/>
      <c r="I202" s="5"/>
      <c r="J202" s="5"/>
      <c r="K202" s="5"/>
      <c r="L202" s="5"/>
      <c r="M202" s="25"/>
      <c r="N202" s="24"/>
      <c r="O202" s="5"/>
      <c r="P202" s="5"/>
      <c r="Q202" s="5"/>
      <c r="R202" s="5"/>
      <c r="S202" s="5"/>
      <c r="T202" s="5"/>
      <c r="U202" s="25"/>
      <c r="V202" s="5"/>
      <c r="W202" s="5"/>
      <c r="X202" s="5"/>
      <c r="Y202" s="5"/>
      <c r="Z202" s="5"/>
      <c r="AA202" s="5"/>
      <c r="AB202" s="5"/>
      <c r="AC202" s="5"/>
      <c r="AD202" s="24"/>
      <c r="AE202" s="5"/>
      <c r="AF202" s="5"/>
      <c r="AG202" s="5"/>
      <c r="AH202" s="5"/>
      <c r="AI202" s="5"/>
      <c r="AJ202" s="5"/>
      <c r="AK202" s="25"/>
      <c r="AL202" s="5">
        <v>468</v>
      </c>
      <c r="AM202" s="8">
        <v>1</v>
      </c>
      <c r="AN202" s="8"/>
      <c r="AP202" s="67">
        <f t="shared" si="9"/>
        <v>0</v>
      </c>
      <c r="AQ202" s="76">
        <f t="shared" si="10"/>
        <v>0</v>
      </c>
      <c r="AR202" s="85">
        <v>28</v>
      </c>
      <c r="AT202" s="67">
        <v>4</v>
      </c>
      <c r="AU202" s="67">
        <f t="shared" si="11"/>
        <v>32</v>
      </c>
    </row>
    <row r="203" spans="1:47">
      <c r="A203" s="8">
        <v>469</v>
      </c>
      <c r="B203" s="8" t="s">
        <v>44</v>
      </c>
      <c r="C203" s="8" t="s">
        <v>349</v>
      </c>
      <c r="D203" s="8" t="s">
        <v>42</v>
      </c>
      <c r="E203" s="8">
        <v>469</v>
      </c>
      <c r="F203" s="24"/>
      <c r="G203" s="5"/>
      <c r="H203" s="5"/>
      <c r="I203" s="5"/>
      <c r="J203" s="5"/>
      <c r="K203" s="5">
        <v>1</v>
      </c>
      <c r="L203" s="5">
        <v>1</v>
      </c>
      <c r="M203" s="25">
        <v>1</v>
      </c>
      <c r="N203" s="24">
        <v>1</v>
      </c>
      <c r="O203" s="5">
        <v>1</v>
      </c>
      <c r="P203" s="5">
        <v>1</v>
      </c>
      <c r="Q203" s="5"/>
      <c r="R203" s="5"/>
      <c r="S203" s="5"/>
      <c r="T203" s="5"/>
      <c r="U203" s="25"/>
      <c r="V203" s="5"/>
      <c r="W203" s="5"/>
      <c r="X203" s="5"/>
      <c r="Y203" s="5"/>
      <c r="Z203" s="5"/>
      <c r="AA203" s="5"/>
      <c r="AB203" s="5"/>
      <c r="AC203" s="5"/>
      <c r="AD203" s="24"/>
      <c r="AE203" s="5"/>
      <c r="AF203" s="5"/>
      <c r="AG203" s="5"/>
      <c r="AH203" s="5"/>
      <c r="AI203" s="5"/>
      <c r="AJ203" s="5">
        <v>1</v>
      </c>
      <c r="AK203" s="25"/>
      <c r="AL203" s="5">
        <v>469</v>
      </c>
      <c r="AM203" s="8"/>
      <c r="AN203" s="8">
        <v>1</v>
      </c>
      <c r="AP203" s="67">
        <f t="shared" si="9"/>
        <v>7</v>
      </c>
      <c r="AQ203" s="76">
        <f t="shared" si="10"/>
        <v>0.2413793103448276</v>
      </c>
      <c r="AR203" s="85">
        <v>19</v>
      </c>
      <c r="AS203">
        <v>6</v>
      </c>
      <c r="AT203" s="67">
        <v>4</v>
      </c>
      <c r="AU203" s="67">
        <f t="shared" si="11"/>
        <v>29</v>
      </c>
    </row>
    <row r="204" spans="1:47">
      <c r="A204" s="8">
        <v>471</v>
      </c>
      <c r="B204" s="8" t="s">
        <v>71</v>
      </c>
      <c r="C204" s="8" t="s">
        <v>366</v>
      </c>
      <c r="D204" s="8" t="s">
        <v>6</v>
      </c>
      <c r="E204" s="8">
        <v>471</v>
      </c>
      <c r="F204" s="24"/>
      <c r="G204" s="5"/>
      <c r="H204" s="5"/>
      <c r="I204" s="5"/>
      <c r="J204" s="5"/>
      <c r="K204" s="5"/>
      <c r="L204" s="5"/>
      <c r="M204" s="25"/>
      <c r="N204" s="24"/>
      <c r="O204" s="5"/>
      <c r="P204" s="5"/>
      <c r="Q204" s="5"/>
      <c r="R204" s="5"/>
      <c r="S204" s="5"/>
      <c r="T204" s="5"/>
      <c r="U204" s="25"/>
      <c r="V204" s="5"/>
      <c r="W204" s="5"/>
      <c r="X204" s="5"/>
      <c r="Y204" s="5"/>
      <c r="Z204" s="5"/>
      <c r="AA204" s="5"/>
      <c r="AB204" s="5"/>
      <c r="AC204" s="5"/>
      <c r="AD204" s="24"/>
      <c r="AE204" s="5"/>
      <c r="AF204" s="5"/>
      <c r="AG204" s="5"/>
      <c r="AH204" s="5"/>
      <c r="AI204" s="5"/>
      <c r="AJ204" s="5"/>
      <c r="AK204" s="25"/>
      <c r="AL204" s="5">
        <v>471</v>
      </c>
      <c r="AM204" s="8">
        <v>1</v>
      </c>
      <c r="AN204" s="8"/>
      <c r="AP204" s="67">
        <f t="shared" si="9"/>
        <v>0</v>
      </c>
      <c r="AQ204" s="76">
        <f t="shared" si="10"/>
        <v>0</v>
      </c>
      <c r="AR204" s="85">
        <v>32</v>
      </c>
      <c r="AT204" s="67">
        <v>0</v>
      </c>
      <c r="AU204" s="67">
        <f t="shared" si="11"/>
        <v>32</v>
      </c>
    </row>
    <row r="205" spans="1:47">
      <c r="A205" s="8">
        <v>474</v>
      </c>
      <c r="B205" s="8" t="s">
        <v>106</v>
      </c>
      <c r="C205" s="8" t="s">
        <v>349</v>
      </c>
      <c r="D205" s="8" t="s">
        <v>6</v>
      </c>
      <c r="E205" s="8">
        <v>474</v>
      </c>
      <c r="F205" s="24"/>
      <c r="G205" s="5"/>
      <c r="H205" s="5"/>
      <c r="I205" s="5"/>
      <c r="J205" s="5"/>
      <c r="K205" s="5"/>
      <c r="L205" s="5"/>
      <c r="M205" s="25"/>
      <c r="N205" s="24"/>
      <c r="O205" s="5"/>
      <c r="P205" s="5"/>
      <c r="Q205" s="5"/>
      <c r="R205" s="5"/>
      <c r="S205" s="5"/>
      <c r="T205" s="5"/>
      <c r="U205" s="25"/>
      <c r="V205" s="5"/>
      <c r="W205" s="5"/>
      <c r="X205" s="5"/>
      <c r="Y205" s="5"/>
      <c r="Z205" s="5"/>
      <c r="AA205" s="5"/>
      <c r="AB205" s="5"/>
      <c r="AC205" s="5"/>
      <c r="AD205" s="24"/>
      <c r="AE205" s="5"/>
      <c r="AF205" s="5"/>
      <c r="AG205" s="5"/>
      <c r="AH205" s="5"/>
      <c r="AI205" s="5"/>
      <c r="AJ205" s="5"/>
      <c r="AK205" s="25"/>
      <c r="AL205" s="5">
        <v>474</v>
      </c>
      <c r="AM205" s="8">
        <v>1</v>
      </c>
      <c r="AN205" s="8"/>
      <c r="AP205" s="67">
        <f t="shared" si="9"/>
        <v>0</v>
      </c>
      <c r="AQ205" s="76">
        <f t="shared" si="10"/>
        <v>0</v>
      </c>
      <c r="AR205" s="85">
        <v>7</v>
      </c>
      <c r="AS205">
        <v>7</v>
      </c>
      <c r="AT205" s="67">
        <v>1</v>
      </c>
      <c r="AU205" s="67">
        <f t="shared" si="11"/>
        <v>15</v>
      </c>
    </row>
    <row r="206" spans="1:47">
      <c r="A206" s="8">
        <v>476</v>
      </c>
      <c r="B206" s="8" t="s">
        <v>44</v>
      </c>
      <c r="C206" s="8" t="s">
        <v>349</v>
      </c>
      <c r="D206" s="8" t="s">
        <v>42</v>
      </c>
      <c r="E206" s="8">
        <v>476</v>
      </c>
      <c r="F206" s="24"/>
      <c r="G206" s="5"/>
      <c r="H206" s="5">
        <v>1</v>
      </c>
      <c r="I206" s="5">
        <v>1</v>
      </c>
      <c r="J206" s="5">
        <v>1</v>
      </c>
      <c r="K206" s="5"/>
      <c r="L206" s="5"/>
      <c r="M206" s="25"/>
      <c r="N206" s="24"/>
      <c r="O206" s="5">
        <v>1</v>
      </c>
      <c r="P206" s="5"/>
      <c r="Q206" s="5"/>
      <c r="R206" s="5"/>
      <c r="S206" s="5"/>
      <c r="T206" s="5"/>
      <c r="U206" s="25"/>
      <c r="V206" s="5"/>
      <c r="W206" s="5"/>
      <c r="X206" s="5"/>
      <c r="Y206" s="5"/>
      <c r="Z206" s="5"/>
      <c r="AA206" s="5"/>
      <c r="AB206" s="5"/>
      <c r="AC206" s="5"/>
      <c r="AD206" s="24"/>
      <c r="AE206" s="5"/>
      <c r="AF206" s="5"/>
      <c r="AG206" s="5"/>
      <c r="AH206" s="5"/>
      <c r="AI206" s="5"/>
      <c r="AJ206" s="5"/>
      <c r="AK206" s="25"/>
      <c r="AL206" s="5">
        <v>476</v>
      </c>
      <c r="AM206" s="8"/>
      <c r="AN206" s="8">
        <v>1</v>
      </c>
      <c r="AP206" s="67">
        <f t="shared" si="9"/>
        <v>4</v>
      </c>
      <c r="AQ206" s="76">
        <f t="shared" si="10"/>
        <v>0.125</v>
      </c>
      <c r="AR206" s="85">
        <v>23</v>
      </c>
      <c r="AS206">
        <v>7</v>
      </c>
      <c r="AT206" s="67">
        <v>2</v>
      </c>
      <c r="AU206" s="67">
        <f t="shared" si="11"/>
        <v>32</v>
      </c>
    </row>
    <row r="207" spans="1:47">
      <c r="A207" s="8">
        <v>478</v>
      </c>
      <c r="B207" s="8" t="s">
        <v>62</v>
      </c>
      <c r="C207" s="8" t="s">
        <v>42</v>
      </c>
      <c r="D207" s="8" t="s">
        <v>42</v>
      </c>
      <c r="E207" s="8">
        <v>478</v>
      </c>
      <c r="F207" s="24"/>
      <c r="G207" s="5"/>
      <c r="H207" s="5">
        <v>1</v>
      </c>
      <c r="I207" s="5"/>
      <c r="J207" s="5"/>
      <c r="K207" s="5"/>
      <c r="L207" s="5"/>
      <c r="M207" s="25"/>
      <c r="N207" s="24"/>
      <c r="O207" s="5"/>
      <c r="P207" s="5">
        <v>1</v>
      </c>
      <c r="Q207" s="5"/>
      <c r="R207" s="5"/>
      <c r="S207" s="5"/>
      <c r="T207" s="5"/>
      <c r="U207" s="25"/>
      <c r="V207" s="5"/>
      <c r="W207" s="5"/>
      <c r="X207" s="5">
        <v>1</v>
      </c>
      <c r="Y207" s="5"/>
      <c r="Z207" s="5"/>
      <c r="AA207" s="5"/>
      <c r="AB207" s="5"/>
      <c r="AC207" s="5"/>
      <c r="AD207" s="24"/>
      <c r="AE207" s="5"/>
      <c r="AF207" s="5"/>
      <c r="AG207" s="5"/>
      <c r="AH207" s="5"/>
      <c r="AI207" s="5"/>
      <c r="AJ207" s="5"/>
      <c r="AK207" s="25"/>
      <c r="AL207" s="5">
        <v>478</v>
      </c>
      <c r="AM207" s="8"/>
      <c r="AN207" s="8">
        <v>1</v>
      </c>
      <c r="AP207" s="67">
        <f t="shared" si="9"/>
        <v>3</v>
      </c>
      <c r="AQ207" s="76">
        <f t="shared" si="10"/>
        <v>9.6774193548387094E-2</v>
      </c>
      <c r="AR207" s="85">
        <v>26</v>
      </c>
      <c r="AS207">
        <v>5</v>
      </c>
      <c r="AT207" s="67">
        <v>0</v>
      </c>
      <c r="AU207" s="67">
        <f t="shared" si="11"/>
        <v>31</v>
      </c>
    </row>
    <row r="208" spans="1:47">
      <c r="A208" s="8">
        <v>480</v>
      </c>
      <c r="B208" s="8" t="s">
        <v>55</v>
      </c>
      <c r="C208" s="8" t="s">
        <v>346</v>
      </c>
      <c r="D208" s="8"/>
      <c r="E208" s="8">
        <v>480</v>
      </c>
      <c r="F208" s="24"/>
      <c r="G208" s="5"/>
      <c r="H208" s="5"/>
      <c r="I208" s="5"/>
      <c r="J208" s="5"/>
      <c r="K208" s="5"/>
      <c r="L208" s="5"/>
      <c r="M208" s="25"/>
      <c r="N208" s="24"/>
      <c r="O208" s="5"/>
      <c r="P208" s="5"/>
      <c r="Q208" s="5"/>
      <c r="R208" s="5"/>
      <c r="S208" s="5"/>
      <c r="T208" s="5"/>
      <c r="U208" s="25"/>
      <c r="V208" s="5"/>
      <c r="W208" s="5"/>
      <c r="X208" s="5"/>
      <c r="Y208" s="5"/>
      <c r="Z208" s="5"/>
      <c r="AA208" s="5"/>
      <c r="AB208" s="5"/>
      <c r="AC208" s="5"/>
      <c r="AD208" s="24"/>
      <c r="AE208" s="5"/>
      <c r="AF208" s="5"/>
      <c r="AG208" s="5"/>
      <c r="AH208" s="5"/>
      <c r="AI208" s="5"/>
      <c r="AJ208" s="5"/>
      <c r="AK208" s="25"/>
      <c r="AL208" s="5">
        <v>480</v>
      </c>
      <c r="AM208" s="8">
        <v>1</v>
      </c>
      <c r="AN208" s="8"/>
      <c r="AP208" s="67">
        <f t="shared" si="9"/>
        <v>0</v>
      </c>
      <c r="AQ208" s="76">
        <f t="shared" si="10"/>
        <v>0</v>
      </c>
      <c r="AR208" s="85">
        <v>19</v>
      </c>
      <c r="AT208" s="67">
        <v>1</v>
      </c>
      <c r="AU208" s="67">
        <f t="shared" si="11"/>
        <v>20</v>
      </c>
    </row>
    <row r="209" spans="1:47">
      <c r="A209" s="8" t="s">
        <v>287</v>
      </c>
      <c r="B209" s="8" t="s">
        <v>41</v>
      </c>
      <c r="C209" s="8" t="s">
        <v>42</v>
      </c>
      <c r="D209" s="8" t="s">
        <v>6</v>
      </c>
      <c r="E209" s="8" t="s">
        <v>287</v>
      </c>
      <c r="F209" s="24"/>
      <c r="G209" s="5"/>
      <c r="H209" s="5"/>
      <c r="I209" s="5"/>
      <c r="J209" s="5"/>
      <c r="K209" s="5"/>
      <c r="L209" s="5"/>
      <c r="M209" s="25"/>
      <c r="N209" s="24"/>
      <c r="O209" s="5"/>
      <c r="P209" s="5"/>
      <c r="Q209" s="5"/>
      <c r="R209" s="5"/>
      <c r="S209" s="5"/>
      <c r="T209" s="5"/>
      <c r="U209" s="25"/>
      <c r="V209" s="5"/>
      <c r="W209" s="5"/>
      <c r="X209" s="5"/>
      <c r="Y209" s="5"/>
      <c r="Z209" s="5"/>
      <c r="AA209" s="5"/>
      <c r="AB209" s="5"/>
      <c r="AC209" s="5"/>
      <c r="AD209" s="24"/>
      <c r="AE209" s="5"/>
      <c r="AF209" s="5"/>
      <c r="AG209" s="5"/>
      <c r="AH209" s="5"/>
      <c r="AI209" s="5"/>
      <c r="AJ209" s="5"/>
      <c r="AK209" s="25"/>
      <c r="AL209" s="5" t="s">
        <v>287</v>
      </c>
      <c r="AM209" s="8">
        <v>1</v>
      </c>
      <c r="AN209" s="8"/>
      <c r="AP209" s="67">
        <f t="shared" si="9"/>
        <v>0</v>
      </c>
      <c r="AQ209" s="76">
        <f t="shared" si="10"/>
        <v>0</v>
      </c>
      <c r="AR209" s="85">
        <v>30</v>
      </c>
      <c r="AS209">
        <v>2</v>
      </c>
      <c r="AT209" s="67">
        <v>0</v>
      </c>
      <c r="AU209" s="67">
        <f t="shared" si="11"/>
        <v>32</v>
      </c>
    </row>
    <row r="210" spans="1:47">
      <c r="A210" s="8" t="s">
        <v>290</v>
      </c>
      <c r="B210" s="8" t="s">
        <v>5</v>
      </c>
      <c r="C210" s="8" t="s">
        <v>42</v>
      </c>
      <c r="D210" s="8" t="s">
        <v>42</v>
      </c>
      <c r="E210" s="8" t="s">
        <v>290</v>
      </c>
      <c r="F210" s="24"/>
      <c r="G210" s="5"/>
      <c r="H210" s="5"/>
      <c r="I210" s="5"/>
      <c r="J210" s="5"/>
      <c r="K210" s="5"/>
      <c r="L210" s="5"/>
      <c r="M210" s="25"/>
      <c r="N210" s="24"/>
      <c r="O210" s="5"/>
      <c r="P210" s="5"/>
      <c r="Q210" s="5"/>
      <c r="R210" s="5"/>
      <c r="S210" s="5"/>
      <c r="T210" s="5"/>
      <c r="U210" s="25"/>
      <c r="V210" s="5"/>
      <c r="W210" s="5"/>
      <c r="X210" s="5"/>
      <c r="Y210" s="5"/>
      <c r="Z210" s="5"/>
      <c r="AA210" s="5"/>
      <c r="AB210" s="5"/>
      <c r="AC210" s="5"/>
      <c r="AD210" s="24"/>
      <c r="AE210" s="5"/>
      <c r="AF210" s="5"/>
      <c r="AG210" s="5"/>
      <c r="AH210" s="5"/>
      <c r="AI210" s="5"/>
      <c r="AJ210" s="5"/>
      <c r="AK210" s="25"/>
      <c r="AL210" s="5" t="s">
        <v>290</v>
      </c>
      <c r="AM210" s="8">
        <v>1</v>
      </c>
      <c r="AN210" s="8"/>
      <c r="AP210" s="67">
        <f t="shared" si="9"/>
        <v>0</v>
      </c>
      <c r="AQ210" s="76">
        <f t="shared" si="10"/>
        <v>0</v>
      </c>
      <c r="AR210" s="85">
        <v>29</v>
      </c>
      <c r="AT210" s="67">
        <v>1</v>
      </c>
      <c r="AU210" s="67">
        <f t="shared" si="11"/>
        <v>30</v>
      </c>
    </row>
    <row r="211" spans="1:47">
      <c r="A211" s="8">
        <v>489</v>
      </c>
      <c r="B211" s="8" t="s">
        <v>99</v>
      </c>
      <c r="C211" s="8" t="s">
        <v>346</v>
      </c>
      <c r="D211" s="8"/>
      <c r="E211" s="8">
        <v>489</v>
      </c>
      <c r="F211" s="24"/>
      <c r="G211" s="5"/>
      <c r="H211" s="5"/>
      <c r="I211" s="5"/>
      <c r="J211" s="5"/>
      <c r="K211" s="5"/>
      <c r="L211" s="5"/>
      <c r="M211" s="25"/>
      <c r="N211" s="24"/>
      <c r="O211" s="5"/>
      <c r="P211" s="5"/>
      <c r="Q211" s="5"/>
      <c r="R211" s="5"/>
      <c r="S211" s="5"/>
      <c r="T211" s="5"/>
      <c r="U211" s="25"/>
      <c r="V211" s="5"/>
      <c r="W211" s="5"/>
      <c r="X211" s="5"/>
      <c r="Y211" s="5"/>
      <c r="Z211" s="5"/>
      <c r="AA211" s="5"/>
      <c r="AB211" s="5"/>
      <c r="AC211" s="5"/>
      <c r="AD211" s="24"/>
      <c r="AE211" s="5"/>
      <c r="AF211" s="5"/>
      <c r="AG211" s="5"/>
      <c r="AH211" s="5"/>
      <c r="AI211" s="5"/>
      <c r="AJ211" s="5"/>
      <c r="AK211" s="25"/>
      <c r="AL211" s="5">
        <v>489</v>
      </c>
      <c r="AM211" s="8">
        <v>1</v>
      </c>
      <c r="AN211" s="8"/>
      <c r="AP211" s="67">
        <f t="shared" si="9"/>
        <v>0</v>
      </c>
      <c r="AQ211" s="76">
        <f t="shared" si="10"/>
        <v>0</v>
      </c>
      <c r="AR211" s="85">
        <v>24</v>
      </c>
      <c r="AT211" s="67">
        <v>0</v>
      </c>
      <c r="AU211" s="67">
        <f t="shared" si="11"/>
        <v>24</v>
      </c>
    </row>
    <row r="212" spans="1:47">
      <c r="A212" s="8">
        <v>490</v>
      </c>
      <c r="B212" s="8" t="s">
        <v>74</v>
      </c>
      <c r="C212" s="8" t="s">
        <v>346</v>
      </c>
      <c r="D212" s="8"/>
      <c r="E212" s="8">
        <v>490</v>
      </c>
      <c r="F212" s="24"/>
      <c r="G212" s="5"/>
      <c r="H212" s="5"/>
      <c r="I212" s="5"/>
      <c r="J212" s="5"/>
      <c r="K212" s="5"/>
      <c r="L212" s="5"/>
      <c r="M212" s="25"/>
      <c r="N212" s="24"/>
      <c r="O212" s="5"/>
      <c r="P212" s="5"/>
      <c r="Q212" s="5"/>
      <c r="R212" s="5"/>
      <c r="S212" s="5"/>
      <c r="T212" s="5"/>
      <c r="U212" s="25"/>
      <c r="V212" s="5"/>
      <c r="W212" s="5"/>
      <c r="X212" s="5"/>
      <c r="Y212" s="5"/>
      <c r="Z212" s="5"/>
      <c r="AA212" s="5"/>
      <c r="AB212" s="5"/>
      <c r="AC212" s="5"/>
      <c r="AD212" s="24"/>
      <c r="AE212" s="5"/>
      <c r="AF212" s="5"/>
      <c r="AG212" s="5"/>
      <c r="AH212" s="5"/>
      <c r="AI212" s="5"/>
      <c r="AJ212" s="5"/>
      <c r="AK212" s="25"/>
      <c r="AL212" s="5">
        <v>490</v>
      </c>
      <c r="AM212" s="8">
        <v>1</v>
      </c>
      <c r="AN212" s="8"/>
      <c r="AP212" s="67">
        <f t="shared" si="9"/>
        <v>0</v>
      </c>
      <c r="AQ212" s="76">
        <f t="shared" si="10"/>
        <v>0</v>
      </c>
      <c r="AR212" s="85">
        <v>16</v>
      </c>
      <c r="AT212" s="67">
        <v>0</v>
      </c>
      <c r="AU212" s="67">
        <f t="shared" si="11"/>
        <v>16</v>
      </c>
    </row>
    <row r="213" spans="1:47">
      <c r="A213" s="8">
        <v>492</v>
      </c>
      <c r="B213" s="8" t="s">
        <v>63</v>
      </c>
      <c r="C213" s="8" t="s">
        <v>346</v>
      </c>
      <c r="D213" s="8"/>
      <c r="E213" s="8">
        <v>492</v>
      </c>
      <c r="F213" s="24"/>
      <c r="G213" s="5"/>
      <c r="H213" s="5"/>
      <c r="I213" s="5"/>
      <c r="J213" s="5"/>
      <c r="K213" s="5"/>
      <c r="L213" s="5"/>
      <c r="M213" s="25"/>
      <c r="N213" s="24"/>
      <c r="O213" s="5"/>
      <c r="P213" s="5"/>
      <c r="Q213" s="5"/>
      <c r="R213" s="5"/>
      <c r="S213" s="5"/>
      <c r="T213" s="5"/>
      <c r="U213" s="25"/>
      <c r="V213" s="5"/>
      <c r="W213" s="5"/>
      <c r="X213" s="5"/>
      <c r="Y213" s="5"/>
      <c r="Z213" s="5"/>
      <c r="AA213" s="5"/>
      <c r="AB213" s="5"/>
      <c r="AC213" s="5"/>
      <c r="AD213" s="24"/>
      <c r="AE213" s="5"/>
      <c r="AF213" s="5"/>
      <c r="AG213" s="5"/>
      <c r="AH213" s="5"/>
      <c r="AI213" s="5"/>
      <c r="AJ213" s="5"/>
      <c r="AK213" s="25"/>
      <c r="AL213" s="5">
        <v>492</v>
      </c>
      <c r="AM213" s="8">
        <v>1</v>
      </c>
      <c r="AN213" s="8"/>
      <c r="AP213" s="67">
        <f t="shared" si="9"/>
        <v>0</v>
      </c>
      <c r="AQ213" s="76">
        <f t="shared" si="10"/>
        <v>0</v>
      </c>
      <c r="AR213" s="85">
        <v>12</v>
      </c>
      <c r="AT213" s="67">
        <v>0</v>
      </c>
      <c r="AU213" s="67">
        <f t="shared" si="11"/>
        <v>12</v>
      </c>
    </row>
    <row r="214" spans="1:47">
      <c r="A214" s="8">
        <v>495</v>
      </c>
      <c r="B214" s="8" t="s">
        <v>63</v>
      </c>
      <c r="C214" s="8" t="s">
        <v>346</v>
      </c>
      <c r="D214" s="8"/>
      <c r="E214" s="8">
        <v>495</v>
      </c>
      <c r="F214" s="24"/>
      <c r="G214" s="5"/>
      <c r="H214" s="5"/>
      <c r="I214" s="5"/>
      <c r="J214" s="5"/>
      <c r="K214" s="5"/>
      <c r="L214" s="5"/>
      <c r="M214" s="25"/>
      <c r="N214" s="24"/>
      <c r="O214" s="5"/>
      <c r="P214" s="5"/>
      <c r="Q214" s="5"/>
      <c r="R214" s="5"/>
      <c r="S214" s="5"/>
      <c r="T214" s="5"/>
      <c r="U214" s="25"/>
      <c r="V214" s="5"/>
      <c r="W214" s="5"/>
      <c r="X214" s="5"/>
      <c r="Y214" s="5"/>
      <c r="Z214" s="5"/>
      <c r="AA214" s="5"/>
      <c r="AB214" s="5"/>
      <c r="AC214" s="5"/>
      <c r="AD214" s="24"/>
      <c r="AE214" s="5"/>
      <c r="AF214" s="5"/>
      <c r="AG214" s="5"/>
      <c r="AH214" s="5"/>
      <c r="AI214" s="5"/>
      <c r="AJ214" s="5"/>
      <c r="AK214" s="25"/>
      <c r="AL214" s="5">
        <v>495</v>
      </c>
      <c r="AM214" s="8">
        <v>1</v>
      </c>
      <c r="AN214" s="8"/>
      <c r="AP214" s="67">
        <f t="shared" si="9"/>
        <v>0</v>
      </c>
      <c r="AQ214" s="76">
        <f t="shared" si="10"/>
        <v>0</v>
      </c>
      <c r="AR214" s="85">
        <v>9</v>
      </c>
      <c r="AT214" s="67">
        <v>1</v>
      </c>
      <c r="AU214" s="67">
        <f t="shared" si="11"/>
        <v>10</v>
      </c>
    </row>
    <row r="215" spans="1:47">
      <c r="A215" s="8">
        <v>498</v>
      </c>
      <c r="B215" s="8" t="s">
        <v>62</v>
      </c>
      <c r="C215" s="8" t="s">
        <v>42</v>
      </c>
      <c r="D215" s="8" t="s">
        <v>42</v>
      </c>
      <c r="E215" s="8">
        <v>498</v>
      </c>
      <c r="F215" s="24"/>
      <c r="G215" s="5">
        <v>1</v>
      </c>
      <c r="H215" s="5"/>
      <c r="I215" s="5"/>
      <c r="J215" s="5"/>
      <c r="K215" s="5"/>
      <c r="L215" s="5"/>
      <c r="M215" s="25"/>
      <c r="N215" s="24"/>
      <c r="O215" s="5"/>
      <c r="P215" s="5"/>
      <c r="Q215" s="5"/>
      <c r="R215" s="5"/>
      <c r="S215" s="5"/>
      <c r="T215" s="5"/>
      <c r="U215" s="25"/>
      <c r="V215" s="5"/>
      <c r="W215" s="5"/>
      <c r="X215" s="5"/>
      <c r="Y215" s="5"/>
      <c r="Z215" s="5"/>
      <c r="AA215" s="5"/>
      <c r="AB215" s="5"/>
      <c r="AC215" s="5"/>
      <c r="AD215" s="24"/>
      <c r="AE215" s="5"/>
      <c r="AF215" s="5"/>
      <c r="AG215" s="5"/>
      <c r="AH215" s="5"/>
      <c r="AI215" s="5"/>
      <c r="AJ215" s="5"/>
      <c r="AK215" s="25"/>
      <c r="AL215" s="5">
        <v>498</v>
      </c>
      <c r="AM215" s="8"/>
      <c r="AN215" s="8">
        <v>1</v>
      </c>
      <c r="AP215" s="67">
        <f t="shared" si="9"/>
        <v>1</v>
      </c>
      <c r="AQ215" s="76">
        <f t="shared" si="10"/>
        <v>0.04</v>
      </c>
      <c r="AR215" s="85">
        <v>24</v>
      </c>
      <c r="AS215">
        <v>1</v>
      </c>
      <c r="AT215" s="67">
        <v>0</v>
      </c>
      <c r="AU215" s="67">
        <f t="shared" si="11"/>
        <v>25</v>
      </c>
    </row>
    <row r="216" spans="1:47">
      <c r="A216" s="8">
        <v>499</v>
      </c>
      <c r="B216" s="8" t="s">
        <v>123</v>
      </c>
      <c r="C216" s="8" t="s">
        <v>366</v>
      </c>
      <c r="D216" s="8" t="s">
        <v>6</v>
      </c>
      <c r="E216" s="8">
        <v>499</v>
      </c>
      <c r="F216" s="24"/>
      <c r="G216" s="5"/>
      <c r="H216" s="5"/>
      <c r="I216" s="5"/>
      <c r="J216" s="5"/>
      <c r="K216" s="5"/>
      <c r="L216" s="5"/>
      <c r="M216" s="25"/>
      <c r="N216" s="24"/>
      <c r="O216" s="5"/>
      <c r="P216" s="5"/>
      <c r="Q216" s="5">
        <v>1</v>
      </c>
      <c r="R216" s="5"/>
      <c r="S216" s="5"/>
      <c r="T216" s="5"/>
      <c r="U216" s="25"/>
      <c r="V216" s="5">
        <v>1</v>
      </c>
      <c r="W216" s="5"/>
      <c r="X216" s="5"/>
      <c r="Y216" s="5"/>
      <c r="Z216" s="5"/>
      <c r="AA216" s="5"/>
      <c r="AB216" s="5"/>
      <c r="AC216" s="5"/>
      <c r="AD216" s="24"/>
      <c r="AE216" s="5"/>
      <c r="AF216" s="5"/>
      <c r="AG216" s="5"/>
      <c r="AH216" s="5"/>
      <c r="AI216" s="5"/>
      <c r="AJ216" s="5"/>
      <c r="AK216" s="25"/>
      <c r="AL216" s="5">
        <v>499</v>
      </c>
      <c r="AM216" s="8"/>
      <c r="AN216" s="8">
        <v>1</v>
      </c>
      <c r="AP216" s="67">
        <f t="shared" si="9"/>
        <v>2</v>
      </c>
      <c r="AQ216" s="76">
        <f t="shared" si="10"/>
        <v>6.6666666666666666E-2</v>
      </c>
      <c r="AR216" s="85">
        <v>21</v>
      </c>
      <c r="AS216">
        <v>9</v>
      </c>
      <c r="AT216" s="67">
        <v>0</v>
      </c>
      <c r="AU216" s="67">
        <f t="shared" si="11"/>
        <v>30</v>
      </c>
    </row>
    <row r="217" spans="1:47">
      <c r="A217" s="8">
        <v>503</v>
      </c>
      <c r="B217" s="8" t="s">
        <v>80</v>
      </c>
      <c r="C217" s="8" t="s">
        <v>346</v>
      </c>
      <c r="D217" s="8"/>
      <c r="E217" s="8">
        <v>503</v>
      </c>
      <c r="F217" s="24"/>
      <c r="G217" s="5"/>
      <c r="H217" s="5"/>
      <c r="I217" s="5"/>
      <c r="J217" s="5"/>
      <c r="K217" s="5"/>
      <c r="L217" s="5"/>
      <c r="M217" s="25"/>
      <c r="N217" s="24"/>
      <c r="O217" s="5"/>
      <c r="P217" s="5"/>
      <c r="Q217" s="5"/>
      <c r="R217" s="5"/>
      <c r="S217" s="5"/>
      <c r="T217" s="5"/>
      <c r="U217" s="25"/>
      <c r="V217" s="5"/>
      <c r="W217" s="5"/>
      <c r="X217" s="5"/>
      <c r="Y217" s="5"/>
      <c r="Z217" s="5"/>
      <c r="AA217" s="5"/>
      <c r="AB217" s="5"/>
      <c r="AC217" s="5"/>
      <c r="AD217" s="24"/>
      <c r="AE217" s="5"/>
      <c r="AF217" s="5"/>
      <c r="AG217" s="5"/>
      <c r="AH217" s="5"/>
      <c r="AI217" s="5"/>
      <c r="AJ217" s="5"/>
      <c r="AK217" s="25"/>
      <c r="AL217" s="5">
        <v>503</v>
      </c>
      <c r="AM217" s="8">
        <v>1</v>
      </c>
      <c r="AN217" s="8"/>
      <c r="AP217" s="67">
        <f t="shared" si="9"/>
        <v>0</v>
      </c>
      <c r="AQ217" s="76">
        <f t="shared" si="10"/>
        <v>0</v>
      </c>
      <c r="AR217" s="85">
        <v>19</v>
      </c>
      <c r="AT217" s="67">
        <v>1</v>
      </c>
      <c r="AU217" s="67">
        <f t="shared" si="11"/>
        <v>20</v>
      </c>
    </row>
    <row r="218" spans="1:47">
      <c r="A218" s="8">
        <v>505</v>
      </c>
      <c r="B218" s="8" t="s">
        <v>73</v>
      </c>
      <c r="C218" s="8" t="s">
        <v>165</v>
      </c>
      <c r="D218" s="8" t="s">
        <v>42</v>
      </c>
      <c r="E218" s="8">
        <v>505</v>
      </c>
      <c r="F218" s="24"/>
      <c r="G218" s="5"/>
      <c r="H218" s="5"/>
      <c r="I218" s="5"/>
      <c r="J218" s="5"/>
      <c r="K218" s="5"/>
      <c r="L218" s="5"/>
      <c r="M218" s="25"/>
      <c r="N218" s="24"/>
      <c r="O218" s="5"/>
      <c r="P218" s="5"/>
      <c r="Q218" s="5"/>
      <c r="R218" s="5">
        <v>1</v>
      </c>
      <c r="S218" s="5"/>
      <c r="T218" s="5"/>
      <c r="U218" s="25"/>
      <c r="V218" s="5"/>
      <c r="W218" s="5"/>
      <c r="X218" s="5"/>
      <c r="Y218" s="5"/>
      <c r="Z218" s="5"/>
      <c r="AA218" s="5"/>
      <c r="AB218" s="5"/>
      <c r="AC218" s="5"/>
      <c r="AD218" s="24"/>
      <c r="AE218" s="5"/>
      <c r="AF218" s="5"/>
      <c r="AG218" s="5"/>
      <c r="AH218" s="5"/>
      <c r="AI218" s="5"/>
      <c r="AJ218" s="5"/>
      <c r="AK218" s="25"/>
      <c r="AL218" s="5">
        <v>505</v>
      </c>
      <c r="AM218" s="8"/>
      <c r="AN218" s="8">
        <v>1</v>
      </c>
      <c r="AP218" s="67">
        <f t="shared" si="9"/>
        <v>1</v>
      </c>
      <c r="AQ218" s="76">
        <f t="shared" si="10"/>
        <v>3.125E-2</v>
      </c>
      <c r="AR218" s="85">
        <v>31</v>
      </c>
      <c r="AT218" s="67">
        <v>1</v>
      </c>
      <c r="AU218" s="67">
        <f t="shared" si="11"/>
        <v>32</v>
      </c>
    </row>
    <row r="219" spans="1:47">
      <c r="A219" s="8">
        <v>506</v>
      </c>
      <c r="B219" s="8" t="s">
        <v>240</v>
      </c>
      <c r="C219" s="8" t="s">
        <v>42</v>
      </c>
      <c r="D219" s="8" t="s">
        <v>6</v>
      </c>
      <c r="E219" s="8">
        <v>506</v>
      </c>
      <c r="F219" s="24">
        <v>1</v>
      </c>
      <c r="G219" s="5">
        <v>1</v>
      </c>
      <c r="H219" s="5"/>
      <c r="I219" s="5"/>
      <c r="J219" s="5"/>
      <c r="K219" s="5"/>
      <c r="L219" s="5"/>
      <c r="M219" s="25"/>
      <c r="N219" s="24"/>
      <c r="O219" s="5"/>
      <c r="P219" s="5"/>
      <c r="Q219" s="5"/>
      <c r="R219" s="5"/>
      <c r="S219" s="5">
        <v>1</v>
      </c>
      <c r="T219" s="5"/>
      <c r="U219" s="25"/>
      <c r="V219" s="5"/>
      <c r="W219" s="5">
        <v>1</v>
      </c>
      <c r="X219" s="5">
        <v>1</v>
      </c>
      <c r="Y219" s="5"/>
      <c r="Z219" s="5"/>
      <c r="AA219" s="5"/>
      <c r="AB219" s="5"/>
      <c r="AC219" s="5"/>
      <c r="AD219" s="24"/>
      <c r="AE219" s="5"/>
      <c r="AF219" s="5">
        <v>1</v>
      </c>
      <c r="AG219" s="5">
        <v>1</v>
      </c>
      <c r="AH219" s="5">
        <v>1</v>
      </c>
      <c r="AI219" s="5"/>
      <c r="AJ219" s="5">
        <v>1</v>
      </c>
      <c r="AK219" s="25"/>
      <c r="AL219" s="5">
        <v>506</v>
      </c>
      <c r="AM219" s="8"/>
      <c r="AN219" s="8">
        <v>1</v>
      </c>
      <c r="AP219" s="67">
        <f t="shared" si="9"/>
        <v>9</v>
      </c>
      <c r="AQ219" s="76">
        <f t="shared" si="10"/>
        <v>0.3</v>
      </c>
      <c r="AR219" s="85">
        <v>26</v>
      </c>
      <c r="AS219">
        <v>3</v>
      </c>
      <c r="AT219" s="67">
        <v>1</v>
      </c>
      <c r="AU219" s="67">
        <f t="shared" si="11"/>
        <v>30</v>
      </c>
    </row>
    <row r="220" spans="1:47">
      <c r="A220" s="8">
        <v>507</v>
      </c>
      <c r="B220" s="8" t="s">
        <v>63</v>
      </c>
      <c r="C220" s="8" t="s">
        <v>346</v>
      </c>
      <c r="D220" s="8"/>
      <c r="E220" s="8">
        <v>507</v>
      </c>
      <c r="F220" s="24"/>
      <c r="G220" s="5"/>
      <c r="H220" s="5"/>
      <c r="I220" s="5"/>
      <c r="J220" s="5"/>
      <c r="K220" s="5"/>
      <c r="L220" s="5"/>
      <c r="M220" s="25"/>
      <c r="N220" s="24"/>
      <c r="O220" s="5"/>
      <c r="P220" s="5"/>
      <c r="Q220" s="5"/>
      <c r="R220" s="5"/>
      <c r="S220" s="5"/>
      <c r="T220" s="5"/>
      <c r="U220" s="25"/>
      <c r="V220" s="5"/>
      <c r="W220" s="5"/>
      <c r="X220" s="5"/>
      <c r="Y220" s="5"/>
      <c r="Z220" s="5"/>
      <c r="AA220" s="5"/>
      <c r="AB220" s="5"/>
      <c r="AC220" s="5"/>
      <c r="AD220" s="24"/>
      <c r="AE220" s="5"/>
      <c r="AF220" s="5"/>
      <c r="AG220" s="5"/>
      <c r="AH220" s="5"/>
      <c r="AI220" s="5"/>
      <c r="AJ220" s="5"/>
      <c r="AK220" s="25"/>
      <c r="AL220" s="5">
        <v>507</v>
      </c>
      <c r="AM220" s="8">
        <v>1</v>
      </c>
      <c r="AN220" s="8"/>
      <c r="AP220" s="67">
        <f t="shared" si="9"/>
        <v>0</v>
      </c>
      <c r="AQ220" s="76">
        <f t="shared" si="10"/>
        <v>0</v>
      </c>
      <c r="AR220" s="85">
        <v>8</v>
      </c>
      <c r="AT220" s="67">
        <v>2</v>
      </c>
      <c r="AU220" s="67">
        <f t="shared" si="11"/>
        <v>10</v>
      </c>
    </row>
    <row r="221" spans="1:47">
      <c r="A221" s="8">
        <v>508</v>
      </c>
      <c r="B221" s="8" t="s">
        <v>88</v>
      </c>
      <c r="C221" s="8" t="s">
        <v>12</v>
      </c>
      <c r="D221" s="8" t="s">
        <v>42</v>
      </c>
      <c r="E221" s="8">
        <v>508</v>
      </c>
      <c r="F221" s="24"/>
      <c r="G221" s="5"/>
      <c r="H221" s="5"/>
      <c r="I221" s="5"/>
      <c r="J221" s="5"/>
      <c r="K221" s="5"/>
      <c r="L221" s="5"/>
      <c r="M221" s="25"/>
      <c r="N221" s="24"/>
      <c r="O221" s="5"/>
      <c r="P221" s="5"/>
      <c r="Q221" s="5"/>
      <c r="R221" s="5"/>
      <c r="S221" s="5"/>
      <c r="T221" s="5"/>
      <c r="U221" s="25"/>
      <c r="V221" s="5"/>
      <c r="W221" s="5"/>
      <c r="X221" s="5"/>
      <c r="Y221" s="5"/>
      <c r="Z221" s="5"/>
      <c r="AA221" s="5"/>
      <c r="AB221" s="5"/>
      <c r="AC221" s="5"/>
      <c r="AD221" s="24"/>
      <c r="AE221" s="5"/>
      <c r="AF221" s="5"/>
      <c r="AG221" s="5"/>
      <c r="AH221" s="5"/>
      <c r="AI221" s="5"/>
      <c r="AJ221" s="5"/>
      <c r="AK221" s="25"/>
      <c r="AL221" s="5">
        <v>508</v>
      </c>
      <c r="AM221" s="8">
        <v>1</v>
      </c>
      <c r="AN221" s="8"/>
      <c r="AP221" s="67">
        <f t="shared" si="9"/>
        <v>0</v>
      </c>
      <c r="AQ221" s="76">
        <f t="shared" si="10"/>
        <v>0</v>
      </c>
      <c r="AR221" s="85">
        <v>32</v>
      </c>
      <c r="AT221" s="67">
        <v>0</v>
      </c>
      <c r="AU221" s="67">
        <f t="shared" si="11"/>
        <v>32</v>
      </c>
    </row>
    <row r="222" spans="1:47">
      <c r="A222" s="8">
        <v>513</v>
      </c>
      <c r="B222" s="8" t="s">
        <v>73</v>
      </c>
      <c r="C222" s="8" t="s">
        <v>165</v>
      </c>
      <c r="D222" s="8" t="s">
        <v>6</v>
      </c>
      <c r="E222" s="8">
        <v>513</v>
      </c>
      <c r="F222" s="24"/>
      <c r="G222" s="5"/>
      <c r="H222" s="5">
        <v>1</v>
      </c>
      <c r="I222" s="5"/>
      <c r="J222" s="5"/>
      <c r="K222" s="5"/>
      <c r="L222" s="5"/>
      <c r="M222" s="25"/>
      <c r="N222" s="24"/>
      <c r="O222" s="5"/>
      <c r="P222" s="5"/>
      <c r="Q222" s="5"/>
      <c r="R222" s="5"/>
      <c r="S222" s="5"/>
      <c r="T222" s="5"/>
      <c r="U222" s="25"/>
      <c r="V222" s="5"/>
      <c r="W222" s="5"/>
      <c r="X222" s="5">
        <v>1</v>
      </c>
      <c r="Y222" s="5"/>
      <c r="Z222" s="5"/>
      <c r="AA222" s="5"/>
      <c r="AB222" s="5"/>
      <c r="AC222" s="5"/>
      <c r="AD222" s="24"/>
      <c r="AE222" s="5"/>
      <c r="AF222" s="5"/>
      <c r="AG222" s="5"/>
      <c r="AH222" s="5"/>
      <c r="AI222" s="5"/>
      <c r="AJ222" s="5">
        <v>1</v>
      </c>
      <c r="AK222" s="25"/>
      <c r="AL222" s="5">
        <v>513</v>
      </c>
      <c r="AM222" s="8"/>
      <c r="AN222" s="8">
        <v>1</v>
      </c>
      <c r="AP222" s="67">
        <f t="shared" si="9"/>
        <v>3</v>
      </c>
      <c r="AQ222" s="76">
        <f t="shared" si="10"/>
        <v>0.10344827586206896</v>
      </c>
      <c r="AR222" s="85">
        <v>28</v>
      </c>
      <c r="AS222">
        <v>1</v>
      </c>
      <c r="AT222" s="67">
        <v>0</v>
      </c>
      <c r="AU222" s="67">
        <f t="shared" si="11"/>
        <v>29</v>
      </c>
    </row>
    <row r="223" spans="1:47">
      <c r="A223" s="8">
        <v>514</v>
      </c>
      <c r="B223" s="8" t="s">
        <v>99</v>
      </c>
      <c r="C223" s="8" t="s">
        <v>346</v>
      </c>
      <c r="D223" s="8"/>
      <c r="E223" s="8">
        <v>514</v>
      </c>
      <c r="F223" s="24"/>
      <c r="G223" s="5"/>
      <c r="H223" s="5"/>
      <c r="I223" s="5"/>
      <c r="J223" s="5"/>
      <c r="K223" s="5"/>
      <c r="L223" s="5"/>
      <c r="M223" s="25"/>
      <c r="N223" s="24"/>
      <c r="O223" s="5"/>
      <c r="P223" s="5"/>
      <c r="Q223" s="5"/>
      <c r="R223" s="5"/>
      <c r="S223" s="5"/>
      <c r="T223" s="5"/>
      <c r="U223" s="25"/>
      <c r="V223" s="5"/>
      <c r="W223" s="5"/>
      <c r="X223" s="5"/>
      <c r="Y223" s="5"/>
      <c r="Z223" s="5"/>
      <c r="AA223" s="5"/>
      <c r="AB223" s="5"/>
      <c r="AC223" s="5"/>
      <c r="AD223" s="24"/>
      <c r="AE223" s="5"/>
      <c r="AF223" s="5"/>
      <c r="AG223" s="5"/>
      <c r="AH223" s="5"/>
      <c r="AI223" s="5"/>
      <c r="AJ223" s="5"/>
      <c r="AK223" s="25"/>
      <c r="AL223" s="5">
        <v>514</v>
      </c>
      <c r="AM223" s="8">
        <v>1</v>
      </c>
      <c r="AN223" s="8"/>
      <c r="AP223" s="67">
        <f t="shared" si="9"/>
        <v>0</v>
      </c>
      <c r="AQ223" s="76">
        <f t="shared" si="10"/>
        <v>0</v>
      </c>
      <c r="AR223" s="85">
        <v>16</v>
      </c>
      <c r="AT223" s="67">
        <v>4</v>
      </c>
      <c r="AU223" s="67">
        <f t="shared" si="11"/>
        <v>20</v>
      </c>
    </row>
    <row r="224" spans="1:47">
      <c r="A224" s="8">
        <v>516</v>
      </c>
      <c r="B224" s="8" t="s">
        <v>99</v>
      </c>
      <c r="C224" s="8" t="s">
        <v>346</v>
      </c>
      <c r="D224" s="8"/>
      <c r="E224" s="8">
        <v>516</v>
      </c>
      <c r="F224" s="24"/>
      <c r="G224" s="5"/>
      <c r="H224" s="5"/>
      <c r="I224" s="5"/>
      <c r="J224" s="5"/>
      <c r="K224" s="5"/>
      <c r="L224" s="5"/>
      <c r="M224" s="25"/>
      <c r="N224" s="24"/>
      <c r="O224" s="5"/>
      <c r="P224" s="5"/>
      <c r="Q224" s="5"/>
      <c r="R224" s="5"/>
      <c r="S224" s="5"/>
      <c r="T224" s="5"/>
      <c r="U224" s="25"/>
      <c r="V224" s="5"/>
      <c r="W224" s="5"/>
      <c r="X224" s="5"/>
      <c r="Y224" s="5"/>
      <c r="Z224" s="5"/>
      <c r="AA224" s="5"/>
      <c r="AB224" s="5"/>
      <c r="AC224" s="5"/>
      <c r="AD224" s="24"/>
      <c r="AE224" s="5"/>
      <c r="AF224" s="5"/>
      <c r="AG224" s="5"/>
      <c r="AH224" s="5"/>
      <c r="AI224" s="5"/>
      <c r="AJ224" s="5"/>
      <c r="AK224" s="25"/>
      <c r="AL224" s="5">
        <v>516</v>
      </c>
      <c r="AM224" s="8">
        <v>1</v>
      </c>
      <c r="AN224" s="8"/>
      <c r="AP224" s="67">
        <f t="shared" si="9"/>
        <v>0</v>
      </c>
      <c r="AQ224" s="76">
        <f t="shared" si="10"/>
        <v>0</v>
      </c>
      <c r="AR224" s="85">
        <v>24</v>
      </c>
      <c r="AT224" s="67">
        <v>0</v>
      </c>
      <c r="AU224" s="67">
        <f t="shared" si="11"/>
        <v>24</v>
      </c>
    </row>
    <row r="225" spans="1:47">
      <c r="A225" s="8">
        <v>518</v>
      </c>
      <c r="B225" s="8" t="s">
        <v>99</v>
      </c>
      <c r="C225" s="8" t="s">
        <v>346</v>
      </c>
      <c r="D225" s="8"/>
      <c r="E225" s="8">
        <v>518</v>
      </c>
      <c r="F225" s="24"/>
      <c r="G225" s="5"/>
      <c r="H225" s="5"/>
      <c r="I225" s="5"/>
      <c r="J225" s="5"/>
      <c r="K225" s="5"/>
      <c r="L225" s="5"/>
      <c r="M225" s="25"/>
      <c r="N225" s="24"/>
      <c r="O225" s="5"/>
      <c r="P225" s="5"/>
      <c r="Q225" s="5"/>
      <c r="R225" s="5"/>
      <c r="S225" s="5"/>
      <c r="T225" s="5"/>
      <c r="U225" s="25"/>
      <c r="V225" s="5"/>
      <c r="W225" s="5"/>
      <c r="X225" s="5"/>
      <c r="Y225" s="5"/>
      <c r="Z225" s="5"/>
      <c r="AA225" s="5"/>
      <c r="AB225" s="5"/>
      <c r="AC225" s="5"/>
      <c r="AD225" s="24"/>
      <c r="AE225" s="5"/>
      <c r="AF225" s="5"/>
      <c r="AG225" s="5"/>
      <c r="AH225" s="5"/>
      <c r="AI225" s="5"/>
      <c r="AJ225" s="5"/>
      <c r="AK225" s="25"/>
      <c r="AL225" s="5">
        <v>518</v>
      </c>
      <c r="AM225" s="8">
        <v>1</v>
      </c>
      <c r="AN225" s="8"/>
      <c r="AP225" s="67">
        <f t="shared" si="9"/>
        <v>0</v>
      </c>
      <c r="AQ225" s="76">
        <f t="shared" si="10"/>
        <v>0</v>
      </c>
      <c r="AR225" s="85">
        <v>19</v>
      </c>
      <c r="AT225" s="67">
        <v>3</v>
      </c>
      <c r="AU225" s="67">
        <f t="shared" si="11"/>
        <v>22</v>
      </c>
    </row>
    <row r="226" spans="1:47">
      <c r="A226" s="8">
        <v>519</v>
      </c>
      <c r="B226" s="8" t="s">
        <v>62</v>
      </c>
      <c r="C226" s="8" t="s">
        <v>42</v>
      </c>
      <c r="D226" s="8" t="s">
        <v>42</v>
      </c>
      <c r="E226" s="8">
        <v>519</v>
      </c>
      <c r="F226" s="24"/>
      <c r="G226" s="5">
        <v>1</v>
      </c>
      <c r="H226" s="5"/>
      <c r="I226" s="5"/>
      <c r="J226" s="5"/>
      <c r="K226" s="5"/>
      <c r="L226" s="5"/>
      <c r="M226" s="25"/>
      <c r="N226" s="24"/>
      <c r="O226" s="5"/>
      <c r="P226" s="5"/>
      <c r="Q226" s="5"/>
      <c r="R226" s="5"/>
      <c r="S226" s="5"/>
      <c r="T226" s="5"/>
      <c r="U226" s="25"/>
      <c r="V226" s="5"/>
      <c r="W226" s="5"/>
      <c r="X226" s="5"/>
      <c r="Y226" s="5"/>
      <c r="Z226" s="5"/>
      <c r="AA226" s="5"/>
      <c r="AB226" s="5"/>
      <c r="AC226" s="5"/>
      <c r="AD226" s="24"/>
      <c r="AE226" s="5"/>
      <c r="AF226" s="5"/>
      <c r="AG226" s="5"/>
      <c r="AH226" s="5"/>
      <c r="AI226" s="5">
        <v>1</v>
      </c>
      <c r="AJ226" s="5"/>
      <c r="AK226" s="25"/>
      <c r="AL226" s="5">
        <v>519</v>
      </c>
      <c r="AM226" s="8"/>
      <c r="AN226" s="8">
        <v>1</v>
      </c>
      <c r="AP226" s="67">
        <f t="shared" si="9"/>
        <v>2</v>
      </c>
      <c r="AQ226" s="76">
        <f t="shared" si="10"/>
        <v>6.25E-2</v>
      </c>
      <c r="AR226" s="85">
        <v>31</v>
      </c>
      <c r="AS226">
        <v>1</v>
      </c>
      <c r="AT226" s="67">
        <v>0</v>
      </c>
      <c r="AU226" s="67">
        <f t="shared" si="11"/>
        <v>32</v>
      </c>
    </row>
    <row r="227" spans="1:47">
      <c r="A227" s="8">
        <v>521</v>
      </c>
      <c r="B227" s="8" t="s">
        <v>41</v>
      </c>
      <c r="C227" s="8" t="s">
        <v>42</v>
      </c>
      <c r="D227" s="8" t="s">
        <v>42</v>
      </c>
      <c r="E227" s="8">
        <v>521</v>
      </c>
      <c r="F227" s="24"/>
      <c r="G227" s="5">
        <v>1</v>
      </c>
      <c r="H227" s="5">
        <v>1</v>
      </c>
      <c r="I227" s="5"/>
      <c r="J227" s="5"/>
      <c r="K227" s="5"/>
      <c r="L227" s="5"/>
      <c r="M227" s="25"/>
      <c r="N227" s="24"/>
      <c r="O227" s="5"/>
      <c r="P227" s="5"/>
      <c r="Q227" s="5"/>
      <c r="R227" s="5"/>
      <c r="S227" s="5"/>
      <c r="T227" s="5"/>
      <c r="U227" s="25"/>
      <c r="V227" s="5"/>
      <c r="W227" s="5"/>
      <c r="X227" s="5">
        <v>1</v>
      </c>
      <c r="Y227" s="5"/>
      <c r="Z227" s="5"/>
      <c r="AA227" s="5"/>
      <c r="AB227" s="5"/>
      <c r="AC227" s="5"/>
      <c r="AD227" s="24"/>
      <c r="AE227" s="5"/>
      <c r="AF227" s="5"/>
      <c r="AG227" s="5"/>
      <c r="AH227" s="5"/>
      <c r="AI227" s="5">
        <v>1</v>
      </c>
      <c r="AJ227" s="5"/>
      <c r="AK227" s="25"/>
      <c r="AL227" s="5">
        <v>521</v>
      </c>
      <c r="AM227" s="8"/>
      <c r="AN227" s="8">
        <v>1</v>
      </c>
      <c r="AP227" s="67">
        <f t="shared" si="9"/>
        <v>4</v>
      </c>
      <c r="AQ227" s="76">
        <f t="shared" si="10"/>
        <v>0.12903225806451613</v>
      </c>
      <c r="AR227" s="85">
        <v>29</v>
      </c>
      <c r="AS227">
        <v>1</v>
      </c>
      <c r="AT227" s="67">
        <v>1</v>
      </c>
      <c r="AU227" s="67">
        <f t="shared" si="11"/>
        <v>31</v>
      </c>
    </row>
    <row r="228" spans="1:47">
      <c r="A228" s="8">
        <v>522</v>
      </c>
      <c r="B228" s="8" t="s">
        <v>55</v>
      </c>
      <c r="C228" s="8" t="s">
        <v>346</v>
      </c>
      <c r="D228" s="8"/>
      <c r="E228" s="8">
        <v>522</v>
      </c>
      <c r="F228" s="24"/>
      <c r="G228" s="5"/>
      <c r="H228" s="5"/>
      <c r="I228" s="5"/>
      <c r="J228" s="5"/>
      <c r="K228" s="5"/>
      <c r="L228" s="5"/>
      <c r="M228" s="25"/>
      <c r="N228" s="24"/>
      <c r="O228" s="5"/>
      <c r="P228" s="5"/>
      <c r="Q228" s="5"/>
      <c r="R228" s="5"/>
      <c r="S228" s="5"/>
      <c r="T228" s="5"/>
      <c r="U228" s="25"/>
      <c r="V228" s="5"/>
      <c r="W228" s="5"/>
      <c r="X228" s="5"/>
      <c r="Y228" s="5"/>
      <c r="Z228" s="5"/>
      <c r="AA228" s="5"/>
      <c r="AB228" s="5"/>
      <c r="AC228" s="5"/>
      <c r="AD228" s="24"/>
      <c r="AE228" s="5"/>
      <c r="AF228" s="5"/>
      <c r="AG228" s="5"/>
      <c r="AH228" s="5"/>
      <c r="AI228" s="5"/>
      <c r="AJ228" s="5"/>
      <c r="AK228" s="25"/>
      <c r="AL228" s="5">
        <v>522</v>
      </c>
      <c r="AM228" s="8">
        <v>1</v>
      </c>
      <c r="AN228" s="8"/>
      <c r="AP228" s="67">
        <f t="shared" si="9"/>
        <v>0</v>
      </c>
      <c r="AQ228" s="76">
        <f t="shared" si="10"/>
        <v>0</v>
      </c>
      <c r="AR228" s="85">
        <v>13</v>
      </c>
      <c r="AT228" s="67">
        <v>2</v>
      </c>
      <c r="AU228" s="67">
        <f t="shared" si="11"/>
        <v>15</v>
      </c>
    </row>
    <row r="229" spans="1:47">
      <c r="A229" s="8">
        <v>523</v>
      </c>
      <c r="B229" s="8" t="s">
        <v>55</v>
      </c>
      <c r="C229" s="8" t="s">
        <v>346</v>
      </c>
      <c r="D229" s="8"/>
      <c r="E229" s="8">
        <v>523</v>
      </c>
      <c r="F229" s="24"/>
      <c r="G229" s="5"/>
      <c r="H229" s="5"/>
      <c r="I229" s="5"/>
      <c r="J229" s="5"/>
      <c r="K229" s="5"/>
      <c r="L229" s="5"/>
      <c r="M229" s="25"/>
      <c r="N229" s="24"/>
      <c r="O229" s="5"/>
      <c r="P229" s="5"/>
      <c r="Q229" s="5"/>
      <c r="R229" s="5"/>
      <c r="S229" s="5"/>
      <c r="T229" s="5"/>
      <c r="U229" s="25"/>
      <c r="V229" s="5"/>
      <c r="W229" s="5"/>
      <c r="X229" s="5"/>
      <c r="Y229" s="5"/>
      <c r="Z229" s="5"/>
      <c r="AA229" s="5"/>
      <c r="AB229" s="5"/>
      <c r="AC229" s="5"/>
      <c r="AD229" s="24"/>
      <c r="AE229" s="5"/>
      <c r="AF229" s="5"/>
      <c r="AG229" s="5"/>
      <c r="AH229" s="5"/>
      <c r="AI229" s="5"/>
      <c r="AJ229" s="5"/>
      <c r="AK229" s="25"/>
      <c r="AL229" s="5">
        <v>523</v>
      </c>
      <c r="AM229" s="8">
        <v>1</v>
      </c>
      <c r="AN229" s="8"/>
      <c r="AP229" s="67">
        <f t="shared" si="9"/>
        <v>0</v>
      </c>
      <c r="AQ229" s="76">
        <f t="shared" si="10"/>
        <v>0</v>
      </c>
      <c r="AR229" s="85">
        <v>9</v>
      </c>
      <c r="AT229" s="67">
        <v>5</v>
      </c>
      <c r="AU229" s="67">
        <f t="shared" si="11"/>
        <v>14</v>
      </c>
    </row>
    <row r="230" spans="1:47">
      <c r="A230" s="8">
        <v>524</v>
      </c>
      <c r="B230" s="8" t="s">
        <v>41</v>
      </c>
      <c r="C230" s="8" t="s">
        <v>42</v>
      </c>
      <c r="D230" s="8" t="s">
        <v>6</v>
      </c>
      <c r="E230" s="8">
        <v>524</v>
      </c>
      <c r="F230" s="24">
        <v>1</v>
      </c>
      <c r="G230" s="5">
        <v>1</v>
      </c>
      <c r="H230" s="5"/>
      <c r="I230" s="5"/>
      <c r="J230" s="5"/>
      <c r="K230" s="5"/>
      <c r="L230" s="5"/>
      <c r="M230" s="25"/>
      <c r="N230" s="24"/>
      <c r="O230" s="5"/>
      <c r="P230" s="5"/>
      <c r="Q230" s="5"/>
      <c r="R230" s="5"/>
      <c r="S230" s="5">
        <v>1</v>
      </c>
      <c r="T230" s="5">
        <v>1</v>
      </c>
      <c r="U230" s="25"/>
      <c r="V230" s="5">
        <v>1</v>
      </c>
      <c r="W230" s="5">
        <v>1</v>
      </c>
      <c r="X230" s="5">
        <v>1</v>
      </c>
      <c r="Y230" s="5"/>
      <c r="Z230" s="5"/>
      <c r="AA230" s="5"/>
      <c r="AB230" s="5"/>
      <c r="AC230" s="5"/>
      <c r="AD230" s="24"/>
      <c r="AE230" s="5"/>
      <c r="AF230" s="5"/>
      <c r="AG230" s="5"/>
      <c r="AH230" s="5"/>
      <c r="AI230" s="5">
        <v>1</v>
      </c>
      <c r="AJ230" s="5">
        <v>1</v>
      </c>
      <c r="AK230" s="25">
        <v>1</v>
      </c>
      <c r="AL230" s="5">
        <v>524</v>
      </c>
      <c r="AM230" s="8"/>
      <c r="AN230" s="8">
        <v>1</v>
      </c>
      <c r="AP230" s="67">
        <f t="shared" si="9"/>
        <v>10</v>
      </c>
      <c r="AQ230" s="76">
        <f t="shared" si="10"/>
        <v>0.3125</v>
      </c>
      <c r="AR230" s="85">
        <v>29</v>
      </c>
      <c r="AS230">
        <v>1</v>
      </c>
      <c r="AT230" s="67">
        <v>2</v>
      </c>
      <c r="AU230" s="67">
        <f t="shared" si="11"/>
        <v>32</v>
      </c>
    </row>
    <row r="231" spans="1:47">
      <c r="A231" s="8">
        <v>525</v>
      </c>
      <c r="B231" s="8" t="s">
        <v>93</v>
      </c>
      <c r="C231" s="8" t="s">
        <v>12</v>
      </c>
      <c r="D231" s="8" t="s">
        <v>6</v>
      </c>
      <c r="E231" s="8">
        <v>525</v>
      </c>
      <c r="F231" s="24"/>
      <c r="G231" s="5"/>
      <c r="H231" s="5"/>
      <c r="I231" s="5"/>
      <c r="J231" s="5"/>
      <c r="K231" s="5"/>
      <c r="L231" s="5"/>
      <c r="M231" s="25"/>
      <c r="N231" s="24"/>
      <c r="O231" s="5"/>
      <c r="P231" s="5"/>
      <c r="Q231" s="5"/>
      <c r="R231" s="5"/>
      <c r="S231" s="5"/>
      <c r="T231" s="5"/>
      <c r="U231" s="25"/>
      <c r="V231" s="5"/>
      <c r="W231" s="5"/>
      <c r="X231" s="5"/>
      <c r="Y231" s="5"/>
      <c r="Z231" s="5"/>
      <c r="AA231" s="5"/>
      <c r="AB231" s="5"/>
      <c r="AC231" s="5"/>
      <c r="AD231" s="24"/>
      <c r="AE231" s="5"/>
      <c r="AF231" s="5"/>
      <c r="AG231" s="5"/>
      <c r="AH231" s="5"/>
      <c r="AI231" s="5"/>
      <c r="AJ231" s="5"/>
      <c r="AK231" s="25"/>
      <c r="AL231" s="5">
        <v>525</v>
      </c>
      <c r="AM231" s="8">
        <v>1</v>
      </c>
      <c r="AN231" s="8"/>
      <c r="AP231" s="67">
        <f t="shared" si="9"/>
        <v>0</v>
      </c>
      <c r="AQ231" s="76">
        <f t="shared" si="10"/>
        <v>0</v>
      </c>
      <c r="AR231" s="85">
        <v>28</v>
      </c>
      <c r="AT231" s="67">
        <v>0</v>
      </c>
      <c r="AU231" s="67">
        <f t="shared" si="11"/>
        <v>28</v>
      </c>
    </row>
    <row r="232" spans="1:47">
      <c r="A232" s="8">
        <v>526</v>
      </c>
      <c r="B232" s="8" t="s">
        <v>240</v>
      </c>
      <c r="C232" s="8" t="s">
        <v>42</v>
      </c>
      <c r="D232" s="8" t="s">
        <v>42</v>
      </c>
      <c r="E232" s="8">
        <v>526</v>
      </c>
      <c r="F232" s="24"/>
      <c r="G232" s="5"/>
      <c r="H232" s="5"/>
      <c r="I232" s="5"/>
      <c r="J232" s="5"/>
      <c r="K232" s="5"/>
      <c r="L232" s="5"/>
      <c r="M232" s="25"/>
      <c r="N232" s="24"/>
      <c r="O232" s="5"/>
      <c r="P232" s="5"/>
      <c r="Q232" s="5"/>
      <c r="R232" s="5"/>
      <c r="S232" s="5"/>
      <c r="T232" s="5"/>
      <c r="U232" s="25"/>
      <c r="V232" s="5"/>
      <c r="W232" s="5"/>
      <c r="X232" s="5"/>
      <c r="Y232" s="5"/>
      <c r="Z232" s="5"/>
      <c r="AA232" s="5"/>
      <c r="AB232" s="5"/>
      <c r="AC232" s="5"/>
      <c r="AD232" s="24"/>
      <c r="AE232" s="5"/>
      <c r="AF232" s="5"/>
      <c r="AG232" s="5"/>
      <c r="AH232" s="5"/>
      <c r="AI232" s="5"/>
      <c r="AJ232" s="5"/>
      <c r="AK232" s="25"/>
      <c r="AL232" s="5">
        <v>526</v>
      </c>
      <c r="AM232" s="8">
        <v>1</v>
      </c>
      <c r="AN232" s="8"/>
      <c r="AP232" s="67">
        <f t="shared" si="9"/>
        <v>0</v>
      </c>
      <c r="AQ232" s="76">
        <f t="shared" si="10"/>
        <v>0</v>
      </c>
      <c r="AR232" s="85">
        <v>28</v>
      </c>
      <c r="AT232" s="67">
        <v>0</v>
      </c>
      <c r="AU232" s="67">
        <f t="shared" si="11"/>
        <v>28</v>
      </c>
    </row>
    <row r="233" spans="1:47">
      <c r="A233" s="8">
        <v>527</v>
      </c>
      <c r="B233" s="8" t="s">
        <v>65</v>
      </c>
      <c r="C233" s="8" t="s">
        <v>12</v>
      </c>
      <c r="D233" s="8" t="s">
        <v>6</v>
      </c>
      <c r="E233" s="8">
        <v>527</v>
      </c>
      <c r="F233" s="24"/>
      <c r="G233" s="5"/>
      <c r="H233" s="5"/>
      <c r="I233" s="5"/>
      <c r="J233" s="5"/>
      <c r="K233" s="5"/>
      <c r="L233" s="5"/>
      <c r="M233" s="25"/>
      <c r="N233" s="24"/>
      <c r="O233" s="5"/>
      <c r="P233" s="5"/>
      <c r="Q233" s="5"/>
      <c r="R233" s="5"/>
      <c r="S233" s="5"/>
      <c r="T233" s="5"/>
      <c r="U233" s="25"/>
      <c r="V233" s="5"/>
      <c r="W233" s="5"/>
      <c r="X233" s="5"/>
      <c r="Y233" s="5"/>
      <c r="Z233" s="5"/>
      <c r="AA233" s="5"/>
      <c r="AB233" s="5"/>
      <c r="AC233" s="5"/>
      <c r="AD233" s="24"/>
      <c r="AE233" s="5"/>
      <c r="AF233" s="5"/>
      <c r="AG233" s="5"/>
      <c r="AH233" s="5"/>
      <c r="AI233" s="5"/>
      <c r="AJ233" s="5"/>
      <c r="AK233" s="25"/>
      <c r="AL233" s="5">
        <v>527</v>
      </c>
      <c r="AM233" s="8">
        <v>1</v>
      </c>
      <c r="AN233" s="8"/>
      <c r="AP233" s="67">
        <f t="shared" si="9"/>
        <v>0</v>
      </c>
      <c r="AQ233" s="76">
        <f t="shared" si="10"/>
        <v>0</v>
      </c>
      <c r="AR233" s="85">
        <v>23</v>
      </c>
      <c r="AT233" s="67">
        <v>3</v>
      </c>
      <c r="AU233" s="67">
        <f t="shared" si="11"/>
        <v>26</v>
      </c>
    </row>
    <row r="234" spans="1:47">
      <c r="A234" s="8">
        <v>528</v>
      </c>
      <c r="B234" s="8" t="s">
        <v>75</v>
      </c>
      <c r="C234" s="8" t="s">
        <v>12</v>
      </c>
      <c r="D234" s="8" t="s">
        <v>6</v>
      </c>
      <c r="E234" s="8">
        <v>528</v>
      </c>
      <c r="F234" s="24"/>
      <c r="G234" s="5"/>
      <c r="H234" s="5"/>
      <c r="I234" s="5"/>
      <c r="J234" s="5"/>
      <c r="K234" s="5"/>
      <c r="L234" s="5"/>
      <c r="M234" s="25"/>
      <c r="N234" s="24"/>
      <c r="O234" s="5"/>
      <c r="P234" s="5"/>
      <c r="Q234" s="5"/>
      <c r="R234" s="5"/>
      <c r="S234" s="5"/>
      <c r="T234" s="5"/>
      <c r="U234" s="25"/>
      <c r="V234" s="5"/>
      <c r="W234" s="5"/>
      <c r="X234" s="5"/>
      <c r="Y234" s="5"/>
      <c r="Z234" s="5"/>
      <c r="AA234" s="5"/>
      <c r="AB234" s="5"/>
      <c r="AC234" s="5"/>
      <c r="AD234" s="24"/>
      <c r="AE234" s="5"/>
      <c r="AF234" s="5"/>
      <c r="AG234" s="5"/>
      <c r="AH234" s="5"/>
      <c r="AI234" s="5"/>
      <c r="AJ234" s="5"/>
      <c r="AK234" s="25"/>
      <c r="AL234" s="5">
        <v>528</v>
      </c>
      <c r="AM234" s="8">
        <v>1</v>
      </c>
      <c r="AN234" s="8"/>
      <c r="AP234" s="67">
        <f t="shared" si="9"/>
        <v>0</v>
      </c>
      <c r="AQ234" s="76">
        <f t="shared" si="10"/>
        <v>0</v>
      </c>
      <c r="AR234" s="85">
        <v>29</v>
      </c>
      <c r="AS234">
        <v>1</v>
      </c>
      <c r="AT234" s="67">
        <v>2</v>
      </c>
      <c r="AU234" s="67">
        <f t="shared" si="11"/>
        <v>32</v>
      </c>
    </row>
    <row r="235" spans="1:47">
      <c r="A235" s="8">
        <v>529</v>
      </c>
      <c r="B235" s="8" t="s">
        <v>62</v>
      </c>
      <c r="C235" s="8" t="s">
        <v>42</v>
      </c>
      <c r="D235" s="8" t="s">
        <v>42</v>
      </c>
      <c r="E235" s="8">
        <v>529</v>
      </c>
      <c r="F235" s="24"/>
      <c r="G235" s="5"/>
      <c r="H235" s="5"/>
      <c r="I235" s="5"/>
      <c r="J235" s="5"/>
      <c r="K235" s="5"/>
      <c r="L235" s="5"/>
      <c r="M235" s="25"/>
      <c r="N235" s="24">
        <v>1</v>
      </c>
      <c r="O235" s="5"/>
      <c r="P235" s="5"/>
      <c r="Q235" s="5"/>
      <c r="R235" s="5"/>
      <c r="S235" s="5"/>
      <c r="T235" s="5"/>
      <c r="U235" s="25"/>
      <c r="V235" s="5"/>
      <c r="W235" s="5"/>
      <c r="X235" s="5">
        <v>1</v>
      </c>
      <c r="Y235" s="5"/>
      <c r="Z235" s="5"/>
      <c r="AA235" s="5"/>
      <c r="AB235" s="5"/>
      <c r="AC235" s="5"/>
      <c r="AD235" s="24"/>
      <c r="AE235" s="5"/>
      <c r="AF235" s="5"/>
      <c r="AG235" s="5"/>
      <c r="AH235" s="5">
        <v>1</v>
      </c>
      <c r="AI235" s="5">
        <v>1</v>
      </c>
      <c r="AJ235" s="5"/>
      <c r="AK235" s="25"/>
      <c r="AL235" s="5">
        <v>529</v>
      </c>
      <c r="AM235" s="8"/>
      <c r="AN235" s="8">
        <v>1</v>
      </c>
      <c r="AP235" s="67">
        <f t="shared" si="9"/>
        <v>4</v>
      </c>
      <c r="AQ235" s="76">
        <f t="shared" si="10"/>
        <v>0.14285714285714285</v>
      </c>
      <c r="AR235" s="85">
        <v>25</v>
      </c>
      <c r="AS235">
        <v>1</v>
      </c>
      <c r="AT235" s="67">
        <v>2</v>
      </c>
      <c r="AU235" s="67">
        <f t="shared" si="11"/>
        <v>28</v>
      </c>
    </row>
    <row r="236" spans="1:47">
      <c r="A236" s="8">
        <v>530</v>
      </c>
      <c r="B236" s="8" t="s">
        <v>63</v>
      </c>
      <c r="C236" s="8" t="s">
        <v>346</v>
      </c>
      <c r="D236" s="8"/>
      <c r="E236" s="8">
        <v>530</v>
      </c>
      <c r="F236" s="24"/>
      <c r="G236" s="5"/>
      <c r="H236" s="5"/>
      <c r="I236" s="5"/>
      <c r="J236" s="5"/>
      <c r="K236" s="5"/>
      <c r="L236" s="5"/>
      <c r="M236" s="25"/>
      <c r="N236" s="24"/>
      <c r="O236" s="5"/>
      <c r="P236" s="5"/>
      <c r="Q236" s="5"/>
      <c r="R236" s="5"/>
      <c r="S236" s="5"/>
      <c r="T236" s="5"/>
      <c r="U236" s="25"/>
      <c r="V236" s="5"/>
      <c r="W236" s="5"/>
      <c r="X236" s="5"/>
      <c r="Y236" s="5"/>
      <c r="Z236" s="5"/>
      <c r="AA236" s="5"/>
      <c r="AB236" s="5"/>
      <c r="AC236" s="5"/>
      <c r="AD236" s="24"/>
      <c r="AE236" s="5"/>
      <c r="AF236" s="5"/>
      <c r="AG236" s="5"/>
      <c r="AH236" s="5"/>
      <c r="AI236" s="5"/>
      <c r="AJ236" s="5"/>
      <c r="AK236" s="25"/>
      <c r="AL236" s="5">
        <v>530</v>
      </c>
      <c r="AM236" s="8">
        <v>1</v>
      </c>
      <c r="AN236" s="8"/>
      <c r="AP236" s="67">
        <f t="shared" si="9"/>
        <v>0</v>
      </c>
      <c r="AQ236" s="76">
        <f t="shared" si="10"/>
        <v>0</v>
      </c>
      <c r="AR236" s="85">
        <v>3</v>
      </c>
      <c r="AT236" s="67">
        <v>9</v>
      </c>
      <c r="AU236" s="67">
        <f t="shared" si="11"/>
        <v>12</v>
      </c>
    </row>
    <row r="237" spans="1:47">
      <c r="A237" s="8">
        <v>531</v>
      </c>
      <c r="B237" s="8" t="s">
        <v>54</v>
      </c>
      <c r="C237" s="8" t="s">
        <v>345</v>
      </c>
      <c r="D237" s="8"/>
      <c r="E237" s="8">
        <v>531</v>
      </c>
      <c r="F237" s="24"/>
      <c r="G237" s="5"/>
      <c r="H237" s="5"/>
      <c r="I237" s="5"/>
      <c r="J237" s="5"/>
      <c r="K237" s="5"/>
      <c r="L237" s="5"/>
      <c r="M237" s="25"/>
      <c r="N237" s="24"/>
      <c r="O237" s="5"/>
      <c r="P237" s="5"/>
      <c r="Q237" s="5"/>
      <c r="R237" s="5"/>
      <c r="S237" s="5"/>
      <c r="T237" s="5"/>
      <c r="U237" s="25"/>
      <c r="V237" s="5"/>
      <c r="W237" s="5"/>
      <c r="X237" s="5"/>
      <c r="Y237" s="5"/>
      <c r="Z237" s="5"/>
      <c r="AA237" s="5"/>
      <c r="AB237" s="5"/>
      <c r="AC237" s="5"/>
      <c r="AD237" s="24"/>
      <c r="AE237" s="5"/>
      <c r="AF237" s="5"/>
      <c r="AG237" s="5"/>
      <c r="AH237" s="5"/>
      <c r="AI237" s="5"/>
      <c r="AJ237" s="5"/>
      <c r="AK237" s="25"/>
      <c r="AL237" s="5">
        <v>531</v>
      </c>
      <c r="AM237" s="8">
        <v>1</v>
      </c>
      <c r="AN237" s="8"/>
      <c r="AP237" s="67">
        <f t="shared" si="9"/>
        <v>0</v>
      </c>
      <c r="AQ237" s="76">
        <f t="shared" si="10"/>
        <v>0</v>
      </c>
      <c r="AR237" s="85">
        <v>8</v>
      </c>
      <c r="AT237" s="67">
        <v>0</v>
      </c>
      <c r="AU237" s="67">
        <f t="shared" si="11"/>
        <v>8</v>
      </c>
    </row>
    <row r="238" spans="1:47">
      <c r="A238" s="8">
        <v>539</v>
      </c>
      <c r="B238" s="8" t="s">
        <v>240</v>
      </c>
      <c r="C238" s="8" t="s">
        <v>42</v>
      </c>
      <c r="D238" s="8" t="s">
        <v>42</v>
      </c>
      <c r="E238" s="8">
        <v>539</v>
      </c>
      <c r="F238" s="24"/>
      <c r="G238" s="5"/>
      <c r="H238" s="5"/>
      <c r="I238" s="5"/>
      <c r="J238" s="5"/>
      <c r="K238" s="5"/>
      <c r="L238" s="5"/>
      <c r="M238" s="25"/>
      <c r="N238" s="24"/>
      <c r="O238" s="5"/>
      <c r="P238" s="5"/>
      <c r="Q238" s="5"/>
      <c r="R238" s="5"/>
      <c r="S238" s="5"/>
      <c r="T238" s="5">
        <v>1</v>
      </c>
      <c r="U238" s="25">
        <v>1</v>
      </c>
      <c r="V238" s="5"/>
      <c r="W238" s="5"/>
      <c r="X238" s="5"/>
      <c r="Y238" s="5"/>
      <c r="Z238" s="5"/>
      <c r="AA238" s="5"/>
      <c r="AB238" s="5"/>
      <c r="AC238" s="5"/>
      <c r="AD238" s="24"/>
      <c r="AE238" s="5"/>
      <c r="AF238" s="5"/>
      <c r="AG238" s="5"/>
      <c r="AH238" s="5"/>
      <c r="AI238" s="5">
        <v>1</v>
      </c>
      <c r="AJ238" s="5"/>
      <c r="AK238" s="25"/>
      <c r="AL238" s="5">
        <v>539</v>
      </c>
      <c r="AM238" s="8"/>
      <c r="AN238" s="8">
        <v>1</v>
      </c>
      <c r="AP238" s="67">
        <f t="shared" si="9"/>
        <v>3</v>
      </c>
      <c r="AQ238" s="76">
        <f t="shared" si="10"/>
        <v>9.375E-2</v>
      </c>
      <c r="AR238" s="85">
        <v>30</v>
      </c>
      <c r="AS238">
        <v>1</v>
      </c>
      <c r="AT238" s="67">
        <v>1</v>
      </c>
      <c r="AU238" s="67">
        <f t="shared" si="11"/>
        <v>32</v>
      </c>
    </row>
    <row r="239" spans="1:47">
      <c r="A239" s="8">
        <v>540</v>
      </c>
      <c r="B239" s="8" t="s">
        <v>240</v>
      </c>
      <c r="C239" s="8" t="s">
        <v>42</v>
      </c>
      <c r="D239" s="8" t="s">
        <v>42</v>
      </c>
      <c r="E239" s="8">
        <v>540</v>
      </c>
      <c r="F239" s="24"/>
      <c r="G239" s="5"/>
      <c r="H239" s="5">
        <v>1</v>
      </c>
      <c r="I239" s="5"/>
      <c r="J239" s="5"/>
      <c r="K239" s="5"/>
      <c r="L239" s="5"/>
      <c r="M239" s="25"/>
      <c r="N239" s="24"/>
      <c r="O239" s="5"/>
      <c r="P239" s="5"/>
      <c r="Q239" s="5"/>
      <c r="R239" s="5"/>
      <c r="S239" s="5"/>
      <c r="T239" s="5"/>
      <c r="U239" s="25"/>
      <c r="V239" s="5"/>
      <c r="W239" s="5"/>
      <c r="X239" s="5">
        <v>1</v>
      </c>
      <c r="Y239" s="5"/>
      <c r="Z239" s="5"/>
      <c r="AA239" s="5"/>
      <c r="AB239" s="5"/>
      <c r="AC239" s="5"/>
      <c r="AD239" s="24"/>
      <c r="AE239" s="5"/>
      <c r="AF239" s="5"/>
      <c r="AG239" s="5"/>
      <c r="AH239" s="5"/>
      <c r="AI239" s="5"/>
      <c r="AJ239" s="5"/>
      <c r="AK239" s="25"/>
      <c r="AL239" s="5">
        <v>540</v>
      </c>
      <c r="AM239" s="8"/>
      <c r="AN239" s="8">
        <v>1</v>
      </c>
      <c r="AP239" s="67">
        <f t="shared" si="9"/>
        <v>2</v>
      </c>
      <c r="AQ239" s="76">
        <f t="shared" si="10"/>
        <v>6.4516129032258063E-2</v>
      </c>
      <c r="AR239" s="85">
        <v>31</v>
      </c>
      <c r="AT239" s="67">
        <v>0</v>
      </c>
      <c r="AU239" s="67">
        <f t="shared" si="11"/>
        <v>31</v>
      </c>
    </row>
    <row r="240" spans="1:47">
      <c r="A240" s="8">
        <v>544</v>
      </c>
      <c r="B240" s="8" t="s">
        <v>54</v>
      </c>
      <c r="C240" s="8" t="s">
        <v>345</v>
      </c>
      <c r="D240" s="8"/>
      <c r="E240" s="8">
        <v>544</v>
      </c>
      <c r="F240" s="24"/>
      <c r="G240" s="5"/>
      <c r="H240" s="5"/>
      <c r="I240" s="5"/>
      <c r="J240" s="5"/>
      <c r="K240" s="5"/>
      <c r="L240" s="5"/>
      <c r="M240" s="25"/>
      <c r="N240" s="24"/>
      <c r="O240" s="5"/>
      <c r="P240" s="5"/>
      <c r="Q240" s="5"/>
      <c r="R240" s="5"/>
      <c r="S240" s="5"/>
      <c r="T240" s="5"/>
      <c r="U240" s="25"/>
      <c r="V240" s="5"/>
      <c r="W240" s="5"/>
      <c r="X240" s="5"/>
      <c r="Y240" s="5"/>
      <c r="Z240" s="5"/>
      <c r="AA240" s="5"/>
      <c r="AB240" s="5"/>
      <c r="AC240" s="5"/>
      <c r="AD240" s="24"/>
      <c r="AE240" s="5"/>
      <c r="AF240" s="5"/>
      <c r="AG240" s="5"/>
      <c r="AH240" s="5"/>
      <c r="AI240" s="5"/>
      <c r="AJ240" s="5"/>
      <c r="AK240" s="25"/>
      <c r="AL240" s="5">
        <v>544</v>
      </c>
      <c r="AM240" s="8">
        <v>1</v>
      </c>
      <c r="AN240" s="8"/>
      <c r="AP240" s="67">
        <f t="shared" si="9"/>
        <v>0</v>
      </c>
      <c r="AQ240" s="76">
        <f t="shared" si="10"/>
        <v>0</v>
      </c>
      <c r="AR240" s="85">
        <v>1</v>
      </c>
      <c r="AT240" s="67">
        <v>1</v>
      </c>
      <c r="AU240" s="67">
        <f t="shared" si="11"/>
        <v>2</v>
      </c>
    </row>
    <row r="241" spans="1:47">
      <c r="A241" s="8">
        <v>547</v>
      </c>
      <c r="B241" s="8" t="s">
        <v>201</v>
      </c>
      <c r="C241" s="8" t="s">
        <v>357</v>
      </c>
      <c r="D241" s="8"/>
      <c r="E241" s="8">
        <v>547</v>
      </c>
      <c r="F241" s="24"/>
      <c r="G241" s="5"/>
      <c r="H241" s="5"/>
      <c r="I241" s="5"/>
      <c r="J241" s="5"/>
      <c r="K241" s="5"/>
      <c r="L241" s="5"/>
      <c r="M241" s="25"/>
      <c r="N241" s="24"/>
      <c r="O241" s="5"/>
      <c r="P241" s="5"/>
      <c r="Q241" s="5"/>
      <c r="R241" s="5"/>
      <c r="S241" s="5"/>
      <c r="T241" s="5"/>
      <c r="U241" s="25"/>
      <c r="V241" s="5"/>
      <c r="W241" s="5"/>
      <c r="X241" s="5"/>
      <c r="Y241" s="5"/>
      <c r="Z241" s="5"/>
      <c r="AA241" s="5"/>
      <c r="AB241" s="5"/>
      <c r="AC241" s="5"/>
      <c r="AD241" s="24"/>
      <c r="AE241" s="5"/>
      <c r="AF241" s="5"/>
      <c r="AG241" s="5"/>
      <c r="AH241" s="5"/>
      <c r="AI241" s="5"/>
      <c r="AJ241" s="5"/>
      <c r="AK241" s="25"/>
      <c r="AL241" s="5">
        <v>547</v>
      </c>
      <c r="AM241" s="8">
        <v>1</v>
      </c>
      <c r="AN241" s="8"/>
      <c r="AP241" s="67">
        <f t="shared" si="9"/>
        <v>0</v>
      </c>
      <c r="AQ241" s="76">
        <f t="shared" si="10"/>
        <v>0</v>
      </c>
      <c r="AR241" s="85">
        <v>28</v>
      </c>
      <c r="AT241" s="67">
        <v>0</v>
      </c>
      <c r="AU241" s="67">
        <f t="shared" si="11"/>
        <v>28</v>
      </c>
    </row>
    <row r="242" spans="1:47">
      <c r="A242" s="8">
        <v>548</v>
      </c>
      <c r="B242" s="8" t="s">
        <v>56</v>
      </c>
      <c r="C242" s="8" t="s">
        <v>360</v>
      </c>
      <c r="D242" s="8"/>
      <c r="E242" s="8">
        <v>548</v>
      </c>
      <c r="F242" s="24"/>
      <c r="G242" s="5"/>
      <c r="H242" s="5"/>
      <c r="I242" s="5"/>
      <c r="J242" s="5"/>
      <c r="K242" s="5"/>
      <c r="L242" s="5"/>
      <c r="M242" s="25"/>
      <c r="N242" s="24"/>
      <c r="O242" s="5"/>
      <c r="P242" s="5"/>
      <c r="Q242" s="5"/>
      <c r="R242" s="5"/>
      <c r="S242" s="5"/>
      <c r="T242" s="5"/>
      <c r="U242" s="25"/>
      <c r="V242" s="5"/>
      <c r="W242" s="5"/>
      <c r="X242" s="5"/>
      <c r="Y242" s="5"/>
      <c r="Z242" s="5"/>
      <c r="AA242" s="5"/>
      <c r="AB242" s="5"/>
      <c r="AC242" s="5"/>
      <c r="AD242" s="24"/>
      <c r="AE242" s="5"/>
      <c r="AF242" s="5"/>
      <c r="AG242" s="5"/>
      <c r="AH242" s="5"/>
      <c r="AI242" s="5"/>
      <c r="AJ242" s="5"/>
      <c r="AK242" s="25"/>
      <c r="AL242" s="5">
        <v>548</v>
      </c>
      <c r="AM242" s="8">
        <v>1</v>
      </c>
      <c r="AN242" s="8"/>
      <c r="AP242" s="67">
        <f t="shared" si="9"/>
        <v>0</v>
      </c>
      <c r="AQ242" s="76">
        <f t="shared" si="10"/>
        <v>0</v>
      </c>
      <c r="AR242" s="85">
        <v>3</v>
      </c>
      <c r="AT242" s="67">
        <v>2</v>
      </c>
      <c r="AU242" s="67">
        <f t="shared" si="11"/>
        <v>5</v>
      </c>
    </row>
    <row r="243" spans="1:47">
      <c r="A243" s="8">
        <v>551</v>
      </c>
      <c r="B243" s="8" t="s">
        <v>78</v>
      </c>
      <c r="C243" s="8" t="s">
        <v>359</v>
      </c>
      <c r="D243" s="8"/>
      <c r="E243" s="8">
        <v>551</v>
      </c>
      <c r="F243" s="24"/>
      <c r="G243" s="5"/>
      <c r="H243" s="5"/>
      <c r="I243" s="5"/>
      <c r="J243" s="5"/>
      <c r="K243" s="5"/>
      <c r="L243" s="5"/>
      <c r="M243" s="25"/>
      <c r="N243" s="24"/>
      <c r="O243" s="5"/>
      <c r="P243" s="5"/>
      <c r="Q243" s="5"/>
      <c r="R243" s="5"/>
      <c r="S243" s="5"/>
      <c r="T243" s="5"/>
      <c r="U243" s="25"/>
      <c r="V243" s="5"/>
      <c r="W243" s="5"/>
      <c r="X243" s="5"/>
      <c r="Y243" s="5"/>
      <c r="Z243" s="5"/>
      <c r="AA243" s="5"/>
      <c r="AB243" s="5"/>
      <c r="AC243" s="5"/>
      <c r="AD243" s="24"/>
      <c r="AE243" s="5"/>
      <c r="AF243" s="5"/>
      <c r="AG243" s="5"/>
      <c r="AH243" s="5"/>
      <c r="AI243" s="5"/>
      <c r="AJ243" s="5"/>
      <c r="AK243" s="25"/>
      <c r="AL243" s="5">
        <v>551</v>
      </c>
      <c r="AM243" s="8">
        <v>1</v>
      </c>
      <c r="AN243" s="8"/>
      <c r="AP243" s="67">
        <f t="shared" si="9"/>
        <v>0</v>
      </c>
      <c r="AQ243" s="76">
        <f t="shared" si="10"/>
        <v>0</v>
      </c>
      <c r="AR243" s="85">
        <v>21</v>
      </c>
      <c r="AT243" s="67">
        <v>1</v>
      </c>
      <c r="AU243" s="67">
        <f t="shared" si="11"/>
        <v>22</v>
      </c>
    </row>
    <row r="244" spans="1:47">
      <c r="A244" s="8">
        <v>553</v>
      </c>
      <c r="B244" s="8" t="s">
        <v>106</v>
      </c>
      <c r="C244" s="8" t="s">
        <v>349</v>
      </c>
      <c r="D244" s="8" t="s">
        <v>6</v>
      </c>
      <c r="E244" s="8">
        <v>553</v>
      </c>
      <c r="F244" s="24"/>
      <c r="G244" s="5"/>
      <c r="H244" s="5"/>
      <c r="I244" s="5"/>
      <c r="J244" s="5"/>
      <c r="K244" s="5"/>
      <c r="L244" s="5"/>
      <c r="M244" s="25"/>
      <c r="N244" s="24"/>
      <c r="O244" s="5"/>
      <c r="P244" s="5"/>
      <c r="Q244" s="5"/>
      <c r="R244" s="5"/>
      <c r="S244" s="5"/>
      <c r="T244" s="5"/>
      <c r="U244" s="25"/>
      <c r="V244" s="5"/>
      <c r="W244" s="5"/>
      <c r="X244" s="5"/>
      <c r="Y244" s="5"/>
      <c r="Z244" s="5"/>
      <c r="AA244" s="5"/>
      <c r="AB244" s="5"/>
      <c r="AC244" s="5"/>
      <c r="AD244" s="24"/>
      <c r="AE244" s="5"/>
      <c r="AF244" s="5"/>
      <c r="AG244" s="5"/>
      <c r="AH244" s="5"/>
      <c r="AI244" s="5"/>
      <c r="AJ244" s="5"/>
      <c r="AK244" s="25"/>
      <c r="AL244" s="5">
        <v>553</v>
      </c>
      <c r="AM244" s="8">
        <v>1</v>
      </c>
      <c r="AN244" s="8"/>
      <c r="AP244" s="67">
        <f t="shared" si="9"/>
        <v>0</v>
      </c>
      <c r="AQ244" s="76">
        <f t="shared" si="10"/>
        <v>0</v>
      </c>
      <c r="AR244" s="85">
        <v>6</v>
      </c>
      <c r="AS244">
        <v>22</v>
      </c>
      <c r="AT244" s="67">
        <v>0</v>
      </c>
      <c r="AU244" s="67">
        <f t="shared" si="11"/>
        <v>28</v>
      </c>
    </row>
    <row r="245" spans="1:47">
      <c r="A245" s="8">
        <v>555</v>
      </c>
      <c r="B245" s="8" t="s">
        <v>73</v>
      </c>
      <c r="C245" s="8" t="s">
        <v>165</v>
      </c>
      <c r="D245" s="8" t="s">
        <v>42</v>
      </c>
      <c r="E245" s="8">
        <v>555</v>
      </c>
      <c r="F245" s="24"/>
      <c r="G245" s="5"/>
      <c r="H245" s="5"/>
      <c r="I245" s="5"/>
      <c r="J245" s="5"/>
      <c r="K245" s="5"/>
      <c r="L245" s="5"/>
      <c r="M245" s="25"/>
      <c r="N245" s="24"/>
      <c r="O245" s="5"/>
      <c r="P245" s="5"/>
      <c r="Q245" s="5"/>
      <c r="R245" s="5"/>
      <c r="S245" s="5"/>
      <c r="T245" s="5"/>
      <c r="U245" s="25"/>
      <c r="V245" s="5"/>
      <c r="W245" s="5"/>
      <c r="X245" s="5"/>
      <c r="Y245" s="5"/>
      <c r="Z245" s="5"/>
      <c r="AA245" s="5"/>
      <c r="AB245" s="5"/>
      <c r="AC245" s="5"/>
      <c r="AD245" s="24"/>
      <c r="AE245" s="5"/>
      <c r="AF245" s="5"/>
      <c r="AG245" s="5"/>
      <c r="AH245" s="5"/>
      <c r="AI245" s="5"/>
      <c r="AJ245" s="5"/>
      <c r="AK245" s="25"/>
      <c r="AL245" s="5">
        <v>555</v>
      </c>
      <c r="AM245" s="8">
        <v>1</v>
      </c>
      <c r="AN245" s="8"/>
      <c r="AP245" s="67">
        <f t="shared" si="9"/>
        <v>0</v>
      </c>
      <c r="AQ245" s="76">
        <f t="shared" si="10"/>
        <v>0</v>
      </c>
      <c r="AR245" s="85">
        <v>23</v>
      </c>
      <c r="AS245">
        <v>4</v>
      </c>
      <c r="AT245" s="67">
        <v>1</v>
      </c>
      <c r="AU245" s="67">
        <f t="shared" si="11"/>
        <v>28</v>
      </c>
    </row>
    <row r="246" spans="1:47">
      <c r="A246" s="8">
        <v>559</v>
      </c>
      <c r="B246" s="8" t="s">
        <v>74</v>
      </c>
      <c r="C246" s="8" t="s">
        <v>346</v>
      </c>
      <c r="D246" s="8"/>
      <c r="E246" s="8">
        <v>559</v>
      </c>
      <c r="F246" s="24"/>
      <c r="G246" s="5"/>
      <c r="H246" s="5"/>
      <c r="I246" s="5"/>
      <c r="J246" s="5"/>
      <c r="K246" s="5"/>
      <c r="L246" s="5"/>
      <c r="M246" s="25"/>
      <c r="N246" s="24"/>
      <c r="O246" s="5"/>
      <c r="P246" s="5"/>
      <c r="Q246" s="5"/>
      <c r="R246" s="5"/>
      <c r="S246" s="5"/>
      <c r="T246" s="5"/>
      <c r="U246" s="25"/>
      <c r="V246" s="5"/>
      <c r="W246" s="5"/>
      <c r="X246" s="5"/>
      <c r="Y246" s="5"/>
      <c r="Z246" s="5"/>
      <c r="AA246" s="5"/>
      <c r="AB246" s="5"/>
      <c r="AC246" s="5"/>
      <c r="AD246" s="24"/>
      <c r="AE246" s="5"/>
      <c r="AF246" s="5"/>
      <c r="AG246" s="5"/>
      <c r="AH246" s="5"/>
      <c r="AI246" s="5"/>
      <c r="AJ246" s="5"/>
      <c r="AK246" s="25"/>
      <c r="AL246" s="5">
        <v>559</v>
      </c>
      <c r="AM246" s="8">
        <v>1</v>
      </c>
      <c r="AN246" s="8"/>
      <c r="AP246" s="67">
        <f t="shared" si="9"/>
        <v>0</v>
      </c>
      <c r="AQ246" s="76">
        <f t="shared" si="10"/>
        <v>0</v>
      </c>
      <c r="AR246" s="85">
        <v>14</v>
      </c>
      <c r="AT246" s="67">
        <v>2</v>
      </c>
      <c r="AU246" s="67">
        <f t="shared" si="11"/>
        <v>16</v>
      </c>
    </row>
    <row r="247" spans="1:47">
      <c r="A247" s="8">
        <v>563</v>
      </c>
      <c r="B247" s="8" t="s">
        <v>80</v>
      </c>
      <c r="C247" s="8" t="s">
        <v>346</v>
      </c>
      <c r="D247" s="8"/>
      <c r="E247" s="8">
        <v>563</v>
      </c>
      <c r="F247" s="24"/>
      <c r="G247" s="5"/>
      <c r="H247" s="5"/>
      <c r="I247" s="5"/>
      <c r="J247" s="5"/>
      <c r="K247" s="5"/>
      <c r="L247" s="5"/>
      <c r="M247" s="25"/>
      <c r="N247" s="24"/>
      <c r="O247" s="5"/>
      <c r="P247" s="5"/>
      <c r="Q247" s="5"/>
      <c r="R247" s="5"/>
      <c r="S247" s="5"/>
      <c r="T247" s="5"/>
      <c r="U247" s="25"/>
      <c r="V247" s="5"/>
      <c r="W247" s="5"/>
      <c r="X247" s="5"/>
      <c r="Y247" s="5"/>
      <c r="Z247" s="5"/>
      <c r="AA247" s="5"/>
      <c r="AB247" s="5"/>
      <c r="AC247" s="5"/>
      <c r="AD247" s="24"/>
      <c r="AE247" s="5"/>
      <c r="AF247" s="5"/>
      <c r="AG247" s="5"/>
      <c r="AH247" s="5"/>
      <c r="AI247" s="5"/>
      <c r="AJ247" s="5"/>
      <c r="AK247" s="25"/>
      <c r="AL247" s="5">
        <v>563</v>
      </c>
      <c r="AM247" s="8">
        <v>1</v>
      </c>
      <c r="AN247" s="8"/>
      <c r="AP247" s="67">
        <f t="shared" si="9"/>
        <v>0</v>
      </c>
      <c r="AQ247" s="76">
        <f t="shared" si="10"/>
        <v>0</v>
      </c>
      <c r="AR247" s="85">
        <v>17</v>
      </c>
      <c r="AT247" s="67">
        <v>3</v>
      </c>
      <c r="AU247" s="67">
        <f t="shared" si="11"/>
        <v>20</v>
      </c>
    </row>
    <row r="248" spans="1:47">
      <c r="A248" s="8">
        <v>564</v>
      </c>
      <c r="B248" s="8" t="s">
        <v>62</v>
      </c>
      <c r="C248" s="8" t="s">
        <v>42</v>
      </c>
      <c r="D248" s="8" t="s">
        <v>6</v>
      </c>
      <c r="E248" s="8">
        <v>564</v>
      </c>
      <c r="F248" s="24"/>
      <c r="G248" s="5"/>
      <c r="H248" s="5">
        <v>1</v>
      </c>
      <c r="I248" s="5"/>
      <c r="J248" s="5"/>
      <c r="K248" s="5"/>
      <c r="L248" s="5">
        <v>1</v>
      </c>
      <c r="M248" s="25"/>
      <c r="N248" s="24"/>
      <c r="O248" s="5"/>
      <c r="P248" s="5"/>
      <c r="Q248" s="5"/>
      <c r="R248" s="5"/>
      <c r="S248" s="5">
        <v>1</v>
      </c>
      <c r="T248" s="5"/>
      <c r="U248" s="25"/>
      <c r="V248" s="5"/>
      <c r="W248" s="5"/>
      <c r="X248" s="5"/>
      <c r="Y248" s="5"/>
      <c r="Z248" s="5"/>
      <c r="AA248" s="5"/>
      <c r="AB248" s="5"/>
      <c r="AC248" s="5"/>
      <c r="AD248" s="24"/>
      <c r="AE248" s="5"/>
      <c r="AF248" s="5"/>
      <c r="AG248" s="5"/>
      <c r="AH248" s="5"/>
      <c r="AI248" s="5"/>
      <c r="AJ248" s="5"/>
      <c r="AK248" s="25"/>
      <c r="AL248" s="5">
        <v>564</v>
      </c>
      <c r="AM248" s="8"/>
      <c r="AN248" s="8">
        <v>1</v>
      </c>
      <c r="AP248" s="67">
        <f t="shared" si="9"/>
        <v>3</v>
      </c>
      <c r="AQ248" s="76">
        <f t="shared" si="10"/>
        <v>9.375E-2</v>
      </c>
      <c r="AR248" s="85">
        <v>29</v>
      </c>
      <c r="AS248">
        <v>3</v>
      </c>
      <c r="AT248" s="67">
        <v>0</v>
      </c>
      <c r="AU248" s="67">
        <f t="shared" si="11"/>
        <v>32</v>
      </c>
    </row>
    <row r="249" spans="1:47">
      <c r="A249" s="8">
        <v>567</v>
      </c>
      <c r="B249" s="8" t="s">
        <v>56</v>
      </c>
      <c r="C249" s="8" t="s">
        <v>360</v>
      </c>
      <c r="D249" s="8"/>
      <c r="E249" s="8">
        <v>567</v>
      </c>
      <c r="F249" s="24"/>
      <c r="G249" s="5"/>
      <c r="H249" s="5"/>
      <c r="I249" s="5"/>
      <c r="J249" s="5"/>
      <c r="K249" s="5"/>
      <c r="L249" s="5"/>
      <c r="M249" s="25"/>
      <c r="N249" s="24"/>
      <c r="O249" s="5"/>
      <c r="P249" s="5"/>
      <c r="Q249" s="5"/>
      <c r="R249" s="5"/>
      <c r="S249" s="5"/>
      <c r="T249" s="5"/>
      <c r="U249" s="25"/>
      <c r="V249" s="5"/>
      <c r="W249" s="5"/>
      <c r="X249" s="5"/>
      <c r="Y249" s="5"/>
      <c r="Z249" s="5"/>
      <c r="AA249" s="5"/>
      <c r="AB249" s="5"/>
      <c r="AC249" s="5"/>
      <c r="AD249" s="24"/>
      <c r="AE249" s="5"/>
      <c r="AF249" s="5"/>
      <c r="AG249" s="5"/>
      <c r="AH249" s="5"/>
      <c r="AI249" s="5"/>
      <c r="AJ249" s="5"/>
      <c r="AK249" s="25"/>
      <c r="AL249" s="5">
        <v>567</v>
      </c>
      <c r="AM249" s="8">
        <v>1</v>
      </c>
      <c r="AN249" s="8"/>
      <c r="AP249" s="67">
        <f t="shared" si="9"/>
        <v>0</v>
      </c>
      <c r="AQ249" s="76">
        <f t="shared" si="10"/>
        <v>0</v>
      </c>
      <c r="AR249" s="85">
        <v>3</v>
      </c>
      <c r="AT249" s="67">
        <v>0</v>
      </c>
      <c r="AU249" s="67">
        <f t="shared" si="11"/>
        <v>3</v>
      </c>
    </row>
    <row r="250" spans="1:47">
      <c r="A250" s="8">
        <v>568</v>
      </c>
      <c r="B250" s="8" t="s">
        <v>65</v>
      </c>
      <c r="C250" s="8" t="s">
        <v>12</v>
      </c>
      <c r="D250" s="8" t="s">
        <v>42</v>
      </c>
      <c r="E250" s="8">
        <v>568</v>
      </c>
      <c r="F250" s="24"/>
      <c r="G250" s="5"/>
      <c r="H250" s="5"/>
      <c r="I250" s="5"/>
      <c r="J250" s="5"/>
      <c r="K250" s="5"/>
      <c r="L250" s="5"/>
      <c r="M250" s="25"/>
      <c r="N250" s="24"/>
      <c r="O250" s="5"/>
      <c r="P250" s="5"/>
      <c r="Q250" s="5"/>
      <c r="R250" s="5"/>
      <c r="S250" s="5"/>
      <c r="T250" s="5"/>
      <c r="U250" s="25"/>
      <c r="V250" s="5"/>
      <c r="W250" s="5"/>
      <c r="X250" s="5"/>
      <c r="Y250" s="5"/>
      <c r="Z250" s="5"/>
      <c r="AA250" s="5"/>
      <c r="AB250" s="5"/>
      <c r="AC250" s="5"/>
      <c r="AD250" s="24">
        <v>1</v>
      </c>
      <c r="AE250" s="5"/>
      <c r="AF250" s="5"/>
      <c r="AG250" s="5"/>
      <c r="AH250" s="5"/>
      <c r="AI250" s="5"/>
      <c r="AJ250" s="5"/>
      <c r="AK250" s="25"/>
      <c r="AL250" s="5">
        <v>568</v>
      </c>
      <c r="AM250" s="8"/>
      <c r="AN250" s="8">
        <v>1</v>
      </c>
      <c r="AP250" s="67">
        <f t="shared" si="9"/>
        <v>1</v>
      </c>
      <c r="AQ250" s="76">
        <f t="shared" si="10"/>
        <v>3.4482758620689655E-2</v>
      </c>
      <c r="AR250" s="85">
        <v>28</v>
      </c>
      <c r="AT250" s="67">
        <v>1</v>
      </c>
      <c r="AU250" s="67">
        <f t="shared" si="11"/>
        <v>29</v>
      </c>
    </row>
    <row r="251" spans="1:47">
      <c r="A251" s="8">
        <v>569</v>
      </c>
      <c r="B251" s="8" t="s">
        <v>59</v>
      </c>
      <c r="C251" s="8" t="s">
        <v>346</v>
      </c>
      <c r="D251" s="8"/>
      <c r="E251" s="8">
        <v>569</v>
      </c>
      <c r="F251" s="24"/>
      <c r="G251" s="5"/>
      <c r="H251" s="5"/>
      <c r="I251" s="5"/>
      <c r="J251" s="5"/>
      <c r="K251" s="5"/>
      <c r="L251" s="5"/>
      <c r="M251" s="25"/>
      <c r="N251" s="24"/>
      <c r="O251" s="5"/>
      <c r="P251" s="5"/>
      <c r="Q251" s="5"/>
      <c r="R251" s="5"/>
      <c r="S251" s="5"/>
      <c r="T251" s="5"/>
      <c r="U251" s="25"/>
      <c r="V251" s="5"/>
      <c r="W251" s="5"/>
      <c r="X251" s="5"/>
      <c r="Y251" s="5"/>
      <c r="Z251" s="5"/>
      <c r="AA251" s="5"/>
      <c r="AB251" s="5"/>
      <c r="AC251" s="5"/>
      <c r="AD251" s="24"/>
      <c r="AE251" s="5"/>
      <c r="AF251" s="5"/>
      <c r="AG251" s="5"/>
      <c r="AH251" s="5"/>
      <c r="AI251" s="5"/>
      <c r="AJ251" s="5"/>
      <c r="AK251" s="25"/>
      <c r="AL251" s="5">
        <v>569</v>
      </c>
      <c r="AM251" s="8">
        <v>1</v>
      </c>
      <c r="AN251" s="8"/>
      <c r="AP251" s="67">
        <f t="shared" si="9"/>
        <v>0</v>
      </c>
      <c r="AQ251" s="76">
        <f t="shared" si="10"/>
        <v>0</v>
      </c>
      <c r="AR251" s="85">
        <v>18</v>
      </c>
      <c r="AT251" s="67">
        <v>2</v>
      </c>
      <c r="AU251" s="67">
        <f t="shared" si="11"/>
        <v>20</v>
      </c>
    </row>
    <row r="252" spans="1:47">
      <c r="A252" s="8">
        <v>570</v>
      </c>
      <c r="B252" s="8" t="s">
        <v>73</v>
      </c>
      <c r="C252" s="8" t="s">
        <v>165</v>
      </c>
      <c r="D252" s="8" t="s">
        <v>6</v>
      </c>
      <c r="E252" s="8">
        <v>570</v>
      </c>
      <c r="F252" s="24"/>
      <c r="G252" s="5"/>
      <c r="H252" s="5"/>
      <c r="I252" s="5"/>
      <c r="J252" s="5"/>
      <c r="K252" s="5"/>
      <c r="L252" s="5"/>
      <c r="M252" s="25"/>
      <c r="N252" s="24"/>
      <c r="O252" s="5"/>
      <c r="P252" s="5"/>
      <c r="Q252" s="5"/>
      <c r="R252" s="5"/>
      <c r="S252" s="5">
        <v>1</v>
      </c>
      <c r="T252" s="5"/>
      <c r="U252" s="25"/>
      <c r="V252" s="5"/>
      <c r="W252" s="5"/>
      <c r="X252" s="5"/>
      <c r="Y252" s="5"/>
      <c r="Z252" s="5"/>
      <c r="AA252" s="5"/>
      <c r="AB252" s="5"/>
      <c r="AC252" s="5"/>
      <c r="AD252" s="24"/>
      <c r="AE252" s="5"/>
      <c r="AF252" s="5"/>
      <c r="AG252" s="5"/>
      <c r="AH252" s="5"/>
      <c r="AI252" s="5"/>
      <c r="AJ252" s="5"/>
      <c r="AK252" s="25"/>
      <c r="AL252" s="5">
        <v>570</v>
      </c>
      <c r="AM252" s="8"/>
      <c r="AN252" s="8">
        <v>1</v>
      </c>
      <c r="AP252" s="67">
        <f t="shared" si="9"/>
        <v>1</v>
      </c>
      <c r="AQ252" s="76">
        <f t="shared" si="10"/>
        <v>3.5714285714285712E-2</v>
      </c>
      <c r="AR252" s="85">
        <v>27</v>
      </c>
      <c r="AS252">
        <v>1</v>
      </c>
      <c r="AT252" s="67">
        <v>0</v>
      </c>
      <c r="AU252" s="67">
        <f t="shared" si="11"/>
        <v>28</v>
      </c>
    </row>
    <row r="253" spans="1:47">
      <c r="A253" s="8">
        <v>571</v>
      </c>
      <c r="B253" s="8" t="s">
        <v>62</v>
      </c>
      <c r="C253" s="8" t="s">
        <v>42</v>
      </c>
      <c r="D253" s="8" t="s">
        <v>6</v>
      </c>
      <c r="E253" s="8">
        <v>571</v>
      </c>
      <c r="F253" s="24"/>
      <c r="G253" s="5"/>
      <c r="H253" s="5"/>
      <c r="I253" s="5"/>
      <c r="J253" s="5"/>
      <c r="K253" s="5"/>
      <c r="L253" s="5"/>
      <c r="M253" s="25"/>
      <c r="N253" s="24"/>
      <c r="O253" s="5"/>
      <c r="P253" s="5">
        <v>1</v>
      </c>
      <c r="Q253" s="5">
        <v>1</v>
      </c>
      <c r="R253" s="5"/>
      <c r="S253" s="5"/>
      <c r="T253" s="5"/>
      <c r="U253" s="25"/>
      <c r="V253" s="5"/>
      <c r="W253" s="5"/>
      <c r="X253" s="5"/>
      <c r="Y253" s="5"/>
      <c r="Z253" s="5"/>
      <c r="AA253" s="5"/>
      <c r="AB253" s="5"/>
      <c r="AC253" s="5"/>
      <c r="AD253" s="24"/>
      <c r="AE253" s="5"/>
      <c r="AF253" s="5"/>
      <c r="AG253" s="5"/>
      <c r="AH253" s="5"/>
      <c r="AI253" s="5">
        <v>1</v>
      </c>
      <c r="AJ253" s="5"/>
      <c r="AK253" s="25"/>
      <c r="AL253" s="5">
        <v>571</v>
      </c>
      <c r="AM253" s="8"/>
      <c r="AN253" s="8">
        <v>1</v>
      </c>
      <c r="AP253" s="67">
        <f t="shared" si="9"/>
        <v>3</v>
      </c>
      <c r="AQ253" s="76">
        <f t="shared" si="10"/>
        <v>9.375E-2</v>
      </c>
      <c r="AR253" s="85">
        <v>31</v>
      </c>
      <c r="AS253">
        <v>1</v>
      </c>
      <c r="AT253" s="67">
        <v>0</v>
      </c>
      <c r="AU253" s="67">
        <f t="shared" si="11"/>
        <v>32</v>
      </c>
    </row>
    <row r="254" spans="1:47">
      <c r="A254" s="8">
        <v>572</v>
      </c>
      <c r="B254" s="8" t="s">
        <v>74</v>
      </c>
      <c r="C254" s="8" t="s">
        <v>346</v>
      </c>
      <c r="D254" s="8"/>
      <c r="E254" s="8">
        <v>572</v>
      </c>
      <c r="F254" s="24"/>
      <c r="G254" s="5"/>
      <c r="H254" s="5"/>
      <c r="I254" s="5"/>
      <c r="J254" s="5"/>
      <c r="K254" s="5"/>
      <c r="L254" s="5"/>
      <c r="M254" s="25"/>
      <c r="N254" s="24"/>
      <c r="O254" s="5"/>
      <c r="P254" s="5"/>
      <c r="Q254" s="5"/>
      <c r="R254" s="5"/>
      <c r="S254" s="5"/>
      <c r="T254" s="5"/>
      <c r="U254" s="25"/>
      <c r="V254" s="5"/>
      <c r="W254" s="5"/>
      <c r="X254" s="5"/>
      <c r="Y254" s="5"/>
      <c r="Z254" s="5"/>
      <c r="AA254" s="5"/>
      <c r="AB254" s="5"/>
      <c r="AC254" s="5"/>
      <c r="AD254" s="24"/>
      <c r="AE254" s="5"/>
      <c r="AF254" s="5"/>
      <c r="AG254" s="5"/>
      <c r="AH254" s="5"/>
      <c r="AI254" s="5"/>
      <c r="AJ254" s="5"/>
      <c r="AK254" s="25"/>
      <c r="AL254" s="5">
        <v>572</v>
      </c>
      <c r="AM254" s="8">
        <v>1</v>
      </c>
      <c r="AN254" s="8"/>
      <c r="AP254" s="67">
        <f t="shared" si="9"/>
        <v>0</v>
      </c>
      <c r="AQ254" s="76">
        <f t="shared" si="10"/>
        <v>0</v>
      </c>
      <c r="AR254" s="85">
        <v>18</v>
      </c>
      <c r="AT254" s="67">
        <v>3</v>
      </c>
      <c r="AU254" s="67">
        <f t="shared" si="11"/>
        <v>21</v>
      </c>
    </row>
    <row r="255" spans="1:47">
      <c r="A255" s="60" t="s">
        <v>342</v>
      </c>
      <c r="B255" s="60"/>
      <c r="C255" s="60"/>
      <c r="D255" s="60"/>
      <c r="E255" s="60" t="s">
        <v>342</v>
      </c>
      <c r="F255" s="151">
        <f t="shared" ref="F255:AK255" si="12">COUNT(F4:F254)</f>
        <v>8</v>
      </c>
      <c r="G255" s="152">
        <f t="shared" si="12"/>
        <v>17</v>
      </c>
      <c r="H255" s="152">
        <f t="shared" si="12"/>
        <v>19</v>
      </c>
      <c r="I255" s="152">
        <f t="shared" si="12"/>
        <v>14</v>
      </c>
      <c r="J255" s="152">
        <f t="shared" si="12"/>
        <v>17</v>
      </c>
      <c r="K255" s="152">
        <f t="shared" si="12"/>
        <v>10</v>
      </c>
      <c r="L255" s="152">
        <f t="shared" si="12"/>
        <v>12</v>
      </c>
      <c r="M255" s="153">
        <f t="shared" si="12"/>
        <v>7</v>
      </c>
      <c r="N255" s="151">
        <f t="shared" si="12"/>
        <v>10</v>
      </c>
      <c r="O255" s="152">
        <f t="shared" si="12"/>
        <v>8</v>
      </c>
      <c r="P255" s="152">
        <f t="shared" si="12"/>
        <v>12</v>
      </c>
      <c r="Q255" s="152">
        <f t="shared" si="12"/>
        <v>13</v>
      </c>
      <c r="R255" s="152">
        <f t="shared" si="12"/>
        <v>12</v>
      </c>
      <c r="S255" s="152">
        <f t="shared" si="12"/>
        <v>22</v>
      </c>
      <c r="T255" s="152">
        <f t="shared" si="12"/>
        <v>13</v>
      </c>
      <c r="U255" s="153">
        <f t="shared" si="12"/>
        <v>9</v>
      </c>
      <c r="V255" s="152">
        <f t="shared" si="12"/>
        <v>7</v>
      </c>
      <c r="W255" s="152">
        <f t="shared" si="12"/>
        <v>14</v>
      </c>
      <c r="X255" s="152">
        <f t="shared" si="12"/>
        <v>21</v>
      </c>
      <c r="Y255" s="152">
        <f t="shared" si="12"/>
        <v>6</v>
      </c>
      <c r="Z255" s="152">
        <f t="shared" si="12"/>
        <v>4</v>
      </c>
      <c r="AA255" s="152">
        <f t="shared" si="12"/>
        <v>3</v>
      </c>
      <c r="AB255" s="152">
        <f t="shared" si="12"/>
        <v>2</v>
      </c>
      <c r="AC255" s="152">
        <f t="shared" si="12"/>
        <v>4</v>
      </c>
      <c r="AD255" s="151">
        <f t="shared" si="12"/>
        <v>3</v>
      </c>
      <c r="AE255" s="152">
        <f t="shared" si="12"/>
        <v>0</v>
      </c>
      <c r="AF255" s="152">
        <f t="shared" si="12"/>
        <v>6</v>
      </c>
      <c r="AG255" s="152">
        <f t="shared" si="12"/>
        <v>8</v>
      </c>
      <c r="AH255" s="152">
        <f t="shared" si="12"/>
        <v>9</v>
      </c>
      <c r="AI255" s="152">
        <f t="shared" si="12"/>
        <v>21</v>
      </c>
      <c r="AJ255" s="152">
        <f t="shared" si="12"/>
        <v>11</v>
      </c>
      <c r="AK255" s="153">
        <f t="shared" si="12"/>
        <v>8</v>
      </c>
      <c r="AL255" s="152" t="s">
        <v>342</v>
      </c>
      <c r="AM255" s="60">
        <f>COUNT(AM4:AM254)</f>
        <v>160</v>
      </c>
      <c r="AN255" s="60">
        <f>COUNT(AN4:AN254)</f>
        <v>91</v>
      </c>
      <c r="AO255" s="60"/>
      <c r="AP255" s="60">
        <f>SUM(AP4:AP254)</f>
        <v>330</v>
      </c>
      <c r="AQ255" s="60"/>
      <c r="AR255" s="60">
        <f>SUM(AR4:AR254)</f>
        <v>5188</v>
      </c>
      <c r="AS255" s="60">
        <f>SUM(AS4:AS254)</f>
        <v>399</v>
      </c>
      <c r="AT255" s="60">
        <f>SUM(AT4:AT254)</f>
        <v>405</v>
      </c>
      <c r="AU255" s="60">
        <f>SUM(AU4:AU254)</f>
        <v>5992</v>
      </c>
    </row>
    <row r="256" spans="1:47" s="67" customFormat="1">
      <c r="A256" s="8"/>
      <c r="B256" s="8"/>
      <c r="C256" s="8"/>
      <c r="D256" s="8"/>
      <c r="E256" s="8"/>
      <c r="F256" s="439">
        <f>SUM(F255:H255)</f>
        <v>44</v>
      </c>
      <c r="G256" s="425"/>
      <c r="H256" s="425"/>
      <c r="I256" s="426">
        <f>SUM(I255:J255)</f>
        <v>31</v>
      </c>
      <c r="J256" s="426"/>
      <c r="K256" s="78">
        <f>K255</f>
        <v>10</v>
      </c>
      <c r="L256" s="427">
        <f>SUM(L255:M255)</f>
        <v>19</v>
      </c>
      <c r="M256" s="440"/>
      <c r="N256" s="441">
        <f>SUM(N255:O255)</f>
        <v>18</v>
      </c>
      <c r="O256" s="427"/>
      <c r="P256" s="78">
        <f>P255</f>
        <v>12</v>
      </c>
      <c r="Q256" s="426">
        <f>SUM(Q255:R255)</f>
        <v>25</v>
      </c>
      <c r="R256" s="426"/>
      <c r="S256" s="425">
        <f>SUM(S255:U255)</f>
        <v>44</v>
      </c>
      <c r="T256" s="425"/>
      <c r="U256" s="438"/>
      <c r="V256" s="425">
        <f>SUM(V255:X255)</f>
        <v>42</v>
      </c>
      <c r="W256" s="425"/>
      <c r="X256" s="425"/>
      <c r="Y256" s="426">
        <f>SUM(Y255:Z255)</f>
        <v>10</v>
      </c>
      <c r="Z256" s="426"/>
      <c r="AA256" s="78">
        <f>AA255</f>
        <v>3</v>
      </c>
      <c r="AB256" s="427">
        <f>SUM(AB255:AC255)</f>
        <v>6</v>
      </c>
      <c r="AC256" s="427"/>
      <c r="AD256" s="441">
        <f>SUM(AD255:AE255)</f>
        <v>3</v>
      </c>
      <c r="AE256" s="427"/>
      <c r="AF256" s="78">
        <f>AF255</f>
        <v>6</v>
      </c>
      <c r="AG256" s="426">
        <f>SUM(AG255:AH255)</f>
        <v>17</v>
      </c>
      <c r="AH256" s="426"/>
      <c r="AI256" s="425">
        <f>SUM(AI255:AK255)</f>
        <v>40</v>
      </c>
      <c r="AJ256" s="425"/>
      <c r="AK256" s="438"/>
      <c r="AL256" s="5"/>
      <c r="AM256" s="8"/>
      <c r="AN256" s="8"/>
      <c r="AO256" s="8"/>
      <c r="AP256" s="8"/>
      <c r="AQ256" s="8"/>
      <c r="AR256" s="8"/>
      <c r="AS256" s="8"/>
      <c r="AT256" s="8"/>
      <c r="AU256" s="8"/>
    </row>
    <row r="257" spans="6:37">
      <c r="F257" s="434">
        <f>SUM(F255:M255)</f>
        <v>104</v>
      </c>
      <c r="G257" s="435"/>
      <c r="H257" s="435"/>
      <c r="I257" s="435"/>
      <c r="J257" s="435"/>
      <c r="K257" s="435"/>
      <c r="L257" s="435"/>
      <c r="M257" s="436"/>
      <c r="N257" s="434">
        <f>SUM(N255:U255)</f>
        <v>99</v>
      </c>
      <c r="O257" s="435"/>
      <c r="P257" s="435"/>
      <c r="Q257" s="435"/>
      <c r="R257" s="435"/>
      <c r="S257" s="435"/>
      <c r="T257" s="435"/>
      <c r="U257" s="436"/>
      <c r="V257" s="437">
        <f>SUM(V255:AC255)</f>
        <v>61</v>
      </c>
      <c r="W257" s="437"/>
      <c r="X257" s="437"/>
      <c r="Y257" s="437"/>
      <c r="Z257" s="437"/>
      <c r="AA257" s="437"/>
      <c r="AB257" s="437"/>
      <c r="AC257" s="437"/>
      <c r="AD257" s="434">
        <f>SUM(AD255:AK255)</f>
        <v>66</v>
      </c>
      <c r="AE257" s="435"/>
      <c r="AF257" s="435"/>
      <c r="AG257" s="435"/>
      <c r="AH257" s="435"/>
      <c r="AI257" s="435"/>
      <c r="AJ257" s="435"/>
      <c r="AK257" s="436"/>
    </row>
    <row r="258" spans="6:37">
      <c r="F258" s="442">
        <f>SUM(F257:U257)</f>
        <v>203</v>
      </c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4"/>
      <c r="V258" s="442">
        <f>SUM(V257:AK257)</f>
        <v>127</v>
      </c>
      <c r="W258" s="443"/>
      <c r="X258" s="443"/>
      <c r="Y258" s="443"/>
      <c r="Z258" s="443"/>
      <c r="AA258" s="443"/>
      <c r="AB258" s="443"/>
      <c r="AC258" s="443"/>
      <c r="AD258" s="443"/>
      <c r="AE258" s="443"/>
      <c r="AF258" s="443"/>
      <c r="AG258" s="443"/>
      <c r="AH258" s="443"/>
      <c r="AI258" s="443"/>
      <c r="AJ258" s="443"/>
      <c r="AK258" s="444"/>
    </row>
    <row r="259" spans="6:37">
      <c r="F259" s="442">
        <f>SUM(F258,V258)</f>
        <v>330</v>
      </c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  <c r="AA259" s="443"/>
      <c r="AB259" s="443"/>
      <c r="AC259" s="443"/>
      <c r="AD259" s="443"/>
      <c r="AE259" s="443"/>
      <c r="AF259" s="443"/>
      <c r="AG259" s="443"/>
      <c r="AH259" s="443"/>
      <c r="AI259" s="443"/>
      <c r="AJ259" s="443"/>
      <c r="AK259" s="444"/>
    </row>
    <row r="260" spans="6:37">
      <c r="F260" s="425">
        <f>SUM(F255:H255,S255:X255,AI255:AK255)</f>
        <v>170</v>
      </c>
      <c r="G260" s="425"/>
      <c r="H260" s="425"/>
      <c r="I260" s="426">
        <f>SUM(I255:J255,Q255:R255,Y255:Z255,AG255:AH255)</f>
        <v>83</v>
      </c>
      <c r="J260" s="426"/>
      <c r="K260" s="78">
        <f>SUM(K255,P255,AA255,AF255)</f>
        <v>31</v>
      </c>
      <c r="L260" s="427">
        <f>SUM(L255:O255,AB255:AE255)</f>
        <v>46</v>
      </c>
      <c r="M260" s="427"/>
    </row>
    <row r="262" spans="6:37">
      <c r="F262" s="437"/>
      <c r="G262" s="437"/>
    </row>
    <row r="263" spans="6:37">
      <c r="F263" s="437"/>
      <c r="G263" s="437"/>
    </row>
    <row r="264" spans="6:37">
      <c r="F264" s="437"/>
      <c r="G264" s="437"/>
    </row>
    <row r="265" spans="6:37">
      <c r="F265" s="451"/>
      <c r="G265" s="451"/>
    </row>
    <row r="266" spans="6:37">
      <c r="F266" s="451"/>
      <c r="G266" s="451"/>
    </row>
  </sheetData>
  <mergeCells count="31">
    <mergeCell ref="AD256:AE256"/>
    <mergeCell ref="AB256:AC256"/>
    <mergeCell ref="N256:O256"/>
    <mergeCell ref="L256:M256"/>
    <mergeCell ref="F264:G264"/>
    <mergeCell ref="F265:G265"/>
    <mergeCell ref="F266:G266"/>
    <mergeCell ref="F257:M257"/>
    <mergeCell ref="N257:U257"/>
    <mergeCell ref="F258:U258"/>
    <mergeCell ref="F259:AK259"/>
    <mergeCell ref="F263:G263"/>
    <mergeCell ref="F260:H260"/>
    <mergeCell ref="I260:J260"/>
    <mergeCell ref="L260:M260"/>
    <mergeCell ref="F1:M1"/>
    <mergeCell ref="N1:U1"/>
    <mergeCell ref="V1:AC1"/>
    <mergeCell ref="AD1:AK1"/>
    <mergeCell ref="F262:G262"/>
    <mergeCell ref="V257:AC257"/>
    <mergeCell ref="AD257:AK257"/>
    <mergeCell ref="V258:AK258"/>
    <mergeCell ref="AI256:AK256"/>
    <mergeCell ref="V256:X256"/>
    <mergeCell ref="S256:U256"/>
    <mergeCell ref="F256:H256"/>
    <mergeCell ref="AG256:AH256"/>
    <mergeCell ref="Y256:Z256"/>
    <mergeCell ref="Q256:R256"/>
    <mergeCell ref="I256:J256"/>
  </mergeCells>
  <conditionalFormatting sqref="B40:D40">
    <cfRule type="duplicateValues" dxfId="5" priority="1" stopIfTrue="1"/>
  </conditionalFormatting>
  <pageMargins left="0.7" right="0.7" top="0.75" bottom="0.75" header="0.3" footer="0.3"/>
  <pageSetup paperSize="9" orientation="portrait" horizontalDpi="0" verticalDpi="0" r:id="rId1"/>
  <ignoredErrors>
    <ignoredError sqref="F255:AK255 AP4:AP254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255" sqref="K255"/>
    </sheetView>
  </sheetViews>
  <sheetFormatPr defaultRowHeight="15"/>
  <cols>
    <col min="1" max="1" width="6.42578125" style="23" bestFit="1" customWidth="1"/>
    <col min="2" max="2" width="9.5703125" bestFit="1" customWidth="1"/>
    <col min="3" max="3" width="5" style="22" bestFit="1" customWidth="1"/>
    <col min="4" max="4" width="4.5703125" bestFit="1" customWidth="1"/>
    <col min="5" max="5" width="4.42578125" bestFit="1" customWidth="1"/>
    <col min="6" max="6" width="7.85546875" bestFit="1" customWidth="1"/>
    <col min="7" max="7" width="5" bestFit="1" customWidth="1"/>
  </cols>
  <sheetData>
    <row r="1" spans="1:7">
      <c r="A1" s="23" t="s">
        <v>0</v>
      </c>
      <c r="B1" s="66" t="s">
        <v>1</v>
      </c>
      <c r="C1" s="20" t="s">
        <v>363</v>
      </c>
      <c r="D1" s="5" t="s">
        <v>2</v>
      </c>
      <c r="E1" t="s">
        <v>164</v>
      </c>
      <c r="F1" t="s">
        <v>615</v>
      </c>
      <c r="G1" t="s">
        <v>367</v>
      </c>
    </row>
    <row r="2" spans="1:7">
      <c r="A2" s="25">
        <v>1</v>
      </c>
      <c r="B2" s="8" t="s">
        <v>5</v>
      </c>
      <c r="C2" s="8" t="s">
        <v>42</v>
      </c>
      <c r="D2" s="8" t="s">
        <v>6</v>
      </c>
      <c r="E2" s="8">
        <v>1</v>
      </c>
      <c r="F2" s="8"/>
      <c r="G2" s="8">
        <v>1</v>
      </c>
    </row>
    <row r="3" spans="1:7">
      <c r="A3" s="25">
        <v>30</v>
      </c>
      <c r="B3" s="8" t="s">
        <v>41</v>
      </c>
      <c r="C3" s="8" t="s">
        <v>42</v>
      </c>
      <c r="D3" s="8" t="s">
        <v>42</v>
      </c>
      <c r="E3" s="8"/>
      <c r="F3" s="8">
        <v>1</v>
      </c>
      <c r="G3" s="8"/>
    </row>
    <row r="4" spans="1:7">
      <c r="A4" s="25">
        <v>34</v>
      </c>
      <c r="B4" s="8" t="s">
        <v>44</v>
      </c>
      <c r="C4" s="8" t="s">
        <v>349</v>
      </c>
      <c r="D4" s="8" t="s">
        <v>6</v>
      </c>
      <c r="E4" s="8">
        <v>1</v>
      </c>
      <c r="F4" s="8"/>
      <c r="G4" s="8">
        <v>3</v>
      </c>
    </row>
    <row r="5" spans="1:7">
      <c r="A5" s="25">
        <v>38</v>
      </c>
      <c r="B5" s="8" t="s">
        <v>48</v>
      </c>
      <c r="C5" s="8" t="s">
        <v>357</v>
      </c>
      <c r="D5" s="8"/>
      <c r="E5" s="8"/>
      <c r="F5" s="8">
        <v>1</v>
      </c>
      <c r="G5" s="8"/>
    </row>
    <row r="6" spans="1:7">
      <c r="A6" s="25">
        <v>41</v>
      </c>
      <c r="B6" s="8" t="s">
        <v>5</v>
      </c>
      <c r="C6" s="8" t="s">
        <v>42</v>
      </c>
      <c r="D6" s="8" t="s">
        <v>6</v>
      </c>
      <c r="E6" s="8">
        <v>1</v>
      </c>
      <c r="F6" s="8"/>
      <c r="G6" s="8">
        <v>1</v>
      </c>
    </row>
    <row r="7" spans="1:7">
      <c r="A7" s="25">
        <v>42</v>
      </c>
      <c r="B7" s="8" t="s">
        <v>53</v>
      </c>
      <c r="C7" s="8" t="s">
        <v>346</v>
      </c>
      <c r="D7" s="8"/>
      <c r="E7" s="8"/>
      <c r="F7" s="8">
        <v>1</v>
      </c>
      <c r="G7" s="8"/>
    </row>
    <row r="8" spans="1:7">
      <c r="A8" s="25">
        <v>45</v>
      </c>
      <c r="B8" s="8" t="s">
        <v>55</v>
      </c>
      <c r="C8" s="8" t="s">
        <v>346</v>
      </c>
      <c r="D8" s="8"/>
      <c r="E8" s="8"/>
      <c r="F8" s="8">
        <v>1</v>
      </c>
      <c r="G8" s="8"/>
    </row>
    <row r="9" spans="1:7">
      <c r="A9" s="25">
        <v>46</v>
      </c>
      <c r="B9" s="55" t="s">
        <v>56</v>
      </c>
      <c r="C9" s="8" t="s">
        <v>360</v>
      </c>
      <c r="D9" s="8"/>
      <c r="E9" s="8"/>
      <c r="F9" s="8">
        <v>1</v>
      </c>
      <c r="G9" s="8"/>
    </row>
    <row r="10" spans="1:7">
      <c r="A10" s="25">
        <v>48</v>
      </c>
      <c r="B10" s="8" t="s">
        <v>57</v>
      </c>
      <c r="C10" s="8" t="s">
        <v>12</v>
      </c>
      <c r="D10" s="8" t="s">
        <v>6</v>
      </c>
      <c r="E10" s="8"/>
      <c r="F10" s="8">
        <v>1</v>
      </c>
      <c r="G10" s="8"/>
    </row>
    <row r="11" spans="1:7">
      <c r="A11" s="25">
        <v>49</v>
      </c>
      <c r="B11" s="8" t="s">
        <v>58</v>
      </c>
      <c r="C11" s="8" t="s">
        <v>358</v>
      </c>
      <c r="D11" s="8" t="s">
        <v>6</v>
      </c>
      <c r="E11" s="8"/>
      <c r="F11" s="8">
        <v>1</v>
      </c>
      <c r="G11" s="8"/>
    </row>
    <row r="12" spans="1:7">
      <c r="A12" s="25">
        <v>52</v>
      </c>
      <c r="B12" s="8" t="s">
        <v>41</v>
      </c>
      <c r="C12" s="8" t="s">
        <v>42</v>
      </c>
      <c r="D12" s="8" t="s">
        <v>6</v>
      </c>
      <c r="E12" s="8">
        <v>1</v>
      </c>
      <c r="F12" s="8"/>
      <c r="G12" s="8">
        <v>1</v>
      </c>
    </row>
    <row r="13" spans="1:7">
      <c r="A13" s="25">
        <v>53</v>
      </c>
      <c r="B13" s="8" t="s">
        <v>62</v>
      </c>
      <c r="C13" s="8" t="s">
        <v>42</v>
      </c>
      <c r="D13" s="8" t="s">
        <v>42</v>
      </c>
      <c r="E13" s="8">
        <v>1</v>
      </c>
      <c r="F13" s="8"/>
      <c r="G13" s="8">
        <v>2</v>
      </c>
    </row>
    <row r="14" spans="1:7">
      <c r="A14" s="25">
        <v>54</v>
      </c>
      <c r="B14" s="8" t="s">
        <v>63</v>
      </c>
      <c r="C14" s="8" t="s">
        <v>346</v>
      </c>
      <c r="D14" s="8"/>
      <c r="E14" s="8"/>
      <c r="F14" s="8">
        <v>1</v>
      </c>
      <c r="G14" s="8"/>
    </row>
    <row r="15" spans="1:7">
      <c r="A15" s="25">
        <v>56</v>
      </c>
      <c r="B15" s="8" t="s">
        <v>53</v>
      </c>
      <c r="C15" s="8" t="s">
        <v>346</v>
      </c>
      <c r="D15" s="8"/>
      <c r="E15" s="8"/>
      <c r="F15" s="8">
        <v>1</v>
      </c>
      <c r="G15" s="8"/>
    </row>
    <row r="16" spans="1:7">
      <c r="A16" s="25">
        <v>57</v>
      </c>
      <c r="B16" s="8" t="s">
        <v>44</v>
      </c>
      <c r="C16" s="8" t="s">
        <v>349</v>
      </c>
      <c r="D16" s="8" t="s">
        <v>6</v>
      </c>
      <c r="E16" s="8">
        <v>1</v>
      </c>
      <c r="F16" s="8"/>
      <c r="G16" s="8">
        <v>3</v>
      </c>
    </row>
    <row r="17" spans="1:7">
      <c r="A17" s="25">
        <v>59</v>
      </c>
      <c r="B17" s="55" t="s">
        <v>56</v>
      </c>
      <c r="C17" s="8" t="s">
        <v>360</v>
      </c>
      <c r="D17" s="8"/>
      <c r="E17" s="8"/>
      <c r="F17" s="8">
        <v>1</v>
      </c>
      <c r="G17" s="8"/>
    </row>
    <row r="18" spans="1:7">
      <c r="A18" s="25">
        <v>60</v>
      </c>
      <c r="B18" s="8" t="s">
        <v>48</v>
      </c>
      <c r="C18" s="8" t="s">
        <v>357</v>
      </c>
      <c r="D18" s="8"/>
      <c r="E18" s="8"/>
      <c r="F18" s="8">
        <v>1</v>
      </c>
      <c r="G18" s="8"/>
    </row>
    <row r="19" spans="1:7">
      <c r="A19" s="25">
        <v>61</v>
      </c>
      <c r="B19" s="8" t="s">
        <v>99</v>
      </c>
      <c r="C19" s="8" t="s">
        <v>346</v>
      </c>
      <c r="D19" s="8"/>
      <c r="E19" s="8"/>
      <c r="F19" s="8">
        <v>1</v>
      </c>
      <c r="G19" s="8"/>
    </row>
    <row r="20" spans="1:7">
      <c r="A20" s="25">
        <v>62</v>
      </c>
      <c r="B20" s="8" t="s">
        <v>68</v>
      </c>
      <c r="C20" s="8" t="s">
        <v>357</v>
      </c>
      <c r="D20" s="8"/>
      <c r="E20" s="8"/>
      <c r="F20" s="8">
        <v>1</v>
      </c>
      <c r="G20" s="8"/>
    </row>
    <row r="21" spans="1:7">
      <c r="A21" s="25">
        <v>63</v>
      </c>
      <c r="B21" s="8" t="s">
        <v>71</v>
      </c>
      <c r="C21" s="8" t="s">
        <v>366</v>
      </c>
      <c r="D21" s="8" t="s">
        <v>42</v>
      </c>
      <c r="E21" s="8">
        <v>1</v>
      </c>
      <c r="F21" s="8"/>
      <c r="G21" s="8">
        <v>1</v>
      </c>
    </row>
    <row r="22" spans="1:7">
      <c r="A22" s="25">
        <v>64</v>
      </c>
      <c r="B22" s="8" t="s">
        <v>73</v>
      </c>
      <c r="C22" s="8" t="s">
        <v>165</v>
      </c>
      <c r="D22" s="8" t="s">
        <v>42</v>
      </c>
      <c r="E22" s="8">
        <v>1</v>
      </c>
      <c r="F22" s="8"/>
      <c r="G22" s="8">
        <v>1</v>
      </c>
    </row>
    <row r="23" spans="1:7">
      <c r="A23" s="25">
        <v>65</v>
      </c>
      <c r="B23" s="8" t="s">
        <v>74</v>
      </c>
      <c r="C23" s="8" t="s">
        <v>346</v>
      </c>
      <c r="D23" s="8"/>
      <c r="E23" s="8"/>
      <c r="F23" s="8">
        <v>1</v>
      </c>
      <c r="G23" s="8"/>
    </row>
    <row r="24" spans="1:7">
      <c r="A24" s="25">
        <v>68</v>
      </c>
      <c r="B24" s="8" t="s">
        <v>65</v>
      </c>
      <c r="C24" s="8" t="s">
        <v>12</v>
      </c>
      <c r="D24" s="8" t="s">
        <v>42</v>
      </c>
      <c r="E24" s="8">
        <v>1</v>
      </c>
      <c r="F24" s="8"/>
      <c r="G24" s="8">
        <v>1</v>
      </c>
    </row>
    <row r="25" spans="1:7">
      <c r="A25" s="25">
        <v>69</v>
      </c>
      <c r="B25" s="8" t="s">
        <v>78</v>
      </c>
      <c r="C25" s="8" t="s">
        <v>359</v>
      </c>
      <c r="D25" s="8"/>
      <c r="E25" s="8"/>
      <c r="F25" s="8">
        <v>1</v>
      </c>
      <c r="G25" s="8"/>
    </row>
    <row r="26" spans="1:7">
      <c r="A26" s="25">
        <v>70</v>
      </c>
      <c r="B26" s="8" t="s">
        <v>80</v>
      </c>
      <c r="C26" s="8" t="s">
        <v>346</v>
      </c>
      <c r="D26" s="8"/>
      <c r="E26" s="8"/>
      <c r="F26" s="8">
        <v>1</v>
      </c>
      <c r="G26" s="8"/>
    </row>
    <row r="27" spans="1:7">
      <c r="A27" s="25" t="s">
        <v>82</v>
      </c>
      <c r="B27" s="8" t="s">
        <v>55</v>
      </c>
      <c r="C27" s="8" t="s">
        <v>346</v>
      </c>
      <c r="D27" s="8"/>
      <c r="E27" s="8"/>
      <c r="F27" s="8">
        <v>1</v>
      </c>
      <c r="G27" s="8"/>
    </row>
    <row r="28" spans="1:7">
      <c r="A28" s="25">
        <v>72</v>
      </c>
      <c r="B28" s="8" t="s">
        <v>5</v>
      </c>
      <c r="C28" s="8" t="s">
        <v>42</v>
      </c>
      <c r="D28" s="8" t="s">
        <v>42</v>
      </c>
      <c r="E28" s="8">
        <v>1</v>
      </c>
      <c r="F28" s="8"/>
      <c r="G28" s="8">
        <v>3</v>
      </c>
    </row>
    <row r="29" spans="1:7">
      <c r="A29" s="25">
        <v>73</v>
      </c>
      <c r="B29" s="8" t="s">
        <v>44</v>
      </c>
      <c r="C29" s="8" t="s">
        <v>349</v>
      </c>
      <c r="D29" s="8" t="s">
        <v>6</v>
      </c>
      <c r="E29" s="8"/>
      <c r="F29" s="8">
        <v>1</v>
      </c>
      <c r="G29" s="8"/>
    </row>
    <row r="30" spans="1:7">
      <c r="A30" s="25">
        <v>74</v>
      </c>
      <c r="B30" s="8" t="s">
        <v>88</v>
      </c>
      <c r="C30" s="8" t="s">
        <v>12</v>
      </c>
      <c r="D30" s="8" t="s">
        <v>6</v>
      </c>
      <c r="E30" s="8"/>
      <c r="F30" s="8">
        <v>1</v>
      </c>
      <c r="G30" s="8"/>
    </row>
    <row r="31" spans="1:7">
      <c r="A31" s="25">
        <v>76</v>
      </c>
      <c r="B31" s="8" t="s">
        <v>73</v>
      </c>
      <c r="C31" s="8" t="s">
        <v>165</v>
      </c>
      <c r="D31" s="8" t="s">
        <v>42</v>
      </c>
      <c r="E31" s="8">
        <v>1</v>
      </c>
      <c r="F31" s="8"/>
      <c r="G31" s="8">
        <v>1</v>
      </c>
    </row>
    <row r="32" spans="1:7">
      <c r="A32" s="25">
        <v>77</v>
      </c>
      <c r="B32" s="8" t="s">
        <v>78</v>
      </c>
      <c r="C32" s="8" t="s">
        <v>359</v>
      </c>
      <c r="D32" s="8"/>
      <c r="E32" s="8"/>
      <c r="F32" s="8">
        <v>1</v>
      </c>
      <c r="G32" s="8"/>
    </row>
    <row r="33" spans="1:7">
      <c r="A33" s="25">
        <v>79</v>
      </c>
      <c r="B33" s="8" t="s">
        <v>71</v>
      </c>
      <c r="C33" s="8" t="s">
        <v>366</v>
      </c>
      <c r="D33" s="8" t="s">
        <v>42</v>
      </c>
      <c r="E33" s="8">
        <v>1</v>
      </c>
      <c r="F33" s="8"/>
      <c r="G33" s="8">
        <v>1</v>
      </c>
    </row>
    <row r="34" spans="1:7" s="8" customFormat="1">
      <c r="A34" s="25">
        <v>82</v>
      </c>
      <c r="B34" s="55" t="s">
        <v>56</v>
      </c>
      <c r="C34" s="8" t="s">
        <v>360</v>
      </c>
      <c r="F34" s="8">
        <v>1</v>
      </c>
    </row>
    <row r="35" spans="1:7">
      <c r="A35" s="25">
        <v>85</v>
      </c>
      <c r="B35" s="8" t="s">
        <v>93</v>
      </c>
      <c r="C35" s="8" t="s">
        <v>12</v>
      </c>
      <c r="D35" s="8" t="s">
        <v>6</v>
      </c>
      <c r="E35" s="8"/>
      <c r="F35" s="8">
        <v>1</v>
      </c>
      <c r="G35" s="8"/>
    </row>
    <row r="36" spans="1:7">
      <c r="A36" s="25">
        <v>86</v>
      </c>
      <c r="B36" s="8" t="s">
        <v>44</v>
      </c>
      <c r="C36" s="8" t="s">
        <v>349</v>
      </c>
      <c r="D36" s="8" t="s">
        <v>6</v>
      </c>
      <c r="E36" s="8">
        <v>1</v>
      </c>
      <c r="F36" s="8"/>
      <c r="G36" s="8">
        <v>3</v>
      </c>
    </row>
    <row r="37" spans="1:7">
      <c r="A37" s="25">
        <v>88</v>
      </c>
      <c r="B37" s="8" t="s">
        <v>55</v>
      </c>
      <c r="C37" s="8" t="s">
        <v>346</v>
      </c>
      <c r="D37" s="8"/>
      <c r="E37" s="8"/>
      <c r="F37" s="8">
        <v>1</v>
      </c>
      <c r="G37" s="8"/>
    </row>
    <row r="38" spans="1:7">
      <c r="A38" s="25">
        <v>93</v>
      </c>
      <c r="B38" s="8" t="s">
        <v>63</v>
      </c>
      <c r="C38" s="8" t="s">
        <v>346</v>
      </c>
      <c r="D38" s="8"/>
      <c r="E38" s="8"/>
      <c r="F38" s="8">
        <v>1</v>
      </c>
      <c r="G38" s="8"/>
    </row>
    <row r="39" spans="1:7">
      <c r="A39" s="25">
        <v>95</v>
      </c>
      <c r="B39" s="8" t="s">
        <v>53</v>
      </c>
      <c r="C39" s="8" t="s">
        <v>346</v>
      </c>
      <c r="D39" s="8"/>
      <c r="E39" s="8"/>
      <c r="F39" s="8">
        <v>1</v>
      </c>
      <c r="G39" s="8"/>
    </row>
    <row r="40" spans="1:7">
      <c r="A40" s="25">
        <v>97</v>
      </c>
      <c r="B40" s="8" t="s">
        <v>44</v>
      </c>
      <c r="C40" s="8" t="s">
        <v>349</v>
      </c>
      <c r="D40" s="8" t="s">
        <v>42</v>
      </c>
      <c r="E40" s="8">
        <v>1</v>
      </c>
      <c r="F40" s="8"/>
      <c r="G40" s="8">
        <v>3</v>
      </c>
    </row>
    <row r="41" spans="1:7">
      <c r="A41" s="25">
        <v>98</v>
      </c>
      <c r="B41" s="8" t="s">
        <v>62</v>
      </c>
      <c r="C41" s="8" t="s">
        <v>42</v>
      </c>
      <c r="D41" s="8" t="s">
        <v>42</v>
      </c>
      <c r="E41" s="8">
        <v>1</v>
      </c>
      <c r="F41" s="8"/>
      <c r="G41" s="8">
        <v>1</v>
      </c>
    </row>
    <row r="42" spans="1:7">
      <c r="A42" s="25">
        <v>100</v>
      </c>
      <c r="B42" s="8" t="s">
        <v>62</v>
      </c>
      <c r="C42" s="8" t="s">
        <v>42</v>
      </c>
      <c r="D42" s="8" t="s">
        <v>42</v>
      </c>
      <c r="E42" s="8">
        <v>1</v>
      </c>
      <c r="F42" s="8"/>
      <c r="G42" s="8">
        <v>1</v>
      </c>
    </row>
    <row r="43" spans="1:7">
      <c r="A43" s="25">
        <v>104</v>
      </c>
      <c r="B43" s="8" t="s">
        <v>106</v>
      </c>
      <c r="C43" s="8" t="s">
        <v>349</v>
      </c>
      <c r="D43" s="8" t="s">
        <v>42</v>
      </c>
      <c r="E43" s="8">
        <v>1</v>
      </c>
      <c r="F43" s="8"/>
      <c r="G43" s="8">
        <v>3</v>
      </c>
    </row>
    <row r="44" spans="1:7">
      <c r="A44" s="25">
        <v>105</v>
      </c>
      <c r="B44" s="8" t="s">
        <v>55</v>
      </c>
      <c r="C44" s="8" t="s">
        <v>346</v>
      </c>
      <c r="D44" s="8"/>
      <c r="E44" s="8"/>
      <c r="F44" s="8">
        <v>1</v>
      </c>
      <c r="G44" s="8"/>
    </row>
    <row r="45" spans="1:7">
      <c r="A45" s="25">
        <v>106</v>
      </c>
      <c r="B45" s="8" t="s">
        <v>55</v>
      </c>
      <c r="C45" s="8" t="s">
        <v>346</v>
      </c>
      <c r="D45" s="8"/>
      <c r="E45" s="8"/>
      <c r="F45" s="8">
        <v>1</v>
      </c>
      <c r="G45" s="8"/>
    </row>
    <row r="46" spans="1:7">
      <c r="A46" s="25">
        <v>108</v>
      </c>
      <c r="B46" s="8" t="s">
        <v>99</v>
      </c>
      <c r="C46" s="8" t="s">
        <v>346</v>
      </c>
      <c r="D46" s="8"/>
      <c r="E46" s="8"/>
      <c r="F46" s="8">
        <v>1</v>
      </c>
      <c r="G46" s="8"/>
    </row>
    <row r="47" spans="1:7">
      <c r="A47" s="25">
        <v>109</v>
      </c>
      <c r="B47" s="8" t="s">
        <v>107</v>
      </c>
      <c r="C47" s="8" t="s">
        <v>358</v>
      </c>
      <c r="D47" s="8" t="s">
        <v>6</v>
      </c>
      <c r="E47" s="8"/>
      <c r="F47" s="8">
        <v>1</v>
      </c>
      <c r="G47" s="8"/>
    </row>
    <row r="48" spans="1:7">
      <c r="A48" s="25">
        <v>112</v>
      </c>
      <c r="B48" s="8" t="s">
        <v>62</v>
      </c>
      <c r="C48" s="8" t="s">
        <v>42</v>
      </c>
      <c r="D48" s="8" t="s">
        <v>42</v>
      </c>
      <c r="E48" s="8">
        <v>1</v>
      </c>
      <c r="F48" s="8"/>
      <c r="G48" s="8">
        <v>1</v>
      </c>
    </row>
    <row r="49" spans="1:7">
      <c r="A49" s="25">
        <v>115</v>
      </c>
      <c r="B49" s="8" t="s">
        <v>68</v>
      </c>
      <c r="C49" s="8" t="s">
        <v>357</v>
      </c>
      <c r="D49" s="8"/>
      <c r="E49" s="8"/>
      <c r="F49" s="8">
        <v>1</v>
      </c>
      <c r="G49" s="8"/>
    </row>
    <row r="50" spans="1:7">
      <c r="A50" s="25">
        <v>116</v>
      </c>
      <c r="B50" s="8" t="s">
        <v>62</v>
      </c>
      <c r="C50" s="8" t="s">
        <v>42</v>
      </c>
      <c r="D50" s="8" t="s">
        <v>42</v>
      </c>
      <c r="E50" s="8">
        <v>1</v>
      </c>
      <c r="F50" s="8"/>
      <c r="G50" s="8">
        <v>2</v>
      </c>
    </row>
    <row r="51" spans="1:7">
      <c r="A51" s="25">
        <v>117</v>
      </c>
      <c r="B51" s="8" t="s">
        <v>55</v>
      </c>
      <c r="C51" s="8" t="s">
        <v>346</v>
      </c>
      <c r="D51" s="8"/>
      <c r="E51" s="8"/>
      <c r="F51" s="8">
        <v>1</v>
      </c>
      <c r="G51" s="8"/>
    </row>
    <row r="52" spans="1:7">
      <c r="A52" s="25">
        <v>120</v>
      </c>
      <c r="B52" s="8" t="s">
        <v>73</v>
      </c>
      <c r="C52" s="8" t="s">
        <v>165</v>
      </c>
      <c r="D52" s="8" t="s">
        <v>42</v>
      </c>
      <c r="E52" s="8">
        <v>1</v>
      </c>
      <c r="F52" s="8"/>
      <c r="G52" s="8">
        <v>2</v>
      </c>
    </row>
    <row r="53" spans="1:7">
      <c r="A53" s="25">
        <v>121</v>
      </c>
      <c r="B53" s="8" t="s">
        <v>113</v>
      </c>
      <c r="C53" s="8" t="s">
        <v>357</v>
      </c>
      <c r="D53" s="8"/>
      <c r="E53" s="8"/>
      <c r="F53" s="8">
        <v>1</v>
      </c>
      <c r="G53" s="8"/>
    </row>
    <row r="54" spans="1:7">
      <c r="A54" s="25">
        <v>122</v>
      </c>
      <c r="B54" s="8" t="s">
        <v>115</v>
      </c>
      <c r="C54" s="8" t="s">
        <v>357</v>
      </c>
      <c r="D54" s="8" t="s">
        <v>6</v>
      </c>
      <c r="E54" s="8"/>
      <c r="F54" s="8">
        <v>1</v>
      </c>
      <c r="G54" s="8"/>
    </row>
    <row r="55" spans="1:7">
      <c r="A55" s="25">
        <v>125</v>
      </c>
      <c r="B55" s="8" t="s">
        <v>78</v>
      </c>
      <c r="C55" s="8" t="s">
        <v>359</v>
      </c>
      <c r="D55" s="8"/>
      <c r="E55" s="8"/>
      <c r="F55" s="8">
        <v>1</v>
      </c>
      <c r="G55" s="8"/>
    </row>
    <row r="56" spans="1:7">
      <c r="A56" s="25">
        <v>127</v>
      </c>
      <c r="B56" s="8" t="s">
        <v>62</v>
      </c>
      <c r="C56" s="8" t="s">
        <v>42</v>
      </c>
      <c r="D56" s="8" t="s">
        <v>42</v>
      </c>
      <c r="E56" s="8"/>
      <c r="F56" s="8">
        <v>1</v>
      </c>
      <c r="G56" s="8"/>
    </row>
    <row r="57" spans="1:7">
      <c r="A57" s="25">
        <v>129</v>
      </c>
      <c r="B57" s="8" t="s">
        <v>88</v>
      </c>
      <c r="C57" s="8" t="s">
        <v>12</v>
      </c>
      <c r="D57" s="8" t="s">
        <v>6</v>
      </c>
      <c r="E57" s="8"/>
      <c r="F57" s="8">
        <v>1</v>
      </c>
      <c r="G57" s="8"/>
    </row>
    <row r="58" spans="1:7">
      <c r="A58" s="25">
        <v>130</v>
      </c>
      <c r="B58" s="8" t="s">
        <v>41</v>
      </c>
      <c r="C58" s="8" t="s">
        <v>42</v>
      </c>
      <c r="D58" s="8" t="s">
        <v>42</v>
      </c>
      <c r="E58" s="8">
        <v>1</v>
      </c>
      <c r="F58" s="8"/>
      <c r="G58" s="8">
        <v>1</v>
      </c>
    </row>
    <row r="59" spans="1:7">
      <c r="A59" s="25">
        <v>131</v>
      </c>
      <c r="B59" s="8" t="s">
        <v>63</v>
      </c>
      <c r="C59" s="8" t="s">
        <v>346</v>
      </c>
      <c r="D59" s="8"/>
      <c r="E59" s="8"/>
      <c r="F59" s="8">
        <v>1</v>
      </c>
      <c r="G59" s="8"/>
    </row>
    <row r="60" spans="1:7">
      <c r="A60" s="25">
        <v>132</v>
      </c>
      <c r="B60" s="8" t="s">
        <v>99</v>
      </c>
      <c r="C60" s="8" t="s">
        <v>346</v>
      </c>
      <c r="D60" s="8"/>
      <c r="E60" s="8"/>
      <c r="F60" s="8">
        <v>1</v>
      </c>
      <c r="G60" s="8"/>
    </row>
    <row r="61" spans="1:7">
      <c r="A61" s="25">
        <v>133</v>
      </c>
      <c r="B61" s="8" t="s">
        <v>41</v>
      </c>
      <c r="C61" s="8" t="s">
        <v>42</v>
      </c>
      <c r="D61" s="8" t="s">
        <v>6</v>
      </c>
      <c r="E61" s="8">
        <v>1</v>
      </c>
      <c r="F61" s="8"/>
      <c r="G61" s="8">
        <v>1</v>
      </c>
    </row>
    <row r="62" spans="1:7">
      <c r="A62" s="25">
        <v>134</v>
      </c>
      <c r="B62" s="8" t="s">
        <v>74</v>
      </c>
      <c r="C62" s="8" t="s">
        <v>346</v>
      </c>
      <c r="D62" s="8"/>
      <c r="E62" s="8"/>
      <c r="F62" s="8">
        <v>1</v>
      </c>
      <c r="G62" s="8"/>
    </row>
    <row r="63" spans="1:7">
      <c r="A63" s="25">
        <v>135</v>
      </c>
      <c r="B63" s="8" t="s">
        <v>63</v>
      </c>
      <c r="C63" s="8" t="s">
        <v>346</v>
      </c>
      <c r="D63" s="8"/>
      <c r="E63" s="8"/>
      <c r="F63" s="8">
        <v>1</v>
      </c>
      <c r="G63" s="8"/>
    </row>
    <row r="64" spans="1:7">
      <c r="A64" s="25">
        <v>136</v>
      </c>
      <c r="B64" s="8" t="s">
        <v>54</v>
      </c>
      <c r="C64" s="8" t="s">
        <v>345</v>
      </c>
      <c r="D64" s="8"/>
      <c r="E64" s="8"/>
      <c r="F64" s="8">
        <v>1</v>
      </c>
      <c r="G64" s="8"/>
    </row>
    <row r="65" spans="1:7">
      <c r="A65" s="25">
        <v>139</v>
      </c>
      <c r="B65" s="8" t="s">
        <v>123</v>
      </c>
      <c r="C65" s="8" t="s">
        <v>366</v>
      </c>
      <c r="D65" s="8" t="s">
        <v>42</v>
      </c>
      <c r="E65" s="8">
        <v>1</v>
      </c>
      <c r="F65" s="8"/>
      <c r="G65" s="8">
        <v>2</v>
      </c>
    </row>
    <row r="66" spans="1:7">
      <c r="A66" s="25">
        <v>140</v>
      </c>
      <c r="B66" s="8" t="s">
        <v>216</v>
      </c>
      <c r="C66" s="8" t="s">
        <v>42</v>
      </c>
      <c r="D66" s="8" t="s">
        <v>42</v>
      </c>
      <c r="E66" s="8"/>
      <c r="F66" s="8">
        <v>1</v>
      </c>
      <c r="G66" s="8"/>
    </row>
    <row r="67" spans="1:7">
      <c r="A67" s="25">
        <v>141</v>
      </c>
      <c r="B67" s="8" t="s">
        <v>65</v>
      </c>
      <c r="C67" s="8" t="s">
        <v>12</v>
      </c>
      <c r="D67" s="8" t="s">
        <v>6</v>
      </c>
      <c r="E67" s="8">
        <v>1</v>
      </c>
      <c r="F67" s="8"/>
      <c r="G67" s="8">
        <v>1</v>
      </c>
    </row>
    <row r="68" spans="1:7">
      <c r="A68" s="25">
        <v>142</v>
      </c>
      <c r="B68" s="8" t="s">
        <v>71</v>
      </c>
      <c r="C68" s="8" t="s">
        <v>366</v>
      </c>
      <c r="D68" s="8" t="s">
        <v>42</v>
      </c>
      <c r="E68" s="8">
        <v>1</v>
      </c>
      <c r="F68" s="8"/>
      <c r="G68" s="8">
        <v>1</v>
      </c>
    </row>
    <row r="69" spans="1:7">
      <c r="A69" s="25">
        <v>143</v>
      </c>
      <c r="B69" s="8" t="s">
        <v>106</v>
      </c>
      <c r="C69" s="8" t="s">
        <v>349</v>
      </c>
      <c r="D69" s="8" t="s">
        <v>42</v>
      </c>
      <c r="E69" s="8">
        <v>1</v>
      </c>
      <c r="F69" s="8"/>
      <c r="G69" s="8">
        <v>3</v>
      </c>
    </row>
    <row r="70" spans="1:7">
      <c r="A70" s="25">
        <v>144</v>
      </c>
      <c r="B70" s="8" t="s">
        <v>80</v>
      </c>
      <c r="C70" s="8" t="s">
        <v>346</v>
      </c>
      <c r="D70" s="8"/>
      <c r="E70" s="8"/>
      <c r="F70" s="8">
        <v>1</v>
      </c>
      <c r="G70" s="8"/>
    </row>
    <row r="71" spans="1:7">
      <c r="A71" s="25">
        <v>145</v>
      </c>
      <c r="B71" s="8" t="s">
        <v>63</v>
      </c>
      <c r="C71" s="8" t="s">
        <v>346</v>
      </c>
      <c r="D71" s="8"/>
      <c r="E71" s="8"/>
      <c r="F71" s="8">
        <v>1</v>
      </c>
      <c r="G71" s="8"/>
    </row>
    <row r="72" spans="1:7">
      <c r="A72" s="25">
        <v>147</v>
      </c>
      <c r="B72" s="8" t="s">
        <v>68</v>
      </c>
      <c r="C72" s="8" t="s">
        <v>357</v>
      </c>
      <c r="D72" s="8" t="s">
        <v>15</v>
      </c>
      <c r="E72" s="8"/>
      <c r="F72" s="8">
        <v>1</v>
      </c>
      <c r="G72" s="8"/>
    </row>
    <row r="73" spans="1:7">
      <c r="A73" s="25">
        <v>148</v>
      </c>
      <c r="B73" s="8" t="s">
        <v>68</v>
      </c>
      <c r="C73" s="8" t="s">
        <v>357</v>
      </c>
      <c r="D73" s="8" t="s">
        <v>15</v>
      </c>
      <c r="E73" s="8"/>
      <c r="F73" s="8">
        <v>1</v>
      </c>
      <c r="G73" s="8"/>
    </row>
    <row r="74" spans="1:7">
      <c r="A74" s="25">
        <v>149</v>
      </c>
      <c r="B74" s="8" t="s">
        <v>80</v>
      </c>
      <c r="C74" s="8" t="s">
        <v>346</v>
      </c>
      <c r="D74" s="8"/>
      <c r="E74" s="8"/>
      <c r="F74" s="8">
        <v>1</v>
      </c>
      <c r="G74" s="8"/>
    </row>
    <row r="75" spans="1:7">
      <c r="A75" s="25">
        <v>151</v>
      </c>
      <c r="B75" s="8" t="s">
        <v>130</v>
      </c>
      <c r="C75" s="8" t="s">
        <v>357</v>
      </c>
      <c r="D75" s="8"/>
      <c r="E75" s="8"/>
      <c r="F75" s="8">
        <v>1</v>
      </c>
      <c r="G75" s="8"/>
    </row>
    <row r="76" spans="1:7">
      <c r="A76" s="25">
        <v>157</v>
      </c>
      <c r="B76" s="8" t="s">
        <v>55</v>
      </c>
      <c r="C76" s="8" t="s">
        <v>346</v>
      </c>
      <c r="D76" s="8"/>
      <c r="E76" s="8"/>
      <c r="F76" s="8">
        <v>1</v>
      </c>
      <c r="G76" s="8"/>
    </row>
    <row r="77" spans="1:7">
      <c r="A77" s="25">
        <v>162</v>
      </c>
      <c r="B77" s="8" t="s">
        <v>80</v>
      </c>
      <c r="C77" s="8" t="s">
        <v>346</v>
      </c>
      <c r="D77" s="8"/>
      <c r="E77" s="8"/>
      <c r="F77" s="8">
        <v>1</v>
      </c>
      <c r="G77" s="8"/>
    </row>
    <row r="78" spans="1:7">
      <c r="A78" s="25">
        <v>163</v>
      </c>
      <c r="B78" s="8" t="s">
        <v>62</v>
      </c>
      <c r="C78" s="8" t="s">
        <v>42</v>
      </c>
      <c r="D78" s="8" t="s">
        <v>42</v>
      </c>
      <c r="E78" s="8">
        <v>1</v>
      </c>
      <c r="F78" s="8"/>
      <c r="G78" s="8">
        <v>1</v>
      </c>
    </row>
    <row r="79" spans="1:7">
      <c r="A79" s="25">
        <v>166</v>
      </c>
      <c r="B79" s="8" t="s">
        <v>136</v>
      </c>
      <c r="C79" s="8" t="s">
        <v>12</v>
      </c>
      <c r="D79" s="8" t="s">
        <v>6</v>
      </c>
      <c r="E79" s="8"/>
      <c r="F79" s="8">
        <v>1</v>
      </c>
      <c r="G79" s="8"/>
    </row>
    <row r="80" spans="1:7">
      <c r="A80" s="25">
        <v>169</v>
      </c>
      <c r="B80" s="8" t="s">
        <v>139</v>
      </c>
      <c r="C80" s="8" t="s">
        <v>357</v>
      </c>
      <c r="D80" s="8"/>
      <c r="E80" s="8"/>
      <c r="F80" s="8">
        <v>1</v>
      </c>
      <c r="G80" s="8"/>
    </row>
    <row r="81" spans="1:7">
      <c r="A81" s="25">
        <v>170</v>
      </c>
      <c r="B81" s="8" t="s">
        <v>5</v>
      </c>
      <c r="C81" s="8" t="s">
        <v>42</v>
      </c>
      <c r="D81" s="8" t="s">
        <v>6</v>
      </c>
      <c r="E81" s="8"/>
      <c r="F81" s="8">
        <v>1</v>
      </c>
      <c r="G81" s="8"/>
    </row>
    <row r="82" spans="1:7">
      <c r="A82" s="25">
        <v>171</v>
      </c>
      <c r="B82" s="8" t="s">
        <v>58</v>
      </c>
      <c r="C82" s="8" t="s">
        <v>358</v>
      </c>
      <c r="D82" s="8" t="s">
        <v>6</v>
      </c>
      <c r="E82" s="8"/>
      <c r="F82" s="8">
        <v>1</v>
      </c>
      <c r="G82" s="8"/>
    </row>
    <row r="83" spans="1:7">
      <c r="A83" s="25">
        <v>172</v>
      </c>
      <c r="B83" s="8" t="s">
        <v>71</v>
      </c>
      <c r="C83" s="8" t="s">
        <v>366</v>
      </c>
      <c r="D83" s="8" t="s">
        <v>6</v>
      </c>
      <c r="E83" s="8">
        <v>1</v>
      </c>
      <c r="F83" s="8"/>
      <c r="G83" s="8">
        <v>2</v>
      </c>
    </row>
    <row r="84" spans="1:7">
      <c r="A84" s="25">
        <v>174</v>
      </c>
      <c r="B84" s="8" t="s">
        <v>141</v>
      </c>
      <c r="C84" s="8" t="s">
        <v>346</v>
      </c>
      <c r="D84" s="8"/>
      <c r="E84" s="8"/>
      <c r="F84" s="8">
        <v>1</v>
      </c>
      <c r="G84" s="8"/>
    </row>
    <row r="85" spans="1:7">
      <c r="A85" s="25">
        <v>176</v>
      </c>
      <c r="B85" s="8" t="s">
        <v>44</v>
      </c>
      <c r="C85" s="8" t="s">
        <v>349</v>
      </c>
      <c r="D85" s="8" t="s">
        <v>42</v>
      </c>
      <c r="E85" s="8">
        <v>1</v>
      </c>
      <c r="F85" s="8"/>
      <c r="G85" s="8">
        <v>3</v>
      </c>
    </row>
    <row r="86" spans="1:7">
      <c r="A86" s="25">
        <v>178</v>
      </c>
      <c r="B86" s="8" t="s">
        <v>5</v>
      </c>
      <c r="C86" s="8" t="s">
        <v>42</v>
      </c>
      <c r="D86" s="8" t="s">
        <v>6</v>
      </c>
      <c r="E86" s="8"/>
      <c r="F86" s="8">
        <v>1</v>
      </c>
      <c r="G86" s="8"/>
    </row>
    <row r="87" spans="1:7">
      <c r="A87" s="25">
        <v>179</v>
      </c>
      <c r="B87" s="8" t="s">
        <v>48</v>
      </c>
      <c r="C87" s="8" t="s">
        <v>357</v>
      </c>
      <c r="D87" s="8"/>
      <c r="E87" s="8"/>
      <c r="F87" s="8">
        <v>1</v>
      </c>
      <c r="G87" s="8"/>
    </row>
    <row r="88" spans="1:7">
      <c r="A88" s="25">
        <v>180</v>
      </c>
      <c r="B88" s="8" t="s">
        <v>143</v>
      </c>
      <c r="C88" s="8" t="s">
        <v>357</v>
      </c>
      <c r="D88" s="8"/>
      <c r="E88" s="8"/>
      <c r="F88" s="8">
        <v>1</v>
      </c>
      <c r="G88" s="8"/>
    </row>
    <row r="89" spans="1:7">
      <c r="A89" s="25">
        <v>181</v>
      </c>
      <c r="B89" s="8" t="s">
        <v>145</v>
      </c>
      <c r="C89" s="8" t="s">
        <v>357</v>
      </c>
      <c r="D89" s="8" t="s">
        <v>15</v>
      </c>
      <c r="E89" s="8"/>
      <c r="F89" s="8">
        <v>1</v>
      </c>
      <c r="G89" s="8"/>
    </row>
    <row r="90" spans="1:7">
      <c r="A90" s="25">
        <v>185</v>
      </c>
      <c r="B90" s="8" t="s">
        <v>5</v>
      </c>
      <c r="C90" s="8" t="s">
        <v>42</v>
      </c>
      <c r="D90" s="8" t="s">
        <v>42</v>
      </c>
      <c r="E90" s="8">
        <v>1</v>
      </c>
      <c r="F90" s="8"/>
      <c r="G90" s="8">
        <v>2</v>
      </c>
    </row>
    <row r="91" spans="1:7">
      <c r="A91" s="25">
        <v>187</v>
      </c>
      <c r="B91" s="8" t="s">
        <v>44</v>
      </c>
      <c r="C91" s="8" t="s">
        <v>349</v>
      </c>
      <c r="D91" s="8" t="s">
        <v>6</v>
      </c>
      <c r="E91" s="8">
        <v>1</v>
      </c>
      <c r="F91" s="8"/>
      <c r="G91" s="8">
        <v>3</v>
      </c>
    </row>
    <row r="92" spans="1:7">
      <c r="A92" s="25">
        <v>192</v>
      </c>
      <c r="B92" s="8" t="s">
        <v>149</v>
      </c>
      <c r="C92" s="8" t="s">
        <v>346</v>
      </c>
      <c r="D92" s="8"/>
      <c r="E92" s="8"/>
      <c r="F92" s="8">
        <v>1</v>
      </c>
      <c r="G92" s="8"/>
    </row>
    <row r="93" spans="1:7">
      <c r="A93" s="25">
        <v>193</v>
      </c>
      <c r="B93" s="8" t="s">
        <v>123</v>
      </c>
      <c r="C93" s="8" t="s">
        <v>366</v>
      </c>
      <c r="D93" s="8" t="s">
        <v>6</v>
      </c>
      <c r="E93" s="8">
        <v>1</v>
      </c>
      <c r="F93" s="8"/>
      <c r="G93" s="8">
        <v>3</v>
      </c>
    </row>
    <row r="94" spans="1:7">
      <c r="A94" s="25">
        <v>194</v>
      </c>
      <c r="B94" s="8" t="s">
        <v>62</v>
      </c>
      <c r="C94" s="8" t="s">
        <v>42</v>
      </c>
      <c r="D94" s="8" t="s">
        <v>42</v>
      </c>
      <c r="E94" s="8">
        <v>1</v>
      </c>
      <c r="F94" s="8"/>
      <c r="G94" s="8">
        <v>1</v>
      </c>
    </row>
    <row r="95" spans="1:7">
      <c r="A95" s="25">
        <v>205</v>
      </c>
      <c r="B95" s="8" t="s">
        <v>74</v>
      </c>
      <c r="C95" s="8" t="s">
        <v>346</v>
      </c>
      <c r="D95" s="8"/>
      <c r="E95" s="8"/>
      <c r="F95" s="8">
        <v>1</v>
      </c>
      <c r="G95" s="8"/>
    </row>
    <row r="96" spans="1:7">
      <c r="A96" s="25">
        <v>206</v>
      </c>
      <c r="B96" s="8" t="s">
        <v>139</v>
      </c>
      <c r="C96" s="8" t="s">
        <v>357</v>
      </c>
      <c r="D96" s="8"/>
      <c r="E96" s="8"/>
      <c r="F96" s="8">
        <v>1</v>
      </c>
      <c r="G96" s="8"/>
    </row>
    <row r="97" spans="1:7">
      <c r="A97" s="25">
        <v>210</v>
      </c>
      <c r="B97" s="8" t="s">
        <v>55</v>
      </c>
      <c r="C97" s="8" t="s">
        <v>346</v>
      </c>
      <c r="D97" s="8"/>
      <c r="E97" s="8"/>
      <c r="F97" s="8">
        <v>1</v>
      </c>
      <c r="G97" s="8"/>
    </row>
    <row r="98" spans="1:7">
      <c r="A98" s="25">
        <v>213</v>
      </c>
      <c r="B98" s="8" t="s">
        <v>62</v>
      </c>
      <c r="C98" s="8" t="s">
        <v>42</v>
      </c>
      <c r="D98" s="8" t="s">
        <v>42</v>
      </c>
      <c r="E98" s="8">
        <v>1</v>
      </c>
      <c r="F98" s="8"/>
      <c r="G98" s="8">
        <v>3</v>
      </c>
    </row>
    <row r="99" spans="1:7">
      <c r="A99" s="25">
        <v>214</v>
      </c>
      <c r="B99" s="8" t="s">
        <v>63</v>
      </c>
      <c r="C99" s="8" t="s">
        <v>346</v>
      </c>
      <c r="D99" s="8"/>
      <c r="E99" s="8"/>
      <c r="F99" s="8">
        <v>1</v>
      </c>
      <c r="G99" s="8"/>
    </row>
    <row r="100" spans="1:7">
      <c r="A100" s="25">
        <v>216</v>
      </c>
      <c r="B100" s="81" t="s">
        <v>71</v>
      </c>
      <c r="C100" s="8" t="s">
        <v>366</v>
      </c>
      <c r="D100" s="81" t="s">
        <v>42</v>
      </c>
      <c r="E100" s="8">
        <v>1</v>
      </c>
      <c r="F100" s="8"/>
      <c r="G100" s="8">
        <v>3</v>
      </c>
    </row>
    <row r="101" spans="1:7">
      <c r="A101" s="25">
        <v>219</v>
      </c>
      <c r="B101" s="81" t="s">
        <v>106</v>
      </c>
      <c r="C101" s="8" t="s">
        <v>349</v>
      </c>
      <c r="D101" s="81" t="s">
        <v>6</v>
      </c>
      <c r="E101" s="8"/>
      <c r="F101" s="8">
        <v>1</v>
      </c>
      <c r="G101" s="8"/>
    </row>
    <row r="102" spans="1:7">
      <c r="A102" s="25">
        <v>220</v>
      </c>
      <c r="B102" s="81" t="s">
        <v>71</v>
      </c>
      <c r="C102" s="8" t="s">
        <v>366</v>
      </c>
      <c r="D102" s="81" t="s">
        <v>6</v>
      </c>
      <c r="E102" s="8">
        <v>1</v>
      </c>
      <c r="F102" s="8"/>
      <c r="G102" s="8">
        <v>1</v>
      </c>
    </row>
    <row r="103" spans="1:7">
      <c r="A103" s="25">
        <v>222</v>
      </c>
      <c r="B103" s="8" t="s">
        <v>131</v>
      </c>
      <c r="C103" s="8" t="s">
        <v>358</v>
      </c>
      <c r="D103" s="8"/>
      <c r="E103" s="8"/>
      <c r="F103" s="8">
        <v>1</v>
      </c>
      <c r="G103" s="8"/>
    </row>
    <row r="104" spans="1:7">
      <c r="A104" s="25">
        <v>224</v>
      </c>
      <c r="B104" s="8" t="s">
        <v>68</v>
      </c>
      <c r="C104" s="8" t="s">
        <v>357</v>
      </c>
      <c r="D104" s="8"/>
      <c r="E104" s="8"/>
      <c r="F104" s="8">
        <v>1</v>
      </c>
      <c r="G104" s="8"/>
    </row>
    <row r="105" spans="1:7">
      <c r="A105" s="25">
        <v>227</v>
      </c>
      <c r="B105" s="8" t="s">
        <v>123</v>
      </c>
      <c r="C105" s="8" t="s">
        <v>366</v>
      </c>
      <c r="D105" s="8" t="s">
        <v>6</v>
      </c>
      <c r="E105" s="8">
        <v>1</v>
      </c>
      <c r="F105" s="8"/>
      <c r="G105" s="8">
        <v>3</v>
      </c>
    </row>
    <row r="106" spans="1:7">
      <c r="A106" s="25">
        <v>228</v>
      </c>
      <c r="B106" s="8" t="s">
        <v>74</v>
      </c>
      <c r="C106" s="8" t="s">
        <v>346</v>
      </c>
      <c r="D106" s="8"/>
      <c r="E106" s="8"/>
      <c r="F106" s="8">
        <v>1</v>
      </c>
      <c r="G106" s="8"/>
    </row>
    <row r="107" spans="1:7">
      <c r="A107" s="25">
        <v>229</v>
      </c>
      <c r="B107" s="8" t="s">
        <v>74</v>
      </c>
      <c r="C107" s="8" t="s">
        <v>346</v>
      </c>
      <c r="D107" s="8"/>
      <c r="E107" s="8"/>
      <c r="F107" s="8">
        <v>1</v>
      </c>
      <c r="G107" s="8"/>
    </row>
    <row r="108" spans="1:7">
      <c r="A108" s="25">
        <v>234</v>
      </c>
      <c r="B108" s="8" t="s">
        <v>44</v>
      </c>
      <c r="C108" s="8" t="s">
        <v>349</v>
      </c>
      <c r="D108" s="8" t="s">
        <v>42</v>
      </c>
      <c r="E108" s="8">
        <v>1</v>
      </c>
      <c r="F108" s="8"/>
      <c r="G108" s="8">
        <v>3</v>
      </c>
    </row>
    <row r="109" spans="1:7">
      <c r="A109" s="25">
        <v>237</v>
      </c>
      <c r="B109" s="8" t="s">
        <v>63</v>
      </c>
      <c r="C109" s="8" t="s">
        <v>346</v>
      </c>
      <c r="D109" s="8"/>
      <c r="E109" s="8"/>
      <c r="F109" s="8">
        <v>1</v>
      </c>
      <c r="G109" s="8"/>
    </row>
    <row r="110" spans="1:7">
      <c r="A110" s="25">
        <v>241</v>
      </c>
      <c r="B110" s="8" t="s">
        <v>78</v>
      </c>
      <c r="C110" s="8" t="s">
        <v>359</v>
      </c>
      <c r="D110" s="8"/>
      <c r="E110" s="8"/>
      <c r="F110" s="8">
        <v>1</v>
      </c>
      <c r="G110" s="8"/>
    </row>
    <row r="111" spans="1:7">
      <c r="A111" s="25">
        <v>246</v>
      </c>
      <c r="B111" s="8" t="s">
        <v>59</v>
      </c>
      <c r="C111" s="8" t="s">
        <v>346</v>
      </c>
      <c r="D111" s="8"/>
      <c r="E111" s="8"/>
      <c r="F111" s="8">
        <v>1</v>
      </c>
      <c r="G111" s="8"/>
    </row>
    <row r="112" spans="1:7">
      <c r="A112" s="25">
        <v>251</v>
      </c>
      <c r="B112" s="55" t="s">
        <v>161</v>
      </c>
      <c r="C112" s="8" t="s">
        <v>357</v>
      </c>
      <c r="D112" s="8"/>
      <c r="E112" s="8"/>
      <c r="F112" s="8">
        <v>1</v>
      </c>
      <c r="G112" s="8"/>
    </row>
    <row r="113" spans="1:7">
      <c r="A113" s="25">
        <v>254</v>
      </c>
      <c r="B113" s="8" t="s">
        <v>162</v>
      </c>
      <c r="C113" s="8" t="s">
        <v>12</v>
      </c>
      <c r="D113" s="8" t="s">
        <v>42</v>
      </c>
      <c r="E113" s="8"/>
      <c r="F113" s="8">
        <v>1</v>
      </c>
      <c r="G113" s="8"/>
    </row>
    <row r="114" spans="1:7" s="8" customFormat="1">
      <c r="A114" s="25">
        <v>255</v>
      </c>
      <c r="B114" s="8" t="s">
        <v>59</v>
      </c>
      <c r="C114" s="8" t="s">
        <v>346</v>
      </c>
      <c r="F114" s="8">
        <v>1</v>
      </c>
    </row>
    <row r="115" spans="1:7">
      <c r="A115" s="25">
        <v>256</v>
      </c>
      <c r="B115" s="8" t="s">
        <v>44</v>
      </c>
      <c r="C115" s="8" t="s">
        <v>349</v>
      </c>
      <c r="D115" s="8" t="s">
        <v>42</v>
      </c>
      <c r="E115" s="8"/>
      <c r="F115" s="8">
        <v>1</v>
      </c>
      <c r="G115" s="8"/>
    </row>
    <row r="116" spans="1:7">
      <c r="A116" s="25">
        <v>257</v>
      </c>
      <c r="B116" s="8" t="s">
        <v>55</v>
      </c>
      <c r="C116" s="8" t="s">
        <v>346</v>
      </c>
      <c r="D116" s="8"/>
      <c r="E116" s="8"/>
      <c r="F116" s="8">
        <v>1</v>
      </c>
      <c r="G116" s="8"/>
    </row>
    <row r="117" spans="1:7" s="67" customFormat="1">
      <c r="A117" s="25">
        <v>258</v>
      </c>
      <c r="B117" s="8" t="s">
        <v>74</v>
      </c>
      <c r="C117" s="8" t="s">
        <v>346</v>
      </c>
      <c r="D117" s="8"/>
      <c r="E117" s="8"/>
      <c r="F117" s="8">
        <v>1</v>
      </c>
      <c r="G117" s="8"/>
    </row>
    <row r="118" spans="1:7">
      <c r="A118" s="25">
        <v>263</v>
      </c>
      <c r="B118" s="8" t="s">
        <v>5</v>
      </c>
      <c r="C118" s="8" t="s">
        <v>42</v>
      </c>
      <c r="D118" s="8" t="s">
        <v>6</v>
      </c>
      <c r="E118" s="8"/>
      <c r="F118" s="8">
        <v>1</v>
      </c>
      <c r="G118" s="8"/>
    </row>
    <row r="119" spans="1:7">
      <c r="A119" s="25">
        <v>266</v>
      </c>
      <c r="B119" s="8" t="s">
        <v>197</v>
      </c>
      <c r="C119" s="8" t="s">
        <v>357</v>
      </c>
      <c r="D119" s="8"/>
      <c r="E119" s="8"/>
      <c r="F119" s="8">
        <v>1</v>
      </c>
      <c r="G119" s="8"/>
    </row>
    <row r="120" spans="1:7">
      <c r="A120" s="25">
        <v>267</v>
      </c>
      <c r="B120" s="8" t="s">
        <v>73</v>
      </c>
      <c r="C120" s="8" t="s">
        <v>165</v>
      </c>
      <c r="D120" s="8" t="s">
        <v>6</v>
      </c>
      <c r="E120" s="8">
        <v>1</v>
      </c>
      <c r="F120" s="8"/>
      <c r="G120" s="8">
        <v>3</v>
      </c>
    </row>
    <row r="121" spans="1:7">
      <c r="A121" s="25">
        <v>270</v>
      </c>
      <c r="B121" s="8" t="s">
        <v>197</v>
      </c>
      <c r="C121" s="8" t="s">
        <v>357</v>
      </c>
      <c r="D121" s="8"/>
      <c r="E121" s="8"/>
      <c r="F121" s="8">
        <v>1</v>
      </c>
      <c r="G121" s="8"/>
    </row>
    <row r="122" spans="1:7">
      <c r="A122" s="25">
        <v>271</v>
      </c>
      <c r="B122" s="8" t="s">
        <v>62</v>
      </c>
      <c r="C122" s="8" t="s">
        <v>42</v>
      </c>
      <c r="D122" s="8" t="s">
        <v>6</v>
      </c>
      <c r="E122" s="8">
        <v>1</v>
      </c>
      <c r="F122" s="8"/>
      <c r="G122" s="8">
        <v>3</v>
      </c>
    </row>
    <row r="123" spans="1:7">
      <c r="A123" s="25">
        <v>272</v>
      </c>
      <c r="B123" s="8" t="s">
        <v>41</v>
      </c>
      <c r="C123" s="8" t="s">
        <v>42</v>
      </c>
      <c r="D123" s="8" t="s">
        <v>6</v>
      </c>
      <c r="E123" s="8"/>
      <c r="F123" s="8">
        <v>1</v>
      </c>
      <c r="G123" s="8"/>
    </row>
    <row r="124" spans="1:7">
      <c r="A124" s="25">
        <v>273</v>
      </c>
      <c r="B124" s="8" t="s">
        <v>5</v>
      </c>
      <c r="C124" s="8" t="s">
        <v>42</v>
      </c>
      <c r="D124" s="8" t="s">
        <v>42</v>
      </c>
      <c r="E124" s="8">
        <v>1</v>
      </c>
      <c r="F124" s="8"/>
      <c r="G124" s="8">
        <v>3</v>
      </c>
    </row>
    <row r="125" spans="1:7">
      <c r="A125" s="25">
        <v>280</v>
      </c>
      <c r="B125" s="8" t="s">
        <v>123</v>
      </c>
      <c r="C125" s="8" t="s">
        <v>366</v>
      </c>
      <c r="D125" s="8" t="s">
        <v>42</v>
      </c>
      <c r="E125" s="8">
        <v>1</v>
      </c>
      <c r="F125" s="8"/>
      <c r="G125" s="8">
        <v>2</v>
      </c>
    </row>
    <row r="126" spans="1:7">
      <c r="A126" s="25">
        <v>283</v>
      </c>
      <c r="B126" s="8" t="s">
        <v>74</v>
      </c>
      <c r="C126" s="8" t="s">
        <v>346</v>
      </c>
      <c r="D126" s="8"/>
      <c r="E126" s="8"/>
      <c r="F126" s="8">
        <v>1</v>
      </c>
      <c r="G126" s="8"/>
    </row>
    <row r="127" spans="1:7">
      <c r="A127" s="25">
        <v>286</v>
      </c>
      <c r="B127" s="8" t="s">
        <v>63</v>
      </c>
      <c r="C127" s="8" t="s">
        <v>346</v>
      </c>
      <c r="D127" s="8"/>
      <c r="E127" s="8"/>
      <c r="F127" s="8">
        <v>1</v>
      </c>
      <c r="G127" s="8"/>
    </row>
    <row r="128" spans="1:7">
      <c r="A128" s="25">
        <v>287</v>
      </c>
      <c r="B128" s="8" t="s">
        <v>71</v>
      </c>
      <c r="C128" s="8" t="s">
        <v>366</v>
      </c>
      <c r="D128" s="8" t="s">
        <v>42</v>
      </c>
      <c r="E128" s="8"/>
      <c r="F128" s="8">
        <v>1</v>
      </c>
      <c r="G128" s="8"/>
    </row>
    <row r="129" spans="1:7">
      <c r="A129" s="25">
        <v>288</v>
      </c>
      <c r="B129" s="8" t="s">
        <v>71</v>
      </c>
      <c r="C129" s="8" t="s">
        <v>366</v>
      </c>
      <c r="D129" s="8" t="s">
        <v>42</v>
      </c>
      <c r="E129" s="8">
        <v>1</v>
      </c>
      <c r="F129" s="8"/>
      <c r="G129" s="8">
        <v>1</v>
      </c>
    </row>
    <row r="130" spans="1:7">
      <c r="A130" s="25">
        <v>291</v>
      </c>
      <c r="B130" s="8" t="s">
        <v>80</v>
      </c>
      <c r="C130" s="8" t="s">
        <v>346</v>
      </c>
      <c r="D130" s="8"/>
      <c r="E130" s="8"/>
      <c r="F130" s="8">
        <v>1</v>
      </c>
      <c r="G130" s="8"/>
    </row>
    <row r="131" spans="1:7">
      <c r="A131" s="25">
        <v>292</v>
      </c>
      <c r="B131" s="8" t="s">
        <v>74</v>
      </c>
      <c r="C131" s="8" t="s">
        <v>346</v>
      </c>
      <c r="D131" s="8"/>
      <c r="E131" s="8"/>
      <c r="F131" s="8">
        <v>1</v>
      </c>
      <c r="G131" s="8"/>
    </row>
    <row r="132" spans="1:7">
      <c r="A132" s="25">
        <v>293</v>
      </c>
      <c r="B132" s="8" t="s">
        <v>106</v>
      </c>
      <c r="C132" s="8" t="s">
        <v>349</v>
      </c>
      <c r="D132" s="8" t="s">
        <v>6</v>
      </c>
      <c r="E132" s="8">
        <v>1</v>
      </c>
      <c r="F132" s="8"/>
      <c r="G132" s="8">
        <v>1</v>
      </c>
    </row>
    <row r="133" spans="1:7">
      <c r="A133" s="25">
        <v>299</v>
      </c>
      <c r="B133" s="8" t="s">
        <v>63</v>
      </c>
      <c r="C133" s="8" t="s">
        <v>346</v>
      </c>
      <c r="D133" s="8"/>
      <c r="E133" s="8"/>
      <c r="F133" s="8">
        <v>1</v>
      </c>
      <c r="G133" s="8"/>
    </row>
    <row r="134" spans="1:7">
      <c r="A134" s="25">
        <v>301</v>
      </c>
      <c r="B134" s="8" t="s">
        <v>123</v>
      </c>
      <c r="C134" s="8" t="s">
        <v>366</v>
      </c>
      <c r="D134" s="8" t="s">
        <v>42</v>
      </c>
      <c r="E134" s="8">
        <v>1</v>
      </c>
      <c r="F134" s="8"/>
      <c r="G134" s="8">
        <v>3</v>
      </c>
    </row>
    <row r="135" spans="1:7">
      <c r="A135" s="25">
        <v>302</v>
      </c>
      <c r="B135" s="8" t="s">
        <v>41</v>
      </c>
      <c r="C135" s="8" t="s">
        <v>42</v>
      </c>
      <c r="D135" s="8" t="s">
        <v>42</v>
      </c>
      <c r="E135" s="8">
        <v>1</v>
      </c>
      <c r="F135" s="8"/>
      <c r="G135" s="8">
        <v>2</v>
      </c>
    </row>
    <row r="136" spans="1:7">
      <c r="A136" s="25">
        <v>303</v>
      </c>
      <c r="B136" s="8" t="s">
        <v>136</v>
      </c>
      <c r="C136" s="8" t="s">
        <v>12</v>
      </c>
      <c r="D136" s="8" t="s">
        <v>42</v>
      </c>
      <c r="E136" s="8"/>
      <c r="F136" s="8">
        <v>1</v>
      </c>
      <c r="G136" s="8"/>
    </row>
    <row r="137" spans="1:7">
      <c r="A137" s="25">
        <v>304</v>
      </c>
      <c r="B137" s="8" t="s">
        <v>93</v>
      </c>
      <c r="C137" s="8" t="s">
        <v>12</v>
      </c>
      <c r="D137" s="8" t="s">
        <v>42</v>
      </c>
      <c r="E137" s="8"/>
      <c r="F137" s="8">
        <v>1</v>
      </c>
      <c r="G137" s="8"/>
    </row>
    <row r="138" spans="1:7">
      <c r="A138" s="25">
        <v>308</v>
      </c>
      <c r="B138" s="8" t="s">
        <v>123</v>
      </c>
      <c r="C138" s="8" t="s">
        <v>366</v>
      </c>
      <c r="D138" s="8" t="s">
        <v>6</v>
      </c>
      <c r="E138" s="8">
        <v>1</v>
      </c>
      <c r="F138" s="8"/>
      <c r="G138" s="8">
        <v>3</v>
      </c>
    </row>
    <row r="139" spans="1:7">
      <c r="A139" s="25">
        <v>311</v>
      </c>
      <c r="B139" s="8" t="s">
        <v>130</v>
      </c>
      <c r="C139" s="8" t="s">
        <v>357</v>
      </c>
      <c r="D139" s="8"/>
      <c r="E139" s="8"/>
      <c r="F139" s="8">
        <v>1</v>
      </c>
      <c r="G139" s="8"/>
    </row>
    <row r="140" spans="1:7">
      <c r="A140" s="25">
        <v>315</v>
      </c>
      <c r="B140" s="8" t="s">
        <v>71</v>
      </c>
      <c r="C140" s="8" t="s">
        <v>366</v>
      </c>
      <c r="D140" s="8" t="s">
        <v>42</v>
      </c>
      <c r="E140" s="8">
        <v>1</v>
      </c>
      <c r="F140" s="8"/>
      <c r="G140" s="8">
        <v>3</v>
      </c>
    </row>
    <row r="141" spans="1:7">
      <c r="A141" s="25">
        <v>321</v>
      </c>
      <c r="B141" s="8" t="s">
        <v>54</v>
      </c>
      <c r="C141" s="8" t="s">
        <v>345</v>
      </c>
      <c r="D141" s="8"/>
      <c r="E141" s="8"/>
      <c r="F141" s="8">
        <v>1</v>
      </c>
      <c r="G141" s="8"/>
    </row>
    <row r="142" spans="1:7">
      <c r="A142" s="25">
        <v>331</v>
      </c>
      <c r="B142" s="8" t="s">
        <v>240</v>
      </c>
      <c r="C142" s="8" t="s">
        <v>42</v>
      </c>
      <c r="D142" s="8" t="s">
        <v>42</v>
      </c>
      <c r="E142" s="8">
        <v>1</v>
      </c>
      <c r="F142" s="8"/>
      <c r="G142" s="8">
        <v>3</v>
      </c>
    </row>
    <row r="143" spans="1:7">
      <c r="A143" s="25">
        <v>334</v>
      </c>
      <c r="B143" s="8" t="s">
        <v>5</v>
      </c>
      <c r="C143" s="8" t="s">
        <v>42</v>
      </c>
      <c r="D143" s="8" t="s">
        <v>6</v>
      </c>
      <c r="E143" s="8">
        <v>1</v>
      </c>
      <c r="F143" s="8"/>
      <c r="G143" s="8">
        <v>2</v>
      </c>
    </row>
    <row r="144" spans="1:7">
      <c r="A144" s="25">
        <v>335</v>
      </c>
      <c r="B144" s="8" t="s">
        <v>74</v>
      </c>
      <c r="C144" s="8" t="s">
        <v>346</v>
      </c>
      <c r="D144" s="8"/>
      <c r="E144" s="8"/>
      <c r="F144" s="8">
        <v>1</v>
      </c>
      <c r="G144" s="8"/>
    </row>
    <row r="145" spans="1:7">
      <c r="A145" s="25">
        <v>336</v>
      </c>
      <c r="B145" s="8" t="s">
        <v>55</v>
      </c>
      <c r="C145" s="8" t="s">
        <v>346</v>
      </c>
      <c r="D145" s="8"/>
      <c r="E145" s="8"/>
      <c r="F145" s="8">
        <v>1</v>
      </c>
      <c r="G145" s="8"/>
    </row>
    <row r="146" spans="1:7">
      <c r="A146" s="25">
        <v>339</v>
      </c>
      <c r="B146" s="8" t="s">
        <v>91</v>
      </c>
      <c r="C146" s="8" t="s">
        <v>366</v>
      </c>
      <c r="D146" s="8" t="s">
        <v>42</v>
      </c>
      <c r="E146" s="8">
        <v>1</v>
      </c>
      <c r="F146" s="8"/>
      <c r="G146" s="8">
        <v>1</v>
      </c>
    </row>
    <row r="147" spans="1:7">
      <c r="A147" s="25">
        <v>340</v>
      </c>
      <c r="B147" s="8" t="s">
        <v>44</v>
      </c>
      <c r="C147" s="8" t="s">
        <v>349</v>
      </c>
      <c r="D147" s="8" t="s">
        <v>6</v>
      </c>
      <c r="E147" s="8">
        <v>1</v>
      </c>
      <c r="F147" s="8"/>
      <c r="G147" s="8">
        <v>3</v>
      </c>
    </row>
    <row r="148" spans="1:7">
      <c r="A148" s="25">
        <v>343</v>
      </c>
      <c r="B148" s="8" t="s">
        <v>216</v>
      </c>
      <c r="C148" s="8" t="s">
        <v>42</v>
      </c>
      <c r="D148" s="8" t="s">
        <v>6</v>
      </c>
      <c r="E148" s="8">
        <v>1</v>
      </c>
      <c r="F148" s="8"/>
      <c r="G148" s="8">
        <v>1</v>
      </c>
    </row>
    <row r="149" spans="1:7">
      <c r="A149" s="25">
        <v>344</v>
      </c>
      <c r="B149" s="8" t="s">
        <v>63</v>
      </c>
      <c r="C149" s="8" t="s">
        <v>346</v>
      </c>
      <c r="D149" s="8"/>
      <c r="E149" s="8"/>
      <c r="F149" s="8">
        <v>1</v>
      </c>
      <c r="G149" s="8"/>
    </row>
    <row r="150" spans="1:7">
      <c r="A150" s="25">
        <v>345</v>
      </c>
      <c r="B150" s="8" t="s">
        <v>59</v>
      </c>
      <c r="C150" s="8" t="s">
        <v>346</v>
      </c>
      <c r="D150" s="8"/>
      <c r="E150" s="8"/>
      <c r="F150" s="8">
        <v>1</v>
      </c>
      <c r="G150" s="8"/>
    </row>
    <row r="151" spans="1:7">
      <c r="A151" s="25">
        <v>346</v>
      </c>
      <c r="B151" s="8" t="s">
        <v>5</v>
      </c>
      <c r="C151" s="8" t="s">
        <v>42</v>
      </c>
      <c r="D151" s="8" t="s">
        <v>6</v>
      </c>
      <c r="E151" s="8">
        <v>1</v>
      </c>
      <c r="F151" s="8"/>
      <c r="G151" s="8">
        <v>2</v>
      </c>
    </row>
    <row r="152" spans="1:7">
      <c r="A152" s="25">
        <v>347</v>
      </c>
      <c r="B152" s="8" t="s">
        <v>141</v>
      </c>
      <c r="C152" s="8" t="s">
        <v>346</v>
      </c>
      <c r="D152" s="8"/>
      <c r="E152" s="8"/>
      <c r="F152" s="8">
        <v>1</v>
      </c>
      <c r="G152" s="8"/>
    </row>
    <row r="153" spans="1:7">
      <c r="A153" s="25">
        <v>348</v>
      </c>
      <c r="B153" s="8" t="s">
        <v>106</v>
      </c>
      <c r="C153" s="8" t="s">
        <v>349</v>
      </c>
      <c r="D153" s="8" t="s">
        <v>6</v>
      </c>
      <c r="E153" s="8">
        <v>1</v>
      </c>
      <c r="F153" s="8"/>
      <c r="G153" s="8">
        <v>3</v>
      </c>
    </row>
    <row r="154" spans="1:7">
      <c r="A154" s="25">
        <v>349</v>
      </c>
      <c r="B154" s="8" t="s">
        <v>103</v>
      </c>
      <c r="C154" s="8" t="s">
        <v>357</v>
      </c>
      <c r="D154" s="8" t="s">
        <v>15</v>
      </c>
      <c r="E154" s="8"/>
      <c r="F154" s="8">
        <v>1</v>
      </c>
      <c r="G154" s="8"/>
    </row>
    <row r="155" spans="1:7">
      <c r="A155" s="25">
        <v>350</v>
      </c>
      <c r="B155" s="8" t="s">
        <v>80</v>
      </c>
      <c r="C155" s="8" t="s">
        <v>346</v>
      </c>
      <c r="D155" s="8"/>
      <c r="E155" s="8"/>
      <c r="F155" s="8">
        <v>1</v>
      </c>
      <c r="G155" s="8"/>
    </row>
    <row r="156" spans="1:7">
      <c r="A156" s="25">
        <v>351</v>
      </c>
      <c r="B156" s="8" t="s">
        <v>106</v>
      </c>
      <c r="C156" s="8" t="s">
        <v>349</v>
      </c>
      <c r="D156" s="8" t="s">
        <v>6</v>
      </c>
      <c r="E156" s="8">
        <v>1</v>
      </c>
      <c r="F156" s="8"/>
      <c r="G156" s="8">
        <v>1</v>
      </c>
    </row>
    <row r="157" spans="1:7">
      <c r="A157" s="25">
        <v>354</v>
      </c>
      <c r="B157" s="8" t="s">
        <v>136</v>
      </c>
      <c r="C157" s="8" t="s">
        <v>12</v>
      </c>
      <c r="D157" s="8" t="s">
        <v>42</v>
      </c>
      <c r="E157" s="8"/>
      <c r="F157" s="8">
        <v>1</v>
      </c>
      <c r="G157" s="8"/>
    </row>
    <row r="158" spans="1:7">
      <c r="A158" s="25">
        <v>358</v>
      </c>
      <c r="B158" s="8" t="s">
        <v>136</v>
      </c>
      <c r="C158" s="8" t="s">
        <v>12</v>
      </c>
      <c r="D158" s="8" t="s">
        <v>42</v>
      </c>
      <c r="E158" s="8"/>
      <c r="F158" s="8">
        <v>1</v>
      </c>
      <c r="G158" s="8"/>
    </row>
    <row r="159" spans="1:7">
      <c r="A159" s="25">
        <v>359</v>
      </c>
      <c r="B159" s="8" t="s">
        <v>78</v>
      </c>
      <c r="C159" s="8" t="s">
        <v>359</v>
      </c>
      <c r="D159" s="8"/>
      <c r="E159" s="8"/>
      <c r="F159" s="8">
        <v>1</v>
      </c>
      <c r="G159" s="8"/>
    </row>
    <row r="160" spans="1:7">
      <c r="A160" s="25">
        <v>360</v>
      </c>
      <c r="B160" s="8" t="s">
        <v>71</v>
      </c>
      <c r="C160" s="8" t="s">
        <v>366</v>
      </c>
      <c r="D160" s="8" t="s">
        <v>42</v>
      </c>
      <c r="E160" s="8"/>
      <c r="F160" s="8">
        <v>1</v>
      </c>
      <c r="G160" s="8"/>
    </row>
    <row r="161" spans="1:7">
      <c r="A161" s="25">
        <v>361</v>
      </c>
      <c r="B161" s="8" t="s">
        <v>55</v>
      </c>
      <c r="C161" s="8" t="s">
        <v>346</v>
      </c>
      <c r="D161" s="8"/>
      <c r="E161" s="8"/>
      <c r="F161" s="8">
        <v>1</v>
      </c>
      <c r="G161" s="8"/>
    </row>
    <row r="162" spans="1:7">
      <c r="A162" s="25">
        <v>363</v>
      </c>
      <c r="B162" s="8" t="s">
        <v>216</v>
      </c>
      <c r="C162" s="8" t="s">
        <v>42</v>
      </c>
      <c r="D162" s="8" t="s">
        <v>6</v>
      </c>
      <c r="E162" s="8"/>
      <c r="F162" s="8">
        <v>1</v>
      </c>
      <c r="G162" s="8"/>
    </row>
    <row r="163" spans="1:7">
      <c r="A163" s="25">
        <v>365</v>
      </c>
      <c r="B163" s="8" t="s">
        <v>197</v>
      </c>
      <c r="C163" s="8" t="s">
        <v>357</v>
      </c>
      <c r="D163" s="8"/>
      <c r="E163" s="8"/>
      <c r="F163" s="8">
        <v>1</v>
      </c>
      <c r="G163" s="8"/>
    </row>
    <row r="164" spans="1:7">
      <c r="A164" s="25">
        <v>367</v>
      </c>
      <c r="B164" s="8" t="s">
        <v>80</v>
      </c>
      <c r="C164" s="8" t="s">
        <v>346</v>
      </c>
      <c r="D164" s="8"/>
      <c r="E164" s="8"/>
      <c r="F164" s="8">
        <v>1</v>
      </c>
      <c r="G164" s="8"/>
    </row>
    <row r="165" spans="1:7">
      <c r="A165" s="25">
        <v>371</v>
      </c>
      <c r="B165" s="8" t="s">
        <v>73</v>
      </c>
      <c r="C165" s="8" t="s">
        <v>165</v>
      </c>
      <c r="D165" s="8" t="s">
        <v>42</v>
      </c>
      <c r="E165" s="8"/>
      <c r="F165" s="8">
        <v>1</v>
      </c>
      <c r="G165" s="8"/>
    </row>
    <row r="166" spans="1:7">
      <c r="A166" s="25">
        <v>375</v>
      </c>
      <c r="B166" s="8" t="s">
        <v>44</v>
      </c>
      <c r="C166" s="8" t="s">
        <v>349</v>
      </c>
      <c r="D166" s="8" t="s">
        <v>6</v>
      </c>
      <c r="E166" s="8">
        <v>1</v>
      </c>
      <c r="F166" s="8"/>
      <c r="G166" s="8">
        <v>3</v>
      </c>
    </row>
    <row r="167" spans="1:7">
      <c r="A167" s="25">
        <v>376</v>
      </c>
      <c r="B167" s="8" t="s">
        <v>106</v>
      </c>
      <c r="C167" s="8" t="s">
        <v>349</v>
      </c>
      <c r="D167" s="8" t="s">
        <v>6</v>
      </c>
      <c r="E167" s="8">
        <v>1</v>
      </c>
      <c r="F167" s="8"/>
      <c r="G167" s="8">
        <v>3</v>
      </c>
    </row>
    <row r="168" spans="1:7">
      <c r="A168" s="25">
        <v>377</v>
      </c>
      <c r="B168" s="8" t="s">
        <v>62</v>
      </c>
      <c r="C168" s="8" t="s">
        <v>42</v>
      </c>
      <c r="D168" s="8" t="s">
        <v>6</v>
      </c>
      <c r="E168" s="8">
        <v>1</v>
      </c>
      <c r="F168" s="8"/>
      <c r="G168" s="8">
        <v>1</v>
      </c>
    </row>
    <row r="169" spans="1:7">
      <c r="A169" s="25">
        <v>380</v>
      </c>
      <c r="B169" s="8" t="s">
        <v>136</v>
      </c>
      <c r="C169" s="8" t="s">
        <v>12</v>
      </c>
      <c r="D169" s="8" t="s">
        <v>42</v>
      </c>
      <c r="E169" s="8"/>
      <c r="F169" s="8">
        <v>1</v>
      </c>
      <c r="G169" s="8"/>
    </row>
    <row r="170" spans="1:7">
      <c r="A170" s="25">
        <v>386</v>
      </c>
      <c r="B170" s="8" t="s">
        <v>80</v>
      </c>
      <c r="C170" s="8" t="s">
        <v>346</v>
      </c>
      <c r="D170" s="8"/>
      <c r="E170" s="8"/>
      <c r="F170" s="8">
        <v>1</v>
      </c>
      <c r="G170" s="8"/>
    </row>
    <row r="171" spans="1:7">
      <c r="A171" s="25">
        <v>392</v>
      </c>
      <c r="B171" s="8" t="s">
        <v>80</v>
      </c>
      <c r="C171" s="8" t="s">
        <v>346</v>
      </c>
      <c r="D171" s="8"/>
      <c r="E171" s="8"/>
      <c r="F171" s="8">
        <v>1</v>
      </c>
      <c r="G171" s="8"/>
    </row>
    <row r="172" spans="1:7">
      <c r="A172" s="25">
        <v>401</v>
      </c>
      <c r="B172" s="8" t="s">
        <v>123</v>
      </c>
      <c r="C172" s="8" t="s">
        <v>366</v>
      </c>
      <c r="D172" s="8" t="s">
        <v>42</v>
      </c>
      <c r="E172" s="8">
        <v>1</v>
      </c>
      <c r="F172" s="8"/>
      <c r="G172" s="8">
        <v>3</v>
      </c>
    </row>
    <row r="173" spans="1:7">
      <c r="A173" s="25">
        <v>402</v>
      </c>
      <c r="B173" s="8" t="s">
        <v>88</v>
      </c>
      <c r="C173" s="8" t="s">
        <v>12</v>
      </c>
      <c r="D173" s="8" t="s">
        <v>6</v>
      </c>
      <c r="E173" s="8"/>
      <c r="F173" s="8">
        <v>1</v>
      </c>
      <c r="G173" s="8"/>
    </row>
    <row r="174" spans="1:7">
      <c r="A174" s="25">
        <v>412</v>
      </c>
      <c r="B174" s="8" t="s">
        <v>41</v>
      </c>
      <c r="C174" s="8" t="s">
        <v>42</v>
      </c>
      <c r="D174" s="8" t="s">
        <v>42</v>
      </c>
      <c r="E174" s="8">
        <v>1</v>
      </c>
      <c r="F174" s="8"/>
      <c r="G174" s="8">
        <v>1</v>
      </c>
    </row>
    <row r="175" spans="1:7">
      <c r="A175" s="25">
        <v>414</v>
      </c>
      <c r="B175" s="8" t="s">
        <v>62</v>
      </c>
      <c r="C175" s="8" t="s">
        <v>42</v>
      </c>
      <c r="D175" s="8" t="s">
        <v>42</v>
      </c>
      <c r="E175" s="8"/>
      <c r="F175" s="8">
        <v>1</v>
      </c>
      <c r="G175" s="8"/>
    </row>
    <row r="176" spans="1:7">
      <c r="A176" s="25">
        <v>417</v>
      </c>
      <c r="B176" s="8" t="s">
        <v>78</v>
      </c>
      <c r="C176" s="8" t="s">
        <v>359</v>
      </c>
      <c r="D176" s="8"/>
      <c r="E176" s="8"/>
      <c r="F176" s="8">
        <v>1</v>
      </c>
      <c r="G176" s="8"/>
    </row>
    <row r="177" spans="1:7">
      <c r="A177" s="25">
        <v>418</v>
      </c>
      <c r="B177" s="8" t="s">
        <v>80</v>
      </c>
      <c r="C177" s="8" t="s">
        <v>346</v>
      </c>
      <c r="D177" s="8"/>
      <c r="E177" s="8"/>
      <c r="F177" s="8">
        <v>1</v>
      </c>
      <c r="G177" s="8"/>
    </row>
    <row r="178" spans="1:7">
      <c r="A178" s="25">
        <v>419</v>
      </c>
      <c r="B178" s="8" t="s">
        <v>123</v>
      </c>
      <c r="C178" s="8" t="s">
        <v>366</v>
      </c>
      <c r="D178" s="8" t="s">
        <v>6</v>
      </c>
      <c r="E178" s="8"/>
      <c r="F178" s="8">
        <v>1</v>
      </c>
      <c r="G178" s="8"/>
    </row>
    <row r="179" spans="1:7">
      <c r="A179" s="25">
        <v>421</v>
      </c>
      <c r="B179" s="8" t="s">
        <v>41</v>
      </c>
      <c r="C179" s="8" t="s">
        <v>42</v>
      </c>
      <c r="D179" s="8" t="s">
        <v>6</v>
      </c>
      <c r="E179" s="8">
        <v>1</v>
      </c>
      <c r="F179" s="8"/>
      <c r="G179" s="8">
        <v>1</v>
      </c>
    </row>
    <row r="180" spans="1:7">
      <c r="A180" s="25">
        <v>424</v>
      </c>
      <c r="B180" s="8" t="s">
        <v>63</v>
      </c>
      <c r="C180" s="8" t="s">
        <v>346</v>
      </c>
      <c r="D180" s="8"/>
      <c r="E180" s="8"/>
      <c r="F180" s="8">
        <v>1</v>
      </c>
      <c r="G180" s="8"/>
    </row>
    <row r="181" spans="1:7">
      <c r="A181" s="25">
        <v>425</v>
      </c>
      <c r="B181" s="8" t="s">
        <v>63</v>
      </c>
      <c r="C181" s="8" t="s">
        <v>346</v>
      </c>
      <c r="D181" s="8"/>
      <c r="E181" s="8"/>
      <c r="F181" s="8">
        <v>1</v>
      </c>
      <c r="G181" s="8"/>
    </row>
    <row r="182" spans="1:7">
      <c r="A182" s="25">
        <v>426</v>
      </c>
      <c r="B182" s="8" t="s">
        <v>44</v>
      </c>
      <c r="C182" s="8" t="s">
        <v>349</v>
      </c>
      <c r="D182" s="8" t="s">
        <v>6</v>
      </c>
      <c r="E182" s="8"/>
      <c r="F182" s="8">
        <v>1</v>
      </c>
      <c r="G182" s="8"/>
    </row>
    <row r="183" spans="1:7">
      <c r="A183" s="25">
        <v>429</v>
      </c>
      <c r="B183" s="8" t="s">
        <v>73</v>
      </c>
      <c r="C183" s="8" t="s">
        <v>165</v>
      </c>
      <c r="D183" s="8" t="s">
        <v>6</v>
      </c>
      <c r="E183" s="8"/>
      <c r="F183" s="8">
        <v>1</v>
      </c>
      <c r="G183" s="8"/>
    </row>
    <row r="184" spans="1:7">
      <c r="A184" s="25">
        <v>434</v>
      </c>
      <c r="B184" s="8" t="s">
        <v>56</v>
      </c>
      <c r="C184" s="8" t="s">
        <v>360</v>
      </c>
      <c r="D184" s="8"/>
      <c r="E184" s="8"/>
      <c r="F184" s="8">
        <v>1</v>
      </c>
      <c r="G184" s="8"/>
    </row>
    <row r="185" spans="1:7">
      <c r="A185" s="25">
        <v>435</v>
      </c>
      <c r="B185" s="8" t="s">
        <v>201</v>
      </c>
      <c r="C185" s="8" t="s">
        <v>357</v>
      </c>
      <c r="D185" s="8" t="s">
        <v>15</v>
      </c>
      <c r="E185" s="8"/>
      <c r="F185" s="8">
        <v>1</v>
      </c>
      <c r="G185" s="8"/>
    </row>
    <row r="186" spans="1:7">
      <c r="A186" s="25">
        <v>436</v>
      </c>
      <c r="B186" s="8" t="s">
        <v>44</v>
      </c>
      <c r="C186" s="8" t="s">
        <v>349</v>
      </c>
      <c r="D186" s="8" t="s">
        <v>6</v>
      </c>
      <c r="E186" s="8">
        <v>1</v>
      </c>
      <c r="F186" s="8"/>
      <c r="G186" s="8">
        <v>3</v>
      </c>
    </row>
    <row r="187" spans="1:7">
      <c r="A187" s="25">
        <v>437</v>
      </c>
      <c r="B187" s="8" t="s">
        <v>68</v>
      </c>
      <c r="C187" s="8" t="s">
        <v>357</v>
      </c>
      <c r="D187" s="8"/>
      <c r="E187" s="8"/>
      <c r="F187" s="8">
        <v>1</v>
      </c>
      <c r="G187" s="8"/>
    </row>
    <row r="188" spans="1:7">
      <c r="A188" s="25">
        <v>440</v>
      </c>
      <c r="B188" s="8" t="s">
        <v>5</v>
      </c>
      <c r="C188" s="8" t="s">
        <v>42</v>
      </c>
      <c r="D188" s="8" t="s">
        <v>42</v>
      </c>
      <c r="E188" s="8"/>
      <c r="F188" s="8">
        <v>1</v>
      </c>
      <c r="G188" s="8"/>
    </row>
    <row r="189" spans="1:7">
      <c r="A189" s="25" t="s">
        <v>271</v>
      </c>
      <c r="B189" s="8" t="s">
        <v>55</v>
      </c>
      <c r="C189" s="8" t="s">
        <v>346</v>
      </c>
      <c r="D189" s="8"/>
      <c r="E189" s="8"/>
      <c r="F189" s="8">
        <v>1</v>
      </c>
      <c r="G189" s="8"/>
    </row>
    <row r="190" spans="1:7">
      <c r="A190" s="25">
        <v>444</v>
      </c>
      <c r="B190" s="8" t="s">
        <v>44</v>
      </c>
      <c r="C190" s="8" t="s">
        <v>349</v>
      </c>
      <c r="D190" s="8" t="s">
        <v>6</v>
      </c>
      <c r="E190" s="8">
        <v>1</v>
      </c>
      <c r="F190" s="8"/>
      <c r="G190" s="8">
        <v>3</v>
      </c>
    </row>
    <row r="191" spans="1:7">
      <c r="A191" s="25">
        <v>445</v>
      </c>
      <c r="B191" s="8" t="s">
        <v>106</v>
      </c>
      <c r="C191" s="8" t="s">
        <v>349</v>
      </c>
      <c r="D191" s="8" t="s">
        <v>6</v>
      </c>
      <c r="E191" s="8">
        <v>1</v>
      </c>
      <c r="F191" s="8"/>
      <c r="G191" s="8">
        <v>2</v>
      </c>
    </row>
    <row r="192" spans="1:7">
      <c r="A192" s="25">
        <v>449</v>
      </c>
      <c r="B192" s="8" t="s">
        <v>62</v>
      </c>
      <c r="C192" s="8" t="s">
        <v>42</v>
      </c>
      <c r="D192" s="8" t="s">
        <v>42</v>
      </c>
      <c r="E192" s="8">
        <v>1</v>
      </c>
      <c r="F192" s="8"/>
      <c r="G192" s="8">
        <v>3</v>
      </c>
    </row>
    <row r="193" spans="1:7">
      <c r="A193" s="25">
        <v>450</v>
      </c>
      <c r="B193" s="8" t="s">
        <v>73</v>
      </c>
      <c r="C193" s="8" t="s">
        <v>165</v>
      </c>
      <c r="D193" s="8" t="s">
        <v>6</v>
      </c>
      <c r="E193" s="8"/>
      <c r="F193" s="8">
        <v>1</v>
      </c>
      <c r="G193" s="8"/>
    </row>
    <row r="194" spans="1:7">
      <c r="A194" s="25">
        <v>452</v>
      </c>
      <c r="B194" s="8" t="s">
        <v>63</v>
      </c>
      <c r="C194" s="8" t="s">
        <v>346</v>
      </c>
      <c r="D194" s="8"/>
      <c r="E194" s="8"/>
      <c r="F194" s="8">
        <v>1</v>
      </c>
      <c r="G194" s="8"/>
    </row>
    <row r="195" spans="1:7">
      <c r="A195" s="25">
        <v>454</v>
      </c>
      <c r="B195" s="8" t="s">
        <v>88</v>
      </c>
      <c r="C195" s="8" t="s">
        <v>12</v>
      </c>
      <c r="D195" s="8" t="s">
        <v>42</v>
      </c>
      <c r="E195" s="8"/>
      <c r="F195" s="8">
        <v>1</v>
      </c>
      <c r="G195" s="8"/>
    </row>
    <row r="196" spans="1:7">
      <c r="A196" s="25">
        <v>459</v>
      </c>
      <c r="B196" s="8" t="s">
        <v>201</v>
      </c>
      <c r="C196" s="8" t="s">
        <v>357</v>
      </c>
      <c r="D196" s="8" t="s">
        <v>42</v>
      </c>
      <c r="E196" s="8"/>
      <c r="F196" s="8">
        <v>1</v>
      </c>
      <c r="G196" s="8"/>
    </row>
    <row r="197" spans="1:7">
      <c r="A197" s="25">
        <v>464</v>
      </c>
      <c r="B197" s="8" t="s">
        <v>99</v>
      </c>
      <c r="C197" s="8" t="s">
        <v>346</v>
      </c>
      <c r="D197" s="8"/>
      <c r="E197" s="8"/>
      <c r="F197" s="8">
        <v>1</v>
      </c>
      <c r="G197" s="8"/>
    </row>
    <row r="198" spans="1:7">
      <c r="A198" s="25">
        <v>466</v>
      </c>
      <c r="B198" s="8" t="s">
        <v>41</v>
      </c>
      <c r="C198" s="8" t="s">
        <v>42</v>
      </c>
      <c r="D198" s="8" t="s">
        <v>6</v>
      </c>
      <c r="E198" s="8">
        <v>1</v>
      </c>
      <c r="F198" s="8"/>
      <c r="G198" s="8">
        <v>2</v>
      </c>
    </row>
    <row r="199" spans="1:7">
      <c r="A199" s="25">
        <v>467</v>
      </c>
      <c r="B199" s="8" t="s">
        <v>41</v>
      </c>
      <c r="C199" s="8" t="s">
        <v>42</v>
      </c>
      <c r="D199" s="8" t="s">
        <v>6</v>
      </c>
      <c r="E199" s="8">
        <v>1</v>
      </c>
      <c r="F199" s="8"/>
      <c r="G199" s="8">
        <v>1</v>
      </c>
    </row>
    <row r="200" spans="1:7">
      <c r="A200" s="25">
        <v>468</v>
      </c>
      <c r="B200" s="8" t="s">
        <v>282</v>
      </c>
      <c r="C200" s="8" t="s">
        <v>358</v>
      </c>
      <c r="D200" s="8" t="s">
        <v>6</v>
      </c>
      <c r="E200" s="8"/>
      <c r="F200" s="8">
        <v>1</v>
      </c>
      <c r="G200" s="8"/>
    </row>
    <row r="201" spans="1:7">
      <c r="A201" s="25">
        <v>469</v>
      </c>
      <c r="B201" s="8" t="s">
        <v>44</v>
      </c>
      <c r="C201" s="8" t="s">
        <v>349</v>
      </c>
      <c r="D201" s="8" t="s">
        <v>42</v>
      </c>
      <c r="E201" s="8">
        <v>1</v>
      </c>
      <c r="F201" s="8"/>
      <c r="G201" s="8">
        <v>3</v>
      </c>
    </row>
    <row r="202" spans="1:7">
      <c r="A202" s="25">
        <v>471</v>
      </c>
      <c r="B202" s="8" t="s">
        <v>71</v>
      </c>
      <c r="C202" s="8" t="s">
        <v>366</v>
      </c>
      <c r="D202" s="8" t="s">
        <v>6</v>
      </c>
      <c r="E202" s="8">
        <v>1</v>
      </c>
      <c r="F202" s="8"/>
      <c r="G202" s="8">
        <v>2</v>
      </c>
    </row>
    <row r="203" spans="1:7">
      <c r="A203" s="25">
        <v>474</v>
      </c>
      <c r="B203" s="8" t="s">
        <v>106</v>
      </c>
      <c r="C203" s="8" t="s">
        <v>349</v>
      </c>
      <c r="D203" s="8" t="s">
        <v>6</v>
      </c>
      <c r="E203" s="8">
        <v>1</v>
      </c>
      <c r="F203" s="8"/>
      <c r="G203" s="8">
        <v>3</v>
      </c>
    </row>
    <row r="204" spans="1:7">
      <c r="A204" s="25">
        <v>476</v>
      </c>
      <c r="B204" s="8" t="s">
        <v>44</v>
      </c>
      <c r="C204" s="8" t="s">
        <v>349</v>
      </c>
      <c r="D204" s="8" t="s">
        <v>42</v>
      </c>
      <c r="E204" s="8">
        <v>1</v>
      </c>
      <c r="F204" s="8"/>
      <c r="G204" s="8">
        <v>3</v>
      </c>
    </row>
    <row r="205" spans="1:7">
      <c r="A205" s="25">
        <v>478</v>
      </c>
      <c r="B205" s="8" t="s">
        <v>62</v>
      </c>
      <c r="C205" s="8" t="s">
        <v>42</v>
      </c>
      <c r="D205" s="8" t="s">
        <v>42</v>
      </c>
      <c r="E205" s="8">
        <v>1</v>
      </c>
      <c r="F205" s="8"/>
      <c r="G205" s="8">
        <v>3</v>
      </c>
    </row>
    <row r="206" spans="1:7">
      <c r="A206" s="25">
        <v>480</v>
      </c>
      <c r="B206" s="8" t="s">
        <v>55</v>
      </c>
      <c r="C206" s="8" t="s">
        <v>346</v>
      </c>
      <c r="D206" s="8"/>
      <c r="E206" s="8"/>
      <c r="F206" s="8">
        <v>1</v>
      </c>
      <c r="G206" s="8"/>
    </row>
    <row r="207" spans="1:7">
      <c r="A207" s="25" t="s">
        <v>287</v>
      </c>
      <c r="B207" s="8" t="s">
        <v>41</v>
      </c>
      <c r="C207" s="8" t="s">
        <v>42</v>
      </c>
      <c r="D207" s="8" t="s">
        <v>6</v>
      </c>
      <c r="E207" s="8"/>
      <c r="F207" s="8">
        <v>1</v>
      </c>
      <c r="G207" s="8"/>
    </row>
    <row r="208" spans="1:7">
      <c r="A208" s="25" t="s">
        <v>290</v>
      </c>
      <c r="B208" s="8" t="s">
        <v>5</v>
      </c>
      <c r="C208" s="8" t="s">
        <v>42</v>
      </c>
      <c r="D208" s="8" t="s">
        <v>42</v>
      </c>
      <c r="E208" s="8">
        <v>1</v>
      </c>
      <c r="F208" s="8"/>
      <c r="G208" s="8">
        <v>1</v>
      </c>
    </row>
    <row r="209" spans="1:7">
      <c r="A209" s="25">
        <v>489</v>
      </c>
      <c r="B209" s="8" t="s">
        <v>99</v>
      </c>
      <c r="C209" s="8" t="s">
        <v>346</v>
      </c>
      <c r="D209" s="8"/>
      <c r="E209" s="8"/>
      <c r="F209" s="8">
        <v>1</v>
      </c>
      <c r="G209" s="8"/>
    </row>
    <row r="210" spans="1:7">
      <c r="A210" s="25">
        <v>490</v>
      </c>
      <c r="B210" s="8" t="s">
        <v>74</v>
      </c>
      <c r="C210" s="8" t="s">
        <v>346</v>
      </c>
      <c r="D210" s="8"/>
      <c r="E210" s="8"/>
      <c r="F210" s="8">
        <v>1</v>
      </c>
      <c r="G210" s="8"/>
    </row>
    <row r="211" spans="1:7">
      <c r="A211" s="25">
        <v>492</v>
      </c>
      <c r="B211" s="8" t="s">
        <v>63</v>
      </c>
      <c r="C211" s="8" t="s">
        <v>346</v>
      </c>
      <c r="D211" s="8"/>
      <c r="E211" s="8"/>
      <c r="F211" s="8">
        <v>1</v>
      </c>
      <c r="G211" s="8"/>
    </row>
    <row r="212" spans="1:7">
      <c r="A212" s="25">
        <v>495</v>
      </c>
      <c r="B212" s="8" t="s">
        <v>63</v>
      </c>
      <c r="C212" s="8" t="s">
        <v>346</v>
      </c>
      <c r="D212" s="8"/>
      <c r="E212" s="8"/>
      <c r="F212" s="8">
        <v>1</v>
      </c>
      <c r="G212" s="8"/>
    </row>
    <row r="213" spans="1:7">
      <c r="A213" s="25">
        <v>498</v>
      </c>
      <c r="B213" s="8" t="s">
        <v>62</v>
      </c>
      <c r="C213" s="8" t="s">
        <v>42</v>
      </c>
      <c r="D213" s="8" t="s">
        <v>42</v>
      </c>
      <c r="E213" s="8">
        <v>1</v>
      </c>
      <c r="F213" s="8"/>
      <c r="G213" s="8">
        <v>1</v>
      </c>
    </row>
    <row r="214" spans="1:7">
      <c r="A214" s="25">
        <v>499</v>
      </c>
      <c r="B214" s="8" t="s">
        <v>123</v>
      </c>
      <c r="C214" s="8" t="s">
        <v>366</v>
      </c>
      <c r="D214" s="8" t="s">
        <v>6</v>
      </c>
      <c r="E214" s="8">
        <v>1</v>
      </c>
      <c r="F214" s="8"/>
      <c r="G214" s="8">
        <v>3</v>
      </c>
    </row>
    <row r="215" spans="1:7">
      <c r="A215" s="25">
        <v>503</v>
      </c>
      <c r="B215" s="8" t="s">
        <v>80</v>
      </c>
      <c r="C215" s="8" t="s">
        <v>346</v>
      </c>
      <c r="D215" s="8"/>
      <c r="E215" s="8"/>
      <c r="F215" s="8">
        <v>1</v>
      </c>
      <c r="G215" s="8"/>
    </row>
    <row r="216" spans="1:7">
      <c r="A216" s="25">
        <v>505</v>
      </c>
      <c r="B216" s="8" t="s">
        <v>73</v>
      </c>
      <c r="C216" s="8" t="s">
        <v>165</v>
      </c>
      <c r="D216" s="8" t="s">
        <v>42</v>
      </c>
      <c r="E216" s="8">
        <v>1</v>
      </c>
      <c r="F216" s="8"/>
      <c r="G216" s="8">
        <v>1</v>
      </c>
    </row>
    <row r="217" spans="1:7">
      <c r="A217" s="25">
        <v>506</v>
      </c>
      <c r="B217" s="8" t="s">
        <v>240</v>
      </c>
      <c r="C217" s="8" t="s">
        <v>42</v>
      </c>
      <c r="D217" s="8" t="s">
        <v>6</v>
      </c>
      <c r="E217" s="8">
        <v>1</v>
      </c>
      <c r="F217" s="8"/>
      <c r="G217" s="8">
        <v>3</v>
      </c>
    </row>
    <row r="218" spans="1:7">
      <c r="A218" s="25">
        <v>507</v>
      </c>
      <c r="B218" s="8" t="s">
        <v>63</v>
      </c>
      <c r="C218" s="8" t="s">
        <v>346</v>
      </c>
      <c r="D218" s="8"/>
      <c r="E218" s="8"/>
      <c r="F218" s="8">
        <v>1</v>
      </c>
      <c r="G218" s="8"/>
    </row>
    <row r="219" spans="1:7">
      <c r="A219" s="25">
        <v>508</v>
      </c>
      <c r="B219" s="8" t="s">
        <v>88</v>
      </c>
      <c r="C219" s="8" t="s">
        <v>12</v>
      </c>
      <c r="D219" s="8" t="s">
        <v>42</v>
      </c>
      <c r="E219" s="8"/>
      <c r="F219" s="8">
        <v>1</v>
      </c>
      <c r="G219" s="8"/>
    </row>
    <row r="220" spans="1:7">
      <c r="A220" s="25">
        <v>513</v>
      </c>
      <c r="B220" s="8" t="s">
        <v>73</v>
      </c>
      <c r="C220" s="8" t="s">
        <v>165</v>
      </c>
      <c r="D220" s="8" t="s">
        <v>6</v>
      </c>
      <c r="E220" s="8"/>
      <c r="F220" s="8">
        <v>1</v>
      </c>
      <c r="G220" s="8"/>
    </row>
    <row r="221" spans="1:7">
      <c r="A221" s="25">
        <v>514</v>
      </c>
      <c r="B221" s="8" t="s">
        <v>99</v>
      </c>
      <c r="C221" s="8" t="s">
        <v>346</v>
      </c>
      <c r="D221" s="8"/>
      <c r="E221" s="8"/>
      <c r="F221" s="8">
        <v>1</v>
      </c>
      <c r="G221" s="8"/>
    </row>
    <row r="222" spans="1:7">
      <c r="A222" s="25">
        <v>516</v>
      </c>
      <c r="B222" s="8" t="s">
        <v>99</v>
      </c>
      <c r="C222" s="8" t="s">
        <v>346</v>
      </c>
      <c r="D222" s="8"/>
      <c r="E222" s="8"/>
      <c r="F222" s="8">
        <v>1</v>
      </c>
      <c r="G222" s="8"/>
    </row>
    <row r="223" spans="1:7">
      <c r="A223" s="25">
        <v>518</v>
      </c>
      <c r="B223" s="8" t="s">
        <v>99</v>
      </c>
      <c r="C223" s="8" t="s">
        <v>346</v>
      </c>
      <c r="D223" s="8"/>
      <c r="E223" s="8"/>
      <c r="F223" s="8">
        <v>1</v>
      </c>
      <c r="G223" s="8"/>
    </row>
    <row r="224" spans="1:7">
      <c r="A224" s="25">
        <v>519</v>
      </c>
      <c r="B224" s="8" t="s">
        <v>62</v>
      </c>
      <c r="C224" s="8" t="s">
        <v>42</v>
      </c>
      <c r="D224" s="8" t="s">
        <v>42</v>
      </c>
      <c r="E224" s="8">
        <v>1</v>
      </c>
      <c r="F224" s="8"/>
      <c r="G224" s="8">
        <v>3</v>
      </c>
    </row>
    <row r="225" spans="1:7">
      <c r="A225" s="25">
        <v>521</v>
      </c>
      <c r="B225" s="8" t="s">
        <v>41</v>
      </c>
      <c r="C225" s="8" t="s">
        <v>42</v>
      </c>
      <c r="D225" s="8" t="s">
        <v>42</v>
      </c>
      <c r="E225" s="8"/>
      <c r="F225" s="8">
        <v>1</v>
      </c>
      <c r="G225" s="8"/>
    </row>
    <row r="226" spans="1:7">
      <c r="A226" s="25">
        <v>522</v>
      </c>
      <c r="B226" s="8" t="s">
        <v>55</v>
      </c>
      <c r="C226" s="8" t="s">
        <v>346</v>
      </c>
      <c r="D226" s="8"/>
      <c r="E226" s="8"/>
      <c r="F226" s="8">
        <v>1</v>
      </c>
      <c r="G226" s="8"/>
    </row>
    <row r="227" spans="1:7">
      <c r="A227" s="25">
        <v>523</v>
      </c>
      <c r="B227" s="8" t="s">
        <v>55</v>
      </c>
      <c r="C227" s="8" t="s">
        <v>346</v>
      </c>
      <c r="D227" s="8"/>
      <c r="E227" s="8"/>
      <c r="F227" s="8">
        <v>1</v>
      </c>
      <c r="G227" s="8"/>
    </row>
    <row r="228" spans="1:7">
      <c r="A228" s="25">
        <v>524</v>
      </c>
      <c r="B228" s="8" t="s">
        <v>41</v>
      </c>
      <c r="C228" s="8" t="s">
        <v>42</v>
      </c>
      <c r="D228" s="8" t="s">
        <v>6</v>
      </c>
      <c r="E228" s="8">
        <v>1</v>
      </c>
      <c r="F228" s="8"/>
      <c r="G228" s="8">
        <v>3</v>
      </c>
    </row>
    <row r="229" spans="1:7">
      <c r="A229" s="25">
        <v>525</v>
      </c>
      <c r="B229" s="8" t="s">
        <v>93</v>
      </c>
      <c r="C229" s="8" t="s">
        <v>12</v>
      </c>
      <c r="D229" s="8" t="s">
        <v>6</v>
      </c>
      <c r="E229" s="8"/>
      <c r="F229" s="8">
        <v>1</v>
      </c>
      <c r="G229" s="8"/>
    </row>
    <row r="230" spans="1:7">
      <c r="A230" s="25">
        <v>526</v>
      </c>
      <c r="B230" s="8" t="s">
        <v>240</v>
      </c>
      <c r="C230" s="8" t="s">
        <v>42</v>
      </c>
      <c r="D230" s="8" t="s">
        <v>42</v>
      </c>
      <c r="E230" s="8"/>
      <c r="F230" s="8">
        <v>1</v>
      </c>
      <c r="G230" s="8"/>
    </row>
    <row r="231" spans="1:7">
      <c r="A231" s="25">
        <v>527</v>
      </c>
      <c r="B231" s="8" t="s">
        <v>65</v>
      </c>
      <c r="C231" s="8" t="s">
        <v>12</v>
      </c>
      <c r="D231" s="8" t="s">
        <v>6</v>
      </c>
      <c r="E231" s="8"/>
      <c r="F231" s="8">
        <v>1</v>
      </c>
      <c r="G231" s="8"/>
    </row>
    <row r="232" spans="1:7">
      <c r="A232" s="25">
        <v>528</v>
      </c>
      <c r="B232" s="8" t="s">
        <v>75</v>
      </c>
      <c r="C232" s="8" t="s">
        <v>12</v>
      </c>
      <c r="D232" s="8" t="s">
        <v>6</v>
      </c>
      <c r="E232" s="8"/>
      <c r="F232" s="8">
        <v>1</v>
      </c>
      <c r="G232" s="8"/>
    </row>
    <row r="233" spans="1:7">
      <c r="A233" s="25">
        <v>529</v>
      </c>
      <c r="B233" s="8" t="s">
        <v>62</v>
      </c>
      <c r="C233" s="8" t="s">
        <v>42</v>
      </c>
      <c r="D233" s="8" t="s">
        <v>42</v>
      </c>
      <c r="E233" s="8">
        <v>1</v>
      </c>
      <c r="F233" s="8"/>
      <c r="G233" s="8">
        <v>3</v>
      </c>
    </row>
    <row r="234" spans="1:7">
      <c r="A234" s="25">
        <v>530</v>
      </c>
      <c r="B234" s="8" t="s">
        <v>63</v>
      </c>
      <c r="C234" s="8" t="s">
        <v>346</v>
      </c>
      <c r="D234" s="8"/>
      <c r="E234" s="8"/>
      <c r="F234" s="8">
        <v>1</v>
      </c>
      <c r="G234" s="8"/>
    </row>
    <row r="235" spans="1:7">
      <c r="A235" s="25">
        <v>531</v>
      </c>
      <c r="B235" s="8" t="s">
        <v>54</v>
      </c>
      <c r="C235" s="8" t="s">
        <v>345</v>
      </c>
      <c r="D235" s="8"/>
      <c r="E235" s="8"/>
      <c r="F235" s="8">
        <v>1</v>
      </c>
      <c r="G235" s="8"/>
    </row>
    <row r="236" spans="1:7">
      <c r="A236" s="25">
        <v>539</v>
      </c>
      <c r="B236" s="8" t="s">
        <v>240</v>
      </c>
      <c r="C236" s="8" t="s">
        <v>42</v>
      </c>
      <c r="D236" s="8" t="s">
        <v>42</v>
      </c>
      <c r="E236" s="8">
        <v>1</v>
      </c>
      <c r="F236" s="8"/>
      <c r="G236" s="8">
        <v>2</v>
      </c>
    </row>
    <row r="237" spans="1:7">
      <c r="A237" s="25">
        <v>540</v>
      </c>
      <c r="B237" s="8" t="s">
        <v>240</v>
      </c>
      <c r="C237" s="8" t="s">
        <v>42</v>
      </c>
      <c r="D237" s="8" t="s">
        <v>42</v>
      </c>
      <c r="E237" s="8">
        <v>1</v>
      </c>
      <c r="F237" s="8"/>
      <c r="G237" s="8">
        <v>2</v>
      </c>
    </row>
    <row r="238" spans="1:7">
      <c r="A238" s="25">
        <v>544</v>
      </c>
      <c r="B238" s="8" t="s">
        <v>54</v>
      </c>
      <c r="C238" s="8" t="s">
        <v>345</v>
      </c>
      <c r="D238" s="8"/>
      <c r="E238" s="8"/>
      <c r="F238" s="8">
        <v>1</v>
      </c>
      <c r="G238" s="8"/>
    </row>
    <row r="239" spans="1:7">
      <c r="A239" s="25">
        <v>547</v>
      </c>
      <c r="B239" s="8" t="s">
        <v>201</v>
      </c>
      <c r="C239" s="8" t="s">
        <v>357</v>
      </c>
      <c r="D239" s="8"/>
      <c r="E239" s="8"/>
      <c r="F239" s="8">
        <v>1</v>
      </c>
      <c r="G239" s="8"/>
    </row>
    <row r="240" spans="1:7">
      <c r="A240" s="25">
        <v>548</v>
      </c>
      <c r="B240" s="8" t="s">
        <v>56</v>
      </c>
      <c r="C240" s="8" t="s">
        <v>360</v>
      </c>
      <c r="D240" s="8"/>
      <c r="E240" s="8"/>
      <c r="F240" s="8">
        <v>1</v>
      </c>
      <c r="G240" s="8"/>
    </row>
    <row r="241" spans="1:7">
      <c r="A241" s="25">
        <v>551</v>
      </c>
      <c r="B241" s="8" t="s">
        <v>78</v>
      </c>
      <c r="C241" s="8" t="s">
        <v>359</v>
      </c>
      <c r="D241" s="8"/>
      <c r="E241" s="8"/>
      <c r="F241" s="8">
        <v>1</v>
      </c>
      <c r="G241" s="8"/>
    </row>
    <row r="242" spans="1:7">
      <c r="A242" s="25">
        <v>553</v>
      </c>
      <c r="B242" s="8" t="s">
        <v>106</v>
      </c>
      <c r="C242" s="8" t="s">
        <v>349</v>
      </c>
      <c r="D242" s="8" t="s">
        <v>6</v>
      </c>
      <c r="E242" s="8"/>
      <c r="F242" s="8">
        <v>1</v>
      </c>
      <c r="G242" s="8"/>
    </row>
    <row r="243" spans="1:7">
      <c r="A243" s="25">
        <v>555</v>
      </c>
      <c r="B243" s="8" t="s">
        <v>73</v>
      </c>
      <c r="C243" s="8" t="s">
        <v>165</v>
      </c>
      <c r="D243" s="8" t="s">
        <v>42</v>
      </c>
      <c r="E243" s="8"/>
      <c r="F243" s="8">
        <v>1</v>
      </c>
      <c r="G243" s="8"/>
    </row>
    <row r="244" spans="1:7">
      <c r="A244" s="25">
        <v>559</v>
      </c>
      <c r="B244" s="8" t="s">
        <v>74</v>
      </c>
      <c r="C244" s="8" t="s">
        <v>346</v>
      </c>
      <c r="D244" s="8"/>
      <c r="E244" s="8"/>
      <c r="F244" s="8">
        <v>1</v>
      </c>
      <c r="G244" s="8"/>
    </row>
    <row r="245" spans="1:7">
      <c r="A245" s="25">
        <v>563</v>
      </c>
      <c r="B245" s="8" t="s">
        <v>80</v>
      </c>
      <c r="C245" s="8" t="s">
        <v>346</v>
      </c>
      <c r="D245" s="8"/>
      <c r="E245" s="8"/>
      <c r="F245" s="8">
        <v>1</v>
      </c>
      <c r="G245" s="8"/>
    </row>
    <row r="246" spans="1:7">
      <c r="A246" s="25">
        <v>564</v>
      </c>
      <c r="B246" s="8" t="s">
        <v>62</v>
      </c>
      <c r="C246" s="8" t="s">
        <v>42</v>
      </c>
      <c r="D246" s="8" t="s">
        <v>6</v>
      </c>
      <c r="E246" s="8">
        <v>1</v>
      </c>
      <c r="F246" s="8"/>
      <c r="G246" s="8">
        <v>1</v>
      </c>
    </row>
    <row r="247" spans="1:7">
      <c r="A247" s="25">
        <v>567</v>
      </c>
      <c r="B247" s="8" t="s">
        <v>56</v>
      </c>
      <c r="C247" s="8" t="s">
        <v>360</v>
      </c>
      <c r="D247" s="8"/>
      <c r="E247" s="8"/>
      <c r="F247" s="8">
        <v>1</v>
      </c>
      <c r="G247" s="8"/>
    </row>
    <row r="248" spans="1:7">
      <c r="A248" s="25">
        <v>568</v>
      </c>
      <c r="B248" s="8" t="s">
        <v>65</v>
      </c>
      <c r="C248" s="8" t="s">
        <v>12</v>
      </c>
      <c r="D248" s="8" t="s">
        <v>42</v>
      </c>
      <c r="E248" s="8"/>
      <c r="F248" s="8">
        <v>1</v>
      </c>
      <c r="G248" s="8"/>
    </row>
    <row r="249" spans="1:7">
      <c r="A249" s="25">
        <v>569</v>
      </c>
      <c r="B249" s="8" t="s">
        <v>59</v>
      </c>
      <c r="C249" s="8" t="s">
        <v>346</v>
      </c>
      <c r="D249" s="8"/>
      <c r="E249" s="8"/>
      <c r="F249" s="8">
        <v>1</v>
      </c>
      <c r="G249" s="8"/>
    </row>
    <row r="250" spans="1:7">
      <c r="A250" s="25">
        <v>570</v>
      </c>
      <c r="B250" s="8" t="s">
        <v>73</v>
      </c>
      <c r="C250" s="8" t="s">
        <v>165</v>
      </c>
      <c r="D250" s="8" t="s">
        <v>6</v>
      </c>
      <c r="E250" s="8"/>
      <c r="F250" s="8">
        <v>1</v>
      </c>
      <c r="G250" s="8"/>
    </row>
    <row r="251" spans="1:7">
      <c r="A251" s="25">
        <v>571</v>
      </c>
      <c r="B251" s="8" t="s">
        <v>62</v>
      </c>
      <c r="C251" s="8" t="s">
        <v>42</v>
      </c>
      <c r="D251" s="8" t="s">
        <v>6</v>
      </c>
      <c r="E251" s="8">
        <v>1</v>
      </c>
      <c r="F251" s="8"/>
      <c r="G251" s="8">
        <v>2</v>
      </c>
    </row>
    <row r="252" spans="1:7">
      <c r="A252" s="25">
        <v>572</v>
      </c>
      <c r="B252" s="8" t="s">
        <v>74</v>
      </c>
      <c r="C252" s="8" t="s">
        <v>346</v>
      </c>
      <c r="D252" s="8"/>
      <c r="E252" s="8"/>
      <c r="F252" s="8">
        <v>1</v>
      </c>
      <c r="G252" s="8"/>
    </row>
    <row r="253" spans="1:7" s="5" customFormat="1">
      <c r="A253" s="352" t="s">
        <v>342</v>
      </c>
      <c r="B253" s="352"/>
      <c r="C253" s="352"/>
      <c r="D253" s="352"/>
      <c r="E253" s="352">
        <f>SUM(E2:E252)</f>
        <v>85</v>
      </c>
      <c r="F253" s="352">
        <f>SUM(F2:F252)</f>
        <v>166</v>
      </c>
    </row>
    <row r="254" spans="1:7" s="20" customFormat="1"/>
    <row r="255" spans="1:7" s="20" customFormat="1"/>
    <row r="256" spans="1:7" s="20" customFormat="1">
      <c r="B256" s="5"/>
    </row>
    <row r="257" spans="2:3" s="20" customFormat="1">
      <c r="B257" s="5"/>
    </row>
    <row r="258" spans="2:3" s="20" customFormat="1">
      <c r="B258" s="5"/>
    </row>
    <row r="259" spans="2:3" s="20" customFormat="1">
      <c r="B259" s="5"/>
    </row>
    <row r="260" spans="2:3" s="20" customFormat="1">
      <c r="B260" s="5"/>
    </row>
    <row r="261" spans="2:3" s="20" customFormat="1">
      <c r="B261" s="5"/>
      <c r="C261" s="5"/>
    </row>
    <row r="262" spans="2:3" s="20" customFormat="1">
      <c r="B262" s="5"/>
    </row>
    <row r="263" spans="2:3" s="20" customFormat="1">
      <c r="C263" s="5"/>
    </row>
    <row r="264" spans="2:3" s="20" customFormat="1">
      <c r="C264" s="5"/>
    </row>
    <row r="265" spans="2:3" s="20" customFormat="1">
      <c r="C265" s="5"/>
    </row>
    <row r="266" spans="2:3" s="20" customFormat="1">
      <c r="C266" s="5"/>
    </row>
    <row r="267" spans="2:3" s="20" customFormat="1">
      <c r="C267" s="5"/>
    </row>
    <row r="268" spans="2:3" s="20" customFormat="1">
      <c r="C268" s="5"/>
    </row>
    <row r="269" spans="2:3" s="20" customFormat="1">
      <c r="C269" s="5"/>
    </row>
    <row r="270" spans="2:3" s="20" customFormat="1">
      <c r="C270" s="5"/>
    </row>
    <row r="271" spans="2:3" s="20" customFormat="1">
      <c r="C271" s="5"/>
    </row>
    <row r="272" spans="2:3" s="20" customFormat="1">
      <c r="C272" s="5"/>
    </row>
    <row r="273" spans="1:4" s="20" customFormat="1">
      <c r="C273" s="5"/>
    </row>
    <row r="274" spans="1:4" s="20" customFormat="1">
      <c r="C274" s="5"/>
    </row>
    <row r="275" spans="1:4" s="20" customFormat="1">
      <c r="C275" s="5"/>
      <c r="D275" s="5"/>
    </row>
    <row r="276" spans="1:4" s="20" customFormat="1">
      <c r="C276" s="5"/>
      <c r="D276" s="5"/>
    </row>
    <row r="277" spans="1:4" s="20" customFormat="1">
      <c r="C277" s="5"/>
      <c r="D277" s="5"/>
    </row>
    <row r="278" spans="1:4" s="20" customFormat="1">
      <c r="C278" s="5"/>
    </row>
    <row r="279" spans="1:4" s="20" customFormat="1">
      <c r="C279" s="5"/>
      <c r="D279" s="5"/>
    </row>
    <row r="280" spans="1:4">
      <c r="A280" s="20"/>
      <c r="B280" s="20"/>
      <c r="C280" s="5"/>
      <c r="D280" s="5"/>
    </row>
    <row r="281" spans="1:4">
      <c r="A281" s="20"/>
      <c r="B281" s="20"/>
      <c r="C281" s="5"/>
      <c r="D281" s="5"/>
    </row>
    <row r="282" spans="1:4">
      <c r="A282" s="20"/>
      <c r="B282" s="20"/>
      <c r="C282" s="5"/>
    </row>
    <row r="283" spans="1:4">
      <c r="A283" s="20"/>
      <c r="B283" s="20"/>
      <c r="C283" s="5"/>
    </row>
    <row r="284" spans="1:4">
      <c r="A284" s="20"/>
      <c r="B284" s="20"/>
      <c r="C284" s="5"/>
    </row>
    <row r="285" spans="1:4">
      <c r="A285" s="20"/>
      <c r="B285" s="20"/>
      <c r="C285" s="5"/>
    </row>
    <row r="286" spans="1:4">
      <c r="A286" s="20"/>
      <c r="B286" s="20"/>
      <c r="C286" s="20"/>
    </row>
    <row r="287" spans="1:4">
      <c r="A287" s="20"/>
      <c r="B287" s="20"/>
      <c r="C287" s="20"/>
    </row>
    <row r="288" spans="1:4">
      <c r="A288" s="20"/>
      <c r="B288" s="20"/>
      <c r="C288" s="20"/>
    </row>
    <row r="289" spans="1:3">
      <c r="A289" s="20"/>
      <c r="B289" s="20"/>
      <c r="C289" s="20"/>
    </row>
    <row r="290" spans="1:3">
      <c r="A290" s="20"/>
      <c r="B290" s="20"/>
      <c r="C290" s="20"/>
    </row>
    <row r="291" spans="1:3">
      <c r="A291" s="20"/>
      <c r="B291" s="20"/>
      <c r="C291" s="20"/>
    </row>
    <row r="292" spans="1:3">
      <c r="A292" s="20"/>
      <c r="B292" s="20"/>
      <c r="C292" s="20"/>
    </row>
    <row r="293" spans="1:3">
      <c r="A293" s="20"/>
      <c r="B293" s="20"/>
      <c r="C293" s="20"/>
    </row>
    <row r="294" spans="1:3">
      <c r="A294" s="20"/>
      <c r="B294" s="20"/>
      <c r="C294" s="20"/>
    </row>
    <row r="295" spans="1:3">
      <c r="A295" s="20"/>
      <c r="B295" s="20"/>
      <c r="C295" s="20"/>
    </row>
    <row r="296" spans="1:3">
      <c r="A296" s="20"/>
      <c r="B296" s="20"/>
      <c r="C296" s="20"/>
    </row>
    <row r="297" spans="1:3">
      <c r="A297" s="20"/>
      <c r="B297" s="20"/>
      <c r="C297" s="20"/>
    </row>
    <row r="298" spans="1:3">
      <c r="A298" s="20"/>
      <c r="B298" s="20"/>
      <c r="C298" s="20"/>
    </row>
  </sheetData>
  <conditionalFormatting sqref="B38:D38">
    <cfRule type="duplicateValues" dxfId="4" priority="1" stopIfTrue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66"/>
  <sheetViews>
    <sheetView zoomScale="110" zoomScaleNormal="11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M262" sqref="AM262"/>
    </sheetView>
  </sheetViews>
  <sheetFormatPr defaultRowHeight="15"/>
  <cols>
    <col min="1" max="1" width="5" bestFit="1" customWidth="1"/>
    <col min="2" max="2" width="9.5703125" bestFit="1" customWidth="1"/>
    <col min="3" max="3" width="5" bestFit="1" customWidth="1"/>
    <col min="4" max="4" width="4.5703125" bestFit="1" customWidth="1"/>
    <col min="5" max="5" width="5" bestFit="1" customWidth="1"/>
    <col min="6" max="7" width="2.5703125" style="20" bestFit="1" customWidth="1"/>
    <col min="8" max="8" width="4" style="20" bestFit="1" customWidth="1"/>
    <col min="9" max="9" width="2.85546875" style="20" customWidth="1"/>
    <col min="10" max="10" width="2.42578125" style="20" customWidth="1"/>
    <col min="11" max="11" width="4.28515625" style="20" bestFit="1" customWidth="1"/>
    <col min="12" max="16" width="3" style="20" bestFit="1" customWidth="1"/>
    <col min="17" max="18" width="2" style="20" bestFit="1" customWidth="1"/>
    <col min="19" max="24" width="2.5703125" style="20" bestFit="1" customWidth="1"/>
    <col min="25" max="25" width="2" style="20" bestFit="1" customWidth="1"/>
    <col min="26" max="33" width="3" style="20" bestFit="1" customWidth="1"/>
    <col min="34" max="34" width="2" style="20" bestFit="1" customWidth="1"/>
    <col min="35" max="37" width="2.5703125" style="20" bestFit="1" customWidth="1"/>
    <col min="38" max="38" width="6.42578125" style="20" bestFit="1" customWidth="1"/>
    <col min="39" max="39" width="10.85546875" bestFit="1" customWidth="1"/>
    <col min="40" max="40" width="9.7109375" bestFit="1" customWidth="1"/>
    <col min="41" max="41" width="10.28515625" bestFit="1" customWidth="1"/>
    <col min="42" max="42" width="5.28515625" bestFit="1" customWidth="1"/>
    <col min="43" max="43" width="26.5703125" bestFit="1" customWidth="1"/>
    <col min="44" max="44" width="14.5703125" bestFit="1" customWidth="1"/>
  </cols>
  <sheetData>
    <row r="1" spans="1:44">
      <c r="F1" s="433" t="s">
        <v>336</v>
      </c>
      <c r="G1" s="433"/>
      <c r="H1" s="433"/>
      <c r="I1" s="433"/>
      <c r="J1" s="433"/>
      <c r="K1" s="433"/>
      <c r="L1" s="433"/>
      <c r="M1" s="433"/>
      <c r="N1" s="428" t="s">
        <v>337</v>
      </c>
      <c r="O1" s="428"/>
      <c r="P1" s="428"/>
      <c r="Q1" s="428"/>
      <c r="R1" s="428"/>
      <c r="S1" s="428"/>
      <c r="T1" s="428"/>
      <c r="U1" s="428"/>
      <c r="V1" s="430" t="s">
        <v>339</v>
      </c>
      <c r="W1" s="430"/>
      <c r="X1" s="430"/>
      <c r="Y1" s="430"/>
      <c r="Z1" s="430"/>
      <c r="AA1" s="430"/>
      <c r="AB1" s="430"/>
      <c r="AC1" s="430"/>
      <c r="AD1" s="432" t="s">
        <v>338</v>
      </c>
      <c r="AE1" s="432"/>
      <c r="AF1" s="432"/>
      <c r="AG1" s="432"/>
      <c r="AH1" s="432"/>
      <c r="AI1" s="432"/>
      <c r="AJ1" s="432"/>
      <c r="AK1" s="432"/>
      <c r="AQ1" s="8"/>
    </row>
    <row r="2" spans="1:44">
      <c r="F2" s="27" t="s">
        <v>42</v>
      </c>
      <c r="G2" s="27" t="s">
        <v>42</v>
      </c>
      <c r="H2" s="27" t="s">
        <v>42</v>
      </c>
      <c r="I2" s="27" t="s">
        <v>340</v>
      </c>
      <c r="J2" s="27" t="s">
        <v>340</v>
      </c>
      <c r="K2" s="27" t="s">
        <v>334</v>
      </c>
      <c r="L2" s="27" t="s">
        <v>335</v>
      </c>
      <c r="M2" s="27" t="s">
        <v>335</v>
      </c>
      <c r="N2" s="33" t="s">
        <v>335</v>
      </c>
      <c r="O2" s="33" t="s">
        <v>335</v>
      </c>
      <c r="P2" s="33" t="s">
        <v>334</v>
      </c>
      <c r="Q2" s="33" t="s">
        <v>340</v>
      </c>
      <c r="R2" s="33" t="s">
        <v>340</v>
      </c>
      <c r="S2" s="33" t="s">
        <v>42</v>
      </c>
      <c r="T2" s="33" t="s">
        <v>42</v>
      </c>
      <c r="U2" s="33" t="s">
        <v>42</v>
      </c>
      <c r="V2" s="39" t="s">
        <v>42</v>
      </c>
      <c r="W2" s="39" t="s">
        <v>42</v>
      </c>
      <c r="X2" s="39" t="s">
        <v>42</v>
      </c>
      <c r="Y2" s="39" t="s">
        <v>340</v>
      </c>
      <c r="Z2" s="39" t="s">
        <v>340</v>
      </c>
      <c r="AA2" s="39" t="s">
        <v>334</v>
      </c>
      <c r="AB2" s="39" t="s">
        <v>335</v>
      </c>
      <c r="AC2" s="39" t="s">
        <v>335</v>
      </c>
      <c r="AD2" s="45" t="s">
        <v>335</v>
      </c>
      <c r="AE2" s="45" t="s">
        <v>335</v>
      </c>
      <c r="AF2" s="45" t="s">
        <v>334</v>
      </c>
      <c r="AG2" s="45" t="s">
        <v>340</v>
      </c>
      <c r="AH2" s="45" t="s">
        <v>340</v>
      </c>
      <c r="AI2" s="45" t="s">
        <v>42</v>
      </c>
      <c r="AJ2" s="45" t="s">
        <v>42</v>
      </c>
      <c r="AK2" s="45" t="s">
        <v>42</v>
      </c>
    </row>
    <row r="3" spans="1:44">
      <c r="B3" t="s">
        <v>1</v>
      </c>
      <c r="C3" t="s">
        <v>363</v>
      </c>
      <c r="D3" t="s">
        <v>2</v>
      </c>
      <c r="F3" s="27">
        <v>8</v>
      </c>
      <c r="G3" s="27">
        <v>7</v>
      </c>
      <c r="H3" s="27">
        <v>6</v>
      </c>
      <c r="I3" s="27">
        <v>5</v>
      </c>
      <c r="J3" s="27">
        <v>4</v>
      </c>
      <c r="K3" s="27">
        <v>3</v>
      </c>
      <c r="L3" s="27">
        <v>2</v>
      </c>
      <c r="M3" s="27">
        <v>1</v>
      </c>
      <c r="N3" s="33">
        <v>1</v>
      </c>
      <c r="O3" s="33">
        <v>2</v>
      </c>
      <c r="P3" s="33">
        <v>3</v>
      </c>
      <c r="Q3" s="33">
        <v>4</v>
      </c>
      <c r="R3" s="33">
        <v>5</v>
      </c>
      <c r="S3" s="33">
        <v>6</v>
      </c>
      <c r="T3" s="33">
        <v>7</v>
      </c>
      <c r="U3" s="33">
        <v>8</v>
      </c>
      <c r="V3" s="39">
        <v>8</v>
      </c>
      <c r="W3" s="39">
        <v>7</v>
      </c>
      <c r="X3" s="39">
        <v>6</v>
      </c>
      <c r="Y3" s="39">
        <v>5</v>
      </c>
      <c r="Z3" s="39">
        <v>4</v>
      </c>
      <c r="AA3" s="39">
        <v>3</v>
      </c>
      <c r="AB3" s="39">
        <v>2</v>
      </c>
      <c r="AC3" s="39">
        <v>1</v>
      </c>
      <c r="AD3" s="45">
        <v>1</v>
      </c>
      <c r="AE3" s="45">
        <v>2</v>
      </c>
      <c r="AF3" s="45">
        <v>3</v>
      </c>
      <c r="AG3" s="45">
        <v>4</v>
      </c>
      <c r="AH3" s="45">
        <v>5</v>
      </c>
      <c r="AI3" s="45">
        <v>6</v>
      </c>
      <c r="AJ3" s="45">
        <v>7</v>
      </c>
      <c r="AK3" s="45">
        <v>8</v>
      </c>
      <c r="AL3" s="20" t="s">
        <v>0</v>
      </c>
      <c r="AM3" t="s">
        <v>394</v>
      </c>
      <c r="AN3" t="s">
        <v>393</v>
      </c>
      <c r="AO3" t="s">
        <v>218</v>
      </c>
      <c r="AP3" t="s">
        <v>396</v>
      </c>
      <c r="AQ3" s="52" t="s">
        <v>395</v>
      </c>
      <c r="AR3" t="s">
        <v>391</v>
      </c>
    </row>
    <row r="4" spans="1:44">
      <c r="A4" s="8">
        <v>1</v>
      </c>
      <c r="B4" s="8" t="s">
        <v>5</v>
      </c>
      <c r="C4" s="8" t="s">
        <v>42</v>
      </c>
      <c r="D4" s="8" t="s">
        <v>6</v>
      </c>
      <c r="E4" s="8">
        <v>1</v>
      </c>
      <c r="F4" s="24"/>
      <c r="G4" s="5"/>
      <c r="H4" s="5"/>
      <c r="I4" s="5"/>
      <c r="J4" s="5"/>
      <c r="K4" s="5">
        <v>1</v>
      </c>
      <c r="L4" s="5"/>
      <c r="M4" s="25">
        <v>1</v>
      </c>
      <c r="N4" s="24">
        <v>1</v>
      </c>
      <c r="O4" s="5">
        <v>1</v>
      </c>
      <c r="P4" s="5">
        <v>1</v>
      </c>
      <c r="Q4" s="5"/>
      <c r="R4" s="5"/>
      <c r="S4" s="5"/>
      <c r="T4" s="5"/>
      <c r="U4" s="25"/>
      <c r="V4" s="5"/>
      <c r="W4" s="5"/>
      <c r="X4" s="5"/>
      <c r="Y4" s="5"/>
      <c r="Z4" s="5"/>
      <c r="AA4" s="5">
        <v>1</v>
      </c>
      <c r="AB4" s="5">
        <v>1</v>
      </c>
      <c r="AC4" s="5"/>
      <c r="AD4" s="24">
        <v>1</v>
      </c>
      <c r="AE4" s="5">
        <v>1</v>
      </c>
      <c r="AF4" s="5">
        <v>1</v>
      </c>
      <c r="AG4" s="5"/>
      <c r="AH4" s="5"/>
      <c r="AI4" s="5"/>
      <c r="AJ4" s="5"/>
      <c r="AK4" s="25"/>
      <c r="AL4" s="5">
        <v>1</v>
      </c>
      <c r="AM4" s="8"/>
      <c r="AN4">
        <v>1</v>
      </c>
      <c r="AR4">
        <f>SUM(F4:AK4)</f>
        <v>10</v>
      </c>
    </row>
    <row r="5" spans="1:44">
      <c r="A5" s="8">
        <v>30</v>
      </c>
      <c r="B5" s="8" t="s">
        <v>41</v>
      </c>
      <c r="C5" s="8" t="s">
        <v>42</v>
      </c>
      <c r="D5" s="8" t="s">
        <v>42</v>
      </c>
      <c r="E5" s="8">
        <v>30</v>
      </c>
      <c r="F5" s="24"/>
      <c r="G5" s="5"/>
      <c r="H5" s="5"/>
      <c r="I5" s="5">
        <v>1</v>
      </c>
      <c r="J5" s="5"/>
      <c r="K5" s="5"/>
      <c r="L5" s="5">
        <v>1</v>
      </c>
      <c r="M5" s="25">
        <v>1</v>
      </c>
      <c r="N5" s="24">
        <v>1</v>
      </c>
      <c r="O5" s="5">
        <v>1</v>
      </c>
      <c r="P5" s="5"/>
      <c r="Q5" s="5">
        <v>1</v>
      </c>
      <c r="R5" s="5">
        <v>1</v>
      </c>
      <c r="S5" s="5"/>
      <c r="T5" s="5"/>
      <c r="U5" s="25"/>
      <c r="V5" s="5"/>
      <c r="W5" s="5"/>
      <c r="X5" s="5"/>
      <c r="Y5" s="5">
        <v>1</v>
      </c>
      <c r="Z5" s="5">
        <v>1</v>
      </c>
      <c r="AA5" s="5"/>
      <c r="AB5" s="5"/>
      <c r="AC5" s="5">
        <v>1</v>
      </c>
      <c r="AD5" s="24"/>
      <c r="AE5" s="5">
        <v>1</v>
      </c>
      <c r="AF5" s="5"/>
      <c r="AG5" s="5">
        <v>1</v>
      </c>
      <c r="AH5" s="5">
        <v>1</v>
      </c>
      <c r="AI5" s="5"/>
      <c r="AJ5" s="5"/>
      <c r="AK5" s="25"/>
      <c r="AL5" s="5">
        <v>30</v>
      </c>
      <c r="AM5" s="8"/>
      <c r="AN5">
        <v>1</v>
      </c>
      <c r="AR5" s="67">
        <f t="shared" ref="AR5:AR68" si="0">SUM(F5:AK5)</f>
        <v>13</v>
      </c>
    </row>
    <row r="6" spans="1:44">
      <c r="A6" s="8">
        <v>34</v>
      </c>
      <c r="B6" s="8" t="s">
        <v>44</v>
      </c>
      <c r="C6" s="8" t="s">
        <v>349</v>
      </c>
      <c r="D6" s="8" t="s">
        <v>6</v>
      </c>
      <c r="E6" s="8">
        <v>34</v>
      </c>
      <c r="F6" s="24"/>
      <c r="G6" s="5"/>
      <c r="H6" s="5"/>
      <c r="I6" s="5"/>
      <c r="J6" s="5"/>
      <c r="K6" s="5"/>
      <c r="L6" s="5"/>
      <c r="M6" s="25"/>
      <c r="N6" s="24"/>
      <c r="O6" s="5"/>
      <c r="P6" s="5"/>
      <c r="Q6" s="5"/>
      <c r="R6" s="5"/>
      <c r="S6" s="5"/>
      <c r="T6" s="5"/>
      <c r="U6" s="25"/>
      <c r="V6" s="5"/>
      <c r="W6" s="5"/>
      <c r="X6" s="5"/>
      <c r="Y6" s="5"/>
      <c r="Z6" s="5"/>
      <c r="AA6" s="5"/>
      <c r="AB6" s="5"/>
      <c r="AC6" s="5"/>
      <c r="AD6" s="24"/>
      <c r="AE6" s="5"/>
      <c r="AF6" s="5"/>
      <c r="AG6" s="5"/>
      <c r="AH6" s="5"/>
      <c r="AI6" s="5"/>
      <c r="AJ6" s="5"/>
      <c r="AK6" s="25"/>
      <c r="AL6" s="5">
        <v>34</v>
      </c>
      <c r="AM6" s="8">
        <v>1</v>
      </c>
      <c r="AR6" s="67">
        <f t="shared" si="0"/>
        <v>0</v>
      </c>
    </row>
    <row r="7" spans="1:44">
      <c r="A7" s="8">
        <v>38</v>
      </c>
      <c r="B7" s="8" t="s">
        <v>48</v>
      </c>
      <c r="C7" s="8" t="s">
        <v>357</v>
      </c>
      <c r="D7" s="8"/>
      <c r="E7" s="8">
        <v>38</v>
      </c>
      <c r="F7" s="24"/>
      <c r="G7" s="5"/>
      <c r="H7" s="5"/>
      <c r="I7" s="5"/>
      <c r="J7" s="5"/>
      <c r="K7" s="5"/>
      <c r="L7" s="5"/>
      <c r="M7" s="25"/>
      <c r="N7" s="24"/>
      <c r="O7" s="5"/>
      <c r="P7" s="5"/>
      <c r="Q7" s="5"/>
      <c r="R7" s="5"/>
      <c r="S7" s="5"/>
      <c r="T7" s="5"/>
      <c r="U7" s="25"/>
      <c r="V7" s="5"/>
      <c r="W7" s="5"/>
      <c r="X7" s="5"/>
      <c r="Y7" s="5"/>
      <c r="Z7" s="5"/>
      <c r="AA7" s="5"/>
      <c r="AB7" s="5"/>
      <c r="AC7" s="5"/>
      <c r="AD7" s="24"/>
      <c r="AE7" s="5"/>
      <c r="AF7" s="5"/>
      <c r="AG7" s="5"/>
      <c r="AH7" s="5"/>
      <c r="AI7" s="5"/>
      <c r="AJ7" s="5"/>
      <c r="AK7" s="25"/>
      <c r="AL7" s="5">
        <v>38</v>
      </c>
      <c r="AM7" s="8">
        <v>1</v>
      </c>
      <c r="AR7" s="67">
        <f t="shared" si="0"/>
        <v>0</v>
      </c>
    </row>
    <row r="8" spans="1:44">
      <c r="A8" s="8">
        <v>41</v>
      </c>
      <c r="B8" s="8" t="s">
        <v>5</v>
      </c>
      <c r="C8" s="8" t="s">
        <v>42</v>
      </c>
      <c r="D8" s="8" t="s">
        <v>6</v>
      </c>
      <c r="E8" s="8">
        <v>41</v>
      </c>
      <c r="F8" s="24"/>
      <c r="G8" s="5"/>
      <c r="H8" s="5"/>
      <c r="I8" s="5"/>
      <c r="J8" s="5"/>
      <c r="K8" s="5"/>
      <c r="L8" s="5"/>
      <c r="M8" s="25"/>
      <c r="N8" s="24"/>
      <c r="O8" s="5"/>
      <c r="P8" s="5"/>
      <c r="Q8" s="5"/>
      <c r="R8" s="5"/>
      <c r="S8" s="5"/>
      <c r="T8" s="5"/>
      <c r="U8" s="25"/>
      <c r="V8" s="5"/>
      <c r="W8" s="5"/>
      <c r="X8" s="5"/>
      <c r="Y8" s="5"/>
      <c r="Z8" s="5"/>
      <c r="AA8" s="5"/>
      <c r="AB8" s="5"/>
      <c r="AC8" s="5"/>
      <c r="AD8" s="24"/>
      <c r="AE8" s="5"/>
      <c r="AF8" s="5"/>
      <c r="AG8" s="5"/>
      <c r="AH8" s="5"/>
      <c r="AI8" s="5"/>
      <c r="AJ8" s="5"/>
      <c r="AK8" s="25"/>
      <c r="AL8" s="5">
        <v>41</v>
      </c>
      <c r="AM8" s="8">
        <v>1</v>
      </c>
      <c r="AR8" s="67">
        <f t="shared" si="0"/>
        <v>0</v>
      </c>
    </row>
    <row r="9" spans="1:44">
      <c r="A9" s="8">
        <v>42</v>
      </c>
      <c r="B9" s="8" t="s">
        <v>53</v>
      </c>
      <c r="C9" s="8" t="s">
        <v>346</v>
      </c>
      <c r="D9" s="8"/>
      <c r="E9" s="8">
        <v>42</v>
      </c>
      <c r="F9" s="24"/>
      <c r="G9" s="5"/>
      <c r="H9" s="5"/>
      <c r="I9" s="5"/>
      <c r="J9" s="5"/>
      <c r="K9" s="5"/>
      <c r="L9" s="5"/>
      <c r="M9" s="25"/>
      <c r="N9" s="24"/>
      <c r="O9" s="5"/>
      <c r="P9" s="5"/>
      <c r="Q9" s="5"/>
      <c r="R9" s="5"/>
      <c r="S9" s="5"/>
      <c r="T9" s="5"/>
      <c r="U9" s="25"/>
      <c r="V9" s="5"/>
      <c r="W9" s="5"/>
      <c r="X9" s="5"/>
      <c r="Y9" s="5"/>
      <c r="Z9" s="5"/>
      <c r="AA9" s="5"/>
      <c r="AB9" s="5"/>
      <c r="AC9" s="5"/>
      <c r="AD9" s="24"/>
      <c r="AE9" s="5"/>
      <c r="AF9" s="5"/>
      <c r="AG9" s="5"/>
      <c r="AH9" s="5"/>
      <c r="AI9" s="5"/>
      <c r="AJ9" s="5"/>
      <c r="AK9" s="25"/>
      <c r="AL9" s="5">
        <v>42</v>
      </c>
      <c r="AM9" s="8">
        <v>1</v>
      </c>
      <c r="AR9" s="67">
        <f t="shared" si="0"/>
        <v>0</v>
      </c>
    </row>
    <row r="10" spans="1:44">
      <c r="A10" s="8">
        <v>45</v>
      </c>
      <c r="B10" s="8" t="s">
        <v>55</v>
      </c>
      <c r="C10" s="8" t="s">
        <v>346</v>
      </c>
      <c r="D10" s="8"/>
      <c r="E10" s="8">
        <v>45</v>
      </c>
      <c r="F10" s="24"/>
      <c r="G10" s="5"/>
      <c r="H10" s="5"/>
      <c r="I10" s="5"/>
      <c r="J10" s="5"/>
      <c r="K10" s="5"/>
      <c r="L10" s="5"/>
      <c r="M10" s="25"/>
      <c r="N10" s="24"/>
      <c r="O10" s="5"/>
      <c r="P10" s="5"/>
      <c r="Q10" s="5"/>
      <c r="R10" s="5"/>
      <c r="S10" s="5"/>
      <c r="T10" s="5"/>
      <c r="U10" s="25"/>
      <c r="V10" s="5"/>
      <c r="W10" s="5"/>
      <c r="X10" s="5"/>
      <c r="Y10" s="5"/>
      <c r="Z10" s="5"/>
      <c r="AA10" s="5"/>
      <c r="AB10" s="5"/>
      <c r="AC10" s="5"/>
      <c r="AD10" s="24"/>
      <c r="AE10" s="5"/>
      <c r="AF10" s="5"/>
      <c r="AG10" s="5"/>
      <c r="AH10" s="5"/>
      <c r="AI10" s="5"/>
      <c r="AJ10" s="5"/>
      <c r="AK10" s="25"/>
      <c r="AL10" s="5">
        <v>45</v>
      </c>
      <c r="AM10" s="8">
        <v>1</v>
      </c>
      <c r="AR10" s="67">
        <f t="shared" si="0"/>
        <v>0</v>
      </c>
    </row>
    <row r="11" spans="1:44">
      <c r="A11" s="8">
        <v>46</v>
      </c>
      <c r="B11" s="55" t="s">
        <v>56</v>
      </c>
      <c r="C11" s="8" t="s">
        <v>360</v>
      </c>
      <c r="D11" s="8"/>
      <c r="E11" s="8">
        <v>46</v>
      </c>
      <c r="F11" s="24"/>
      <c r="G11" s="5"/>
      <c r="H11" s="5"/>
      <c r="I11" s="5"/>
      <c r="J11" s="5"/>
      <c r="K11" s="5"/>
      <c r="L11" s="5"/>
      <c r="M11" s="25"/>
      <c r="N11" s="24"/>
      <c r="O11" s="5"/>
      <c r="P11" s="5"/>
      <c r="Q11" s="5"/>
      <c r="R11" s="5"/>
      <c r="S11" s="5"/>
      <c r="T11" s="5"/>
      <c r="U11" s="25"/>
      <c r="V11" s="5"/>
      <c r="W11" s="5"/>
      <c r="X11" s="5"/>
      <c r="Y11" s="5"/>
      <c r="Z11" s="5"/>
      <c r="AA11" s="5"/>
      <c r="AB11" s="5"/>
      <c r="AC11" s="5"/>
      <c r="AD11" s="24"/>
      <c r="AE11" s="5"/>
      <c r="AF11" s="5"/>
      <c r="AG11" s="5"/>
      <c r="AH11" s="5"/>
      <c r="AI11" s="5"/>
      <c r="AJ11" s="5"/>
      <c r="AK11" s="25"/>
      <c r="AL11" s="5">
        <v>46</v>
      </c>
      <c r="AM11" s="8">
        <v>1</v>
      </c>
      <c r="AR11" s="67">
        <f t="shared" si="0"/>
        <v>0</v>
      </c>
    </row>
    <row r="12" spans="1:44">
      <c r="A12" s="8">
        <v>48</v>
      </c>
      <c r="B12" s="8" t="s">
        <v>57</v>
      </c>
      <c r="C12" s="8" t="s">
        <v>12</v>
      </c>
      <c r="D12" s="8" t="s">
        <v>6</v>
      </c>
      <c r="E12" s="8">
        <v>48</v>
      </c>
      <c r="F12" s="24"/>
      <c r="G12" s="5"/>
      <c r="H12" s="5"/>
      <c r="I12" s="5"/>
      <c r="J12" s="5"/>
      <c r="K12" s="5"/>
      <c r="L12" s="5"/>
      <c r="M12" s="25"/>
      <c r="N12" s="24"/>
      <c r="O12" s="5"/>
      <c r="P12" s="5"/>
      <c r="Q12" s="5"/>
      <c r="R12" s="5"/>
      <c r="S12" s="5"/>
      <c r="T12" s="5"/>
      <c r="U12" s="25"/>
      <c r="V12" s="5"/>
      <c r="W12" s="5"/>
      <c r="X12" s="5"/>
      <c r="Y12" s="5"/>
      <c r="Z12" s="5"/>
      <c r="AA12" s="5"/>
      <c r="AB12" s="5"/>
      <c r="AC12" s="5"/>
      <c r="AD12" s="24"/>
      <c r="AE12" s="5"/>
      <c r="AF12" s="5"/>
      <c r="AG12" s="5"/>
      <c r="AH12" s="5"/>
      <c r="AI12" s="5"/>
      <c r="AJ12" s="5"/>
      <c r="AK12" s="25"/>
      <c r="AL12" s="5">
        <v>48</v>
      </c>
      <c r="AM12" s="8">
        <v>1</v>
      </c>
      <c r="AR12" s="67">
        <f t="shared" si="0"/>
        <v>0</v>
      </c>
    </row>
    <row r="13" spans="1:44">
      <c r="A13" s="8">
        <v>49</v>
      </c>
      <c r="B13" s="8" t="s">
        <v>58</v>
      </c>
      <c r="C13" s="8" t="s">
        <v>358</v>
      </c>
      <c r="D13" s="8" t="s">
        <v>6</v>
      </c>
      <c r="E13" s="8">
        <v>49</v>
      </c>
      <c r="F13" s="24"/>
      <c r="G13" s="5"/>
      <c r="H13" s="5"/>
      <c r="I13" s="5"/>
      <c r="J13" s="5"/>
      <c r="K13" s="5"/>
      <c r="L13" s="5"/>
      <c r="M13" s="25"/>
      <c r="N13" s="24"/>
      <c r="O13" s="5"/>
      <c r="P13" s="5"/>
      <c r="Q13" s="5"/>
      <c r="R13" s="5"/>
      <c r="S13" s="5"/>
      <c r="T13" s="5"/>
      <c r="U13" s="25"/>
      <c r="V13" s="5"/>
      <c r="W13" s="5"/>
      <c r="X13" s="5"/>
      <c r="Y13" s="5"/>
      <c r="Z13" s="5"/>
      <c r="AA13" s="5">
        <v>1</v>
      </c>
      <c r="AB13" s="5"/>
      <c r="AC13" s="5"/>
      <c r="AD13" s="24"/>
      <c r="AE13" s="5"/>
      <c r="AF13" s="5">
        <v>1</v>
      </c>
      <c r="AG13" s="5"/>
      <c r="AH13" s="5"/>
      <c r="AI13" s="5"/>
      <c r="AJ13" s="5"/>
      <c r="AK13" s="25"/>
      <c r="AL13" s="5">
        <v>49</v>
      </c>
      <c r="AM13" s="8"/>
      <c r="AN13">
        <v>1</v>
      </c>
      <c r="AR13" s="67">
        <f t="shared" si="0"/>
        <v>2</v>
      </c>
    </row>
    <row r="14" spans="1:44">
      <c r="A14" s="8">
        <v>52</v>
      </c>
      <c r="B14" s="8" t="s">
        <v>41</v>
      </c>
      <c r="C14" s="8" t="s">
        <v>42</v>
      </c>
      <c r="D14" s="8" t="s">
        <v>6</v>
      </c>
      <c r="E14" s="8">
        <v>52</v>
      </c>
      <c r="F14" s="24"/>
      <c r="G14" s="5"/>
      <c r="H14" s="5"/>
      <c r="I14" s="5"/>
      <c r="J14" s="5"/>
      <c r="K14" s="5"/>
      <c r="L14" s="5"/>
      <c r="M14" s="25"/>
      <c r="N14" s="24"/>
      <c r="O14" s="5">
        <v>1</v>
      </c>
      <c r="P14" s="5"/>
      <c r="Q14" s="5"/>
      <c r="R14" s="5"/>
      <c r="S14" s="5"/>
      <c r="T14" s="5"/>
      <c r="U14" s="25"/>
      <c r="V14" s="5"/>
      <c r="W14" s="5"/>
      <c r="X14" s="5"/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24">
        <v>1</v>
      </c>
      <c r="AE14" s="5">
        <v>1</v>
      </c>
      <c r="AF14" s="5">
        <v>1</v>
      </c>
      <c r="AG14" s="5">
        <v>1</v>
      </c>
      <c r="AH14" s="5"/>
      <c r="AI14" s="5"/>
      <c r="AJ14" s="5"/>
      <c r="AK14" s="25"/>
      <c r="AL14" s="5">
        <v>52</v>
      </c>
      <c r="AM14" s="8"/>
      <c r="AN14">
        <v>1</v>
      </c>
      <c r="AR14" s="67">
        <f t="shared" si="0"/>
        <v>10</v>
      </c>
    </row>
    <row r="15" spans="1:44">
      <c r="A15" s="8">
        <v>53</v>
      </c>
      <c r="B15" s="8" t="s">
        <v>62</v>
      </c>
      <c r="C15" s="8" t="s">
        <v>42</v>
      </c>
      <c r="D15" s="8" t="s">
        <v>42</v>
      </c>
      <c r="E15" s="8">
        <v>53</v>
      </c>
      <c r="F15" s="24"/>
      <c r="G15" s="5"/>
      <c r="H15" s="5"/>
      <c r="I15" s="5"/>
      <c r="J15" s="5"/>
      <c r="K15" s="5"/>
      <c r="L15" s="5"/>
      <c r="M15" s="25"/>
      <c r="N15" s="24"/>
      <c r="O15" s="5"/>
      <c r="P15" s="5"/>
      <c r="Q15" s="5"/>
      <c r="R15" s="5"/>
      <c r="S15" s="5"/>
      <c r="T15" s="5"/>
      <c r="U15" s="25"/>
      <c r="V15" s="5"/>
      <c r="W15" s="5"/>
      <c r="X15" s="5"/>
      <c r="Y15" s="5"/>
      <c r="Z15" s="5"/>
      <c r="AA15" s="5"/>
      <c r="AB15" s="5"/>
      <c r="AC15" s="5"/>
      <c r="AD15" s="24"/>
      <c r="AE15" s="5"/>
      <c r="AF15" s="5"/>
      <c r="AG15" s="5"/>
      <c r="AH15" s="5"/>
      <c r="AI15" s="5"/>
      <c r="AJ15" s="5"/>
      <c r="AK15" s="25"/>
      <c r="AL15" s="5">
        <v>53</v>
      </c>
      <c r="AM15" s="8">
        <v>1</v>
      </c>
      <c r="AN15" s="8"/>
      <c r="AR15" s="67">
        <f t="shared" si="0"/>
        <v>0</v>
      </c>
    </row>
    <row r="16" spans="1:44">
      <c r="A16" s="8">
        <v>54</v>
      </c>
      <c r="B16" s="8" t="s">
        <v>63</v>
      </c>
      <c r="C16" s="8" t="s">
        <v>346</v>
      </c>
      <c r="D16" s="8"/>
      <c r="E16" s="8">
        <v>54</v>
      </c>
      <c r="F16" s="24"/>
      <c r="G16" s="5"/>
      <c r="H16" s="5"/>
      <c r="I16" s="5"/>
      <c r="J16" s="5"/>
      <c r="K16" s="5"/>
      <c r="L16" s="5"/>
      <c r="M16" s="25"/>
      <c r="N16" s="24"/>
      <c r="O16" s="5"/>
      <c r="P16" s="5"/>
      <c r="Q16" s="5"/>
      <c r="R16" s="5"/>
      <c r="S16" s="5"/>
      <c r="T16" s="5"/>
      <c r="U16" s="25"/>
      <c r="V16" s="5"/>
      <c r="W16" s="5"/>
      <c r="X16" s="5"/>
      <c r="Y16" s="5"/>
      <c r="Z16" s="5"/>
      <c r="AA16" s="5"/>
      <c r="AB16" s="5"/>
      <c r="AC16" s="5"/>
      <c r="AD16" s="24"/>
      <c r="AE16" s="5"/>
      <c r="AF16" s="5"/>
      <c r="AG16" s="5"/>
      <c r="AH16" s="5"/>
      <c r="AI16" s="5"/>
      <c r="AJ16" s="5"/>
      <c r="AK16" s="25"/>
      <c r="AL16" s="5">
        <v>54</v>
      </c>
      <c r="AM16" s="8">
        <v>1</v>
      </c>
      <c r="AR16" s="67">
        <f t="shared" si="0"/>
        <v>0</v>
      </c>
    </row>
    <row r="17" spans="1:44">
      <c r="A17" s="8">
        <v>56</v>
      </c>
      <c r="B17" s="8" t="s">
        <v>53</v>
      </c>
      <c r="C17" s="8" t="s">
        <v>346</v>
      </c>
      <c r="D17" s="8"/>
      <c r="E17" s="8">
        <v>56</v>
      </c>
      <c r="F17" s="24"/>
      <c r="G17" s="5"/>
      <c r="H17" s="5"/>
      <c r="I17" s="5"/>
      <c r="J17" s="5"/>
      <c r="K17" s="5"/>
      <c r="L17" s="5"/>
      <c r="M17" s="25"/>
      <c r="N17" s="24"/>
      <c r="O17" s="5"/>
      <c r="P17" s="5"/>
      <c r="Q17" s="5"/>
      <c r="R17" s="5"/>
      <c r="S17" s="5"/>
      <c r="T17" s="5"/>
      <c r="U17" s="25"/>
      <c r="V17" s="5"/>
      <c r="W17" s="5"/>
      <c r="X17" s="5"/>
      <c r="Y17" s="5"/>
      <c r="Z17" s="5"/>
      <c r="AA17" s="5"/>
      <c r="AB17" s="5"/>
      <c r="AC17" s="5"/>
      <c r="AD17" s="24"/>
      <c r="AE17" s="5"/>
      <c r="AF17" s="5"/>
      <c r="AG17" s="5"/>
      <c r="AH17" s="5"/>
      <c r="AI17" s="5"/>
      <c r="AJ17" s="5"/>
      <c r="AK17" s="25"/>
      <c r="AL17" s="5">
        <v>56</v>
      </c>
      <c r="AM17" s="8">
        <v>1</v>
      </c>
      <c r="AR17" s="67">
        <f t="shared" si="0"/>
        <v>0</v>
      </c>
    </row>
    <row r="18" spans="1:44">
      <c r="A18" s="8">
        <v>57</v>
      </c>
      <c r="B18" s="8" t="s">
        <v>44</v>
      </c>
      <c r="C18" s="8" t="s">
        <v>349</v>
      </c>
      <c r="D18" s="8" t="s">
        <v>6</v>
      </c>
      <c r="E18" s="8">
        <v>57</v>
      </c>
      <c r="F18" s="24"/>
      <c r="G18" s="5"/>
      <c r="H18" s="5"/>
      <c r="I18" s="5"/>
      <c r="J18" s="5"/>
      <c r="K18" s="5">
        <v>1</v>
      </c>
      <c r="L18" s="5"/>
      <c r="M18" s="25">
        <v>1</v>
      </c>
      <c r="N18" s="24">
        <v>1</v>
      </c>
      <c r="O18" s="5">
        <v>1</v>
      </c>
      <c r="P18" s="5"/>
      <c r="Q18" s="5"/>
      <c r="R18" s="5"/>
      <c r="S18" s="5"/>
      <c r="T18" s="5"/>
      <c r="U18" s="25"/>
      <c r="V18" s="5"/>
      <c r="W18" s="5"/>
      <c r="X18" s="5"/>
      <c r="Y18" s="5"/>
      <c r="Z18" s="5"/>
      <c r="AA18" s="5"/>
      <c r="AB18" s="5"/>
      <c r="AC18" s="5"/>
      <c r="AD18" s="24"/>
      <c r="AE18" s="5"/>
      <c r="AF18" s="5"/>
      <c r="AG18" s="5"/>
      <c r="AH18" s="5"/>
      <c r="AI18" s="5"/>
      <c r="AJ18" s="5"/>
      <c r="AK18" s="25"/>
      <c r="AL18" s="5">
        <v>57</v>
      </c>
      <c r="AM18" s="8"/>
      <c r="AN18">
        <v>1</v>
      </c>
      <c r="AR18" s="67">
        <f t="shared" si="0"/>
        <v>4</v>
      </c>
    </row>
    <row r="19" spans="1:44">
      <c r="A19" s="8">
        <v>59</v>
      </c>
      <c r="B19" s="55" t="s">
        <v>56</v>
      </c>
      <c r="C19" s="8" t="s">
        <v>360</v>
      </c>
      <c r="D19" s="8"/>
      <c r="E19" s="8">
        <v>59</v>
      </c>
      <c r="F19" s="24"/>
      <c r="G19" s="5"/>
      <c r="H19" s="5"/>
      <c r="I19" s="5"/>
      <c r="J19" s="5"/>
      <c r="K19" s="5"/>
      <c r="L19" s="5"/>
      <c r="M19" s="25"/>
      <c r="N19" s="24"/>
      <c r="O19" s="5"/>
      <c r="P19" s="5"/>
      <c r="Q19" s="5"/>
      <c r="R19" s="5"/>
      <c r="S19" s="5"/>
      <c r="T19" s="5"/>
      <c r="U19" s="25"/>
      <c r="V19" s="5"/>
      <c r="W19" s="5"/>
      <c r="X19" s="5"/>
      <c r="Y19" s="5"/>
      <c r="Z19" s="5"/>
      <c r="AA19" s="5"/>
      <c r="AB19" s="5"/>
      <c r="AC19" s="5"/>
      <c r="AD19" s="24"/>
      <c r="AE19" s="5"/>
      <c r="AF19" s="5"/>
      <c r="AG19" s="5"/>
      <c r="AH19" s="5"/>
      <c r="AI19" s="5"/>
      <c r="AJ19" s="5"/>
      <c r="AK19" s="25"/>
      <c r="AL19" s="5">
        <v>59</v>
      </c>
      <c r="AM19" s="8">
        <v>1</v>
      </c>
      <c r="AR19" s="67">
        <f t="shared" si="0"/>
        <v>0</v>
      </c>
    </row>
    <row r="20" spans="1:44">
      <c r="A20" s="8">
        <v>60</v>
      </c>
      <c r="B20" s="8" t="s">
        <v>48</v>
      </c>
      <c r="C20" s="8" t="s">
        <v>357</v>
      </c>
      <c r="D20" s="8"/>
      <c r="E20" s="8">
        <v>60</v>
      </c>
      <c r="F20" s="24"/>
      <c r="G20" s="5"/>
      <c r="H20" s="5"/>
      <c r="I20" s="5"/>
      <c r="J20" s="5"/>
      <c r="K20" s="5"/>
      <c r="L20" s="5"/>
      <c r="M20" s="25">
        <v>1</v>
      </c>
      <c r="N20" s="24">
        <v>1</v>
      </c>
      <c r="O20" s="5"/>
      <c r="P20" s="5"/>
      <c r="Q20" s="5"/>
      <c r="R20" s="5"/>
      <c r="S20" s="5"/>
      <c r="T20" s="5"/>
      <c r="U20" s="25"/>
      <c r="V20" s="5"/>
      <c r="W20" s="5"/>
      <c r="X20" s="5"/>
      <c r="Y20" s="5"/>
      <c r="Z20" s="5"/>
      <c r="AA20" s="5"/>
      <c r="AB20" s="5">
        <v>1</v>
      </c>
      <c r="AC20" s="5">
        <v>1</v>
      </c>
      <c r="AD20" s="24">
        <v>1</v>
      </c>
      <c r="AE20" s="5">
        <v>1</v>
      </c>
      <c r="AF20" s="5"/>
      <c r="AG20" s="5"/>
      <c r="AH20" s="5"/>
      <c r="AI20" s="5"/>
      <c r="AJ20" s="5"/>
      <c r="AK20" s="25"/>
      <c r="AL20" s="5">
        <v>60</v>
      </c>
      <c r="AM20" s="8"/>
      <c r="AN20">
        <v>1</v>
      </c>
      <c r="AR20" s="67">
        <f t="shared" si="0"/>
        <v>6</v>
      </c>
    </row>
    <row r="21" spans="1:44">
      <c r="A21" s="8">
        <v>61</v>
      </c>
      <c r="B21" s="8" t="s">
        <v>99</v>
      </c>
      <c r="C21" s="8" t="s">
        <v>346</v>
      </c>
      <c r="D21" s="8"/>
      <c r="E21" s="8">
        <v>61</v>
      </c>
      <c r="F21" s="24"/>
      <c r="G21" s="5"/>
      <c r="H21" s="5"/>
      <c r="I21" s="5"/>
      <c r="J21" s="5"/>
      <c r="K21" s="5"/>
      <c r="L21" s="5"/>
      <c r="M21" s="25"/>
      <c r="N21" s="24"/>
      <c r="O21" s="5"/>
      <c r="P21" s="5"/>
      <c r="Q21" s="5"/>
      <c r="R21" s="5"/>
      <c r="S21" s="5"/>
      <c r="T21" s="5"/>
      <c r="U21" s="25"/>
      <c r="V21" s="5"/>
      <c r="W21" s="5"/>
      <c r="X21" s="5"/>
      <c r="Y21" s="5"/>
      <c r="Z21" s="5"/>
      <c r="AA21" s="5"/>
      <c r="AB21" s="5"/>
      <c r="AC21" s="5"/>
      <c r="AD21" s="24"/>
      <c r="AE21" s="5"/>
      <c r="AF21" s="5"/>
      <c r="AG21" s="5"/>
      <c r="AH21" s="5"/>
      <c r="AI21" s="5"/>
      <c r="AJ21" s="5"/>
      <c r="AK21" s="25"/>
      <c r="AL21" s="5">
        <v>61</v>
      </c>
      <c r="AM21" s="8">
        <v>1</v>
      </c>
      <c r="AR21" s="67">
        <f t="shared" si="0"/>
        <v>0</v>
      </c>
    </row>
    <row r="22" spans="1:44">
      <c r="A22" s="8">
        <v>62</v>
      </c>
      <c r="B22" s="8" t="s">
        <v>68</v>
      </c>
      <c r="C22" s="8" t="s">
        <v>357</v>
      </c>
      <c r="D22" s="8"/>
      <c r="E22" s="8">
        <v>62</v>
      </c>
      <c r="F22" s="24"/>
      <c r="G22" s="5"/>
      <c r="H22" s="5"/>
      <c r="I22" s="5"/>
      <c r="J22" s="5"/>
      <c r="K22" s="5"/>
      <c r="L22" s="5"/>
      <c r="M22" s="25">
        <v>1</v>
      </c>
      <c r="N22" s="24">
        <v>1</v>
      </c>
      <c r="O22" s="5"/>
      <c r="P22" s="5"/>
      <c r="Q22" s="5"/>
      <c r="R22" s="5"/>
      <c r="S22" s="5"/>
      <c r="T22" s="5"/>
      <c r="U22" s="25"/>
      <c r="V22" s="5"/>
      <c r="W22" s="5"/>
      <c r="X22" s="5"/>
      <c r="Y22" s="5"/>
      <c r="Z22" s="5"/>
      <c r="AA22" s="5"/>
      <c r="AB22" s="5">
        <v>1</v>
      </c>
      <c r="AC22" s="5">
        <v>1</v>
      </c>
      <c r="AD22" s="24">
        <v>1</v>
      </c>
      <c r="AE22" s="5">
        <v>1</v>
      </c>
      <c r="AF22" s="5"/>
      <c r="AG22" s="5"/>
      <c r="AH22" s="5"/>
      <c r="AI22" s="5"/>
      <c r="AJ22" s="5"/>
      <c r="AK22" s="25"/>
      <c r="AL22" s="5">
        <v>62</v>
      </c>
      <c r="AM22" s="8"/>
      <c r="AN22">
        <v>1</v>
      </c>
      <c r="AR22" s="67">
        <f t="shared" si="0"/>
        <v>6</v>
      </c>
    </row>
    <row r="23" spans="1:44">
      <c r="A23" s="8">
        <v>63</v>
      </c>
      <c r="B23" s="8" t="s">
        <v>71</v>
      </c>
      <c r="C23" s="8" t="s">
        <v>366</v>
      </c>
      <c r="D23" s="8" t="s">
        <v>42</v>
      </c>
      <c r="E23" s="8">
        <v>63</v>
      </c>
      <c r="F23" s="24"/>
      <c r="G23" s="5"/>
      <c r="H23" s="5"/>
      <c r="I23" s="5"/>
      <c r="J23" s="5"/>
      <c r="K23" s="5">
        <v>1</v>
      </c>
      <c r="L23" s="5">
        <v>1</v>
      </c>
      <c r="M23" s="25">
        <v>1</v>
      </c>
      <c r="N23" s="24">
        <v>1</v>
      </c>
      <c r="O23" s="5">
        <v>1</v>
      </c>
      <c r="P23" s="5">
        <v>1</v>
      </c>
      <c r="Q23" s="5"/>
      <c r="R23" s="5"/>
      <c r="S23" s="5"/>
      <c r="T23" s="5"/>
      <c r="U23" s="25"/>
      <c r="V23" s="5"/>
      <c r="W23" s="5"/>
      <c r="X23" s="5"/>
      <c r="Y23" s="5"/>
      <c r="Z23" s="5"/>
      <c r="AA23" s="5">
        <v>1</v>
      </c>
      <c r="AB23" s="5"/>
      <c r="AC23" s="5"/>
      <c r="AD23" s="24"/>
      <c r="AE23" s="5"/>
      <c r="AF23" s="5">
        <v>1</v>
      </c>
      <c r="AG23" s="5"/>
      <c r="AH23" s="5"/>
      <c r="AI23" s="5"/>
      <c r="AJ23" s="5"/>
      <c r="AK23" s="25"/>
      <c r="AL23" s="5">
        <v>63</v>
      </c>
      <c r="AM23" s="8"/>
      <c r="AN23">
        <v>1</v>
      </c>
      <c r="AR23" s="67">
        <f t="shared" si="0"/>
        <v>8</v>
      </c>
    </row>
    <row r="24" spans="1:44">
      <c r="A24" s="8">
        <v>64</v>
      </c>
      <c r="B24" s="8" t="s">
        <v>73</v>
      </c>
      <c r="C24" s="8" t="s">
        <v>165</v>
      </c>
      <c r="D24" s="8" t="s">
        <v>42</v>
      </c>
      <c r="E24" s="8">
        <v>64</v>
      </c>
      <c r="F24" s="24"/>
      <c r="G24" s="5"/>
      <c r="H24" s="5"/>
      <c r="I24" s="5"/>
      <c r="J24" s="5"/>
      <c r="K24" s="5"/>
      <c r="L24" s="5"/>
      <c r="M24" s="25"/>
      <c r="N24" s="24"/>
      <c r="O24" s="5"/>
      <c r="P24" s="5">
        <v>1</v>
      </c>
      <c r="Q24" s="5"/>
      <c r="R24" s="5"/>
      <c r="S24" s="5"/>
      <c r="T24" s="5"/>
      <c r="U24" s="25"/>
      <c r="V24" s="5"/>
      <c r="W24" s="5"/>
      <c r="X24" s="5"/>
      <c r="Y24" s="5"/>
      <c r="Z24" s="5"/>
      <c r="AA24" s="5">
        <v>1</v>
      </c>
      <c r="AB24" s="5"/>
      <c r="AC24" s="5"/>
      <c r="AD24" s="24"/>
      <c r="AE24" s="5"/>
      <c r="AF24" s="5"/>
      <c r="AG24" s="5"/>
      <c r="AH24" s="5"/>
      <c r="AI24" s="5"/>
      <c r="AJ24" s="5"/>
      <c r="AK24" s="25"/>
      <c r="AL24" s="5">
        <v>64</v>
      </c>
      <c r="AM24" s="8"/>
      <c r="AN24">
        <v>1</v>
      </c>
      <c r="AR24" s="67">
        <f t="shared" si="0"/>
        <v>2</v>
      </c>
    </row>
    <row r="25" spans="1:44">
      <c r="A25" s="8">
        <v>65</v>
      </c>
      <c r="B25" s="8" t="s">
        <v>74</v>
      </c>
      <c r="C25" s="8" t="s">
        <v>346</v>
      </c>
      <c r="D25" s="8"/>
      <c r="E25" s="8">
        <v>65</v>
      </c>
      <c r="F25" s="24"/>
      <c r="G25" s="5"/>
      <c r="H25" s="5"/>
      <c r="I25" s="5"/>
      <c r="J25" s="5"/>
      <c r="K25" s="5"/>
      <c r="L25" s="5"/>
      <c r="M25" s="25"/>
      <c r="N25" s="24"/>
      <c r="O25" s="5"/>
      <c r="P25" s="5"/>
      <c r="Q25" s="5"/>
      <c r="R25" s="5"/>
      <c r="S25" s="5"/>
      <c r="T25" s="5"/>
      <c r="U25" s="25"/>
      <c r="V25" s="5"/>
      <c r="W25" s="5"/>
      <c r="X25" s="5"/>
      <c r="Y25" s="5"/>
      <c r="Z25" s="5"/>
      <c r="AA25" s="5"/>
      <c r="AB25" s="5"/>
      <c r="AC25" s="5"/>
      <c r="AD25" s="24"/>
      <c r="AE25" s="5"/>
      <c r="AF25" s="5"/>
      <c r="AG25" s="5"/>
      <c r="AH25" s="5"/>
      <c r="AI25" s="5"/>
      <c r="AJ25" s="5"/>
      <c r="AK25" s="25"/>
      <c r="AL25" s="5">
        <v>65</v>
      </c>
      <c r="AM25" s="8">
        <v>1</v>
      </c>
      <c r="AR25" s="67">
        <f t="shared" si="0"/>
        <v>0</v>
      </c>
    </row>
    <row r="26" spans="1:44">
      <c r="A26" s="8">
        <v>68</v>
      </c>
      <c r="B26" s="8" t="s">
        <v>65</v>
      </c>
      <c r="C26" s="8" t="s">
        <v>12</v>
      </c>
      <c r="D26" s="8" t="s">
        <v>42</v>
      </c>
      <c r="E26" s="8">
        <v>68</v>
      </c>
      <c r="F26" s="24"/>
      <c r="G26" s="5"/>
      <c r="H26" s="5"/>
      <c r="I26" s="5"/>
      <c r="J26" s="5"/>
      <c r="K26" s="5">
        <v>1</v>
      </c>
      <c r="L26" s="5">
        <v>1</v>
      </c>
      <c r="M26" s="25">
        <v>1</v>
      </c>
      <c r="N26" s="24">
        <v>1</v>
      </c>
      <c r="O26" s="5">
        <v>1</v>
      </c>
      <c r="P26" s="5">
        <v>1</v>
      </c>
      <c r="Q26" s="5">
        <v>1</v>
      </c>
      <c r="R26" s="5"/>
      <c r="S26" s="5"/>
      <c r="T26" s="5"/>
      <c r="U26" s="25"/>
      <c r="V26" s="5"/>
      <c r="W26" s="5"/>
      <c r="X26" s="5"/>
      <c r="Y26" s="5"/>
      <c r="Z26" s="5">
        <v>1</v>
      </c>
      <c r="AA26" s="5">
        <v>1</v>
      </c>
      <c r="AB26" s="5">
        <v>1</v>
      </c>
      <c r="AC26" s="5">
        <v>1</v>
      </c>
      <c r="AD26" s="24">
        <v>1</v>
      </c>
      <c r="AE26" s="5">
        <v>1</v>
      </c>
      <c r="AF26" s="5">
        <v>1</v>
      </c>
      <c r="AG26" s="5">
        <v>1</v>
      </c>
      <c r="AH26" s="5"/>
      <c r="AI26" s="5"/>
      <c r="AJ26" s="5"/>
      <c r="AK26" s="25"/>
      <c r="AL26" s="5">
        <v>68</v>
      </c>
      <c r="AM26" s="8"/>
      <c r="AN26">
        <v>1</v>
      </c>
      <c r="AR26" s="67">
        <f t="shared" si="0"/>
        <v>15</v>
      </c>
    </row>
    <row r="27" spans="1:44">
      <c r="A27" s="8">
        <v>69</v>
      </c>
      <c r="B27" s="8" t="s">
        <v>78</v>
      </c>
      <c r="C27" s="8" t="s">
        <v>359</v>
      </c>
      <c r="D27" s="8"/>
      <c r="E27" s="8">
        <v>69</v>
      </c>
      <c r="F27" s="24"/>
      <c r="G27" s="5"/>
      <c r="H27" s="5"/>
      <c r="I27" s="5"/>
      <c r="J27" s="5"/>
      <c r="K27" s="5"/>
      <c r="L27" s="5"/>
      <c r="M27" s="25"/>
      <c r="N27" s="24"/>
      <c r="O27" s="5"/>
      <c r="P27" s="5"/>
      <c r="Q27" s="5"/>
      <c r="R27" s="5"/>
      <c r="S27" s="5"/>
      <c r="T27" s="5"/>
      <c r="U27" s="25"/>
      <c r="V27" s="5"/>
      <c r="W27" s="5"/>
      <c r="X27" s="5"/>
      <c r="Y27" s="5"/>
      <c r="Z27" s="5"/>
      <c r="AA27" s="5"/>
      <c r="AB27" s="5"/>
      <c r="AC27" s="5"/>
      <c r="AD27" s="24"/>
      <c r="AE27" s="5"/>
      <c r="AF27" s="5"/>
      <c r="AG27" s="5"/>
      <c r="AH27" s="5"/>
      <c r="AI27" s="5"/>
      <c r="AJ27" s="5"/>
      <c r="AK27" s="25"/>
      <c r="AL27" s="5">
        <v>69</v>
      </c>
      <c r="AM27" s="8">
        <v>1</v>
      </c>
      <c r="AR27" s="67">
        <f t="shared" si="0"/>
        <v>0</v>
      </c>
    </row>
    <row r="28" spans="1:44">
      <c r="A28" s="8">
        <v>70</v>
      </c>
      <c r="B28" s="8" t="s">
        <v>80</v>
      </c>
      <c r="C28" s="8" t="s">
        <v>346</v>
      </c>
      <c r="D28" s="8"/>
      <c r="E28" s="8">
        <v>70</v>
      </c>
      <c r="F28" s="24"/>
      <c r="G28" s="5"/>
      <c r="H28" s="5"/>
      <c r="I28" s="5"/>
      <c r="J28" s="5"/>
      <c r="K28" s="5"/>
      <c r="L28" s="5"/>
      <c r="M28" s="25"/>
      <c r="N28" s="24"/>
      <c r="O28" s="5"/>
      <c r="P28" s="5"/>
      <c r="Q28" s="5"/>
      <c r="R28" s="5"/>
      <c r="S28" s="5"/>
      <c r="T28" s="5"/>
      <c r="U28" s="25"/>
      <c r="V28" s="5"/>
      <c r="W28" s="5"/>
      <c r="X28" s="5"/>
      <c r="Y28" s="5"/>
      <c r="Z28" s="5"/>
      <c r="AA28" s="5"/>
      <c r="AB28" s="5"/>
      <c r="AC28" s="5"/>
      <c r="AD28" s="24"/>
      <c r="AE28" s="5"/>
      <c r="AF28" s="5"/>
      <c r="AG28" s="5"/>
      <c r="AH28" s="5"/>
      <c r="AI28" s="5"/>
      <c r="AJ28" s="5"/>
      <c r="AK28" s="25"/>
      <c r="AL28" s="5">
        <v>70</v>
      </c>
      <c r="AM28" s="8">
        <v>1</v>
      </c>
      <c r="AR28" s="67">
        <f t="shared" si="0"/>
        <v>0</v>
      </c>
    </row>
    <row r="29" spans="1:44">
      <c r="A29" s="8" t="s">
        <v>82</v>
      </c>
      <c r="B29" s="8" t="s">
        <v>55</v>
      </c>
      <c r="C29" s="8" t="s">
        <v>346</v>
      </c>
      <c r="D29" s="8"/>
      <c r="E29" s="8" t="s">
        <v>82</v>
      </c>
      <c r="F29" s="24"/>
      <c r="G29" s="5"/>
      <c r="H29" s="5"/>
      <c r="I29" s="5"/>
      <c r="J29" s="5"/>
      <c r="K29" s="5"/>
      <c r="L29" s="5"/>
      <c r="M29" s="25"/>
      <c r="N29" s="24"/>
      <c r="O29" s="5"/>
      <c r="P29" s="5"/>
      <c r="Q29" s="5"/>
      <c r="R29" s="5"/>
      <c r="S29" s="5"/>
      <c r="T29" s="5"/>
      <c r="U29" s="25"/>
      <c r="V29" s="5"/>
      <c r="W29" s="5"/>
      <c r="X29" s="5"/>
      <c r="Y29" s="5"/>
      <c r="Z29" s="5"/>
      <c r="AA29" s="5"/>
      <c r="AB29" s="5"/>
      <c r="AC29" s="5"/>
      <c r="AD29" s="24"/>
      <c r="AE29" s="5"/>
      <c r="AF29" s="5"/>
      <c r="AG29" s="5"/>
      <c r="AH29" s="5"/>
      <c r="AI29" s="5"/>
      <c r="AJ29" s="5"/>
      <c r="AK29" s="25"/>
      <c r="AL29" s="5" t="s">
        <v>82</v>
      </c>
      <c r="AM29" s="8">
        <v>1</v>
      </c>
      <c r="AR29" s="67">
        <f t="shared" si="0"/>
        <v>0</v>
      </c>
    </row>
    <row r="30" spans="1:44">
      <c r="A30" s="8">
        <v>72</v>
      </c>
      <c r="B30" s="8" t="s">
        <v>5</v>
      </c>
      <c r="C30" s="8" t="s">
        <v>42</v>
      </c>
      <c r="D30" s="8" t="s">
        <v>42</v>
      </c>
      <c r="E30" s="8">
        <v>72</v>
      </c>
      <c r="F30" s="24"/>
      <c r="G30" s="5"/>
      <c r="H30" s="5"/>
      <c r="I30" s="5"/>
      <c r="J30" s="5"/>
      <c r="K30" s="5">
        <v>1</v>
      </c>
      <c r="L30" s="5">
        <v>1</v>
      </c>
      <c r="M30" s="25">
        <v>1</v>
      </c>
      <c r="N30" s="24">
        <v>1</v>
      </c>
      <c r="O30" s="5">
        <v>1</v>
      </c>
      <c r="P30" s="5">
        <v>1</v>
      </c>
      <c r="Q30" s="5"/>
      <c r="R30" s="5"/>
      <c r="S30" s="5"/>
      <c r="T30" s="5"/>
      <c r="U30" s="25"/>
      <c r="V30" s="5"/>
      <c r="W30" s="5"/>
      <c r="X30" s="5"/>
      <c r="Y30" s="5"/>
      <c r="Z30" s="5">
        <v>1</v>
      </c>
      <c r="AA30" s="5"/>
      <c r="AB30" s="5"/>
      <c r="AC30" s="5"/>
      <c r="AD30" s="24"/>
      <c r="AE30" s="5"/>
      <c r="AF30" s="5"/>
      <c r="AG30" s="5"/>
      <c r="AH30" s="5"/>
      <c r="AI30" s="5"/>
      <c r="AJ30" s="5"/>
      <c r="AK30" s="25"/>
      <c r="AL30" s="5">
        <v>72</v>
      </c>
      <c r="AM30" s="8"/>
      <c r="AN30">
        <v>1</v>
      </c>
      <c r="AR30" s="67">
        <f t="shared" si="0"/>
        <v>7</v>
      </c>
    </row>
    <row r="31" spans="1:44">
      <c r="A31" s="8">
        <v>73</v>
      </c>
      <c r="B31" s="8" t="s">
        <v>44</v>
      </c>
      <c r="C31" s="8" t="s">
        <v>349</v>
      </c>
      <c r="D31" s="8" t="s">
        <v>6</v>
      </c>
      <c r="E31" s="8">
        <v>73</v>
      </c>
      <c r="F31" s="24"/>
      <c r="G31" s="5"/>
      <c r="H31" s="5"/>
      <c r="I31" s="5"/>
      <c r="J31" s="5"/>
      <c r="K31" s="5"/>
      <c r="L31" s="5"/>
      <c r="M31" s="25"/>
      <c r="N31" s="24"/>
      <c r="O31" s="5"/>
      <c r="P31" s="5"/>
      <c r="Q31" s="5"/>
      <c r="R31" s="5"/>
      <c r="S31" s="5"/>
      <c r="T31" s="5"/>
      <c r="U31" s="25"/>
      <c r="V31" s="5"/>
      <c r="W31" s="5"/>
      <c r="X31" s="5"/>
      <c r="Y31" s="5"/>
      <c r="Z31" s="5"/>
      <c r="AA31" s="5"/>
      <c r="AB31" s="5"/>
      <c r="AC31" s="5"/>
      <c r="AD31" s="24"/>
      <c r="AE31" s="5"/>
      <c r="AF31" s="5"/>
      <c r="AG31" s="5"/>
      <c r="AH31" s="5"/>
      <c r="AI31" s="5"/>
      <c r="AJ31" s="5"/>
      <c r="AK31" s="25"/>
      <c r="AL31" s="5">
        <v>73</v>
      </c>
      <c r="AM31" s="8">
        <v>1</v>
      </c>
      <c r="AR31" s="67">
        <f t="shared" si="0"/>
        <v>0</v>
      </c>
    </row>
    <row r="32" spans="1:44">
      <c r="A32" s="8">
        <v>74</v>
      </c>
      <c r="B32" s="8" t="s">
        <v>88</v>
      </c>
      <c r="C32" s="8" t="s">
        <v>12</v>
      </c>
      <c r="D32" s="8" t="s">
        <v>6</v>
      </c>
      <c r="E32" s="8">
        <v>74</v>
      </c>
      <c r="F32" s="24"/>
      <c r="G32" s="5"/>
      <c r="H32" s="5"/>
      <c r="I32" s="5"/>
      <c r="J32" s="5"/>
      <c r="K32" s="5"/>
      <c r="L32" s="5"/>
      <c r="M32" s="25"/>
      <c r="N32" s="24"/>
      <c r="O32" s="5"/>
      <c r="P32" s="5"/>
      <c r="Q32" s="5"/>
      <c r="R32" s="5"/>
      <c r="S32" s="5"/>
      <c r="T32" s="5"/>
      <c r="U32" s="25"/>
      <c r="V32" s="5"/>
      <c r="W32" s="5"/>
      <c r="X32" s="5"/>
      <c r="Y32" s="5"/>
      <c r="Z32" s="5"/>
      <c r="AA32" s="5">
        <v>1</v>
      </c>
      <c r="AB32" s="5">
        <v>1</v>
      </c>
      <c r="AC32" s="5">
        <v>1</v>
      </c>
      <c r="AD32" s="24"/>
      <c r="AE32" s="5"/>
      <c r="AF32" s="5"/>
      <c r="AG32" s="5"/>
      <c r="AH32" s="5"/>
      <c r="AI32" s="5"/>
      <c r="AJ32" s="5"/>
      <c r="AK32" s="25"/>
      <c r="AL32" s="5">
        <v>74</v>
      </c>
      <c r="AM32" s="8"/>
      <c r="AN32">
        <v>1</v>
      </c>
      <c r="AR32" s="67">
        <f t="shared" si="0"/>
        <v>3</v>
      </c>
    </row>
    <row r="33" spans="1:44">
      <c r="A33" s="8">
        <v>76</v>
      </c>
      <c r="B33" s="8" t="s">
        <v>73</v>
      </c>
      <c r="C33" s="8" t="s">
        <v>165</v>
      </c>
      <c r="D33" s="8" t="s">
        <v>42</v>
      </c>
      <c r="E33" s="8">
        <v>76</v>
      </c>
      <c r="F33" s="24"/>
      <c r="G33" s="5"/>
      <c r="H33" s="5"/>
      <c r="I33" s="5"/>
      <c r="J33" s="5"/>
      <c r="K33" s="5">
        <v>1</v>
      </c>
      <c r="L33" s="5">
        <v>1</v>
      </c>
      <c r="M33" s="25">
        <v>1</v>
      </c>
      <c r="N33" s="24"/>
      <c r="O33" s="5"/>
      <c r="P33" s="5">
        <v>1</v>
      </c>
      <c r="Q33" s="5"/>
      <c r="R33" s="5"/>
      <c r="S33" s="5"/>
      <c r="T33" s="5"/>
      <c r="U33" s="25"/>
      <c r="V33" s="5"/>
      <c r="W33" s="5"/>
      <c r="X33" s="5"/>
      <c r="Y33" s="5"/>
      <c r="Z33" s="5"/>
      <c r="AA33" s="5">
        <v>1</v>
      </c>
      <c r="AB33" s="5"/>
      <c r="AC33" s="5"/>
      <c r="AD33" s="24"/>
      <c r="AE33" s="5"/>
      <c r="AF33" s="5">
        <v>1</v>
      </c>
      <c r="AG33" s="5"/>
      <c r="AH33" s="5"/>
      <c r="AI33" s="5"/>
      <c r="AJ33" s="5"/>
      <c r="AK33" s="25"/>
      <c r="AL33" s="5">
        <v>76</v>
      </c>
      <c r="AM33" s="8"/>
      <c r="AN33">
        <v>1</v>
      </c>
      <c r="AR33" s="67">
        <f t="shared" si="0"/>
        <v>6</v>
      </c>
    </row>
    <row r="34" spans="1:44">
      <c r="A34" s="8">
        <v>77</v>
      </c>
      <c r="B34" s="8" t="s">
        <v>78</v>
      </c>
      <c r="C34" s="8" t="s">
        <v>359</v>
      </c>
      <c r="D34" s="8"/>
      <c r="E34" s="8">
        <v>77</v>
      </c>
      <c r="F34" s="24"/>
      <c r="G34" s="5"/>
      <c r="H34" s="5"/>
      <c r="I34" s="5"/>
      <c r="J34" s="5"/>
      <c r="K34" s="5"/>
      <c r="L34" s="5"/>
      <c r="M34" s="25"/>
      <c r="N34" s="24"/>
      <c r="O34" s="5"/>
      <c r="P34" s="5"/>
      <c r="Q34" s="5"/>
      <c r="R34" s="5"/>
      <c r="S34" s="5"/>
      <c r="T34" s="5"/>
      <c r="U34" s="25"/>
      <c r="V34" s="5"/>
      <c r="W34" s="5"/>
      <c r="X34" s="5"/>
      <c r="Y34" s="5"/>
      <c r="Z34" s="5"/>
      <c r="AA34" s="5"/>
      <c r="AB34" s="5"/>
      <c r="AC34" s="5"/>
      <c r="AD34" s="24"/>
      <c r="AE34" s="5"/>
      <c r="AF34" s="5"/>
      <c r="AG34" s="5"/>
      <c r="AH34" s="5"/>
      <c r="AI34" s="5"/>
      <c r="AJ34" s="5"/>
      <c r="AK34" s="25"/>
      <c r="AL34" s="5">
        <v>77</v>
      </c>
      <c r="AM34" s="8">
        <v>1</v>
      </c>
      <c r="AR34" s="67">
        <f t="shared" si="0"/>
        <v>0</v>
      </c>
    </row>
    <row r="35" spans="1:44">
      <c r="A35" s="8">
        <v>79</v>
      </c>
      <c r="B35" s="8" t="s">
        <v>71</v>
      </c>
      <c r="C35" s="8" t="s">
        <v>366</v>
      </c>
      <c r="D35" s="8" t="s">
        <v>42</v>
      </c>
      <c r="E35" s="8">
        <v>79</v>
      </c>
      <c r="F35" s="24"/>
      <c r="G35" s="5"/>
      <c r="H35" s="5"/>
      <c r="I35" s="5"/>
      <c r="J35" s="5"/>
      <c r="K35" s="5">
        <v>1</v>
      </c>
      <c r="L35" s="5">
        <v>1</v>
      </c>
      <c r="M35" s="25">
        <v>1</v>
      </c>
      <c r="N35" s="24">
        <v>1</v>
      </c>
      <c r="O35" s="5"/>
      <c r="P35" s="5"/>
      <c r="Q35" s="5"/>
      <c r="R35" s="5"/>
      <c r="S35" s="5"/>
      <c r="T35" s="5"/>
      <c r="U35" s="25"/>
      <c r="V35" s="5"/>
      <c r="W35" s="5"/>
      <c r="X35" s="5"/>
      <c r="Y35" s="5"/>
      <c r="Z35" s="5"/>
      <c r="AA35" s="5"/>
      <c r="AB35" s="5"/>
      <c r="AC35" s="5"/>
      <c r="AD35" s="24">
        <v>1</v>
      </c>
      <c r="AE35" s="5">
        <v>1</v>
      </c>
      <c r="AF35" s="5">
        <v>1</v>
      </c>
      <c r="AG35" s="5"/>
      <c r="AH35" s="5"/>
      <c r="AI35" s="5"/>
      <c r="AJ35" s="5"/>
      <c r="AK35" s="25"/>
      <c r="AL35" s="5">
        <v>79</v>
      </c>
      <c r="AM35" s="8"/>
      <c r="AN35">
        <v>1</v>
      </c>
      <c r="AR35" s="67">
        <f t="shared" si="0"/>
        <v>7</v>
      </c>
    </row>
    <row r="36" spans="1:44">
      <c r="A36" s="8">
        <v>82</v>
      </c>
      <c r="B36" s="55" t="s">
        <v>56</v>
      </c>
      <c r="C36" s="8" t="s">
        <v>360</v>
      </c>
      <c r="D36" s="8"/>
      <c r="E36" s="8">
        <v>82</v>
      </c>
      <c r="F36" s="24"/>
      <c r="G36" s="5"/>
      <c r="H36" s="5"/>
      <c r="I36" s="5"/>
      <c r="J36" s="5"/>
      <c r="K36" s="5"/>
      <c r="L36" s="5"/>
      <c r="M36" s="25"/>
      <c r="N36" s="24"/>
      <c r="O36" s="5"/>
      <c r="P36" s="5"/>
      <c r="Q36" s="5"/>
      <c r="R36" s="5"/>
      <c r="S36" s="5"/>
      <c r="T36" s="5"/>
      <c r="U36" s="25"/>
      <c r="V36" s="5"/>
      <c r="W36" s="5"/>
      <c r="X36" s="5"/>
      <c r="Y36" s="5"/>
      <c r="Z36" s="5"/>
      <c r="AA36" s="5"/>
      <c r="AB36" s="5"/>
      <c r="AC36" s="5"/>
      <c r="AD36" s="24"/>
      <c r="AE36" s="5"/>
      <c r="AF36" s="5"/>
      <c r="AG36" s="5"/>
      <c r="AH36" s="5"/>
      <c r="AI36" s="5"/>
      <c r="AJ36" s="5"/>
      <c r="AK36" s="25"/>
      <c r="AL36" s="5">
        <v>82</v>
      </c>
      <c r="AM36" s="8">
        <v>1</v>
      </c>
      <c r="AR36" s="67">
        <f t="shared" si="0"/>
        <v>0</v>
      </c>
    </row>
    <row r="37" spans="1:44">
      <c r="A37" s="8">
        <v>85</v>
      </c>
      <c r="B37" s="8" t="s">
        <v>93</v>
      </c>
      <c r="C37" s="8" t="s">
        <v>12</v>
      </c>
      <c r="D37" s="8" t="s">
        <v>6</v>
      </c>
      <c r="E37" s="8">
        <v>85</v>
      </c>
      <c r="F37" s="24"/>
      <c r="G37" s="5"/>
      <c r="H37" s="5"/>
      <c r="I37" s="5">
        <v>1</v>
      </c>
      <c r="J37" s="5">
        <v>1</v>
      </c>
      <c r="K37" s="5">
        <v>1</v>
      </c>
      <c r="L37" s="5">
        <v>1</v>
      </c>
      <c r="M37" s="25">
        <v>1</v>
      </c>
      <c r="N37" s="24">
        <v>1</v>
      </c>
      <c r="O37" s="5">
        <v>1</v>
      </c>
      <c r="P37" s="5">
        <v>1</v>
      </c>
      <c r="Q37" s="5">
        <v>1</v>
      </c>
      <c r="R37" s="5"/>
      <c r="S37" s="5"/>
      <c r="T37" s="5"/>
      <c r="U37" s="25"/>
      <c r="V37" s="5"/>
      <c r="W37" s="5"/>
      <c r="X37" s="5"/>
      <c r="Y37" s="5"/>
      <c r="Z37" s="5">
        <v>1</v>
      </c>
      <c r="AA37" s="5">
        <v>1</v>
      </c>
      <c r="AB37" s="5"/>
      <c r="AC37" s="5"/>
      <c r="AD37" s="24"/>
      <c r="AE37" s="5"/>
      <c r="AF37" s="5">
        <v>1</v>
      </c>
      <c r="AG37" s="5">
        <v>1</v>
      </c>
      <c r="AH37" s="5">
        <v>1</v>
      </c>
      <c r="AI37" s="5"/>
      <c r="AJ37" s="5"/>
      <c r="AK37" s="25"/>
      <c r="AL37" s="5">
        <v>85</v>
      </c>
      <c r="AM37" s="8"/>
      <c r="AN37">
        <v>1</v>
      </c>
      <c r="AR37" s="67">
        <f t="shared" si="0"/>
        <v>14</v>
      </c>
    </row>
    <row r="38" spans="1:44">
      <c r="A38" s="8">
        <v>86</v>
      </c>
      <c r="B38" s="8" t="s">
        <v>44</v>
      </c>
      <c r="C38" s="8" t="s">
        <v>349</v>
      </c>
      <c r="D38" s="8" t="s">
        <v>6</v>
      </c>
      <c r="E38" s="8">
        <v>86</v>
      </c>
      <c r="F38" s="24"/>
      <c r="G38" s="5"/>
      <c r="H38" s="5"/>
      <c r="I38" s="5"/>
      <c r="J38" s="5"/>
      <c r="K38" s="5"/>
      <c r="L38" s="5"/>
      <c r="M38" s="25"/>
      <c r="N38" s="24"/>
      <c r="O38" s="5"/>
      <c r="P38" s="5">
        <v>1</v>
      </c>
      <c r="Q38" s="5"/>
      <c r="R38" s="5"/>
      <c r="S38" s="5"/>
      <c r="T38" s="5"/>
      <c r="U38" s="25"/>
      <c r="V38" s="5"/>
      <c r="W38" s="5"/>
      <c r="X38" s="5"/>
      <c r="Y38" s="5"/>
      <c r="Z38" s="5"/>
      <c r="AA38" s="5">
        <v>1</v>
      </c>
      <c r="AB38" s="5"/>
      <c r="AC38" s="5"/>
      <c r="AD38" s="24"/>
      <c r="AE38" s="5"/>
      <c r="AF38" s="5"/>
      <c r="AG38" s="5"/>
      <c r="AH38" s="5"/>
      <c r="AI38" s="5"/>
      <c r="AJ38" s="5"/>
      <c r="AK38" s="25"/>
      <c r="AL38" s="5">
        <v>86</v>
      </c>
      <c r="AM38" s="8"/>
      <c r="AN38">
        <v>1</v>
      </c>
      <c r="AR38" s="67">
        <f t="shared" si="0"/>
        <v>2</v>
      </c>
    </row>
    <row r="39" spans="1:44">
      <c r="A39" s="8">
        <v>88</v>
      </c>
      <c r="B39" s="8" t="s">
        <v>55</v>
      </c>
      <c r="C39" s="8" t="s">
        <v>346</v>
      </c>
      <c r="D39" s="8"/>
      <c r="E39" s="8">
        <v>88</v>
      </c>
      <c r="F39" s="24"/>
      <c r="G39" s="5"/>
      <c r="H39" s="5"/>
      <c r="I39" s="5"/>
      <c r="J39" s="5"/>
      <c r="K39" s="5"/>
      <c r="L39" s="5"/>
      <c r="M39" s="25"/>
      <c r="N39" s="24"/>
      <c r="O39" s="5"/>
      <c r="P39" s="5"/>
      <c r="Q39" s="5"/>
      <c r="R39" s="5"/>
      <c r="S39" s="5"/>
      <c r="T39" s="5"/>
      <c r="U39" s="25"/>
      <c r="V39" s="5"/>
      <c r="W39" s="5"/>
      <c r="X39" s="5"/>
      <c r="Y39" s="5"/>
      <c r="Z39" s="5"/>
      <c r="AA39" s="5"/>
      <c r="AB39" s="5"/>
      <c r="AC39" s="5"/>
      <c r="AD39" s="24"/>
      <c r="AE39" s="5"/>
      <c r="AF39" s="5"/>
      <c r="AG39" s="5"/>
      <c r="AH39" s="5"/>
      <c r="AI39" s="5"/>
      <c r="AJ39" s="5"/>
      <c r="AK39" s="25"/>
      <c r="AL39" s="5">
        <v>88</v>
      </c>
      <c r="AM39" s="8">
        <v>1</v>
      </c>
      <c r="AR39" s="67">
        <f t="shared" si="0"/>
        <v>0</v>
      </c>
    </row>
    <row r="40" spans="1:44">
      <c r="A40" s="8">
        <v>93</v>
      </c>
      <c r="B40" s="8" t="s">
        <v>63</v>
      </c>
      <c r="C40" s="8" t="s">
        <v>346</v>
      </c>
      <c r="D40" s="8"/>
      <c r="E40" s="8">
        <v>93</v>
      </c>
      <c r="F40" s="24"/>
      <c r="G40" s="5"/>
      <c r="H40" s="5"/>
      <c r="I40" s="5"/>
      <c r="J40" s="5"/>
      <c r="K40" s="5"/>
      <c r="L40" s="5"/>
      <c r="M40" s="25"/>
      <c r="N40" s="24"/>
      <c r="O40" s="5"/>
      <c r="P40" s="5"/>
      <c r="Q40" s="5"/>
      <c r="R40" s="5"/>
      <c r="S40" s="5"/>
      <c r="T40" s="5"/>
      <c r="U40" s="25"/>
      <c r="V40" s="5"/>
      <c r="W40" s="5"/>
      <c r="X40" s="5"/>
      <c r="Y40" s="5"/>
      <c r="Z40" s="5"/>
      <c r="AA40" s="5"/>
      <c r="AB40" s="5"/>
      <c r="AC40" s="5"/>
      <c r="AD40" s="24"/>
      <c r="AE40" s="5"/>
      <c r="AF40" s="5"/>
      <c r="AG40" s="5"/>
      <c r="AH40" s="5"/>
      <c r="AI40" s="5"/>
      <c r="AJ40" s="5"/>
      <c r="AK40" s="25"/>
      <c r="AL40" s="5">
        <v>93</v>
      </c>
      <c r="AM40" s="8">
        <v>1</v>
      </c>
      <c r="AR40" s="67">
        <f t="shared" si="0"/>
        <v>0</v>
      </c>
    </row>
    <row r="41" spans="1:44">
      <c r="A41" s="8">
        <v>95</v>
      </c>
      <c r="B41" s="8" t="s">
        <v>53</v>
      </c>
      <c r="C41" s="8" t="s">
        <v>346</v>
      </c>
      <c r="D41" s="8"/>
      <c r="E41" s="8">
        <v>95</v>
      </c>
      <c r="F41" s="24"/>
      <c r="G41" s="5"/>
      <c r="H41" s="5"/>
      <c r="I41" s="5"/>
      <c r="J41" s="5"/>
      <c r="K41" s="5"/>
      <c r="L41" s="5"/>
      <c r="M41" s="25"/>
      <c r="N41" s="24"/>
      <c r="O41" s="5"/>
      <c r="P41" s="5"/>
      <c r="Q41" s="5"/>
      <c r="R41" s="5"/>
      <c r="S41" s="5"/>
      <c r="T41" s="5"/>
      <c r="U41" s="25"/>
      <c r="V41" s="5"/>
      <c r="W41" s="5"/>
      <c r="X41" s="5"/>
      <c r="Y41" s="5"/>
      <c r="Z41" s="5"/>
      <c r="AA41" s="5"/>
      <c r="AB41" s="5"/>
      <c r="AC41" s="5"/>
      <c r="AD41" s="24"/>
      <c r="AE41" s="5"/>
      <c r="AF41" s="5"/>
      <c r="AG41" s="5"/>
      <c r="AH41" s="5"/>
      <c r="AI41" s="5"/>
      <c r="AJ41" s="5"/>
      <c r="AK41" s="25"/>
      <c r="AL41" s="5">
        <v>95</v>
      </c>
      <c r="AM41" s="8">
        <v>1</v>
      </c>
      <c r="AR41" s="67">
        <f t="shared" si="0"/>
        <v>0</v>
      </c>
    </row>
    <row r="42" spans="1:44">
      <c r="A42" s="8">
        <v>97</v>
      </c>
      <c r="B42" s="8" t="s">
        <v>44</v>
      </c>
      <c r="C42" s="8" t="s">
        <v>349</v>
      </c>
      <c r="D42" s="8" t="s">
        <v>42</v>
      </c>
      <c r="E42" s="8">
        <v>97</v>
      </c>
      <c r="F42" s="24"/>
      <c r="G42" s="5"/>
      <c r="H42" s="5"/>
      <c r="I42" s="5"/>
      <c r="J42" s="5"/>
      <c r="K42" s="5"/>
      <c r="L42" s="5"/>
      <c r="M42" s="25"/>
      <c r="N42" s="24"/>
      <c r="O42" s="5"/>
      <c r="P42" s="5"/>
      <c r="Q42" s="5"/>
      <c r="R42" s="5"/>
      <c r="S42" s="5"/>
      <c r="T42" s="5"/>
      <c r="U42" s="25"/>
      <c r="V42" s="5"/>
      <c r="W42" s="5"/>
      <c r="X42" s="5"/>
      <c r="Y42" s="5"/>
      <c r="Z42" s="5"/>
      <c r="AA42" s="5"/>
      <c r="AB42" s="5"/>
      <c r="AC42" s="5"/>
      <c r="AD42" s="24"/>
      <c r="AE42" s="5"/>
      <c r="AF42" s="5"/>
      <c r="AG42" s="5"/>
      <c r="AH42" s="5"/>
      <c r="AI42" s="5"/>
      <c r="AJ42" s="5"/>
      <c r="AK42" s="25"/>
      <c r="AL42" s="5">
        <v>97</v>
      </c>
      <c r="AM42" s="8">
        <v>1</v>
      </c>
      <c r="AR42" s="67">
        <f t="shared" si="0"/>
        <v>0</v>
      </c>
    </row>
    <row r="43" spans="1:44">
      <c r="A43" s="8">
        <v>98</v>
      </c>
      <c r="B43" s="8" t="s">
        <v>62</v>
      </c>
      <c r="C43" s="8" t="s">
        <v>42</v>
      </c>
      <c r="D43" s="8" t="s">
        <v>42</v>
      </c>
      <c r="E43" s="8">
        <v>98</v>
      </c>
      <c r="F43" s="24"/>
      <c r="G43" s="5"/>
      <c r="H43" s="5"/>
      <c r="I43" s="5"/>
      <c r="J43" s="5"/>
      <c r="K43" s="5"/>
      <c r="L43" s="5"/>
      <c r="M43" s="25"/>
      <c r="N43" s="24"/>
      <c r="O43" s="5"/>
      <c r="P43" s="5"/>
      <c r="Q43" s="5"/>
      <c r="R43" s="5"/>
      <c r="S43" s="5"/>
      <c r="T43" s="5"/>
      <c r="U43" s="25"/>
      <c r="V43" s="5"/>
      <c r="W43" s="5"/>
      <c r="X43" s="5"/>
      <c r="Y43" s="5"/>
      <c r="Z43" s="5"/>
      <c r="AA43" s="5"/>
      <c r="AB43" s="5"/>
      <c r="AC43" s="5"/>
      <c r="AD43" s="24"/>
      <c r="AE43" s="5"/>
      <c r="AF43" s="5">
        <v>1</v>
      </c>
      <c r="AG43" s="5"/>
      <c r="AH43" s="5"/>
      <c r="AI43" s="5"/>
      <c r="AJ43" s="5"/>
      <c r="AK43" s="25"/>
      <c r="AL43" s="5">
        <v>98</v>
      </c>
      <c r="AM43" s="8"/>
      <c r="AN43">
        <v>1</v>
      </c>
      <c r="AR43" s="67">
        <f t="shared" si="0"/>
        <v>1</v>
      </c>
    </row>
    <row r="44" spans="1:44">
      <c r="A44" s="8">
        <v>100</v>
      </c>
      <c r="B44" s="8" t="s">
        <v>62</v>
      </c>
      <c r="C44" s="8" t="s">
        <v>42</v>
      </c>
      <c r="D44" s="8" t="s">
        <v>42</v>
      </c>
      <c r="E44" s="8">
        <v>100</v>
      </c>
      <c r="F44" s="24"/>
      <c r="G44" s="5"/>
      <c r="H44" s="5"/>
      <c r="I44" s="5"/>
      <c r="J44" s="5"/>
      <c r="K44" s="5"/>
      <c r="L44" s="5"/>
      <c r="M44" s="25"/>
      <c r="N44" s="24"/>
      <c r="O44" s="5"/>
      <c r="P44" s="5"/>
      <c r="Q44" s="5"/>
      <c r="R44" s="5"/>
      <c r="S44" s="5"/>
      <c r="T44" s="5"/>
      <c r="U44" s="25"/>
      <c r="V44" s="5"/>
      <c r="W44" s="5"/>
      <c r="X44" s="5"/>
      <c r="Y44" s="5"/>
      <c r="Z44" s="5"/>
      <c r="AA44" s="5"/>
      <c r="AB44" s="5"/>
      <c r="AC44" s="5"/>
      <c r="AD44" s="24"/>
      <c r="AE44" s="5"/>
      <c r="AF44" s="5"/>
      <c r="AG44" s="5"/>
      <c r="AH44" s="5"/>
      <c r="AI44" s="5"/>
      <c r="AJ44" s="5"/>
      <c r="AK44" s="25"/>
      <c r="AL44" s="5">
        <v>100</v>
      </c>
      <c r="AM44" s="8">
        <v>1</v>
      </c>
      <c r="AR44" s="67">
        <f t="shared" si="0"/>
        <v>0</v>
      </c>
    </row>
    <row r="45" spans="1:44">
      <c r="A45" s="8">
        <v>104</v>
      </c>
      <c r="B45" s="8" t="s">
        <v>106</v>
      </c>
      <c r="C45" s="8" t="s">
        <v>349</v>
      </c>
      <c r="D45" s="8" t="s">
        <v>42</v>
      </c>
      <c r="E45" s="8">
        <v>104</v>
      </c>
      <c r="F45" s="24"/>
      <c r="G45" s="5"/>
      <c r="H45" s="5"/>
      <c r="I45" s="5"/>
      <c r="J45" s="5"/>
      <c r="K45" s="5"/>
      <c r="L45" s="5"/>
      <c r="M45" s="25"/>
      <c r="N45" s="24"/>
      <c r="O45" s="5"/>
      <c r="P45" s="5"/>
      <c r="Q45" s="5"/>
      <c r="R45" s="5"/>
      <c r="S45" s="5"/>
      <c r="T45" s="5"/>
      <c r="U45" s="25"/>
      <c r="V45" s="5"/>
      <c r="W45" s="5"/>
      <c r="X45" s="5"/>
      <c r="Y45" s="5"/>
      <c r="Z45" s="5"/>
      <c r="AA45" s="5"/>
      <c r="AB45" s="5"/>
      <c r="AC45" s="5"/>
      <c r="AD45" s="24"/>
      <c r="AE45" s="5"/>
      <c r="AF45" s="5"/>
      <c r="AG45" s="5"/>
      <c r="AH45" s="5"/>
      <c r="AI45" s="5"/>
      <c r="AJ45" s="5"/>
      <c r="AK45" s="25"/>
      <c r="AL45" s="5">
        <v>104</v>
      </c>
      <c r="AM45" s="8">
        <v>1</v>
      </c>
      <c r="AR45" s="67">
        <f t="shared" si="0"/>
        <v>0</v>
      </c>
    </row>
    <row r="46" spans="1:44">
      <c r="A46" s="8">
        <v>105</v>
      </c>
      <c r="B46" s="8" t="s">
        <v>55</v>
      </c>
      <c r="C46" s="8" t="s">
        <v>346</v>
      </c>
      <c r="D46" s="8"/>
      <c r="E46" s="8">
        <v>105</v>
      </c>
      <c r="F46" s="24"/>
      <c r="G46" s="5"/>
      <c r="H46" s="5"/>
      <c r="I46" s="5"/>
      <c r="J46" s="5"/>
      <c r="K46" s="5"/>
      <c r="L46" s="5"/>
      <c r="M46" s="25"/>
      <c r="N46" s="24"/>
      <c r="O46" s="5"/>
      <c r="P46" s="5"/>
      <c r="Q46" s="5"/>
      <c r="R46" s="5"/>
      <c r="S46" s="5"/>
      <c r="T46" s="5"/>
      <c r="U46" s="25"/>
      <c r="V46" s="5"/>
      <c r="W46" s="5"/>
      <c r="X46" s="5"/>
      <c r="Y46" s="5"/>
      <c r="Z46" s="5"/>
      <c r="AA46" s="5"/>
      <c r="AB46" s="5"/>
      <c r="AC46" s="5"/>
      <c r="AD46" s="24"/>
      <c r="AE46" s="5"/>
      <c r="AF46" s="5"/>
      <c r="AG46" s="5"/>
      <c r="AH46" s="5"/>
      <c r="AI46" s="5"/>
      <c r="AJ46" s="5"/>
      <c r="AK46" s="25"/>
      <c r="AL46" s="5">
        <v>105</v>
      </c>
      <c r="AM46" s="8">
        <v>1</v>
      </c>
      <c r="AR46" s="67">
        <f t="shared" si="0"/>
        <v>0</v>
      </c>
    </row>
    <row r="47" spans="1:44">
      <c r="A47" s="8">
        <v>106</v>
      </c>
      <c r="B47" s="8" t="s">
        <v>55</v>
      </c>
      <c r="C47" s="8" t="s">
        <v>346</v>
      </c>
      <c r="D47" s="8"/>
      <c r="E47" s="8">
        <v>106</v>
      </c>
      <c r="F47" s="24"/>
      <c r="G47" s="5"/>
      <c r="H47" s="5"/>
      <c r="I47" s="5"/>
      <c r="J47" s="5"/>
      <c r="K47" s="5"/>
      <c r="L47" s="5"/>
      <c r="M47" s="25"/>
      <c r="N47" s="24"/>
      <c r="O47" s="5"/>
      <c r="P47" s="5"/>
      <c r="Q47" s="5"/>
      <c r="R47" s="5"/>
      <c r="S47" s="5"/>
      <c r="T47" s="5"/>
      <c r="U47" s="25"/>
      <c r="V47" s="5"/>
      <c r="W47" s="5"/>
      <c r="X47" s="5"/>
      <c r="Y47" s="5"/>
      <c r="Z47" s="5"/>
      <c r="AA47" s="5"/>
      <c r="AB47" s="5"/>
      <c r="AC47" s="5"/>
      <c r="AD47" s="24"/>
      <c r="AE47" s="5"/>
      <c r="AF47" s="5"/>
      <c r="AG47" s="5"/>
      <c r="AH47" s="5"/>
      <c r="AI47" s="5"/>
      <c r="AJ47" s="5"/>
      <c r="AK47" s="25"/>
      <c r="AL47" s="5">
        <v>106</v>
      </c>
      <c r="AM47" s="8">
        <v>1</v>
      </c>
      <c r="AR47" s="67">
        <f t="shared" si="0"/>
        <v>0</v>
      </c>
    </row>
    <row r="48" spans="1:44">
      <c r="A48" s="8">
        <v>108</v>
      </c>
      <c r="B48" s="8" t="s">
        <v>99</v>
      </c>
      <c r="C48" s="8" t="s">
        <v>346</v>
      </c>
      <c r="D48" s="8"/>
      <c r="E48" s="8">
        <v>108</v>
      </c>
      <c r="F48" s="24"/>
      <c r="G48" s="5"/>
      <c r="H48" s="5"/>
      <c r="I48" s="5"/>
      <c r="J48" s="5"/>
      <c r="K48" s="5"/>
      <c r="L48" s="5"/>
      <c r="M48" s="25"/>
      <c r="N48" s="24"/>
      <c r="O48" s="5"/>
      <c r="P48" s="5"/>
      <c r="Q48" s="5"/>
      <c r="R48" s="5"/>
      <c r="S48" s="5"/>
      <c r="T48" s="5"/>
      <c r="U48" s="25"/>
      <c r="V48" s="5"/>
      <c r="W48" s="5"/>
      <c r="X48" s="5"/>
      <c r="Y48" s="5"/>
      <c r="Z48" s="5"/>
      <c r="AA48" s="5"/>
      <c r="AB48" s="5"/>
      <c r="AC48" s="5"/>
      <c r="AD48" s="24"/>
      <c r="AE48" s="5"/>
      <c r="AF48" s="5"/>
      <c r="AG48" s="5"/>
      <c r="AH48" s="5"/>
      <c r="AI48" s="5"/>
      <c r="AJ48" s="5"/>
      <c r="AK48" s="25"/>
      <c r="AL48" s="5">
        <v>108</v>
      </c>
      <c r="AM48" s="8">
        <v>1</v>
      </c>
      <c r="AR48" s="67">
        <f t="shared" si="0"/>
        <v>0</v>
      </c>
    </row>
    <row r="49" spans="1:44">
      <c r="A49" s="8">
        <v>109</v>
      </c>
      <c r="B49" s="8" t="s">
        <v>107</v>
      </c>
      <c r="C49" s="8" t="s">
        <v>358</v>
      </c>
      <c r="D49" s="8" t="s">
        <v>6</v>
      </c>
      <c r="E49" s="8">
        <v>109</v>
      </c>
      <c r="F49" s="24"/>
      <c r="G49" s="5"/>
      <c r="H49" s="5"/>
      <c r="I49" s="5"/>
      <c r="J49" s="5"/>
      <c r="K49" s="5"/>
      <c r="L49" s="5"/>
      <c r="M49" s="25"/>
      <c r="N49" s="24"/>
      <c r="O49" s="5"/>
      <c r="P49" s="5"/>
      <c r="Q49" s="5"/>
      <c r="R49" s="5"/>
      <c r="S49" s="5"/>
      <c r="T49" s="5"/>
      <c r="U49" s="25"/>
      <c r="V49" s="5"/>
      <c r="W49" s="5"/>
      <c r="X49" s="5"/>
      <c r="Y49" s="5"/>
      <c r="Z49" s="5"/>
      <c r="AA49" s="5">
        <v>1</v>
      </c>
      <c r="AB49" s="5"/>
      <c r="AC49" s="5"/>
      <c r="AD49" s="24"/>
      <c r="AE49" s="5"/>
      <c r="AF49" s="5"/>
      <c r="AG49" s="5"/>
      <c r="AH49" s="5"/>
      <c r="AI49" s="5"/>
      <c r="AJ49" s="5"/>
      <c r="AK49" s="25"/>
      <c r="AL49" s="5">
        <v>109</v>
      </c>
      <c r="AM49" s="8"/>
      <c r="AN49">
        <v>1</v>
      </c>
      <c r="AR49" s="67">
        <f t="shared" si="0"/>
        <v>1</v>
      </c>
    </row>
    <row r="50" spans="1:44">
      <c r="A50" s="8">
        <v>112</v>
      </c>
      <c r="B50" s="8" t="s">
        <v>62</v>
      </c>
      <c r="C50" s="8" t="s">
        <v>42</v>
      </c>
      <c r="D50" s="8" t="s">
        <v>42</v>
      </c>
      <c r="E50" s="8">
        <v>112</v>
      </c>
      <c r="F50" s="24"/>
      <c r="G50" s="5"/>
      <c r="H50" s="5"/>
      <c r="I50" s="5"/>
      <c r="J50" s="5"/>
      <c r="K50" s="5"/>
      <c r="L50" s="5"/>
      <c r="M50" s="25"/>
      <c r="N50" s="24"/>
      <c r="O50" s="5"/>
      <c r="P50" s="5"/>
      <c r="Q50" s="5"/>
      <c r="R50" s="5"/>
      <c r="S50" s="5"/>
      <c r="T50" s="5"/>
      <c r="U50" s="25"/>
      <c r="V50" s="5"/>
      <c r="W50" s="5"/>
      <c r="X50" s="5"/>
      <c r="Y50" s="5"/>
      <c r="Z50" s="5"/>
      <c r="AA50" s="5"/>
      <c r="AB50" s="5"/>
      <c r="AC50" s="5"/>
      <c r="AD50" s="24"/>
      <c r="AE50" s="5"/>
      <c r="AF50" s="5"/>
      <c r="AG50" s="5"/>
      <c r="AH50" s="5"/>
      <c r="AI50" s="5"/>
      <c r="AJ50" s="5"/>
      <c r="AK50" s="25"/>
      <c r="AL50" s="5">
        <v>112</v>
      </c>
      <c r="AM50" s="8">
        <v>1</v>
      </c>
      <c r="AR50" s="67">
        <f t="shared" si="0"/>
        <v>0</v>
      </c>
    </row>
    <row r="51" spans="1:44">
      <c r="A51" s="8">
        <v>115</v>
      </c>
      <c r="B51" s="8" t="s">
        <v>68</v>
      </c>
      <c r="C51" s="8" t="s">
        <v>357</v>
      </c>
      <c r="D51" s="8"/>
      <c r="E51" s="8">
        <v>115</v>
      </c>
      <c r="F51" s="24"/>
      <c r="G51" s="5"/>
      <c r="H51" s="5"/>
      <c r="I51" s="5"/>
      <c r="J51" s="5"/>
      <c r="K51" s="5"/>
      <c r="L51" s="5"/>
      <c r="M51" s="25">
        <v>1</v>
      </c>
      <c r="N51" s="24">
        <v>1</v>
      </c>
      <c r="O51" s="5"/>
      <c r="P51" s="5"/>
      <c r="Q51" s="5"/>
      <c r="R51" s="5"/>
      <c r="S51" s="5"/>
      <c r="T51" s="5"/>
      <c r="U51" s="25"/>
      <c r="V51" s="5"/>
      <c r="W51" s="5"/>
      <c r="X51" s="5"/>
      <c r="Y51" s="5"/>
      <c r="Z51" s="5"/>
      <c r="AA51" s="5"/>
      <c r="AB51" s="5"/>
      <c r="AC51" s="5"/>
      <c r="AD51" s="24"/>
      <c r="AE51" s="5"/>
      <c r="AF51" s="5"/>
      <c r="AG51" s="5"/>
      <c r="AH51" s="5"/>
      <c r="AI51" s="5"/>
      <c r="AJ51" s="5"/>
      <c r="AK51" s="25"/>
      <c r="AL51" s="5">
        <v>115</v>
      </c>
      <c r="AM51" s="8"/>
      <c r="AN51">
        <v>1</v>
      </c>
      <c r="AR51" s="67">
        <f t="shared" si="0"/>
        <v>2</v>
      </c>
    </row>
    <row r="52" spans="1:44">
      <c r="A52" s="8">
        <v>116</v>
      </c>
      <c r="B52" s="8" t="s">
        <v>62</v>
      </c>
      <c r="C52" s="8" t="s">
        <v>42</v>
      </c>
      <c r="D52" s="8" t="s">
        <v>42</v>
      </c>
      <c r="E52" s="8">
        <v>116</v>
      </c>
      <c r="F52" s="24"/>
      <c r="G52" s="5"/>
      <c r="H52" s="5"/>
      <c r="I52" s="5"/>
      <c r="J52" s="5"/>
      <c r="K52" s="5"/>
      <c r="L52" s="5"/>
      <c r="M52" s="25"/>
      <c r="N52" s="24"/>
      <c r="O52" s="5"/>
      <c r="P52" s="5"/>
      <c r="Q52" s="5"/>
      <c r="R52" s="5"/>
      <c r="S52" s="5"/>
      <c r="T52" s="5"/>
      <c r="U52" s="25"/>
      <c r="V52" s="5"/>
      <c r="W52" s="5"/>
      <c r="X52" s="5"/>
      <c r="Y52" s="5"/>
      <c r="Z52" s="5"/>
      <c r="AA52" s="5"/>
      <c r="AB52" s="5"/>
      <c r="AC52" s="5"/>
      <c r="AD52" s="24"/>
      <c r="AE52" s="5"/>
      <c r="AF52" s="5"/>
      <c r="AG52" s="5"/>
      <c r="AH52" s="5"/>
      <c r="AI52" s="5"/>
      <c r="AJ52" s="5"/>
      <c r="AK52" s="25"/>
      <c r="AL52" s="5">
        <v>116</v>
      </c>
      <c r="AM52" s="8">
        <v>1</v>
      </c>
      <c r="AR52" s="67">
        <f t="shared" si="0"/>
        <v>0</v>
      </c>
    </row>
    <row r="53" spans="1:44">
      <c r="A53" s="8">
        <v>117</v>
      </c>
      <c r="B53" s="8" t="s">
        <v>55</v>
      </c>
      <c r="C53" s="8" t="s">
        <v>346</v>
      </c>
      <c r="D53" s="8"/>
      <c r="E53" s="8">
        <v>117</v>
      </c>
      <c r="F53" s="24"/>
      <c r="G53" s="5"/>
      <c r="H53" s="5"/>
      <c r="I53" s="5"/>
      <c r="J53" s="5"/>
      <c r="K53" s="5"/>
      <c r="L53" s="5"/>
      <c r="M53" s="25"/>
      <c r="N53" s="24"/>
      <c r="O53" s="5"/>
      <c r="P53" s="5"/>
      <c r="Q53" s="5"/>
      <c r="R53" s="5"/>
      <c r="S53" s="5"/>
      <c r="T53" s="5"/>
      <c r="U53" s="25"/>
      <c r="V53" s="5"/>
      <c r="W53" s="5"/>
      <c r="X53" s="5"/>
      <c r="Y53" s="5"/>
      <c r="Z53" s="5"/>
      <c r="AA53" s="5"/>
      <c r="AB53" s="5"/>
      <c r="AC53" s="5"/>
      <c r="AD53" s="24"/>
      <c r="AE53" s="5"/>
      <c r="AF53" s="5"/>
      <c r="AG53" s="5"/>
      <c r="AH53" s="5"/>
      <c r="AI53" s="5"/>
      <c r="AJ53" s="5"/>
      <c r="AK53" s="25"/>
      <c r="AL53" s="5">
        <v>117</v>
      </c>
      <c r="AM53" s="8">
        <v>1</v>
      </c>
      <c r="AR53" s="67">
        <f t="shared" si="0"/>
        <v>0</v>
      </c>
    </row>
    <row r="54" spans="1:44">
      <c r="A54" s="8">
        <v>120</v>
      </c>
      <c r="B54" s="8" t="s">
        <v>73</v>
      </c>
      <c r="C54" s="8" t="s">
        <v>165</v>
      </c>
      <c r="D54" s="8" t="s">
        <v>42</v>
      </c>
      <c r="E54" s="8">
        <v>120</v>
      </c>
      <c r="F54" s="24"/>
      <c r="G54" s="5"/>
      <c r="H54" s="5"/>
      <c r="I54" s="5"/>
      <c r="J54" s="5"/>
      <c r="K54" s="5"/>
      <c r="L54" s="5"/>
      <c r="M54" s="25"/>
      <c r="N54" s="24"/>
      <c r="O54" s="5"/>
      <c r="P54" s="5">
        <v>1</v>
      </c>
      <c r="Q54" s="5"/>
      <c r="R54" s="5"/>
      <c r="S54" s="5"/>
      <c r="T54" s="5"/>
      <c r="U54" s="25"/>
      <c r="V54" s="5"/>
      <c r="W54" s="5"/>
      <c r="X54" s="5"/>
      <c r="Y54" s="5"/>
      <c r="Z54" s="5"/>
      <c r="AA54" s="5"/>
      <c r="AB54" s="5"/>
      <c r="AC54" s="5"/>
      <c r="AD54" s="24"/>
      <c r="AE54" s="5"/>
      <c r="AF54" s="5">
        <v>1</v>
      </c>
      <c r="AG54" s="5"/>
      <c r="AH54" s="5"/>
      <c r="AI54" s="5"/>
      <c r="AJ54" s="5"/>
      <c r="AK54" s="25"/>
      <c r="AL54" s="5">
        <v>120</v>
      </c>
      <c r="AM54" s="8"/>
      <c r="AN54">
        <v>1</v>
      </c>
      <c r="AR54" s="67">
        <f t="shared" si="0"/>
        <v>2</v>
      </c>
    </row>
    <row r="55" spans="1:44">
      <c r="A55" s="8">
        <v>121</v>
      </c>
      <c r="B55" s="8" t="s">
        <v>113</v>
      </c>
      <c r="C55" s="8" t="s">
        <v>357</v>
      </c>
      <c r="D55" s="8"/>
      <c r="E55" s="8">
        <v>121</v>
      </c>
      <c r="F55" s="24"/>
      <c r="G55" s="5"/>
      <c r="H55" s="5"/>
      <c r="I55" s="5"/>
      <c r="J55" s="5"/>
      <c r="K55" s="5"/>
      <c r="L55" s="5"/>
      <c r="M55" s="25">
        <v>1</v>
      </c>
      <c r="N55" s="24">
        <v>1</v>
      </c>
      <c r="O55" s="5"/>
      <c r="P55" s="5"/>
      <c r="Q55" s="5"/>
      <c r="R55" s="5"/>
      <c r="S55" s="5"/>
      <c r="T55" s="5"/>
      <c r="U55" s="25"/>
      <c r="V55" s="5"/>
      <c r="W55" s="5"/>
      <c r="X55" s="5"/>
      <c r="Y55" s="5"/>
      <c r="Z55" s="5"/>
      <c r="AA55" s="5">
        <v>1</v>
      </c>
      <c r="AB55" s="5"/>
      <c r="AC55" s="5"/>
      <c r="AD55" s="24"/>
      <c r="AE55" s="5"/>
      <c r="AF55" s="5">
        <v>1</v>
      </c>
      <c r="AG55" s="5"/>
      <c r="AH55" s="5"/>
      <c r="AI55" s="5"/>
      <c r="AJ55" s="5"/>
      <c r="AK55" s="25"/>
      <c r="AL55" s="5">
        <v>121</v>
      </c>
      <c r="AM55" s="8"/>
      <c r="AN55">
        <v>1</v>
      </c>
      <c r="AR55" s="67">
        <f t="shared" si="0"/>
        <v>4</v>
      </c>
    </row>
    <row r="56" spans="1:44">
      <c r="A56" s="8">
        <v>122</v>
      </c>
      <c r="B56" s="8" t="s">
        <v>115</v>
      </c>
      <c r="C56" s="8" t="s">
        <v>357</v>
      </c>
      <c r="D56" s="8" t="s">
        <v>6</v>
      </c>
      <c r="E56" s="8">
        <v>122</v>
      </c>
      <c r="F56" s="24"/>
      <c r="G56" s="5"/>
      <c r="H56" s="5"/>
      <c r="I56" s="5"/>
      <c r="J56" s="5"/>
      <c r="K56" s="5"/>
      <c r="L56" s="5"/>
      <c r="M56" s="25"/>
      <c r="N56" s="24"/>
      <c r="O56" s="5"/>
      <c r="P56" s="5"/>
      <c r="Q56" s="5"/>
      <c r="R56" s="5"/>
      <c r="S56" s="5"/>
      <c r="T56" s="5"/>
      <c r="U56" s="25"/>
      <c r="V56" s="5"/>
      <c r="W56" s="5"/>
      <c r="X56" s="5"/>
      <c r="Y56" s="5"/>
      <c r="Z56" s="5"/>
      <c r="AA56" s="5"/>
      <c r="AB56" s="5"/>
      <c r="AC56" s="5"/>
      <c r="AD56" s="24"/>
      <c r="AE56" s="5"/>
      <c r="AF56" s="5"/>
      <c r="AG56" s="5"/>
      <c r="AH56" s="5"/>
      <c r="AI56" s="5"/>
      <c r="AJ56" s="5"/>
      <c r="AK56" s="25"/>
      <c r="AL56" s="5">
        <v>122</v>
      </c>
      <c r="AM56" s="8">
        <v>1</v>
      </c>
      <c r="AR56" s="67">
        <f t="shared" si="0"/>
        <v>0</v>
      </c>
    </row>
    <row r="57" spans="1:44">
      <c r="A57" s="8">
        <v>125</v>
      </c>
      <c r="B57" s="8" t="s">
        <v>78</v>
      </c>
      <c r="C57" s="8" t="s">
        <v>359</v>
      </c>
      <c r="D57" s="8"/>
      <c r="E57" s="8">
        <v>125</v>
      </c>
      <c r="F57" s="24"/>
      <c r="G57" s="5"/>
      <c r="H57" s="5"/>
      <c r="I57" s="5"/>
      <c r="J57" s="5"/>
      <c r="K57" s="5"/>
      <c r="L57" s="5"/>
      <c r="M57" s="25"/>
      <c r="N57" s="24"/>
      <c r="O57" s="5"/>
      <c r="P57" s="5"/>
      <c r="Q57" s="5"/>
      <c r="R57" s="5"/>
      <c r="S57" s="5"/>
      <c r="T57" s="5"/>
      <c r="U57" s="25"/>
      <c r="V57" s="5"/>
      <c r="W57" s="5"/>
      <c r="X57" s="5"/>
      <c r="Y57" s="5"/>
      <c r="Z57" s="5"/>
      <c r="AA57" s="5"/>
      <c r="AB57" s="5"/>
      <c r="AC57" s="5"/>
      <c r="AD57" s="24"/>
      <c r="AE57" s="5"/>
      <c r="AF57" s="5"/>
      <c r="AG57" s="5"/>
      <c r="AH57" s="5"/>
      <c r="AI57" s="5"/>
      <c r="AJ57" s="5"/>
      <c r="AK57" s="25"/>
      <c r="AL57" s="5">
        <v>125</v>
      </c>
      <c r="AM57" s="8">
        <v>1</v>
      </c>
      <c r="AR57" s="67">
        <f t="shared" si="0"/>
        <v>0</v>
      </c>
    </row>
    <row r="58" spans="1:44">
      <c r="A58" s="8">
        <v>127</v>
      </c>
      <c r="B58" s="8" t="s">
        <v>62</v>
      </c>
      <c r="C58" s="8" t="s">
        <v>42</v>
      </c>
      <c r="D58" s="8" t="s">
        <v>42</v>
      </c>
      <c r="E58" s="8">
        <v>127</v>
      </c>
      <c r="F58" s="24"/>
      <c r="G58" s="5"/>
      <c r="H58" s="5"/>
      <c r="I58" s="5"/>
      <c r="J58" s="5"/>
      <c r="K58" s="5"/>
      <c r="L58" s="5"/>
      <c r="M58" s="25"/>
      <c r="N58" s="24"/>
      <c r="O58" s="5"/>
      <c r="P58" s="5"/>
      <c r="Q58" s="5"/>
      <c r="R58" s="5"/>
      <c r="S58" s="5"/>
      <c r="T58" s="5"/>
      <c r="U58" s="25"/>
      <c r="V58" s="5"/>
      <c r="W58" s="5"/>
      <c r="X58" s="5"/>
      <c r="Y58" s="5"/>
      <c r="Z58" s="5"/>
      <c r="AA58" s="5"/>
      <c r="AB58" s="5"/>
      <c r="AC58" s="5"/>
      <c r="AD58" s="24"/>
      <c r="AE58" s="5"/>
      <c r="AF58" s="5"/>
      <c r="AG58" s="5"/>
      <c r="AH58" s="5"/>
      <c r="AI58" s="5"/>
      <c r="AJ58" s="5"/>
      <c r="AK58" s="25"/>
      <c r="AL58" s="5">
        <v>127</v>
      </c>
      <c r="AM58" s="8">
        <v>1</v>
      </c>
      <c r="AR58" s="67">
        <f t="shared" si="0"/>
        <v>0</v>
      </c>
    </row>
    <row r="59" spans="1:44">
      <c r="A59" s="8">
        <v>129</v>
      </c>
      <c r="B59" s="8" t="s">
        <v>88</v>
      </c>
      <c r="C59" s="8" t="s">
        <v>12</v>
      </c>
      <c r="D59" s="8" t="s">
        <v>6</v>
      </c>
      <c r="E59" s="8">
        <v>129</v>
      </c>
      <c r="F59" s="24"/>
      <c r="G59" s="5"/>
      <c r="H59" s="5"/>
      <c r="I59" s="5"/>
      <c r="J59" s="5"/>
      <c r="K59" s="5">
        <v>1</v>
      </c>
      <c r="L59" s="5"/>
      <c r="M59" s="25"/>
      <c r="N59" s="24"/>
      <c r="O59" s="5"/>
      <c r="P59" s="5">
        <v>1</v>
      </c>
      <c r="Q59" s="5"/>
      <c r="R59" s="5"/>
      <c r="S59" s="5"/>
      <c r="T59" s="5"/>
      <c r="U59" s="25"/>
      <c r="V59" s="5"/>
      <c r="W59" s="5"/>
      <c r="X59" s="5"/>
      <c r="Y59" s="5"/>
      <c r="Z59" s="5"/>
      <c r="AA59" s="5">
        <v>1</v>
      </c>
      <c r="AB59" s="5"/>
      <c r="AC59" s="5"/>
      <c r="AD59" s="24"/>
      <c r="AE59" s="5"/>
      <c r="AF59" s="5">
        <v>1</v>
      </c>
      <c r="AG59" s="5"/>
      <c r="AH59" s="5"/>
      <c r="AI59" s="5"/>
      <c r="AJ59" s="5"/>
      <c r="AK59" s="25"/>
      <c r="AL59" s="5">
        <v>129</v>
      </c>
      <c r="AM59" s="8"/>
      <c r="AN59">
        <v>1</v>
      </c>
      <c r="AR59" s="67">
        <f t="shared" si="0"/>
        <v>4</v>
      </c>
    </row>
    <row r="60" spans="1:44">
      <c r="A60" s="8">
        <v>130</v>
      </c>
      <c r="B60" s="8" t="s">
        <v>41</v>
      </c>
      <c r="C60" s="8" t="s">
        <v>42</v>
      </c>
      <c r="D60" s="8" t="s">
        <v>42</v>
      </c>
      <c r="E60" s="8">
        <v>130</v>
      </c>
      <c r="F60" s="24"/>
      <c r="G60" s="5"/>
      <c r="H60" s="5"/>
      <c r="I60" s="5"/>
      <c r="J60" s="5"/>
      <c r="K60" s="5"/>
      <c r="L60" s="5"/>
      <c r="M60" s="25"/>
      <c r="N60" s="24"/>
      <c r="O60" s="5"/>
      <c r="P60" s="5"/>
      <c r="Q60" s="5"/>
      <c r="R60" s="5"/>
      <c r="S60" s="5"/>
      <c r="T60" s="5"/>
      <c r="U60" s="25"/>
      <c r="V60" s="5"/>
      <c r="W60" s="5"/>
      <c r="X60" s="5"/>
      <c r="Y60" s="5"/>
      <c r="Z60" s="5"/>
      <c r="AA60" s="5"/>
      <c r="AB60" s="5"/>
      <c r="AC60" s="5"/>
      <c r="AD60" s="24"/>
      <c r="AE60" s="5"/>
      <c r="AF60" s="5"/>
      <c r="AG60" s="5"/>
      <c r="AH60" s="5"/>
      <c r="AI60" s="5"/>
      <c r="AJ60" s="5"/>
      <c r="AK60" s="25"/>
      <c r="AL60" s="5">
        <v>130</v>
      </c>
      <c r="AM60" s="8">
        <v>1</v>
      </c>
      <c r="AR60" s="67">
        <f t="shared" si="0"/>
        <v>0</v>
      </c>
    </row>
    <row r="61" spans="1:44">
      <c r="A61" s="8">
        <v>131</v>
      </c>
      <c r="B61" s="8" t="s">
        <v>63</v>
      </c>
      <c r="C61" s="8" t="s">
        <v>346</v>
      </c>
      <c r="D61" s="8"/>
      <c r="E61" s="8">
        <v>131</v>
      </c>
      <c r="F61" s="24"/>
      <c r="G61" s="5"/>
      <c r="H61" s="5"/>
      <c r="I61" s="5"/>
      <c r="J61" s="5"/>
      <c r="K61" s="5"/>
      <c r="L61" s="5"/>
      <c r="M61" s="25"/>
      <c r="N61" s="24"/>
      <c r="O61" s="5"/>
      <c r="P61" s="5"/>
      <c r="Q61" s="5"/>
      <c r="R61" s="5"/>
      <c r="S61" s="5"/>
      <c r="T61" s="5"/>
      <c r="U61" s="25"/>
      <c r="V61" s="5"/>
      <c r="W61" s="5"/>
      <c r="X61" s="5"/>
      <c r="Y61" s="5"/>
      <c r="Z61" s="5"/>
      <c r="AA61" s="5"/>
      <c r="AB61" s="5"/>
      <c r="AC61" s="5"/>
      <c r="AD61" s="24"/>
      <c r="AE61" s="5"/>
      <c r="AF61" s="5"/>
      <c r="AG61" s="5"/>
      <c r="AH61" s="5"/>
      <c r="AI61" s="5"/>
      <c r="AJ61" s="5"/>
      <c r="AK61" s="25"/>
      <c r="AL61" s="5">
        <v>131</v>
      </c>
      <c r="AM61" s="8">
        <v>1</v>
      </c>
      <c r="AR61" s="67">
        <f t="shared" si="0"/>
        <v>0</v>
      </c>
    </row>
    <row r="62" spans="1:44">
      <c r="A62" s="8">
        <v>132</v>
      </c>
      <c r="B62" s="8" t="s">
        <v>99</v>
      </c>
      <c r="C62" s="8" t="s">
        <v>346</v>
      </c>
      <c r="D62" s="8"/>
      <c r="E62" s="8">
        <v>132</v>
      </c>
      <c r="F62" s="24"/>
      <c r="G62" s="5"/>
      <c r="H62" s="5"/>
      <c r="I62" s="5"/>
      <c r="J62" s="5"/>
      <c r="K62" s="5"/>
      <c r="L62" s="5"/>
      <c r="M62" s="25"/>
      <c r="N62" s="24"/>
      <c r="O62" s="5"/>
      <c r="P62" s="5"/>
      <c r="Q62" s="5"/>
      <c r="R62" s="5"/>
      <c r="S62" s="5"/>
      <c r="T62" s="5"/>
      <c r="U62" s="25"/>
      <c r="V62" s="5"/>
      <c r="W62" s="5"/>
      <c r="X62" s="5"/>
      <c r="Y62" s="5"/>
      <c r="Z62" s="5"/>
      <c r="AA62" s="5"/>
      <c r="AB62" s="5"/>
      <c r="AC62" s="5"/>
      <c r="AD62" s="24"/>
      <c r="AE62" s="5"/>
      <c r="AF62" s="5"/>
      <c r="AG62" s="5"/>
      <c r="AH62" s="5"/>
      <c r="AI62" s="5"/>
      <c r="AJ62" s="5"/>
      <c r="AK62" s="25"/>
      <c r="AL62" s="5">
        <v>132</v>
      </c>
      <c r="AM62" s="8">
        <v>1</v>
      </c>
      <c r="AR62" s="67">
        <f t="shared" si="0"/>
        <v>0</v>
      </c>
    </row>
    <row r="63" spans="1:44">
      <c r="A63" s="8">
        <v>133</v>
      </c>
      <c r="B63" s="8" t="s">
        <v>41</v>
      </c>
      <c r="C63" s="8" t="s">
        <v>42</v>
      </c>
      <c r="D63" s="8" t="s">
        <v>6</v>
      </c>
      <c r="E63" s="8">
        <v>133</v>
      </c>
      <c r="F63" s="24"/>
      <c r="G63" s="5"/>
      <c r="H63" s="5"/>
      <c r="I63" s="5"/>
      <c r="J63" s="5"/>
      <c r="K63" s="5"/>
      <c r="L63" s="5"/>
      <c r="M63" s="25"/>
      <c r="N63" s="24"/>
      <c r="O63" s="5"/>
      <c r="P63" s="5">
        <v>1</v>
      </c>
      <c r="Q63" s="5"/>
      <c r="R63" s="5"/>
      <c r="S63" s="5"/>
      <c r="T63" s="5"/>
      <c r="U63" s="25"/>
      <c r="V63" s="5"/>
      <c r="W63" s="5"/>
      <c r="X63" s="5"/>
      <c r="Y63" s="5"/>
      <c r="Z63" s="5"/>
      <c r="AA63" s="5">
        <v>1</v>
      </c>
      <c r="AB63" s="5"/>
      <c r="AC63" s="5"/>
      <c r="AD63" s="24"/>
      <c r="AE63" s="5"/>
      <c r="AF63" s="5">
        <v>1</v>
      </c>
      <c r="AG63" s="5"/>
      <c r="AH63" s="5"/>
      <c r="AI63" s="5"/>
      <c r="AJ63" s="5"/>
      <c r="AK63" s="25"/>
      <c r="AL63" s="5">
        <v>133</v>
      </c>
      <c r="AM63" s="8"/>
      <c r="AN63">
        <v>1</v>
      </c>
      <c r="AR63" s="67">
        <f t="shared" si="0"/>
        <v>3</v>
      </c>
    </row>
    <row r="64" spans="1:44">
      <c r="A64" s="8">
        <v>134</v>
      </c>
      <c r="B64" s="8" t="s">
        <v>74</v>
      </c>
      <c r="C64" s="8" t="s">
        <v>346</v>
      </c>
      <c r="D64" s="8"/>
      <c r="E64" s="8">
        <v>134</v>
      </c>
      <c r="F64" s="24"/>
      <c r="G64" s="5"/>
      <c r="H64" s="5"/>
      <c r="I64" s="5"/>
      <c r="J64" s="5"/>
      <c r="K64" s="5"/>
      <c r="L64" s="5"/>
      <c r="M64" s="25"/>
      <c r="N64" s="24"/>
      <c r="O64" s="5"/>
      <c r="P64" s="5"/>
      <c r="Q64" s="5"/>
      <c r="R64" s="5"/>
      <c r="S64" s="5"/>
      <c r="T64" s="5"/>
      <c r="U64" s="25"/>
      <c r="V64" s="5"/>
      <c r="W64" s="5"/>
      <c r="X64" s="5"/>
      <c r="Y64" s="5"/>
      <c r="Z64" s="5"/>
      <c r="AA64" s="5"/>
      <c r="AB64" s="5"/>
      <c r="AC64" s="5"/>
      <c r="AD64" s="24"/>
      <c r="AE64" s="5"/>
      <c r="AF64" s="5"/>
      <c r="AG64" s="5"/>
      <c r="AH64" s="5"/>
      <c r="AI64" s="5"/>
      <c r="AJ64" s="5"/>
      <c r="AK64" s="25"/>
      <c r="AL64" s="5">
        <v>134</v>
      </c>
      <c r="AM64" s="8">
        <v>1</v>
      </c>
      <c r="AR64" s="67">
        <f t="shared" si="0"/>
        <v>0</v>
      </c>
    </row>
    <row r="65" spans="1:44">
      <c r="A65" s="8">
        <v>135</v>
      </c>
      <c r="B65" s="8" t="s">
        <v>63</v>
      </c>
      <c r="C65" s="8" t="s">
        <v>346</v>
      </c>
      <c r="D65" s="8"/>
      <c r="E65" s="8">
        <v>135</v>
      </c>
      <c r="F65" s="24"/>
      <c r="G65" s="5"/>
      <c r="H65" s="5"/>
      <c r="I65" s="5"/>
      <c r="J65" s="5"/>
      <c r="K65" s="5"/>
      <c r="L65" s="5"/>
      <c r="M65" s="25"/>
      <c r="N65" s="24"/>
      <c r="O65" s="5"/>
      <c r="P65" s="5"/>
      <c r="Q65" s="5"/>
      <c r="R65" s="5"/>
      <c r="S65" s="5"/>
      <c r="T65" s="5"/>
      <c r="U65" s="25"/>
      <c r="V65" s="5"/>
      <c r="W65" s="5"/>
      <c r="X65" s="5"/>
      <c r="Y65" s="5"/>
      <c r="Z65" s="5"/>
      <c r="AA65" s="5"/>
      <c r="AB65" s="5"/>
      <c r="AC65" s="5"/>
      <c r="AD65" s="24"/>
      <c r="AE65" s="5"/>
      <c r="AF65" s="5"/>
      <c r="AG65" s="5"/>
      <c r="AH65" s="5"/>
      <c r="AI65" s="5"/>
      <c r="AJ65" s="5"/>
      <c r="AK65" s="25"/>
      <c r="AL65" s="5">
        <v>135</v>
      </c>
      <c r="AM65" s="8">
        <v>1</v>
      </c>
      <c r="AR65" s="67">
        <f t="shared" si="0"/>
        <v>0</v>
      </c>
    </row>
    <row r="66" spans="1:44">
      <c r="A66" s="8">
        <v>136</v>
      </c>
      <c r="B66" s="8" t="s">
        <v>54</v>
      </c>
      <c r="C66" s="8" t="s">
        <v>345</v>
      </c>
      <c r="D66" s="8"/>
      <c r="E66" s="8">
        <v>136</v>
      </c>
      <c r="F66" s="24"/>
      <c r="G66" s="5"/>
      <c r="H66" s="5"/>
      <c r="I66" s="5"/>
      <c r="J66" s="5"/>
      <c r="K66" s="5"/>
      <c r="L66" s="5"/>
      <c r="M66" s="25"/>
      <c r="N66" s="24"/>
      <c r="O66" s="5"/>
      <c r="P66" s="5"/>
      <c r="Q66" s="5"/>
      <c r="R66" s="5"/>
      <c r="S66" s="5"/>
      <c r="T66" s="5"/>
      <c r="U66" s="25"/>
      <c r="V66" s="5"/>
      <c r="W66" s="5"/>
      <c r="X66" s="5"/>
      <c r="Y66" s="5"/>
      <c r="Z66" s="5"/>
      <c r="AA66" s="5"/>
      <c r="AB66" s="5"/>
      <c r="AC66" s="5"/>
      <c r="AD66" s="24"/>
      <c r="AE66" s="5"/>
      <c r="AF66" s="5"/>
      <c r="AG66" s="5"/>
      <c r="AH66" s="5"/>
      <c r="AI66" s="5"/>
      <c r="AJ66" s="5"/>
      <c r="AK66" s="25"/>
      <c r="AL66" s="5">
        <v>136</v>
      </c>
      <c r="AM66" s="8">
        <v>1</v>
      </c>
      <c r="AR66" s="67">
        <f t="shared" si="0"/>
        <v>0</v>
      </c>
    </row>
    <row r="67" spans="1:44">
      <c r="A67" s="8">
        <v>139</v>
      </c>
      <c r="B67" s="8" t="s">
        <v>123</v>
      </c>
      <c r="C67" s="8" t="s">
        <v>366</v>
      </c>
      <c r="D67" s="8" t="s">
        <v>42</v>
      </c>
      <c r="E67" s="8">
        <v>139</v>
      </c>
      <c r="F67" s="24"/>
      <c r="G67" s="5"/>
      <c r="H67" s="5"/>
      <c r="I67" s="5"/>
      <c r="J67" s="5"/>
      <c r="K67" s="5">
        <v>1</v>
      </c>
      <c r="L67" s="5">
        <v>1</v>
      </c>
      <c r="M67" s="25"/>
      <c r="N67" s="24"/>
      <c r="O67" s="5"/>
      <c r="P67" s="5"/>
      <c r="Q67" s="5"/>
      <c r="R67" s="5"/>
      <c r="S67" s="5"/>
      <c r="T67" s="5"/>
      <c r="U67" s="25"/>
      <c r="V67" s="5"/>
      <c r="W67" s="5"/>
      <c r="X67" s="5"/>
      <c r="Y67" s="5"/>
      <c r="Z67" s="5"/>
      <c r="AA67" s="5"/>
      <c r="AB67" s="5"/>
      <c r="AC67" s="5"/>
      <c r="AD67" s="24"/>
      <c r="AE67" s="5"/>
      <c r="AF67" s="5"/>
      <c r="AG67" s="5"/>
      <c r="AH67" s="5"/>
      <c r="AI67" s="5"/>
      <c r="AJ67" s="5"/>
      <c r="AK67" s="25"/>
      <c r="AL67" s="5">
        <v>139</v>
      </c>
      <c r="AM67" s="8"/>
      <c r="AN67">
        <v>1</v>
      </c>
      <c r="AR67" s="67">
        <f t="shared" si="0"/>
        <v>2</v>
      </c>
    </row>
    <row r="68" spans="1:44">
      <c r="A68" s="8">
        <v>140</v>
      </c>
      <c r="B68" s="8" t="s">
        <v>216</v>
      </c>
      <c r="C68" s="8" t="s">
        <v>42</v>
      </c>
      <c r="D68" s="8" t="s">
        <v>42</v>
      </c>
      <c r="E68" s="8">
        <v>140</v>
      </c>
      <c r="F68" s="24"/>
      <c r="G68" s="5"/>
      <c r="H68" s="5"/>
      <c r="I68" s="5"/>
      <c r="J68" s="5"/>
      <c r="K68" s="5"/>
      <c r="L68" s="5"/>
      <c r="M68" s="25"/>
      <c r="N68" s="24"/>
      <c r="O68" s="5"/>
      <c r="P68" s="5"/>
      <c r="Q68" s="5"/>
      <c r="R68" s="5"/>
      <c r="S68" s="5"/>
      <c r="T68" s="5"/>
      <c r="U68" s="25"/>
      <c r="V68" s="5"/>
      <c r="W68" s="5"/>
      <c r="X68" s="5"/>
      <c r="Y68" s="5"/>
      <c r="Z68" s="5"/>
      <c r="AA68" s="5">
        <v>1</v>
      </c>
      <c r="AB68" s="5"/>
      <c r="AC68" s="5"/>
      <c r="AD68" s="24"/>
      <c r="AE68" s="5"/>
      <c r="AF68" s="5"/>
      <c r="AG68" s="5"/>
      <c r="AH68" s="5"/>
      <c r="AI68" s="5"/>
      <c r="AJ68" s="5"/>
      <c r="AK68" s="25"/>
      <c r="AL68" s="5">
        <v>140</v>
      </c>
      <c r="AM68" s="8"/>
      <c r="AN68">
        <v>1</v>
      </c>
      <c r="AR68" s="67">
        <f t="shared" si="0"/>
        <v>1</v>
      </c>
    </row>
    <row r="69" spans="1:44">
      <c r="A69" s="8">
        <v>141</v>
      </c>
      <c r="B69" s="8" t="s">
        <v>65</v>
      </c>
      <c r="C69" s="8" t="s">
        <v>12</v>
      </c>
      <c r="D69" s="8" t="s">
        <v>6</v>
      </c>
      <c r="E69" s="8">
        <v>141</v>
      </c>
      <c r="F69" s="24"/>
      <c r="G69" s="5"/>
      <c r="H69" s="5"/>
      <c r="I69" s="5"/>
      <c r="J69" s="5"/>
      <c r="K69" s="5">
        <v>1</v>
      </c>
      <c r="L69" s="5">
        <v>1</v>
      </c>
      <c r="M69" s="25">
        <v>1</v>
      </c>
      <c r="N69" s="24">
        <v>1</v>
      </c>
      <c r="O69" s="5">
        <v>1</v>
      </c>
      <c r="P69" s="5">
        <v>1</v>
      </c>
      <c r="Q69" s="5">
        <v>1</v>
      </c>
      <c r="R69" s="5"/>
      <c r="S69" s="5"/>
      <c r="T69" s="5"/>
      <c r="U69" s="25"/>
      <c r="V69" s="5"/>
      <c r="W69" s="5"/>
      <c r="X69" s="5"/>
      <c r="Y69" s="5"/>
      <c r="Z69" s="5"/>
      <c r="AA69" s="5"/>
      <c r="AB69" s="5"/>
      <c r="AC69" s="5"/>
      <c r="AD69" s="24"/>
      <c r="AE69" s="5">
        <v>1</v>
      </c>
      <c r="AF69" s="5">
        <v>1</v>
      </c>
      <c r="AG69" s="5"/>
      <c r="AH69" s="5"/>
      <c r="AI69" s="5"/>
      <c r="AJ69" s="5"/>
      <c r="AK69" s="25"/>
      <c r="AL69" s="5">
        <v>141</v>
      </c>
      <c r="AM69" s="8"/>
      <c r="AN69">
        <v>1</v>
      </c>
      <c r="AR69" s="67">
        <f t="shared" ref="AR69:AR132" si="1">SUM(F69:AK69)</f>
        <v>9</v>
      </c>
    </row>
    <row r="70" spans="1:44">
      <c r="A70" s="8">
        <v>142</v>
      </c>
      <c r="B70" s="8" t="s">
        <v>71</v>
      </c>
      <c r="C70" s="8" t="s">
        <v>366</v>
      </c>
      <c r="D70" s="8" t="s">
        <v>42</v>
      </c>
      <c r="E70" s="8">
        <v>142</v>
      </c>
      <c r="F70" s="24"/>
      <c r="G70" s="5"/>
      <c r="H70" s="5"/>
      <c r="I70" s="5"/>
      <c r="J70" s="5"/>
      <c r="K70" s="5">
        <v>1</v>
      </c>
      <c r="L70" s="5"/>
      <c r="M70" s="25">
        <v>1</v>
      </c>
      <c r="N70" s="24">
        <v>1</v>
      </c>
      <c r="O70" s="5"/>
      <c r="P70" s="5"/>
      <c r="Q70" s="5"/>
      <c r="R70" s="5"/>
      <c r="S70" s="5"/>
      <c r="T70" s="5"/>
      <c r="U70" s="25"/>
      <c r="V70" s="5"/>
      <c r="W70" s="5"/>
      <c r="X70" s="5"/>
      <c r="Y70" s="5"/>
      <c r="Z70" s="5"/>
      <c r="AA70" s="5">
        <v>1</v>
      </c>
      <c r="AB70" s="5"/>
      <c r="AC70" s="5"/>
      <c r="AD70" s="24"/>
      <c r="AE70" s="5"/>
      <c r="AF70" s="5">
        <v>1</v>
      </c>
      <c r="AG70" s="5"/>
      <c r="AH70" s="5"/>
      <c r="AI70" s="5"/>
      <c r="AJ70" s="5"/>
      <c r="AK70" s="25"/>
      <c r="AL70" s="5">
        <v>142</v>
      </c>
      <c r="AM70" s="8"/>
      <c r="AN70">
        <v>1</v>
      </c>
      <c r="AR70" s="67">
        <f t="shared" si="1"/>
        <v>5</v>
      </c>
    </row>
    <row r="71" spans="1:44">
      <c r="A71" s="8">
        <v>143</v>
      </c>
      <c r="B71" s="8" t="s">
        <v>106</v>
      </c>
      <c r="C71" s="8" t="s">
        <v>349</v>
      </c>
      <c r="D71" s="8" t="s">
        <v>42</v>
      </c>
      <c r="E71" s="8">
        <v>143</v>
      </c>
      <c r="F71" s="24"/>
      <c r="G71" s="5"/>
      <c r="H71" s="5"/>
      <c r="I71" s="5"/>
      <c r="J71" s="5"/>
      <c r="K71" s="5"/>
      <c r="L71" s="5"/>
      <c r="M71" s="25"/>
      <c r="N71" s="24"/>
      <c r="O71" s="5"/>
      <c r="P71" s="5"/>
      <c r="Q71" s="5"/>
      <c r="R71" s="5"/>
      <c r="S71" s="5"/>
      <c r="T71" s="5"/>
      <c r="U71" s="25"/>
      <c r="V71" s="5"/>
      <c r="W71" s="5"/>
      <c r="X71" s="5"/>
      <c r="Y71" s="5"/>
      <c r="Z71" s="5"/>
      <c r="AA71" s="5"/>
      <c r="AB71" s="5"/>
      <c r="AC71" s="5"/>
      <c r="AD71" s="24"/>
      <c r="AE71" s="5"/>
      <c r="AF71" s="5"/>
      <c r="AG71" s="5"/>
      <c r="AH71" s="5"/>
      <c r="AI71" s="5"/>
      <c r="AJ71" s="5"/>
      <c r="AK71" s="25"/>
      <c r="AL71" s="5">
        <v>143</v>
      </c>
      <c r="AM71" s="8">
        <v>1</v>
      </c>
      <c r="AR71" s="67">
        <f t="shared" si="1"/>
        <v>0</v>
      </c>
    </row>
    <row r="72" spans="1:44">
      <c r="A72" s="8">
        <v>144</v>
      </c>
      <c r="B72" s="8" t="s">
        <v>80</v>
      </c>
      <c r="C72" s="8" t="s">
        <v>346</v>
      </c>
      <c r="D72" s="8"/>
      <c r="E72" s="8">
        <v>144</v>
      </c>
      <c r="F72" s="24"/>
      <c r="G72" s="5"/>
      <c r="H72" s="5"/>
      <c r="I72" s="5"/>
      <c r="J72" s="5"/>
      <c r="K72" s="5"/>
      <c r="L72" s="5"/>
      <c r="M72" s="25"/>
      <c r="N72" s="24"/>
      <c r="O72" s="5"/>
      <c r="P72" s="5"/>
      <c r="Q72" s="5"/>
      <c r="R72" s="5"/>
      <c r="S72" s="5"/>
      <c r="T72" s="5"/>
      <c r="U72" s="25"/>
      <c r="V72" s="5"/>
      <c r="W72" s="5"/>
      <c r="X72" s="5"/>
      <c r="Y72" s="5"/>
      <c r="Z72" s="5"/>
      <c r="AA72" s="5"/>
      <c r="AB72" s="5"/>
      <c r="AC72" s="5"/>
      <c r="AD72" s="24"/>
      <c r="AE72" s="5"/>
      <c r="AF72" s="5"/>
      <c r="AG72" s="5"/>
      <c r="AH72" s="5"/>
      <c r="AI72" s="5"/>
      <c r="AJ72" s="5"/>
      <c r="AK72" s="25"/>
      <c r="AL72" s="5">
        <v>144</v>
      </c>
      <c r="AM72" s="8"/>
      <c r="AO72">
        <v>1</v>
      </c>
      <c r="AR72" s="67">
        <f t="shared" si="1"/>
        <v>0</v>
      </c>
    </row>
    <row r="73" spans="1:44">
      <c r="A73" s="8">
        <v>145</v>
      </c>
      <c r="B73" s="8" t="s">
        <v>63</v>
      </c>
      <c r="C73" s="8" t="s">
        <v>346</v>
      </c>
      <c r="D73" s="8"/>
      <c r="E73" s="8">
        <v>145</v>
      </c>
      <c r="F73" s="24"/>
      <c r="G73" s="5"/>
      <c r="H73" s="5"/>
      <c r="I73" s="5"/>
      <c r="J73" s="5"/>
      <c r="K73" s="5"/>
      <c r="L73" s="5"/>
      <c r="M73" s="25"/>
      <c r="N73" s="24"/>
      <c r="O73" s="5"/>
      <c r="P73" s="5"/>
      <c r="Q73" s="5"/>
      <c r="R73" s="5"/>
      <c r="S73" s="5"/>
      <c r="T73" s="5"/>
      <c r="U73" s="25"/>
      <c r="V73" s="5"/>
      <c r="W73" s="5"/>
      <c r="X73" s="5"/>
      <c r="Y73" s="5"/>
      <c r="Z73" s="5"/>
      <c r="AA73" s="5"/>
      <c r="AB73" s="5"/>
      <c r="AC73" s="5"/>
      <c r="AD73" s="24"/>
      <c r="AE73" s="5"/>
      <c r="AF73" s="5"/>
      <c r="AG73" s="5"/>
      <c r="AH73" s="5"/>
      <c r="AI73" s="5"/>
      <c r="AJ73" s="5"/>
      <c r="AK73" s="25"/>
      <c r="AL73" s="5">
        <v>145</v>
      </c>
      <c r="AM73" s="8">
        <v>1</v>
      </c>
      <c r="AR73" s="67">
        <f t="shared" si="1"/>
        <v>0</v>
      </c>
    </row>
    <row r="74" spans="1:44">
      <c r="A74" s="8">
        <v>147</v>
      </c>
      <c r="B74" s="8" t="s">
        <v>68</v>
      </c>
      <c r="C74" s="8" t="s">
        <v>357</v>
      </c>
      <c r="D74" s="8" t="s">
        <v>15</v>
      </c>
      <c r="E74" s="8">
        <v>147</v>
      </c>
      <c r="F74" s="24"/>
      <c r="G74" s="5"/>
      <c r="H74" s="5"/>
      <c r="I74" s="5"/>
      <c r="J74" s="5"/>
      <c r="K74" s="5"/>
      <c r="L74" s="5"/>
      <c r="M74" s="25"/>
      <c r="N74" s="24"/>
      <c r="O74" s="5"/>
      <c r="P74" s="5"/>
      <c r="Q74" s="5"/>
      <c r="R74" s="5"/>
      <c r="S74" s="5"/>
      <c r="T74" s="5"/>
      <c r="U74" s="25"/>
      <c r="V74" s="5"/>
      <c r="W74" s="5"/>
      <c r="X74" s="5"/>
      <c r="Y74" s="5"/>
      <c r="Z74" s="5"/>
      <c r="AA74" s="5"/>
      <c r="AB74" s="5"/>
      <c r="AC74" s="5"/>
      <c r="AD74" s="24"/>
      <c r="AE74" s="5"/>
      <c r="AF74" s="5"/>
      <c r="AG74" s="5"/>
      <c r="AH74" s="5"/>
      <c r="AI74" s="5"/>
      <c r="AJ74" s="5"/>
      <c r="AK74" s="25"/>
      <c r="AL74" s="5">
        <v>147</v>
      </c>
      <c r="AM74" s="8">
        <v>1</v>
      </c>
      <c r="AR74" s="67">
        <f t="shared" si="1"/>
        <v>0</v>
      </c>
    </row>
    <row r="75" spans="1:44">
      <c r="A75" s="8">
        <v>148</v>
      </c>
      <c r="B75" s="8" t="s">
        <v>68</v>
      </c>
      <c r="C75" s="8" t="s">
        <v>357</v>
      </c>
      <c r="D75" s="8" t="s">
        <v>15</v>
      </c>
      <c r="E75" s="8">
        <v>148</v>
      </c>
      <c r="F75" s="24"/>
      <c r="G75" s="5"/>
      <c r="H75" s="5"/>
      <c r="I75" s="5"/>
      <c r="J75" s="5"/>
      <c r="K75" s="5"/>
      <c r="L75" s="5"/>
      <c r="M75" s="25"/>
      <c r="N75" s="24"/>
      <c r="O75" s="5"/>
      <c r="P75" s="5"/>
      <c r="Q75" s="5"/>
      <c r="R75" s="5"/>
      <c r="S75" s="5"/>
      <c r="T75" s="5"/>
      <c r="U75" s="25"/>
      <c r="V75" s="5"/>
      <c r="W75" s="5"/>
      <c r="X75" s="5"/>
      <c r="Y75" s="5"/>
      <c r="Z75" s="5"/>
      <c r="AA75" s="5"/>
      <c r="AB75" s="5"/>
      <c r="AC75" s="5"/>
      <c r="AD75" s="24"/>
      <c r="AE75" s="5"/>
      <c r="AF75" s="5"/>
      <c r="AG75" s="5"/>
      <c r="AH75" s="5"/>
      <c r="AI75" s="5"/>
      <c r="AJ75" s="5"/>
      <c r="AK75" s="25"/>
      <c r="AL75" s="5">
        <v>148</v>
      </c>
      <c r="AM75" s="8">
        <v>1</v>
      </c>
      <c r="AR75" s="67">
        <f t="shared" si="1"/>
        <v>0</v>
      </c>
    </row>
    <row r="76" spans="1:44">
      <c r="A76" s="8">
        <v>149</v>
      </c>
      <c r="B76" s="8" t="s">
        <v>80</v>
      </c>
      <c r="C76" s="8" t="s">
        <v>346</v>
      </c>
      <c r="D76" s="8"/>
      <c r="E76" s="8">
        <v>149</v>
      </c>
      <c r="F76" s="24"/>
      <c r="G76" s="5"/>
      <c r="H76" s="5"/>
      <c r="I76" s="5"/>
      <c r="J76" s="5"/>
      <c r="K76" s="5"/>
      <c r="L76" s="5"/>
      <c r="M76" s="25"/>
      <c r="N76" s="24"/>
      <c r="O76" s="5"/>
      <c r="P76" s="5"/>
      <c r="Q76" s="5"/>
      <c r="R76" s="5"/>
      <c r="S76" s="5"/>
      <c r="T76" s="5"/>
      <c r="U76" s="25"/>
      <c r="V76" s="5"/>
      <c r="W76" s="5"/>
      <c r="X76" s="5"/>
      <c r="Y76" s="5"/>
      <c r="Z76" s="5"/>
      <c r="AA76" s="5"/>
      <c r="AB76" s="5"/>
      <c r="AC76" s="5"/>
      <c r="AD76" s="24"/>
      <c r="AE76" s="5"/>
      <c r="AF76" s="5"/>
      <c r="AG76" s="5"/>
      <c r="AH76" s="5"/>
      <c r="AI76" s="5"/>
      <c r="AJ76" s="5"/>
      <c r="AK76" s="25"/>
      <c r="AL76" s="5">
        <v>149</v>
      </c>
      <c r="AM76" s="8">
        <v>1</v>
      </c>
      <c r="AR76" s="67">
        <f t="shared" si="1"/>
        <v>0</v>
      </c>
    </row>
    <row r="77" spans="1:44">
      <c r="A77" s="8">
        <v>151</v>
      </c>
      <c r="B77" s="8" t="s">
        <v>130</v>
      </c>
      <c r="C77" s="8" t="s">
        <v>357</v>
      </c>
      <c r="D77" s="8"/>
      <c r="E77" s="8">
        <v>151</v>
      </c>
      <c r="F77" s="24"/>
      <c r="G77" s="5"/>
      <c r="H77" s="5"/>
      <c r="I77" s="5"/>
      <c r="J77" s="5"/>
      <c r="K77" s="5"/>
      <c r="L77" s="5"/>
      <c r="M77" s="25"/>
      <c r="N77" s="24"/>
      <c r="O77" s="5"/>
      <c r="P77" s="5"/>
      <c r="Q77" s="5"/>
      <c r="R77" s="5"/>
      <c r="S77" s="5"/>
      <c r="T77" s="5"/>
      <c r="U77" s="25"/>
      <c r="V77" s="5"/>
      <c r="W77" s="5"/>
      <c r="X77" s="5"/>
      <c r="Y77" s="5"/>
      <c r="Z77" s="5"/>
      <c r="AA77" s="5"/>
      <c r="AB77" s="5"/>
      <c r="AC77" s="5"/>
      <c r="AD77" s="24"/>
      <c r="AE77" s="5"/>
      <c r="AF77" s="5"/>
      <c r="AG77" s="5"/>
      <c r="AH77" s="5"/>
      <c r="AI77" s="5"/>
      <c r="AJ77" s="5"/>
      <c r="AK77" s="25"/>
      <c r="AL77" s="5">
        <v>151</v>
      </c>
      <c r="AM77" s="8"/>
      <c r="AO77">
        <v>1</v>
      </c>
      <c r="AR77" s="67">
        <f t="shared" si="1"/>
        <v>0</v>
      </c>
    </row>
    <row r="78" spans="1:44">
      <c r="A78" s="8">
        <v>157</v>
      </c>
      <c r="B78" s="8" t="s">
        <v>55</v>
      </c>
      <c r="C78" s="8" t="s">
        <v>346</v>
      </c>
      <c r="D78" s="8"/>
      <c r="E78" s="8">
        <v>157</v>
      </c>
      <c r="F78" s="24"/>
      <c r="G78" s="5"/>
      <c r="H78" s="5"/>
      <c r="I78" s="5"/>
      <c r="J78" s="5"/>
      <c r="K78" s="5"/>
      <c r="L78" s="5"/>
      <c r="M78" s="25"/>
      <c r="N78" s="24"/>
      <c r="O78" s="5"/>
      <c r="P78" s="5"/>
      <c r="Q78" s="5"/>
      <c r="R78" s="5"/>
      <c r="S78" s="5"/>
      <c r="T78" s="5"/>
      <c r="U78" s="25"/>
      <c r="V78" s="5"/>
      <c r="W78" s="5"/>
      <c r="X78" s="5"/>
      <c r="Y78" s="5"/>
      <c r="Z78" s="5"/>
      <c r="AA78" s="5"/>
      <c r="AB78" s="5"/>
      <c r="AC78" s="5"/>
      <c r="AD78" s="24"/>
      <c r="AE78" s="5"/>
      <c r="AF78" s="5"/>
      <c r="AG78" s="5"/>
      <c r="AH78" s="5"/>
      <c r="AI78" s="5"/>
      <c r="AJ78" s="5"/>
      <c r="AK78" s="25"/>
      <c r="AL78" s="5">
        <v>157</v>
      </c>
      <c r="AM78" s="8">
        <v>1</v>
      </c>
      <c r="AR78" s="67">
        <f t="shared" si="1"/>
        <v>0</v>
      </c>
    </row>
    <row r="79" spans="1:44">
      <c r="A79" s="8">
        <v>162</v>
      </c>
      <c r="B79" s="8" t="s">
        <v>80</v>
      </c>
      <c r="C79" s="8" t="s">
        <v>346</v>
      </c>
      <c r="D79" s="8"/>
      <c r="E79" s="8">
        <v>162</v>
      </c>
      <c r="F79" s="24"/>
      <c r="G79" s="5"/>
      <c r="H79" s="5"/>
      <c r="I79" s="5"/>
      <c r="J79" s="5"/>
      <c r="K79" s="5"/>
      <c r="L79" s="5"/>
      <c r="M79" s="25"/>
      <c r="N79" s="24"/>
      <c r="O79" s="5"/>
      <c r="P79" s="5"/>
      <c r="Q79" s="5"/>
      <c r="R79" s="5"/>
      <c r="S79" s="5"/>
      <c r="T79" s="5"/>
      <c r="U79" s="25"/>
      <c r="V79" s="5"/>
      <c r="W79" s="5"/>
      <c r="X79" s="5"/>
      <c r="Y79" s="5"/>
      <c r="Z79" s="5"/>
      <c r="AA79" s="5"/>
      <c r="AB79" s="5"/>
      <c r="AC79" s="5"/>
      <c r="AD79" s="24"/>
      <c r="AE79" s="5"/>
      <c r="AF79" s="5"/>
      <c r="AG79" s="5"/>
      <c r="AH79" s="5"/>
      <c r="AI79" s="5"/>
      <c r="AJ79" s="5"/>
      <c r="AK79" s="25"/>
      <c r="AL79" s="5">
        <v>162</v>
      </c>
      <c r="AM79" s="8">
        <v>1</v>
      </c>
      <c r="AR79" s="67">
        <f t="shared" si="1"/>
        <v>0</v>
      </c>
    </row>
    <row r="80" spans="1:44">
      <c r="A80" s="8">
        <v>163</v>
      </c>
      <c r="B80" s="8" t="s">
        <v>62</v>
      </c>
      <c r="C80" s="8" t="s">
        <v>42</v>
      </c>
      <c r="D80" s="8" t="s">
        <v>42</v>
      </c>
      <c r="E80" s="8">
        <v>163</v>
      </c>
      <c r="F80" s="24"/>
      <c r="G80" s="5"/>
      <c r="H80" s="5"/>
      <c r="I80" s="5">
        <v>1</v>
      </c>
      <c r="J80" s="5"/>
      <c r="K80" s="5">
        <v>1</v>
      </c>
      <c r="L80" s="5"/>
      <c r="M80" s="25">
        <v>1</v>
      </c>
      <c r="N80" s="24">
        <v>1</v>
      </c>
      <c r="O80" s="5"/>
      <c r="P80" s="5">
        <v>1</v>
      </c>
      <c r="Q80" s="5"/>
      <c r="R80" s="5">
        <v>1</v>
      </c>
      <c r="S80" s="5"/>
      <c r="T80" s="5"/>
      <c r="U80" s="25"/>
      <c r="V80" s="5"/>
      <c r="W80" s="5"/>
      <c r="X80" s="5"/>
      <c r="Y80" s="5"/>
      <c r="Z80" s="5"/>
      <c r="AA80" s="5">
        <v>1</v>
      </c>
      <c r="AB80" s="5">
        <v>1</v>
      </c>
      <c r="AC80" s="5">
        <v>1</v>
      </c>
      <c r="AD80" s="24">
        <v>1</v>
      </c>
      <c r="AE80" s="5">
        <v>1</v>
      </c>
      <c r="AF80" s="5">
        <v>1</v>
      </c>
      <c r="AG80" s="5"/>
      <c r="AH80" s="5"/>
      <c r="AI80" s="5"/>
      <c r="AJ80" s="5"/>
      <c r="AK80" s="25"/>
      <c r="AL80" s="5">
        <v>163</v>
      </c>
      <c r="AM80" s="8"/>
      <c r="AN80">
        <v>1</v>
      </c>
      <c r="AR80" s="67">
        <f t="shared" si="1"/>
        <v>12</v>
      </c>
    </row>
    <row r="81" spans="1:44">
      <c r="A81" s="8">
        <v>166</v>
      </c>
      <c r="B81" s="8" t="s">
        <v>136</v>
      </c>
      <c r="C81" s="8" t="s">
        <v>12</v>
      </c>
      <c r="D81" s="8" t="s">
        <v>6</v>
      </c>
      <c r="E81" s="8">
        <v>166</v>
      </c>
      <c r="F81" s="24"/>
      <c r="G81" s="5"/>
      <c r="H81" s="5"/>
      <c r="I81" s="5">
        <v>1</v>
      </c>
      <c r="J81" s="5">
        <v>1</v>
      </c>
      <c r="K81" s="5">
        <v>1</v>
      </c>
      <c r="L81" s="5"/>
      <c r="M81" s="25"/>
      <c r="N81" s="24"/>
      <c r="O81" s="5"/>
      <c r="P81" s="5">
        <v>1</v>
      </c>
      <c r="Q81" s="5">
        <v>1</v>
      </c>
      <c r="R81" s="5">
        <v>1</v>
      </c>
      <c r="S81" s="5"/>
      <c r="T81" s="5"/>
      <c r="U81" s="25"/>
      <c r="V81" s="5"/>
      <c r="W81" s="5"/>
      <c r="X81" s="5"/>
      <c r="Y81" s="5">
        <v>1</v>
      </c>
      <c r="Z81" s="5">
        <v>1</v>
      </c>
      <c r="AA81" s="5">
        <v>1</v>
      </c>
      <c r="AB81" s="5"/>
      <c r="AC81" s="5"/>
      <c r="AD81" s="24"/>
      <c r="AE81" s="5"/>
      <c r="AF81" s="5">
        <v>1</v>
      </c>
      <c r="AG81" s="5">
        <v>1</v>
      </c>
      <c r="AH81" s="5">
        <v>1</v>
      </c>
      <c r="AI81" s="5"/>
      <c r="AJ81" s="5"/>
      <c r="AK81" s="25"/>
      <c r="AL81" s="5">
        <v>166</v>
      </c>
      <c r="AM81" s="8"/>
      <c r="AN81">
        <v>1</v>
      </c>
      <c r="AR81" s="67">
        <f t="shared" si="1"/>
        <v>12</v>
      </c>
    </row>
    <row r="82" spans="1:44">
      <c r="A82" s="8">
        <v>169</v>
      </c>
      <c r="B82" s="8" t="s">
        <v>139</v>
      </c>
      <c r="C82" s="8" t="s">
        <v>357</v>
      </c>
      <c r="D82" s="8"/>
      <c r="E82" s="8">
        <v>169</v>
      </c>
      <c r="F82" s="24"/>
      <c r="G82" s="5"/>
      <c r="H82" s="5"/>
      <c r="I82" s="5"/>
      <c r="J82" s="5"/>
      <c r="K82" s="5"/>
      <c r="L82" s="5"/>
      <c r="M82" s="25">
        <v>1</v>
      </c>
      <c r="N82" s="24">
        <v>1</v>
      </c>
      <c r="O82" s="5"/>
      <c r="P82" s="5"/>
      <c r="Q82" s="5"/>
      <c r="R82" s="5"/>
      <c r="S82" s="5"/>
      <c r="T82" s="5"/>
      <c r="U82" s="25"/>
      <c r="V82" s="5"/>
      <c r="W82" s="5"/>
      <c r="X82" s="5"/>
      <c r="Y82" s="5"/>
      <c r="Z82" s="5"/>
      <c r="AA82" s="5"/>
      <c r="AB82" s="5"/>
      <c r="AC82" s="5">
        <v>1</v>
      </c>
      <c r="AD82" s="24">
        <v>1</v>
      </c>
      <c r="AE82" s="5"/>
      <c r="AF82" s="5"/>
      <c r="AG82" s="5"/>
      <c r="AH82" s="5"/>
      <c r="AI82" s="5"/>
      <c r="AJ82" s="5"/>
      <c r="AK82" s="25"/>
      <c r="AL82" s="5">
        <v>169</v>
      </c>
      <c r="AM82" s="8"/>
      <c r="AN82">
        <v>1</v>
      </c>
      <c r="AR82" s="67">
        <f t="shared" si="1"/>
        <v>4</v>
      </c>
    </row>
    <row r="83" spans="1:44">
      <c r="A83" s="8">
        <v>170</v>
      </c>
      <c r="B83" s="8" t="s">
        <v>5</v>
      </c>
      <c r="C83" s="8" t="s">
        <v>42</v>
      </c>
      <c r="D83" s="8" t="s">
        <v>6</v>
      </c>
      <c r="E83" s="8">
        <v>170</v>
      </c>
      <c r="F83" s="24"/>
      <c r="G83" s="5"/>
      <c r="H83" s="5"/>
      <c r="I83" s="5"/>
      <c r="J83" s="5"/>
      <c r="K83" s="5">
        <v>1</v>
      </c>
      <c r="L83" s="5">
        <v>1</v>
      </c>
      <c r="M83" s="25">
        <v>1</v>
      </c>
      <c r="N83" s="24">
        <v>1</v>
      </c>
      <c r="O83" s="5">
        <v>1</v>
      </c>
      <c r="P83" s="5">
        <v>1</v>
      </c>
      <c r="Q83" s="5"/>
      <c r="R83" s="5"/>
      <c r="S83" s="5"/>
      <c r="T83" s="5"/>
      <c r="U83" s="25"/>
      <c r="V83" s="5"/>
      <c r="W83" s="5"/>
      <c r="X83" s="5"/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24">
        <v>1</v>
      </c>
      <c r="AE83" s="5">
        <v>1</v>
      </c>
      <c r="AF83" s="5">
        <v>1</v>
      </c>
      <c r="AG83" s="5">
        <v>1</v>
      </c>
      <c r="AH83" s="5">
        <v>1</v>
      </c>
      <c r="AI83" s="5"/>
      <c r="AJ83" s="5"/>
      <c r="AK83" s="25"/>
      <c r="AL83" s="5">
        <v>170</v>
      </c>
      <c r="AM83" s="8"/>
      <c r="AN83">
        <v>1</v>
      </c>
      <c r="AR83" s="67">
        <f t="shared" si="1"/>
        <v>16</v>
      </c>
    </row>
    <row r="84" spans="1:44">
      <c r="A84" s="8">
        <v>171</v>
      </c>
      <c r="B84" s="8" t="s">
        <v>58</v>
      </c>
      <c r="C84" s="8" t="s">
        <v>358</v>
      </c>
      <c r="D84" s="8" t="s">
        <v>6</v>
      </c>
      <c r="E84" s="8">
        <v>171</v>
      </c>
      <c r="F84" s="24"/>
      <c r="G84" s="5"/>
      <c r="H84" s="5"/>
      <c r="I84" s="5"/>
      <c r="J84" s="5"/>
      <c r="K84" s="5"/>
      <c r="L84" s="5"/>
      <c r="M84" s="25"/>
      <c r="N84" s="24"/>
      <c r="O84" s="5"/>
      <c r="P84" s="5"/>
      <c r="Q84" s="5"/>
      <c r="R84" s="5"/>
      <c r="S84" s="5"/>
      <c r="T84" s="5"/>
      <c r="U84" s="25"/>
      <c r="V84" s="5"/>
      <c r="W84" s="5"/>
      <c r="X84" s="5"/>
      <c r="Y84" s="5"/>
      <c r="Z84" s="5"/>
      <c r="AA84" s="5">
        <v>1</v>
      </c>
      <c r="AB84" s="5"/>
      <c r="AC84" s="5"/>
      <c r="AD84" s="24"/>
      <c r="AE84" s="5"/>
      <c r="AF84" s="5">
        <v>1</v>
      </c>
      <c r="AG84" s="5"/>
      <c r="AH84" s="5"/>
      <c r="AI84" s="5"/>
      <c r="AJ84" s="5"/>
      <c r="AK84" s="25"/>
      <c r="AL84" s="5">
        <v>171</v>
      </c>
      <c r="AM84" s="8"/>
      <c r="AN84">
        <v>1</v>
      </c>
      <c r="AR84" s="67">
        <f t="shared" si="1"/>
        <v>2</v>
      </c>
    </row>
    <row r="85" spans="1:44">
      <c r="A85" s="8">
        <v>172</v>
      </c>
      <c r="B85" s="8" t="s">
        <v>71</v>
      </c>
      <c r="C85" s="8" t="s">
        <v>366</v>
      </c>
      <c r="D85" s="8" t="s">
        <v>6</v>
      </c>
      <c r="E85" s="8">
        <v>172</v>
      </c>
      <c r="F85" s="24"/>
      <c r="G85" s="5"/>
      <c r="H85" s="5"/>
      <c r="I85" s="5"/>
      <c r="J85" s="5"/>
      <c r="K85" s="5"/>
      <c r="L85" s="5"/>
      <c r="M85" s="25"/>
      <c r="N85" s="24"/>
      <c r="O85" s="5"/>
      <c r="P85" s="5">
        <v>1</v>
      </c>
      <c r="Q85" s="5"/>
      <c r="R85" s="5"/>
      <c r="S85" s="5"/>
      <c r="T85" s="5"/>
      <c r="U85" s="25"/>
      <c r="V85" s="5"/>
      <c r="W85" s="5"/>
      <c r="X85" s="5"/>
      <c r="Y85" s="5"/>
      <c r="Z85" s="5"/>
      <c r="AA85" s="5"/>
      <c r="AB85" s="5"/>
      <c r="AC85" s="5"/>
      <c r="AD85" s="24"/>
      <c r="AE85" s="5"/>
      <c r="AF85" s="5"/>
      <c r="AG85" s="5"/>
      <c r="AH85" s="5"/>
      <c r="AI85" s="5"/>
      <c r="AJ85" s="5"/>
      <c r="AK85" s="25"/>
      <c r="AL85" s="5">
        <v>172</v>
      </c>
      <c r="AM85" s="8"/>
      <c r="AN85">
        <v>1</v>
      </c>
      <c r="AR85" s="67">
        <f t="shared" si="1"/>
        <v>1</v>
      </c>
    </row>
    <row r="86" spans="1:44">
      <c r="A86" s="8">
        <v>174</v>
      </c>
      <c r="B86" s="8" t="s">
        <v>141</v>
      </c>
      <c r="C86" s="8" t="s">
        <v>346</v>
      </c>
      <c r="D86" s="8"/>
      <c r="E86" s="8">
        <v>174</v>
      </c>
      <c r="F86" s="24"/>
      <c r="G86" s="5"/>
      <c r="H86" s="5"/>
      <c r="I86" s="5"/>
      <c r="J86" s="5"/>
      <c r="K86" s="5"/>
      <c r="L86" s="5"/>
      <c r="M86" s="25"/>
      <c r="N86" s="24"/>
      <c r="O86" s="5"/>
      <c r="P86" s="5"/>
      <c r="Q86" s="5"/>
      <c r="R86" s="5"/>
      <c r="S86" s="5"/>
      <c r="T86" s="5"/>
      <c r="U86" s="25"/>
      <c r="V86" s="5"/>
      <c r="W86" s="5"/>
      <c r="X86" s="5"/>
      <c r="Y86" s="5"/>
      <c r="Z86" s="5"/>
      <c r="AA86" s="5"/>
      <c r="AB86" s="5"/>
      <c r="AC86" s="5"/>
      <c r="AD86" s="24"/>
      <c r="AE86" s="5"/>
      <c r="AF86" s="5"/>
      <c r="AG86" s="5"/>
      <c r="AH86" s="5"/>
      <c r="AI86" s="5"/>
      <c r="AJ86" s="5"/>
      <c r="AK86" s="25"/>
      <c r="AL86" s="5">
        <v>174</v>
      </c>
      <c r="AM86" s="8">
        <v>1</v>
      </c>
      <c r="AR86" s="67">
        <f t="shared" si="1"/>
        <v>0</v>
      </c>
    </row>
    <row r="87" spans="1:44">
      <c r="A87" s="8">
        <v>176</v>
      </c>
      <c r="B87" s="8" t="s">
        <v>44</v>
      </c>
      <c r="C87" s="8" t="s">
        <v>349</v>
      </c>
      <c r="D87" s="8" t="s">
        <v>42</v>
      </c>
      <c r="E87" s="8">
        <v>176</v>
      </c>
      <c r="F87" s="24"/>
      <c r="G87" s="5"/>
      <c r="H87" s="5"/>
      <c r="I87" s="5"/>
      <c r="J87" s="5"/>
      <c r="K87" s="5"/>
      <c r="L87" s="5"/>
      <c r="M87" s="25"/>
      <c r="N87" s="24"/>
      <c r="O87" s="5"/>
      <c r="P87" s="5"/>
      <c r="Q87" s="5"/>
      <c r="R87" s="5"/>
      <c r="S87" s="5"/>
      <c r="T87" s="5"/>
      <c r="U87" s="25"/>
      <c r="V87" s="5"/>
      <c r="W87" s="5"/>
      <c r="X87" s="5"/>
      <c r="Y87" s="5"/>
      <c r="Z87" s="5"/>
      <c r="AA87" s="5"/>
      <c r="AB87" s="5"/>
      <c r="AC87" s="5"/>
      <c r="AD87" s="24"/>
      <c r="AE87" s="5"/>
      <c r="AF87" s="5">
        <v>1</v>
      </c>
      <c r="AG87" s="5"/>
      <c r="AH87" s="5"/>
      <c r="AI87" s="5"/>
      <c r="AJ87" s="5"/>
      <c r="AK87" s="25"/>
      <c r="AL87" s="5">
        <v>176</v>
      </c>
      <c r="AM87" s="8"/>
      <c r="AN87">
        <v>1</v>
      </c>
      <c r="AR87" s="67">
        <f t="shared" si="1"/>
        <v>1</v>
      </c>
    </row>
    <row r="88" spans="1:44">
      <c r="A88" s="8">
        <v>178</v>
      </c>
      <c r="B88" s="8" t="s">
        <v>5</v>
      </c>
      <c r="C88" s="8" t="s">
        <v>42</v>
      </c>
      <c r="D88" s="8" t="s">
        <v>6</v>
      </c>
      <c r="E88" s="8">
        <v>178</v>
      </c>
      <c r="F88" s="24"/>
      <c r="G88" s="5"/>
      <c r="H88" s="5"/>
      <c r="I88" s="5"/>
      <c r="J88" s="5"/>
      <c r="K88" s="5"/>
      <c r="L88" s="5"/>
      <c r="M88" s="25"/>
      <c r="N88" s="24"/>
      <c r="O88" s="5"/>
      <c r="P88" s="5"/>
      <c r="Q88" s="5"/>
      <c r="R88" s="5"/>
      <c r="S88" s="5"/>
      <c r="T88" s="5"/>
      <c r="U88" s="25"/>
      <c r="V88" s="5"/>
      <c r="W88" s="5"/>
      <c r="X88" s="5"/>
      <c r="Y88" s="5"/>
      <c r="Z88" s="5"/>
      <c r="AA88" s="5"/>
      <c r="AB88" s="5"/>
      <c r="AC88" s="5"/>
      <c r="AD88" s="24"/>
      <c r="AE88" s="5"/>
      <c r="AF88" s="5"/>
      <c r="AG88" s="5"/>
      <c r="AH88" s="5"/>
      <c r="AI88" s="5"/>
      <c r="AJ88" s="5"/>
      <c r="AK88" s="25"/>
      <c r="AL88" s="5">
        <v>178</v>
      </c>
      <c r="AM88" s="8">
        <v>1</v>
      </c>
      <c r="AR88" s="67">
        <f t="shared" si="1"/>
        <v>0</v>
      </c>
    </row>
    <row r="89" spans="1:44">
      <c r="A89" s="8">
        <v>179</v>
      </c>
      <c r="B89" s="8" t="s">
        <v>48</v>
      </c>
      <c r="C89" s="8" t="s">
        <v>357</v>
      </c>
      <c r="D89" s="8"/>
      <c r="E89" s="8">
        <v>179</v>
      </c>
      <c r="F89" s="24"/>
      <c r="G89" s="5"/>
      <c r="H89" s="5"/>
      <c r="I89" s="5"/>
      <c r="J89" s="5"/>
      <c r="K89" s="5"/>
      <c r="L89" s="5"/>
      <c r="M89" s="25">
        <v>1</v>
      </c>
      <c r="N89" s="24">
        <v>1</v>
      </c>
      <c r="O89" s="5"/>
      <c r="P89" s="5"/>
      <c r="Q89" s="5"/>
      <c r="R89" s="5"/>
      <c r="S89" s="5"/>
      <c r="T89" s="5"/>
      <c r="U89" s="25"/>
      <c r="V89" s="5"/>
      <c r="W89" s="5"/>
      <c r="X89" s="5"/>
      <c r="Y89" s="5"/>
      <c r="Z89" s="5"/>
      <c r="AA89" s="5"/>
      <c r="AB89" s="5"/>
      <c r="AC89" s="5"/>
      <c r="AD89" s="24">
        <v>1</v>
      </c>
      <c r="AE89" s="5">
        <v>1</v>
      </c>
      <c r="AF89" s="5"/>
      <c r="AG89" s="5"/>
      <c r="AH89" s="5"/>
      <c r="AI89" s="5"/>
      <c r="AJ89" s="5"/>
      <c r="AK89" s="25"/>
      <c r="AL89" s="5">
        <v>179</v>
      </c>
      <c r="AM89" s="8"/>
      <c r="AN89">
        <v>1</v>
      </c>
      <c r="AR89" s="67">
        <f t="shared" si="1"/>
        <v>4</v>
      </c>
    </row>
    <row r="90" spans="1:44">
      <c r="A90" s="8">
        <v>180</v>
      </c>
      <c r="B90" s="8" t="s">
        <v>143</v>
      </c>
      <c r="C90" s="8" t="s">
        <v>357</v>
      </c>
      <c r="D90" s="8"/>
      <c r="E90" s="8">
        <v>180</v>
      </c>
      <c r="F90" s="24"/>
      <c r="G90" s="5"/>
      <c r="H90" s="5"/>
      <c r="I90" s="5"/>
      <c r="J90" s="5"/>
      <c r="K90" s="5"/>
      <c r="L90" s="5"/>
      <c r="M90" s="25"/>
      <c r="N90" s="24"/>
      <c r="O90" s="5"/>
      <c r="P90" s="5"/>
      <c r="Q90" s="5"/>
      <c r="R90" s="5"/>
      <c r="S90" s="5"/>
      <c r="T90" s="5"/>
      <c r="U90" s="25"/>
      <c r="V90" s="5"/>
      <c r="W90" s="5"/>
      <c r="X90" s="5"/>
      <c r="Y90" s="5"/>
      <c r="Z90" s="5"/>
      <c r="AA90" s="5"/>
      <c r="AB90" s="5"/>
      <c r="AC90" s="5"/>
      <c r="AD90" s="24"/>
      <c r="AE90" s="5"/>
      <c r="AF90" s="5"/>
      <c r="AG90" s="5"/>
      <c r="AH90" s="5"/>
      <c r="AI90" s="5"/>
      <c r="AJ90" s="5"/>
      <c r="AK90" s="25"/>
      <c r="AL90" s="5">
        <v>180</v>
      </c>
      <c r="AM90" s="8"/>
      <c r="AO90">
        <v>1</v>
      </c>
      <c r="AR90" s="67">
        <f t="shared" si="1"/>
        <v>0</v>
      </c>
    </row>
    <row r="91" spans="1:44">
      <c r="A91" s="8">
        <v>181</v>
      </c>
      <c r="B91" s="8" t="s">
        <v>145</v>
      </c>
      <c r="C91" s="8" t="s">
        <v>357</v>
      </c>
      <c r="D91" s="8" t="s">
        <v>15</v>
      </c>
      <c r="E91" s="8">
        <v>181</v>
      </c>
      <c r="F91" s="24"/>
      <c r="G91" s="5"/>
      <c r="H91" s="5"/>
      <c r="I91" s="5"/>
      <c r="J91" s="5">
        <v>1</v>
      </c>
      <c r="K91" s="5">
        <v>1</v>
      </c>
      <c r="L91" s="5">
        <v>1</v>
      </c>
      <c r="M91" s="25">
        <v>1</v>
      </c>
      <c r="N91" s="24">
        <v>1</v>
      </c>
      <c r="O91" s="5">
        <v>1</v>
      </c>
      <c r="P91" s="5">
        <v>1</v>
      </c>
      <c r="Q91" s="5">
        <v>1</v>
      </c>
      <c r="R91" s="5"/>
      <c r="S91" s="5"/>
      <c r="T91" s="5"/>
      <c r="U91" s="25"/>
      <c r="V91" s="5"/>
      <c r="W91" s="5"/>
      <c r="X91" s="5"/>
      <c r="Y91" s="5"/>
      <c r="Z91" s="5">
        <v>1</v>
      </c>
      <c r="AA91" s="5">
        <v>1</v>
      </c>
      <c r="AB91" s="5">
        <v>1</v>
      </c>
      <c r="AC91" s="5">
        <v>1</v>
      </c>
      <c r="AD91" s="24">
        <v>1</v>
      </c>
      <c r="AE91" s="5"/>
      <c r="AF91" s="5">
        <v>1</v>
      </c>
      <c r="AG91" s="5">
        <v>1</v>
      </c>
      <c r="AH91" s="5"/>
      <c r="AI91" s="5"/>
      <c r="AJ91" s="5"/>
      <c r="AK91" s="25"/>
      <c r="AL91" s="5">
        <v>181</v>
      </c>
      <c r="AM91" s="8"/>
      <c r="AN91">
        <v>1</v>
      </c>
      <c r="AR91" s="67">
        <f t="shared" si="1"/>
        <v>15</v>
      </c>
    </row>
    <row r="92" spans="1:44">
      <c r="A92" s="8">
        <v>185</v>
      </c>
      <c r="B92" s="8" t="s">
        <v>5</v>
      </c>
      <c r="C92" s="8" t="s">
        <v>42</v>
      </c>
      <c r="D92" s="8" t="s">
        <v>42</v>
      </c>
      <c r="E92" s="8">
        <v>185</v>
      </c>
      <c r="F92" s="24"/>
      <c r="G92" s="5"/>
      <c r="H92" s="5"/>
      <c r="I92" s="5"/>
      <c r="J92" s="5"/>
      <c r="K92" s="5"/>
      <c r="L92" s="5"/>
      <c r="M92" s="25"/>
      <c r="N92" s="24"/>
      <c r="O92" s="5"/>
      <c r="P92" s="5"/>
      <c r="Q92" s="5"/>
      <c r="R92" s="5"/>
      <c r="S92" s="5"/>
      <c r="T92" s="5"/>
      <c r="U92" s="25"/>
      <c r="V92" s="5"/>
      <c r="W92" s="5"/>
      <c r="X92" s="5"/>
      <c r="Y92" s="5"/>
      <c r="Z92" s="5"/>
      <c r="AA92" s="5"/>
      <c r="AB92" s="5"/>
      <c r="AC92" s="5"/>
      <c r="AD92" s="24"/>
      <c r="AE92" s="5"/>
      <c r="AF92" s="5"/>
      <c r="AG92" s="5"/>
      <c r="AH92" s="5"/>
      <c r="AI92" s="5"/>
      <c r="AJ92" s="5"/>
      <c r="AK92" s="25"/>
      <c r="AL92" s="5">
        <v>185</v>
      </c>
      <c r="AM92" s="8">
        <v>1</v>
      </c>
      <c r="AR92" s="67">
        <f t="shared" si="1"/>
        <v>0</v>
      </c>
    </row>
    <row r="93" spans="1:44">
      <c r="A93" s="8">
        <v>187</v>
      </c>
      <c r="B93" s="8" t="s">
        <v>44</v>
      </c>
      <c r="C93" s="8" t="s">
        <v>349</v>
      </c>
      <c r="D93" s="8" t="s">
        <v>6</v>
      </c>
      <c r="E93" s="8">
        <v>187</v>
      </c>
      <c r="F93" s="24"/>
      <c r="G93" s="5"/>
      <c r="H93" s="5"/>
      <c r="I93" s="5"/>
      <c r="J93" s="5"/>
      <c r="K93" s="5"/>
      <c r="L93" s="5"/>
      <c r="M93" s="25"/>
      <c r="N93" s="24"/>
      <c r="O93" s="5"/>
      <c r="P93" s="5"/>
      <c r="Q93" s="5"/>
      <c r="R93" s="5"/>
      <c r="S93" s="5"/>
      <c r="T93" s="5"/>
      <c r="U93" s="25"/>
      <c r="V93" s="5"/>
      <c r="W93" s="5"/>
      <c r="X93" s="5"/>
      <c r="Y93" s="5"/>
      <c r="Z93" s="5"/>
      <c r="AA93" s="5"/>
      <c r="AB93" s="5">
        <v>1</v>
      </c>
      <c r="AC93" s="5"/>
      <c r="AD93" s="24"/>
      <c r="AE93" s="5"/>
      <c r="AF93" s="5"/>
      <c r="AG93" s="5"/>
      <c r="AH93" s="5"/>
      <c r="AI93" s="5"/>
      <c r="AJ93" s="5"/>
      <c r="AK93" s="25"/>
      <c r="AL93" s="5">
        <v>187</v>
      </c>
      <c r="AM93" s="8"/>
      <c r="AN93">
        <v>1</v>
      </c>
      <c r="AR93" s="67">
        <f t="shared" si="1"/>
        <v>1</v>
      </c>
    </row>
    <row r="94" spans="1:44">
      <c r="A94" s="8">
        <v>192</v>
      </c>
      <c r="B94" s="8" t="s">
        <v>149</v>
      </c>
      <c r="C94" s="8" t="s">
        <v>346</v>
      </c>
      <c r="D94" s="8"/>
      <c r="E94" s="8">
        <v>192</v>
      </c>
      <c r="F94" s="24"/>
      <c r="G94" s="5"/>
      <c r="H94" s="5"/>
      <c r="I94" s="5"/>
      <c r="J94" s="5"/>
      <c r="K94" s="5"/>
      <c r="L94" s="5">
        <v>1</v>
      </c>
      <c r="M94" s="25">
        <v>1</v>
      </c>
      <c r="N94" s="24">
        <v>1</v>
      </c>
      <c r="O94" s="5">
        <v>1</v>
      </c>
      <c r="P94" s="5"/>
      <c r="Q94" s="5"/>
      <c r="R94" s="5"/>
      <c r="S94" s="5"/>
      <c r="T94" s="5"/>
      <c r="U94" s="25"/>
      <c r="V94" s="5"/>
      <c r="W94" s="5"/>
      <c r="X94" s="5"/>
      <c r="Y94" s="5"/>
      <c r="Z94" s="5"/>
      <c r="AA94" s="5"/>
      <c r="AB94" s="5">
        <v>1</v>
      </c>
      <c r="AC94" s="5">
        <v>1</v>
      </c>
      <c r="AD94" s="24">
        <v>1</v>
      </c>
      <c r="AE94" s="5">
        <v>1</v>
      </c>
      <c r="AF94" s="5"/>
      <c r="AG94" s="5"/>
      <c r="AH94" s="5"/>
      <c r="AI94" s="5"/>
      <c r="AJ94" s="5"/>
      <c r="AK94" s="25"/>
      <c r="AL94" s="5">
        <v>192</v>
      </c>
      <c r="AM94" s="8"/>
      <c r="AN94">
        <v>1</v>
      </c>
      <c r="AR94" s="67">
        <f t="shared" si="1"/>
        <v>8</v>
      </c>
    </row>
    <row r="95" spans="1:44">
      <c r="A95" s="8">
        <v>193</v>
      </c>
      <c r="B95" s="8" t="s">
        <v>123</v>
      </c>
      <c r="C95" s="8" t="s">
        <v>366</v>
      </c>
      <c r="D95" s="8" t="s">
        <v>6</v>
      </c>
      <c r="E95" s="8">
        <v>193</v>
      </c>
      <c r="F95" s="24"/>
      <c r="G95" s="5"/>
      <c r="H95" s="5"/>
      <c r="I95" s="5"/>
      <c r="J95" s="5"/>
      <c r="K95" s="5"/>
      <c r="L95" s="5"/>
      <c r="M95" s="25"/>
      <c r="N95" s="24"/>
      <c r="O95" s="5"/>
      <c r="P95" s="5"/>
      <c r="Q95" s="5"/>
      <c r="R95" s="5"/>
      <c r="S95" s="5"/>
      <c r="T95" s="5"/>
      <c r="U95" s="25"/>
      <c r="V95" s="5"/>
      <c r="W95" s="5"/>
      <c r="X95" s="5"/>
      <c r="Y95" s="5"/>
      <c r="Z95" s="5"/>
      <c r="AA95" s="5"/>
      <c r="AB95" s="5"/>
      <c r="AC95" s="5"/>
      <c r="AD95" s="24"/>
      <c r="AE95" s="5"/>
      <c r="AF95" s="5"/>
      <c r="AG95" s="5"/>
      <c r="AH95" s="5"/>
      <c r="AI95" s="5"/>
      <c r="AJ95" s="5"/>
      <c r="AK95" s="25"/>
      <c r="AL95" s="5">
        <v>193</v>
      </c>
      <c r="AM95" s="8">
        <v>1</v>
      </c>
      <c r="AR95" s="67">
        <f t="shared" si="1"/>
        <v>0</v>
      </c>
    </row>
    <row r="96" spans="1:44">
      <c r="A96" s="8">
        <v>194</v>
      </c>
      <c r="B96" s="8" t="s">
        <v>62</v>
      </c>
      <c r="C96" s="8" t="s">
        <v>42</v>
      </c>
      <c r="D96" s="8" t="s">
        <v>42</v>
      </c>
      <c r="E96" s="8">
        <v>194</v>
      </c>
      <c r="F96" s="24"/>
      <c r="G96" s="5"/>
      <c r="H96" s="5"/>
      <c r="I96" s="5">
        <v>1</v>
      </c>
      <c r="J96" s="5">
        <v>1</v>
      </c>
      <c r="K96" s="5">
        <v>1</v>
      </c>
      <c r="L96" s="5">
        <v>1</v>
      </c>
      <c r="M96" s="25">
        <v>1</v>
      </c>
      <c r="N96" s="24">
        <v>1</v>
      </c>
      <c r="O96" s="5">
        <v>1</v>
      </c>
      <c r="P96" s="5">
        <v>1</v>
      </c>
      <c r="Q96" s="5"/>
      <c r="R96" s="5"/>
      <c r="S96" s="5"/>
      <c r="T96" s="5"/>
      <c r="U96" s="25"/>
      <c r="V96" s="5"/>
      <c r="W96" s="5"/>
      <c r="X96" s="5"/>
      <c r="Y96" s="5"/>
      <c r="Z96" s="5"/>
      <c r="AA96" s="5">
        <v>1</v>
      </c>
      <c r="AB96" s="5"/>
      <c r="AC96" s="5"/>
      <c r="AD96" s="24"/>
      <c r="AE96" s="5"/>
      <c r="AF96" s="5">
        <v>1</v>
      </c>
      <c r="AG96" s="5"/>
      <c r="AH96" s="5">
        <v>1</v>
      </c>
      <c r="AI96" s="5"/>
      <c r="AJ96" s="5"/>
      <c r="AK96" s="25"/>
      <c r="AL96" s="5">
        <v>194</v>
      </c>
      <c r="AM96" s="8"/>
      <c r="AN96">
        <v>1</v>
      </c>
      <c r="AR96" s="67">
        <f t="shared" si="1"/>
        <v>11</v>
      </c>
    </row>
    <row r="97" spans="1:44">
      <c r="A97" s="8">
        <v>205</v>
      </c>
      <c r="B97" s="8" t="s">
        <v>74</v>
      </c>
      <c r="C97" s="8" t="s">
        <v>346</v>
      </c>
      <c r="D97" s="8"/>
      <c r="E97" s="8">
        <v>205</v>
      </c>
      <c r="F97" s="24"/>
      <c r="G97" s="5"/>
      <c r="H97" s="5"/>
      <c r="I97" s="5"/>
      <c r="J97" s="5"/>
      <c r="K97" s="5"/>
      <c r="L97" s="5"/>
      <c r="M97" s="25"/>
      <c r="N97" s="24"/>
      <c r="O97" s="5"/>
      <c r="P97" s="5"/>
      <c r="Q97" s="5"/>
      <c r="R97" s="5"/>
      <c r="S97" s="5"/>
      <c r="T97" s="5"/>
      <c r="U97" s="25"/>
      <c r="V97" s="5"/>
      <c r="W97" s="5"/>
      <c r="X97" s="5"/>
      <c r="Y97" s="5"/>
      <c r="Z97" s="5"/>
      <c r="AA97" s="5"/>
      <c r="AB97" s="5"/>
      <c r="AC97" s="5"/>
      <c r="AD97" s="24"/>
      <c r="AE97" s="5"/>
      <c r="AF97" s="5"/>
      <c r="AG97" s="5"/>
      <c r="AH97" s="5"/>
      <c r="AI97" s="5"/>
      <c r="AJ97" s="5"/>
      <c r="AK97" s="25"/>
      <c r="AL97" s="5">
        <v>205</v>
      </c>
      <c r="AM97" s="8"/>
      <c r="AO97">
        <v>1</v>
      </c>
      <c r="AR97" s="67">
        <f t="shared" si="1"/>
        <v>0</v>
      </c>
    </row>
    <row r="98" spans="1:44">
      <c r="A98" s="8">
        <v>206</v>
      </c>
      <c r="B98" s="8" t="s">
        <v>139</v>
      </c>
      <c r="C98" s="8" t="s">
        <v>357</v>
      </c>
      <c r="D98" s="8"/>
      <c r="E98" s="8">
        <v>206</v>
      </c>
      <c r="F98" s="24"/>
      <c r="G98" s="5"/>
      <c r="H98" s="5"/>
      <c r="I98" s="5"/>
      <c r="J98" s="5"/>
      <c r="K98" s="5"/>
      <c r="L98" s="5"/>
      <c r="M98" s="25"/>
      <c r="N98" s="24"/>
      <c r="O98" s="5"/>
      <c r="P98" s="5"/>
      <c r="Q98" s="5"/>
      <c r="R98" s="5"/>
      <c r="S98" s="5"/>
      <c r="T98" s="5"/>
      <c r="U98" s="25"/>
      <c r="V98" s="5"/>
      <c r="W98" s="5"/>
      <c r="X98" s="5"/>
      <c r="Y98" s="5"/>
      <c r="Z98" s="5"/>
      <c r="AA98" s="5"/>
      <c r="AB98" s="5"/>
      <c r="AC98" s="5"/>
      <c r="AD98" s="24"/>
      <c r="AE98" s="5"/>
      <c r="AF98" s="5"/>
      <c r="AG98" s="5"/>
      <c r="AH98" s="5"/>
      <c r="AI98" s="5"/>
      <c r="AJ98" s="5"/>
      <c r="AK98" s="25"/>
      <c r="AL98" s="5">
        <v>206</v>
      </c>
      <c r="AM98" s="8">
        <v>1</v>
      </c>
      <c r="AR98" s="67">
        <f t="shared" si="1"/>
        <v>0</v>
      </c>
    </row>
    <row r="99" spans="1:44">
      <c r="A99" s="8">
        <v>210</v>
      </c>
      <c r="B99" s="8" t="s">
        <v>55</v>
      </c>
      <c r="C99" s="8" t="s">
        <v>346</v>
      </c>
      <c r="D99" s="8"/>
      <c r="E99" s="8">
        <v>210</v>
      </c>
      <c r="F99" s="24"/>
      <c r="G99" s="5"/>
      <c r="H99" s="5"/>
      <c r="I99" s="5"/>
      <c r="J99" s="5"/>
      <c r="K99" s="5"/>
      <c r="L99" s="5"/>
      <c r="M99" s="25"/>
      <c r="N99" s="24"/>
      <c r="O99" s="5"/>
      <c r="P99" s="5"/>
      <c r="Q99" s="5"/>
      <c r="R99" s="5"/>
      <c r="S99" s="5"/>
      <c r="T99" s="5"/>
      <c r="U99" s="25"/>
      <c r="V99" s="5"/>
      <c r="W99" s="5"/>
      <c r="X99" s="5"/>
      <c r="Y99" s="5"/>
      <c r="Z99" s="5"/>
      <c r="AA99" s="5"/>
      <c r="AB99" s="5"/>
      <c r="AC99" s="5"/>
      <c r="AD99" s="24"/>
      <c r="AE99" s="5"/>
      <c r="AF99" s="5"/>
      <c r="AG99" s="5"/>
      <c r="AH99" s="5"/>
      <c r="AI99" s="5"/>
      <c r="AJ99" s="5"/>
      <c r="AK99" s="25"/>
      <c r="AL99" s="5">
        <v>210</v>
      </c>
      <c r="AM99" s="8"/>
      <c r="AO99">
        <v>1</v>
      </c>
      <c r="AR99" s="67">
        <f t="shared" si="1"/>
        <v>0</v>
      </c>
    </row>
    <row r="100" spans="1:44">
      <c r="A100" s="8">
        <v>213</v>
      </c>
      <c r="B100" s="8" t="s">
        <v>62</v>
      </c>
      <c r="C100" s="8" t="s">
        <v>42</v>
      </c>
      <c r="D100" s="8" t="s">
        <v>42</v>
      </c>
      <c r="E100" s="8">
        <v>213</v>
      </c>
      <c r="F100" s="24"/>
      <c r="G100" s="5"/>
      <c r="H100" s="5"/>
      <c r="I100" s="5"/>
      <c r="J100" s="5"/>
      <c r="K100" s="5"/>
      <c r="L100" s="5">
        <v>1</v>
      </c>
      <c r="M100" s="25">
        <v>1</v>
      </c>
      <c r="N100" s="24">
        <v>1</v>
      </c>
      <c r="O100" s="5"/>
      <c r="P100" s="5"/>
      <c r="Q100" s="5"/>
      <c r="R100" s="5"/>
      <c r="S100" s="5"/>
      <c r="T100" s="5"/>
      <c r="U100" s="25"/>
      <c r="V100" s="5"/>
      <c r="W100" s="5"/>
      <c r="X100" s="5"/>
      <c r="Y100" s="5"/>
      <c r="Z100" s="5"/>
      <c r="AA100" s="5"/>
      <c r="AB100" s="5"/>
      <c r="AC100" s="5"/>
      <c r="AD100" s="24"/>
      <c r="AE100" s="5"/>
      <c r="AF100" s="5"/>
      <c r="AG100" s="5"/>
      <c r="AH100" s="5"/>
      <c r="AI100" s="5"/>
      <c r="AJ100" s="5"/>
      <c r="AK100" s="25"/>
      <c r="AL100" s="5">
        <v>213</v>
      </c>
      <c r="AM100" s="8"/>
      <c r="AN100">
        <v>1</v>
      </c>
      <c r="AR100" s="67">
        <f t="shared" si="1"/>
        <v>3</v>
      </c>
    </row>
    <row r="101" spans="1:44">
      <c r="A101" s="8">
        <v>214</v>
      </c>
      <c r="B101" s="8" t="s">
        <v>63</v>
      </c>
      <c r="C101" s="8" t="s">
        <v>346</v>
      </c>
      <c r="D101" s="8"/>
      <c r="E101" s="8">
        <v>214</v>
      </c>
      <c r="F101" s="24"/>
      <c r="G101" s="5"/>
      <c r="H101" s="5"/>
      <c r="I101" s="5"/>
      <c r="J101" s="5"/>
      <c r="K101" s="5"/>
      <c r="L101" s="5"/>
      <c r="M101" s="25"/>
      <c r="N101" s="24"/>
      <c r="O101" s="5"/>
      <c r="P101" s="5"/>
      <c r="Q101" s="5"/>
      <c r="R101" s="5"/>
      <c r="S101" s="5"/>
      <c r="T101" s="5"/>
      <c r="U101" s="25"/>
      <c r="V101" s="5"/>
      <c r="W101" s="5"/>
      <c r="X101" s="5"/>
      <c r="Y101" s="5"/>
      <c r="Z101" s="5"/>
      <c r="AA101" s="5"/>
      <c r="AB101" s="5"/>
      <c r="AC101" s="5"/>
      <c r="AD101" s="24"/>
      <c r="AE101" s="5"/>
      <c r="AF101" s="5"/>
      <c r="AG101" s="5"/>
      <c r="AH101" s="5"/>
      <c r="AI101" s="5"/>
      <c r="AJ101" s="5"/>
      <c r="AK101" s="25"/>
      <c r="AL101" s="5">
        <v>214</v>
      </c>
      <c r="AM101" s="8">
        <v>1</v>
      </c>
      <c r="AR101" s="67">
        <f t="shared" si="1"/>
        <v>0</v>
      </c>
    </row>
    <row r="102" spans="1:44">
      <c r="A102" s="8">
        <v>216</v>
      </c>
      <c r="B102" s="81" t="s">
        <v>71</v>
      </c>
      <c r="C102" s="8" t="s">
        <v>366</v>
      </c>
      <c r="D102" s="81" t="s">
        <v>42</v>
      </c>
      <c r="E102" s="8">
        <v>216</v>
      </c>
      <c r="F102" s="24"/>
      <c r="G102" s="5"/>
      <c r="H102" s="5"/>
      <c r="I102" s="5"/>
      <c r="J102" s="5"/>
      <c r="K102" s="5"/>
      <c r="L102" s="5"/>
      <c r="M102" s="25"/>
      <c r="N102" s="24"/>
      <c r="O102" s="5"/>
      <c r="P102" s="5"/>
      <c r="Q102" s="5"/>
      <c r="R102" s="5"/>
      <c r="S102" s="5"/>
      <c r="T102" s="5"/>
      <c r="U102" s="25"/>
      <c r="V102" s="5"/>
      <c r="W102" s="5"/>
      <c r="X102" s="5"/>
      <c r="Y102" s="5"/>
      <c r="Z102" s="5"/>
      <c r="AA102" s="5"/>
      <c r="AB102" s="5"/>
      <c r="AC102" s="5"/>
      <c r="AD102" s="24"/>
      <c r="AE102" s="5"/>
      <c r="AF102" s="5"/>
      <c r="AG102" s="5"/>
      <c r="AH102" s="5"/>
      <c r="AI102" s="5"/>
      <c r="AJ102" s="5"/>
      <c r="AK102" s="25"/>
      <c r="AL102" s="5">
        <v>216</v>
      </c>
      <c r="AM102" s="8">
        <v>1</v>
      </c>
      <c r="AR102" s="67">
        <f t="shared" si="1"/>
        <v>0</v>
      </c>
    </row>
    <row r="103" spans="1:44">
      <c r="A103" s="8">
        <v>219</v>
      </c>
      <c r="B103" s="81" t="s">
        <v>106</v>
      </c>
      <c r="C103" s="8" t="s">
        <v>349</v>
      </c>
      <c r="D103" s="81" t="s">
        <v>6</v>
      </c>
      <c r="E103" s="8">
        <v>219</v>
      </c>
      <c r="F103" s="24"/>
      <c r="G103" s="5"/>
      <c r="H103" s="5"/>
      <c r="I103" s="5"/>
      <c r="J103" s="5"/>
      <c r="K103" s="5"/>
      <c r="L103" s="5"/>
      <c r="M103" s="25"/>
      <c r="N103" s="24"/>
      <c r="O103" s="5"/>
      <c r="P103" s="5"/>
      <c r="Q103" s="5"/>
      <c r="R103" s="5"/>
      <c r="S103" s="5"/>
      <c r="T103" s="5"/>
      <c r="U103" s="25"/>
      <c r="V103" s="5"/>
      <c r="W103" s="5"/>
      <c r="X103" s="5"/>
      <c r="Y103" s="5"/>
      <c r="Z103" s="5"/>
      <c r="AA103" s="5"/>
      <c r="AB103" s="5"/>
      <c r="AC103" s="5"/>
      <c r="AD103" s="24"/>
      <c r="AE103" s="5"/>
      <c r="AF103" s="5"/>
      <c r="AG103" s="5"/>
      <c r="AH103" s="5"/>
      <c r="AI103" s="5"/>
      <c r="AJ103" s="5"/>
      <c r="AK103" s="25"/>
      <c r="AL103" s="5">
        <v>219</v>
      </c>
      <c r="AM103" s="8">
        <v>1</v>
      </c>
      <c r="AR103" s="67">
        <f t="shared" si="1"/>
        <v>0</v>
      </c>
    </row>
    <row r="104" spans="1:44">
      <c r="A104" s="8">
        <v>220</v>
      </c>
      <c r="B104" s="81" t="s">
        <v>71</v>
      </c>
      <c r="C104" s="8" t="s">
        <v>366</v>
      </c>
      <c r="D104" s="81" t="s">
        <v>6</v>
      </c>
      <c r="E104" s="8">
        <v>220</v>
      </c>
      <c r="F104" s="24"/>
      <c r="G104" s="5"/>
      <c r="H104" s="5"/>
      <c r="I104" s="5"/>
      <c r="J104" s="5"/>
      <c r="K104" s="5"/>
      <c r="L104" s="5"/>
      <c r="M104" s="25"/>
      <c r="N104" s="24"/>
      <c r="O104" s="5"/>
      <c r="P104" s="5"/>
      <c r="Q104" s="5"/>
      <c r="R104" s="5"/>
      <c r="S104" s="5"/>
      <c r="T104" s="5"/>
      <c r="U104" s="25"/>
      <c r="V104" s="5"/>
      <c r="W104" s="5"/>
      <c r="X104" s="5"/>
      <c r="Y104" s="5"/>
      <c r="Z104" s="5"/>
      <c r="AA104" s="5"/>
      <c r="AB104" s="5"/>
      <c r="AC104" s="5"/>
      <c r="AD104" s="24"/>
      <c r="AE104" s="5"/>
      <c r="AF104" s="5"/>
      <c r="AG104" s="5"/>
      <c r="AH104" s="5"/>
      <c r="AI104" s="5"/>
      <c r="AJ104" s="5"/>
      <c r="AK104" s="25"/>
      <c r="AL104" s="5">
        <v>220</v>
      </c>
      <c r="AM104" s="8">
        <v>1</v>
      </c>
      <c r="AR104" s="67">
        <f t="shared" si="1"/>
        <v>0</v>
      </c>
    </row>
    <row r="105" spans="1:44">
      <c r="A105" s="8">
        <v>222</v>
      </c>
      <c r="B105" s="8" t="s">
        <v>131</v>
      </c>
      <c r="C105" s="8" t="s">
        <v>358</v>
      </c>
      <c r="D105" s="8"/>
      <c r="E105" s="8">
        <v>222</v>
      </c>
      <c r="F105" s="24"/>
      <c r="G105" s="5"/>
      <c r="H105" s="5"/>
      <c r="I105" s="5"/>
      <c r="J105" s="5"/>
      <c r="K105" s="5"/>
      <c r="L105" s="5"/>
      <c r="M105" s="25"/>
      <c r="N105" s="24"/>
      <c r="O105" s="5"/>
      <c r="P105" s="5"/>
      <c r="Q105" s="5"/>
      <c r="R105" s="5"/>
      <c r="S105" s="5"/>
      <c r="T105" s="5"/>
      <c r="U105" s="25"/>
      <c r="V105" s="5"/>
      <c r="W105" s="5"/>
      <c r="X105" s="5"/>
      <c r="Y105" s="5"/>
      <c r="Z105" s="5"/>
      <c r="AA105" s="5"/>
      <c r="AB105" s="5"/>
      <c r="AC105" s="5"/>
      <c r="AD105" s="24"/>
      <c r="AE105" s="5"/>
      <c r="AF105" s="5"/>
      <c r="AG105" s="5"/>
      <c r="AH105" s="5"/>
      <c r="AI105" s="5"/>
      <c r="AJ105" s="5"/>
      <c r="AK105" s="25"/>
      <c r="AL105" s="5">
        <v>222</v>
      </c>
      <c r="AM105" s="8">
        <v>1</v>
      </c>
      <c r="AR105" s="67">
        <f t="shared" si="1"/>
        <v>0</v>
      </c>
    </row>
    <row r="106" spans="1:44">
      <c r="A106" s="8">
        <v>224</v>
      </c>
      <c r="B106" s="8" t="s">
        <v>68</v>
      </c>
      <c r="C106" s="8" t="s">
        <v>357</v>
      </c>
      <c r="D106" s="8"/>
      <c r="E106" s="8">
        <v>224</v>
      </c>
      <c r="F106" s="24"/>
      <c r="G106" s="5"/>
      <c r="H106" s="5"/>
      <c r="I106" s="5"/>
      <c r="J106" s="5"/>
      <c r="K106" s="5"/>
      <c r="L106" s="5">
        <v>1</v>
      </c>
      <c r="M106" s="25">
        <v>1</v>
      </c>
      <c r="N106" s="24">
        <v>1</v>
      </c>
      <c r="O106" s="5">
        <v>1</v>
      </c>
      <c r="P106" s="5"/>
      <c r="Q106" s="5"/>
      <c r="R106" s="5"/>
      <c r="S106" s="5"/>
      <c r="T106" s="5"/>
      <c r="U106" s="25"/>
      <c r="V106" s="5"/>
      <c r="W106" s="5"/>
      <c r="X106" s="5"/>
      <c r="Y106" s="5"/>
      <c r="Z106" s="5"/>
      <c r="AA106" s="5"/>
      <c r="AB106" s="5">
        <v>1</v>
      </c>
      <c r="AC106" s="5">
        <v>1</v>
      </c>
      <c r="AD106" s="24">
        <v>1</v>
      </c>
      <c r="AE106" s="5">
        <v>1</v>
      </c>
      <c r="AF106" s="5"/>
      <c r="AG106" s="5"/>
      <c r="AH106" s="5"/>
      <c r="AI106" s="5"/>
      <c r="AJ106" s="5"/>
      <c r="AK106" s="25"/>
      <c r="AL106" s="5">
        <v>224</v>
      </c>
      <c r="AM106" s="8"/>
      <c r="AN106">
        <v>1</v>
      </c>
      <c r="AR106" s="67">
        <f t="shared" si="1"/>
        <v>8</v>
      </c>
    </row>
    <row r="107" spans="1:44">
      <c r="A107" s="8">
        <v>227</v>
      </c>
      <c r="B107" s="8" t="s">
        <v>123</v>
      </c>
      <c r="C107" s="8" t="s">
        <v>366</v>
      </c>
      <c r="D107" s="8" t="s">
        <v>6</v>
      </c>
      <c r="E107" s="8">
        <v>227</v>
      </c>
      <c r="F107" s="24"/>
      <c r="G107" s="5"/>
      <c r="H107" s="5"/>
      <c r="I107" s="5"/>
      <c r="J107" s="5"/>
      <c r="K107" s="5"/>
      <c r="L107" s="5"/>
      <c r="M107" s="25"/>
      <c r="N107" s="24"/>
      <c r="O107" s="5"/>
      <c r="P107" s="5"/>
      <c r="Q107" s="5"/>
      <c r="R107" s="5"/>
      <c r="S107" s="5"/>
      <c r="T107" s="5"/>
      <c r="U107" s="25"/>
      <c r="V107" s="5"/>
      <c r="W107" s="5"/>
      <c r="X107" s="5"/>
      <c r="Y107" s="5"/>
      <c r="Z107" s="5"/>
      <c r="AA107" s="5">
        <v>1</v>
      </c>
      <c r="AB107" s="5"/>
      <c r="AC107" s="5"/>
      <c r="AD107" s="24"/>
      <c r="AE107" s="5"/>
      <c r="AF107" s="5"/>
      <c r="AG107" s="5"/>
      <c r="AH107" s="5"/>
      <c r="AI107" s="5"/>
      <c r="AJ107" s="5"/>
      <c r="AK107" s="25"/>
      <c r="AL107" s="5">
        <v>227</v>
      </c>
      <c r="AM107" s="8"/>
      <c r="AN107">
        <v>1</v>
      </c>
      <c r="AR107" s="67">
        <f t="shared" si="1"/>
        <v>1</v>
      </c>
    </row>
    <row r="108" spans="1:44">
      <c r="A108" s="8">
        <v>228</v>
      </c>
      <c r="B108" s="8" t="s">
        <v>74</v>
      </c>
      <c r="C108" s="8" t="s">
        <v>346</v>
      </c>
      <c r="D108" s="8"/>
      <c r="E108" s="8">
        <v>228</v>
      </c>
      <c r="F108" s="24"/>
      <c r="G108" s="5"/>
      <c r="H108" s="5"/>
      <c r="I108" s="5"/>
      <c r="J108" s="5"/>
      <c r="K108" s="5"/>
      <c r="L108" s="5"/>
      <c r="M108" s="25"/>
      <c r="N108" s="24"/>
      <c r="O108" s="5"/>
      <c r="P108" s="5"/>
      <c r="Q108" s="5"/>
      <c r="R108" s="5"/>
      <c r="S108" s="5"/>
      <c r="T108" s="5"/>
      <c r="U108" s="25"/>
      <c r="V108" s="5"/>
      <c r="W108" s="5"/>
      <c r="X108" s="5"/>
      <c r="Y108" s="5"/>
      <c r="Z108" s="5"/>
      <c r="AA108" s="5"/>
      <c r="AB108" s="5"/>
      <c r="AC108" s="5"/>
      <c r="AD108" s="24"/>
      <c r="AE108" s="5"/>
      <c r="AF108" s="5"/>
      <c r="AG108" s="5"/>
      <c r="AH108" s="5"/>
      <c r="AI108" s="5"/>
      <c r="AJ108" s="5"/>
      <c r="AK108" s="25"/>
      <c r="AL108" s="5">
        <v>228</v>
      </c>
      <c r="AM108" s="8">
        <v>1</v>
      </c>
      <c r="AR108" s="67">
        <f t="shared" si="1"/>
        <v>0</v>
      </c>
    </row>
    <row r="109" spans="1:44">
      <c r="A109" s="8">
        <v>229</v>
      </c>
      <c r="B109" s="8" t="s">
        <v>74</v>
      </c>
      <c r="C109" s="8" t="s">
        <v>346</v>
      </c>
      <c r="D109" s="8"/>
      <c r="E109" s="8">
        <v>229</v>
      </c>
      <c r="F109" s="24"/>
      <c r="G109" s="5"/>
      <c r="H109" s="5"/>
      <c r="I109" s="5"/>
      <c r="J109" s="5"/>
      <c r="K109" s="5"/>
      <c r="L109" s="5"/>
      <c r="M109" s="25"/>
      <c r="N109" s="24"/>
      <c r="O109" s="5"/>
      <c r="P109" s="5"/>
      <c r="Q109" s="5"/>
      <c r="R109" s="5"/>
      <c r="S109" s="5"/>
      <c r="T109" s="5"/>
      <c r="U109" s="25"/>
      <c r="V109" s="5"/>
      <c r="W109" s="5"/>
      <c r="X109" s="5"/>
      <c r="Y109" s="5"/>
      <c r="Z109" s="5"/>
      <c r="AA109" s="5"/>
      <c r="AB109" s="5"/>
      <c r="AC109" s="5"/>
      <c r="AD109" s="24"/>
      <c r="AE109" s="5"/>
      <c r="AF109" s="5"/>
      <c r="AG109" s="5"/>
      <c r="AH109" s="5"/>
      <c r="AI109" s="5"/>
      <c r="AJ109" s="5"/>
      <c r="AK109" s="25"/>
      <c r="AL109" s="5">
        <v>229</v>
      </c>
      <c r="AM109" s="8">
        <v>1</v>
      </c>
      <c r="AR109" s="67">
        <f t="shared" si="1"/>
        <v>0</v>
      </c>
    </row>
    <row r="110" spans="1:44">
      <c r="A110" s="8">
        <v>234</v>
      </c>
      <c r="B110" s="8" t="s">
        <v>44</v>
      </c>
      <c r="C110" s="8" t="s">
        <v>349</v>
      </c>
      <c r="D110" s="8" t="s">
        <v>42</v>
      </c>
      <c r="E110" s="8">
        <v>234</v>
      </c>
      <c r="F110" s="24"/>
      <c r="G110" s="5"/>
      <c r="H110" s="5"/>
      <c r="I110" s="5"/>
      <c r="J110" s="5"/>
      <c r="K110" s="5"/>
      <c r="L110" s="5"/>
      <c r="M110" s="25"/>
      <c r="N110" s="24"/>
      <c r="O110" s="5"/>
      <c r="P110" s="5"/>
      <c r="Q110" s="5"/>
      <c r="R110" s="5"/>
      <c r="S110" s="5"/>
      <c r="T110" s="5"/>
      <c r="U110" s="25"/>
      <c r="V110" s="5"/>
      <c r="W110" s="5"/>
      <c r="X110" s="5"/>
      <c r="Y110" s="5"/>
      <c r="Z110" s="5"/>
      <c r="AA110" s="5"/>
      <c r="AB110" s="5"/>
      <c r="AC110" s="5"/>
      <c r="AD110" s="24"/>
      <c r="AE110" s="5"/>
      <c r="AF110" s="5"/>
      <c r="AG110" s="5"/>
      <c r="AH110" s="5"/>
      <c r="AI110" s="5"/>
      <c r="AJ110" s="5"/>
      <c r="AK110" s="25"/>
      <c r="AL110" s="5">
        <v>234</v>
      </c>
      <c r="AM110" s="8">
        <v>1</v>
      </c>
      <c r="AR110" s="67">
        <f t="shared" si="1"/>
        <v>0</v>
      </c>
    </row>
    <row r="111" spans="1:44">
      <c r="A111" s="8">
        <v>237</v>
      </c>
      <c r="B111" s="8" t="s">
        <v>63</v>
      </c>
      <c r="C111" s="8" t="s">
        <v>346</v>
      </c>
      <c r="D111" s="8"/>
      <c r="E111" s="8">
        <v>237</v>
      </c>
      <c r="F111" s="24"/>
      <c r="G111" s="5"/>
      <c r="H111" s="5"/>
      <c r="I111" s="5"/>
      <c r="J111" s="5"/>
      <c r="K111" s="5"/>
      <c r="L111" s="5"/>
      <c r="M111" s="25"/>
      <c r="N111" s="24"/>
      <c r="O111" s="5"/>
      <c r="P111" s="5"/>
      <c r="Q111" s="5"/>
      <c r="R111" s="5"/>
      <c r="S111" s="5"/>
      <c r="T111" s="5"/>
      <c r="U111" s="25"/>
      <c r="V111" s="5"/>
      <c r="W111" s="5"/>
      <c r="X111" s="5"/>
      <c r="Y111" s="5"/>
      <c r="Z111" s="5"/>
      <c r="AA111" s="5"/>
      <c r="AB111" s="5"/>
      <c r="AC111" s="5"/>
      <c r="AD111" s="24"/>
      <c r="AE111" s="5"/>
      <c r="AF111" s="5"/>
      <c r="AG111" s="5"/>
      <c r="AH111" s="5"/>
      <c r="AI111" s="5"/>
      <c r="AJ111" s="5"/>
      <c r="AK111" s="25"/>
      <c r="AL111" s="5">
        <v>237</v>
      </c>
      <c r="AM111" s="8">
        <v>1</v>
      </c>
      <c r="AR111" s="67">
        <f t="shared" si="1"/>
        <v>0</v>
      </c>
    </row>
    <row r="112" spans="1:44">
      <c r="A112" s="8">
        <v>241</v>
      </c>
      <c r="B112" s="8" t="s">
        <v>78</v>
      </c>
      <c r="C112" s="8" t="s">
        <v>359</v>
      </c>
      <c r="D112" s="8"/>
      <c r="E112" s="8">
        <v>241</v>
      </c>
      <c r="F112" s="24"/>
      <c r="G112" s="5"/>
      <c r="H112" s="5"/>
      <c r="I112" s="5"/>
      <c r="J112" s="5"/>
      <c r="K112" s="5"/>
      <c r="L112" s="5"/>
      <c r="M112" s="25">
        <v>1</v>
      </c>
      <c r="N112" s="24">
        <v>1</v>
      </c>
      <c r="O112" s="5"/>
      <c r="P112" s="5"/>
      <c r="Q112" s="5"/>
      <c r="R112" s="5"/>
      <c r="S112" s="5"/>
      <c r="T112" s="5"/>
      <c r="U112" s="25"/>
      <c r="V112" s="5"/>
      <c r="W112" s="5"/>
      <c r="X112" s="5"/>
      <c r="Y112" s="5"/>
      <c r="Z112" s="5"/>
      <c r="AA112" s="5"/>
      <c r="AB112" s="5"/>
      <c r="AC112" s="5">
        <v>1</v>
      </c>
      <c r="AD112" s="24">
        <v>1</v>
      </c>
      <c r="AE112" s="5"/>
      <c r="AF112" s="5"/>
      <c r="AG112" s="5"/>
      <c r="AH112" s="5"/>
      <c r="AI112" s="5"/>
      <c r="AJ112" s="5"/>
      <c r="AK112" s="25"/>
      <c r="AL112" s="5">
        <v>241</v>
      </c>
      <c r="AM112" s="8"/>
      <c r="AN112" s="53">
        <v>1</v>
      </c>
      <c r="AO112" s="52">
        <v>1</v>
      </c>
      <c r="AP112" s="52"/>
      <c r="AQ112" s="52">
        <v>1</v>
      </c>
      <c r="AR112" s="67">
        <f t="shared" si="1"/>
        <v>4</v>
      </c>
    </row>
    <row r="113" spans="1:44">
      <c r="A113" s="8">
        <v>246</v>
      </c>
      <c r="B113" s="8" t="s">
        <v>59</v>
      </c>
      <c r="C113" s="8" t="s">
        <v>346</v>
      </c>
      <c r="D113" s="8"/>
      <c r="E113" s="8">
        <v>246</v>
      </c>
      <c r="F113" s="24"/>
      <c r="G113" s="5"/>
      <c r="H113" s="5"/>
      <c r="I113" s="5"/>
      <c r="J113" s="5"/>
      <c r="K113" s="5"/>
      <c r="L113" s="5"/>
      <c r="M113" s="25"/>
      <c r="N113" s="24"/>
      <c r="O113" s="5"/>
      <c r="P113" s="5"/>
      <c r="Q113" s="5"/>
      <c r="R113" s="5"/>
      <c r="S113" s="5"/>
      <c r="T113" s="5"/>
      <c r="U113" s="25"/>
      <c r="V113" s="5"/>
      <c r="W113" s="5"/>
      <c r="X113" s="5"/>
      <c r="Y113" s="5"/>
      <c r="Z113" s="5"/>
      <c r="AA113" s="5"/>
      <c r="AB113" s="5"/>
      <c r="AC113" s="5"/>
      <c r="AD113" s="24"/>
      <c r="AE113" s="5"/>
      <c r="AF113" s="5"/>
      <c r="AG113" s="5"/>
      <c r="AH113" s="5"/>
      <c r="AI113" s="5"/>
      <c r="AJ113" s="5"/>
      <c r="AK113" s="25"/>
      <c r="AL113" s="5">
        <v>246</v>
      </c>
      <c r="AM113" s="8"/>
      <c r="AO113">
        <v>1</v>
      </c>
      <c r="AR113" s="67">
        <f t="shared" si="1"/>
        <v>0</v>
      </c>
    </row>
    <row r="114" spans="1:44">
      <c r="A114" s="8">
        <v>251</v>
      </c>
      <c r="B114" s="55" t="s">
        <v>161</v>
      </c>
      <c r="C114" s="8" t="s">
        <v>357</v>
      </c>
      <c r="D114" s="8"/>
      <c r="E114" s="8">
        <v>251</v>
      </c>
      <c r="F114" s="24"/>
      <c r="G114" s="5"/>
      <c r="H114" s="5"/>
      <c r="I114" s="5"/>
      <c r="J114" s="5"/>
      <c r="K114" s="5"/>
      <c r="L114" s="5"/>
      <c r="M114" s="25"/>
      <c r="N114" s="24"/>
      <c r="O114" s="5"/>
      <c r="P114" s="5"/>
      <c r="Q114" s="5"/>
      <c r="R114" s="5"/>
      <c r="S114" s="5"/>
      <c r="T114" s="5"/>
      <c r="U114" s="25"/>
      <c r="V114" s="5"/>
      <c r="W114" s="5"/>
      <c r="X114" s="5"/>
      <c r="Y114" s="5"/>
      <c r="Z114" s="5"/>
      <c r="AA114" s="5">
        <v>1</v>
      </c>
      <c r="AB114" s="5">
        <v>1</v>
      </c>
      <c r="AC114" s="5">
        <v>1</v>
      </c>
      <c r="AD114" s="24">
        <v>1</v>
      </c>
      <c r="AE114" s="5">
        <v>1</v>
      </c>
      <c r="AF114" s="5">
        <v>1</v>
      </c>
      <c r="AG114" s="5"/>
      <c r="AH114" s="5"/>
      <c r="AI114" s="5"/>
      <c r="AJ114" s="5"/>
      <c r="AK114" s="25"/>
      <c r="AL114" s="5">
        <v>251</v>
      </c>
      <c r="AM114" s="8"/>
      <c r="AN114">
        <v>1</v>
      </c>
      <c r="AR114" s="67">
        <f t="shared" si="1"/>
        <v>6</v>
      </c>
    </row>
    <row r="115" spans="1:44">
      <c r="A115" s="8">
        <v>254</v>
      </c>
      <c r="B115" s="8" t="s">
        <v>162</v>
      </c>
      <c r="C115" s="8" t="s">
        <v>12</v>
      </c>
      <c r="D115" s="8" t="s">
        <v>42</v>
      </c>
      <c r="E115" s="8">
        <v>254</v>
      </c>
      <c r="F115" s="24"/>
      <c r="G115" s="5"/>
      <c r="H115" s="5"/>
      <c r="I115" s="5"/>
      <c r="J115" s="5"/>
      <c r="K115" s="5"/>
      <c r="L115" s="5"/>
      <c r="M115" s="25">
        <v>1</v>
      </c>
      <c r="N115" s="24">
        <v>1</v>
      </c>
      <c r="O115" s="5"/>
      <c r="P115" s="5"/>
      <c r="Q115" s="5"/>
      <c r="R115" s="5"/>
      <c r="S115" s="5"/>
      <c r="T115" s="5"/>
      <c r="U115" s="25"/>
      <c r="V115" s="5"/>
      <c r="W115" s="5"/>
      <c r="X115" s="5"/>
      <c r="Y115" s="5"/>
      <c r="Z115" s="5"/>
      <c r="AA115" s="5">
        <v>1</v>
      </c>
      <c r="AB115" s="5"/>
      <c r="AC115" s="5"/>
      <c r="AD115" s="24"/>
      <c r="AE115" s="5"/>
      <c r="AF115" s="5">
        <v>1</v>
      </c>
      <c r="AG115" s="5"/>
      <c r="AH115" s="5"/>
      <c r="AI115" s="5"/>
      <c r="AJ115" s="5"/>
      <c r="AK115" s="25"/>
      <c r="AL115" s="5">
        <v>254</v>
      </c>
      <c r="AM115" s="8"/>
      <c r="AN115">
        <v>1</v>
      </c>
      <c r="AR115" s="67">
        <f t="shared" si="1"/>
        <v>4</v>
      </c>
    </row>
    <row r="116" spans="1:44" s="8" customFormat="1">
      <c r="A116" s="8">
        <v>255</v>
      </c>
      <c r="B116" s="8" t="s">
        <v>59</v>
      </c>
      <c r="C116" s="8" t="s">
        <v>346</v>
      </c>
      <c r="E116" s="8">
        <v>255</v>
      </c>
      <c r="F116" s="24"/>
      <c r="G116" s="5"/>
      <c r="H116" s="5"/>
      <c r="I116" s="5"/>
      <c r="J116" s="5"/>
      <c r="K116" s="5"/>
      <c r="L116" s="5"/>
      <c r="M116" s="25"/>
      <c r="N116" s="24"/>
      <c r="O116" s="5"/>
      <c r="P116" s="5"/>
      <c r="Q116" s="5"/>
      <c r="R116" s="5"/>
      <c r="S116" s="5"/>
      <c r="T116" s="5"/>
      <c r="U116" s="25"/>
      <c r="V116" s="5"/>
      <c r="W116" s="5"/>
      <c r="X116" s="5"/>
      <c r="Y116" s="5"/>
      <c r="Z116" s="5"/>
      <c r="AA116" s="5"/>
      <c r="AB116" s="5"/>
      <c r="AC116" s="5"/>
      <c r="AD116" s="24"/>
      <c r="AE116" s="5"/>
      <c r="AF116" s="5"/>
      <c r="AG116" s="5"/>
      <c r="AH116" s="5"/>
      <c r="AI116" s="5"/>
      <c r="AJ116" s="5"/>
      <c r="AK116" s="25"/>
      <c r="AL116" s="5">
        <v>255</v>
      </c>
      <c r="AM116" s="8">
        <v>1</v>
      </c>
      <c r="AR116" s="67">
        <f t="shared" si="1"/>
        <v>0</v>
      </c>
    </row>
    <row r="117" spans="1:44">
      <c r="A117" s="8">
        <v>256</v>
      </c>
      <c r="B117" s="8" t="s">
        <v>44</v>
      </c>
      <c r="C117" s="8" t="s">
        <v>349</v>
      </c>
      <c r="D117" s="8" t="s">
        <v>42</v>
      </c>
      <c r="E117" s="8">
        <v>256</v>
      </c>
      <c r="F117" s="24"/>
      <c r="G117" s="5"/>
      <c r="H117" s="5"/>
      <c r="I117" s="5"/>
      <c r="J117" s="5"/>
      <c r="K117" s="5"/>
      <c r="L117" s="5"/>
      <c r="M117" s="25"/>
      <c r="N117" s="24"/>
      <c r="O117" s="5"/>
      <c r="P117" s="5"/>
      <c r="Q117" s="5"/>
      <c r="R117" s="5"/>
      <c r="S117" s="5"/>
      <c r="T117" s="5"/>
      <c r="U117" s="25"/>
      <c r="V117" s="5"/>
      <c r="W117" s="5"/>
      <c r="X117" s="5"/>
      <c r="Y117" s="5"/>
      <c r="Z117" s="5"/>
      <c r="AA117" s="5"/>
      <c r="AB117" s="5"/>
      <c r="AC117" s="5"/>
      <c r="AD117" s="24"/>
      <c r="AE117" s="5"/>
      <c r="AF117" s="5">
        <v>1</v>
      </c>
      <c r="AG117" s="5">
        <v>1</v>
      </c>
      <c r="AH117" s="5"/>
      <c r="AI117" s="5"/>
      <c r="AJ117" s="5"/>
      <c r="AK117" s="25"/>
      <c r="AL117" s="5">
        <v>256</v>
      </c>
      <c r="AM117" s="8"/>
      <c r="AN117">
        <v>1</v>
      </c>
      <c r="AR117" s="67">
        <f t="shared" si="1"/>
        <v>2</v>
      </c>
    </row>
    <row r="118" spans="1:44">
      <c r="A118" s="8">
        <v>257</v>
      </c>
      <c r="B118" s="8" t="s">
        <v>55</v>
      </c>
      <c r="C118" s="8" t="s">
        <v>346</v>
      </c>
      <c r="D118" s="8"/>
      <c r="E118" s="8">
        <v>257</v>
      </c>
      <c r="F118" s="24"/>
      <c r="G118" s="5"/>
      <c r="H118" s="5"/>
      <c r="I118" s="5"/>
      <c r="J118" s="5"/>
      <c r="K118" s="5"/>
      <c r="L118" s="5"/>
      <c r="M118" s="25"/>
      <c r="N118" s="24"/>
      <c r="O118" s="5"/>
      <c r="P118" s="5"/>
      <c r="Q118" s="5"/>
      <c r="R118" s="5"/>
      <c r="S118" s="5"/>
      <c r="T118" s="5"/>
      <c r="U118" s="25"/>
      <c r="V118" s="5"/>
      <c r="W118" s="5"/>
      <c r="X118" s="5"/>
      <c r="Y118" s="5"/>
      <c r="Z118" s="5"/>
      <c r="AA118" s="5"/>
      <c r="AB118" s="5"/>
      <c r="AC118" s="5"/>
      <c r="AD118" s="24"/>
      <c r="AE118" s="5"/>
      <c r="AF118" s="5"/>
      <c r="AG118" s="5"/>
      <c r="AH118" s="5"/>
      <c r="AI118" s="5"/>
      <c r="AJ118" s="5"/>
      <c r="AK118" s="25"/>
      <c r="AL118" s="5">
        <v>257</v>
      </c>
      <c r="AM118" s="8"/>
      <c r="AO118">
        <v>1</v>
      </c>
      <c r="AR118" s="67">
        <f t="shared" si="1"/>
        <v>0</v>
      </c>
    </row>
    <row r="119" spans="1:44" s="67" customFormat="1">
      <c r="A119" s="8">
        <v>258</v>
      </c>
      <c r="B119" s="8" t="s">
        <v>74</v>
      </c>
      <c r="C119" s="8" t="s">
        <v>346</v>
      </c>
      <c r="D119" s="8"/>
      <c r="E119" s="8">
        <v>258</v>
      </c>
      <c r="F119" s="24"/>
      <c r="G119" s="5"/>
      <c r="H119" s="5"/>
      <c r="I119" s="5"/>
      <c r="J119" s="5"/>
      <c r="K119" s="5"/>
      <c r="L119" s="5"/>
      <c r="M119" s="25"/>
      <c r="N119" s="24"/>
      <c r="O119" s="5"/>
      <c r="P119" s="5"/>
      <c r="Q119" s="5"/>
      <c r="R119" s="5"/>
      <c r="S119" s="5"/>
      <c r="T119" s="5"/>
      <c r="U119" s="25"/>
      <c r="V119" s="5"/>
      <c r="W119" s="5"/>
      <c r="X119" s="5"/>
      <c r="Y119" s="5"/>
      <c r="Z119" s="5"/>
      <c r="AA119" s="5"/>
      <c r="AB119" s="5"/>
      <c r="AC119" s="5"/>
      <c r="AD119" s="24"/>
      <c r="AE119" s="5"/>
      <c r="AF119" s="5"/>
      <c r="AG119" s="5"/>
      <c r="AH119" s="5"/>
      <c r="AI119" s="5"/>
      <c r="AJ119" s="5"/>
      <c r="AK119" s="25"/>
      <c r="AL119" s="5">
        <v>258</v>
      </c>
      <c r="AM119" s="8">
        <v>1</v>
      </c>
      <c r="AR119" s="67">
        <f t="shared" si="1"/>
        <v>0</v>
      </c>
    </row>
    <row r="120" spans="1:44">
      <c r="A120" s="8">
        <v>263</v>
      </c>
      <c r="B120" s="8" t="s">
        <v>5</v>
      </c>
      <c r="C120" s="8" t="s">
        <v>42</v>
      </c>
      <c r="D120" s="8" t="s">
        <v>6</v>
      </c>
      <c r="E120" s="8">
        <v>263</v>
      </c>
      <c r="F120" s="24"/>
      <c r="G120" s="5"/>
      <c r="H120" s="5"/>
      <c r="I120" s="5"/>
      <c r="J120" s="5"/>
      <c r="K120" s="5">
        <v>1</v>
      </c>
      <c r="L120" s="5">
        <v>1</v>
      </c>
      <c r="M120" s="25">
        <v>1</v>
      </c>
      <c r="N120" s="24">
        <v>1</v>
      </c>
      <c r="O120" s="5">
        <v>1</v>
      </c>
      <c r="P120" s="5">
        <v>1</v>
      </c>
      <c r="Q120" s="5"/>
      <c r="R120" s="5"/>
      <c r="S120" s="5"/>
      <c r="T120" s="5"/>
      <c r="U120" s="25"/>
      <c r="V120" s="5"/>
      <c r="W120" s="5"/>
      <c r="X120" s="5"/>
      <c r="Y120" s="5"/>
      <c r="Z120" s="5"/>
      <c r="AA120" s="5">
        <v>1</v>
      </c>
      <c r="AB120" s="5">
        <v>1</v>
      </c>
      <c r="AC120" s="5">
        <v>1</v>
      </c>
      <c r="AD120" s="24">
        <v>1</v>
      </c>
      <c r="AE120" s="5">
        <v>1</v>
      </c>
      <c r="AF120" s="5">
        <v>1</v>
      </c>
      <c r="AG120" s="5"/>
      <c r="AH120" s="5"/>
      <c r="AI120" s="5"/>
      <c r="AJ120" s="5"/>
      <c r="AK120" s="25"/>
      <c r="AL120" s="5">
        <v>263</v>
      </c>
      <c r="AM120" s="8"/>
      <c r="AN120">
        <v>1</v>
      </c>
      <c r="AR120" s="67">
        <f t="shared" si="1"/>
        <v>12</v>
      </c>
    </row>
    <row r="121" spans="1:44">
      <c r="A121" s="8">
        <v>266</v>
      </c>
      <c r="B121" s="8" t="s">
        <v>197</v>
      </c>
      <c r="C121" s="8" t="s">
        <v>357</v>
      </c>
      <c r="D121" s="8"/>
      <c r="E121" s="8">
        <v>266</v>
      </c>
      <c r="F121" s="24"/>
      <c r="G121" s="5"/>
      <c r="H121" s="5"/>
      <c r="I121" s="5"/>
      <c r="J121" s="5"/>
      <c r="K121" s="5">
        <v>1</v>
      </c>
      <c r="L121" s="5">
        <v>1</v>
      </c>
      <c r="M121" s="25">
        <v>1</v>
      </c>
      <c r="N121" s="24">
        <v>1</v>
      </c>
      <c r="O121" s="5">
        <v>1</v>
      </c>
      <c r="P121" s="5">
        <v>1</v>
      </c>
      <c r="Q121" s="5"/>
      <c r="R121" s="5"/>
      <c r="S121" s="5"/>
      <c r="T121" s="5"/>
      <c r="U121" s="25"/>
      <c r="V121" s="5"/>
      <c r="W121" s="5"/>
      <c r="X121" s="5"/>
      <c r="Y121" s="5"/>
      <c r="Z121" s="5"/>
      <c r="AA121" s="5">
        <v>1</v>
      </c>
      <c r="AB121" s="5">
        <v>1</v>
      </c>
      <c r="AC121" s="5">
        <v>1</v>
      </c>
      <c r="AD121" s="24">
        <v>1</v>
      </c>
      <c r="AE121" s="5">
        <v>1</v>
      </c>
      <c r="AF121" s="5">
        <v>1</v>
      </c>
      <c r="AG121" s="5"/>
      <c r="AH121" s="5"/>
      <c r="AI121" s="5"/>
      <c r="AJ121" s="5"/>
      <c r="AK121" s="25"/>
      <c r="AL121" s="5">
        <v>266</v>
      </c>
      <c r="AM121" s="8"/>
      <c r="AN121">
        <v>1</v>
      </c>
      <c r="AR121" s="67">
        <f t="shared" si="1"/>
        <v>12</v>
      </c>
    </row>
    <row r="122" spans="1:44">
      <c r="A122" s="8">
        <v>267</v>
      </c>
      <c r="B122" s="8" t="s">
        <v>73</v>
      </c>
      <c r="C122" s="8" t="s">
        <v>165</v>
      </c>
      <c r="D122" s="8" t="s">
        <v>6</v>
      </c>
      <c r="E122" s="8">
        <v>267</v>
      </c>
      <c r="F122" s="24"/>
      <c r="G122" s="5"/>
      <c r="H122" s="5"/>
      <c r="I122" s="5"/>
      <c r="J122" s="5"/>
      <c r="K122" s="5"/>
      <c r="L122" s="5"/>
      <c r="M122" s="25"/>
      <c r="N122" s="24"/>
      <c r="O122" s="5"/>
      <c r="P122" s="5"/>
      <c r="Q122" s="5"/>
      <c r="R122" s="5"/>
      <c r="S122" s="5"/>
      <c r="T122" s="5"/>
      <c r="U122" s="25"/>
      <c r="V122" s="5"/>
      <c r="W122" s="5"/>
      <c r="X122" s="5"/>
      <c r="Y122" s="5">
        <v>1</v>
      </c>
      <c r="Z122" s="5">
        <v>1</v>
      </c>
      <c r="AA122" s="5">
        <v>1</v>
      </c>
      <c r="AB122" s="5"/>
      <c r="AC122" s="5"/>
      <c r="AD122" s="24"/>
      <c r="AE122" s="5"/>
      <c r="AF122" s="5">
        <v>1</v>
      </c>
      <c r="AG122" s="5">
        <v>1</v>
      </c>
      <c r="AH122" s="5">
        <v>1</v>
      </c>
      <c r="AI122" s="5"/>
      <c r="AJ122" s="5"/>
      <c r="AK122" s="25"/>
      <c r="AL122" s="5">
        <v>267</v>
      </c>
      <c r="AM122" s="8"/>
      <c r="AN122">
        <v>1</v>
      </c>
      <c r="AR122" s="67">
        <f t="shared" si="1"/>
        <v>6</v>
      </c>
    </row>
    <row r="123" spans="1:44">
      <c r="A123" s="8">
        <v>270</v>
      </c>
      <c r="B123" s="8" t="s">
        <v>197</v>
      </c>
      <c r="C123" s="8" t="s">
        <v>357</v>
      </c>
      <c r="D123" s="8"/>
      <c r="E123" s="8">
        <v>270</v>
      </c>
      <c r="F123" s="24"/>
      <c r="G123" s="5"/>
      <c r="H123" s="5"/>
      <c r="I123" s="5"/>
      <c r="J123" s="5"/>
      <c r="K123" s="5"/>
      <c r="L123" s="5">
        <v>1</v>
      </c>
      <c r="M123" s="25">
        <v>1</v>
      </c>
      <c r="N123" s="24">
        <v>1</v>
      </c>
      <c r="O123" s="5">
        <v>1</v>
      </c>
      <c r="P123" s="5"/>
      <c r="Q123" s="5"/>
      <c r="R123" s="5"/>
      <c r="S123" s="5"/>
      <c r="T123" s="5"/>
      <c r="U123" s="25"/>
      <c r="V123" s="5"/>
      <c r="W123" s="5"/>
      <c r="X123" s="5"/>
      <c r="Y123" s="5"/>
      <c r="Z123" s="5"/>
      <c r="AA123" s="5">
        <v>1</v>
      </c>
      <c r="AB123" s="5">
        <v>1</v>
      </c>
      <c r="AC123" s="5">
        <v>1</v>
      </c>
      <c r="AD123" s="24">
        <v>1</v>
      </c>
      <c r="AE123" s="5">
        <v>1</v>
      </c>
      <c r="AF123" s="5">
        <v>1</v>
      </c>
      <c r="AG123" s="5"/>
      <c r="AH123" s="5"/>
      <c r="AI123" s="5"/>
      <c r="AJ123" s="5"/>
      <c r="AK123" s="25"/>
      <c r="AL123" s="5">
        <v>270</v>
      </c>
      <c r="AM123" s="8"/>
      <c r="AN123">
        <v>1</v>
      </c>
      <c r="AR123" s="67">
        <f t="shared" si="1"/>
        <v>10</v>
      </c>
    </row>
    <row r="124" spans="1:44">
      <c r="A124" s="8">
        <v>271</v>
      </c>
      <c r="B124" s="8" t="s">
        <v>62</v>
      </c>
      <c r="C124" s="8" t="s">
        <v>42</v>
      </c>
      <c r="D124" s="8" t="s">
        <v>6</v>
      </c>
      <c r="E124" s="8">
        <v>271</v>
      </c>
      <c r="F124" s="24"/>
      <c r="G124" s="5"/>
      <c r="H124" s="5"/>
      <c r="I124" s="5"/>
      <c r="J124" s="5"/>
      <c r="K124" s="5"/>
      <c r="L124" s="5"/>
      <c r="M124" s="25"/>
      <c r="N124" s="24"/>
      <c r="O124" s="5"/>
      <c r="P124" s="5"/>
      <c r="Q124" s="5"/>
      <c r="R124" s="5"/>
      <c r="S124" s="5"/>
      <c r="T124" s="5"/>
      <c r="U124" s="25"/>
      <c r="V124" s="5"/>
      <c r="W124" s="5"/>
      <c r="X124" s="5"/>
      <c r="Y124" s="5"/>
      <c r="Z124" s="5"/>
      <c r="AA124" s="5"/>
      <c r="AB124" s="5"/>
      <c r="AC124" s="5"/>
      <c r="AD124" s="24"/>
      <c r="AE124" s="5"/>
      <c r="AF124" s="5"/>
      <c r="AG124" s="5"/>
      <c r="AH124" s="5"/>
      <c r="AI124" s="5"/>
      <c r="AJ124" s="5"/>
      <c r="AK124" s="25"/>
      <c r="AL124" s="5">
        <v>271</v>
      </c>
      <c r="AM124" s="8">
        <v>1</v>
      </c>
      <c r="AR124" s="67">
        <f t="shared" si="1"/>
        <v>0</v>
      </c>
    </row>
    <row r="125" spans="1:44">
      <c r="A125" s="8">
        <v>272</v>
      </c>
      <c r="B125" s="8" t="s">
        <v>41</v>
      </c>
      <c r="C125" s="8" t="s">
        <v>42</v>
      </c>
      <c r="D125" s="8" t="s">
        <v>6</v>
      </c>
      <c r="E125" s="8">
        <v>272</v>
      </c>
      <c r="F125" s="24"/>
      <c r="G125" s="5"/>
      <c r="H125" s="5"/>
      <c r="I125" s="5"/>
      <c r="J125" s="5"/>
      <c r="K125" s="5">
        <v>1</v>
      </c>
      <c r="L125" s="5"/>
      <c r="M125" s="25"/>
      <c r="N125" s="24"/>
      <c r="O125" s="5"/>
      <c r="P125" s="5"/>
      <c r="Q125" s="5"/>
      <c r="R125" s="5"/>
      <c r="S125" s="5"/>
      <c r="T125" s="5"/>
      <c r="U125" s="25"/>
      <c r="V125" s="5"/>
      <c r="W125" s="5"/>
      <c r="X125" s="5"/>
      <c r="Y125" s="5"/>
      <c r="Z125" s="5"/>
      <c r="AA125" s="5">
        <v>1</v>
      </c>
      <c r="AB125" s="5">
        <v>1</v>
      </c>
      <c r="AC125" s="5">
        <v>1</v>
      </c>
      <c r="AD125" s="24"/>
      <c r="AE125" s="5"/>
      <c r="AF125" s="5">
        <v>1</v>
      </c>
      <c r="AG125" s="5"/>
      <c r="AH125" s="5"/>
      <c r="AI125" s="5"/>
      <c r="AJ125" s="5"/>
      <c r="AK125" s="25"/>
      <c r="AL125" s="5">
        <v>272</v>
      </c>
      <c r="AM125" s="8"/>
      <c r="AN125">
        <v>1</v>
      </c>
      <c r="AR125" s="67">
        <f t="shared" si="1"/>
        <v>5</v>
      </c>
    </row>
    <row r="126" spans="1:44">
      <c r="A126" s="8">
        <v>273</v>
      </c>
      <c r="B126" s="8" t="s">
        <v>5</v>
      </c>
      <c r="C126" s="8" t="s">
        <v>42</v>
      </c>
      <c r="D126" s="8" t="s">
        <v>42</v>
      </c>
      <c r="E126" s="8">
        <v>273</v>
      </c>
      <c r="F126" s="24"/>
      <c r="G126" s="5"/>
      <c r="H126" s="5"/>
      <c r="I126" s="5"/>
      <c r="J126" s="5"/>
      <c r="K126" s="5"/>
      <c r="L126" s="5">
        <v>1</v>
      </c>
      <c r="M126" s="25"/>
      <c r="N126" s="24">
        <v>1</v>
      </c>
      <c r="O126" s="5">
        <v>1</v>
      </c>
      <c r="P126" s="5">
        <v>1</v>
      </c>
      <c r="Q126" s="5"/>
      <c r="R126" s="5"/>
      <c r="S126" s="5"/>
      <c r="T126" s="5"/>
      <c r="U126" s="25"/>
      <c r="V126" s="5"/>
      <c r="W126" s="5"/>
      <c r="X126" s="5"/>
      <c r="Y126" s="5"/>
      <c r="Z126" s="5"/>
      <c r="AA126" s="5"/>
      <c r="AB126" s="5">
        <v>1</v>
      </c>
      <c r="AC126" s="5"/>
      <c r="AD126" s="24"/>
      <c r="AE126" s="5"/>
      <c r="AF126" s="5"/>
      <c r="AG126" s="5"/>
      <c r="AH126" s="5"/>
      <c r="AI126" s="5"/>
      <c r="AJ126" s="5"/>
      <c r="AK126" s="25"/>
      <c r="AL126" s="5">
        <v>273</v>
      </c>
      <c r="AM126" s="8"/>
      <c r="AN126">
        <v>1</v>
      </c>
      <c r="AR126" s="67">
        <f t="shared" si="1"/>
        <v>5</v>
      </c>
    </row>
    <row r="127" spans="1:44">
      <c r="A127" s="8">
        <v>280</v>
      </c>
      <c r="B127" s="8" t="s">
        <v>123</v>
      </c>
      <c r="C127" s="8" t="s">
        <v>366</v>
      </c>
      <c r="D127" s="8" t="s">
        <v>42</v>
      </c>
      <c r="E127" s="8">
        <v>280</v>
      </c>
      <c r="F127" s="24"/>
      <c r="G127" s="5"/>
      <c r="H127" s="5"/>
      <c r="I127" s="5"/>
      <c r="J127" s="5"/>
      <c r="K127" s="5"/>
      <c r="L127" s="5"/>
      <c r="M127" s="25"/>
      <c r="N127" s="24"/>
      <c r="O127" s="5"/>
      <c r="P127" s="5"/>
      <c r="Q127" s="5"/>
      <c r="R127" s="5"/>
      <c r="S127" s="5"/>
      <c r="T127" s="5"/>
      <c r="U127" s="25"/>
      <c r="V127" s="5"/>
      <c r="W127" s="5"/>
      <c r="X127" s="5"/>
      <c r="Y127" s="5"/>
      <c r="Z127" s="5"/>
      <c r="AA127" s="5"/>
      <c r="AB127" s="5"/>
      <c r="AC127" s="5"/>
      <c r="AD127" s="24"/>
      <c r="AE127" s="5"/>
      <c r="AF127" s="5"/>
      <c r="AG127" s="5"/>
      <c r="AH127" s="5"/>
      <c r="AI127" s="5"/>
      <c r="AJ127" s="5"/>
      <c r="AK127" s="25"/>
      <c r="AL127" s="5">
        <v>280</v>
      </c>
      <c r="AM127" s="8">
        <v>1</v>
      </c>
      <c r="AR127" s="67">
        <f t="shared" si="1"/>
        <v>0</v>
      </c>
    </row>
    <row r="128" spans="1:44">
      <c r="A128" s="8">
        <v>283</v>
      </c>
      <c r="B128" s="8" t="s">
        <v>74</v>
      </c>
      <c r="C128" s="8" t="s">
        <v>346</v>
      </c>
      <c r="D128" s="8"/>
      <c r="E128" s="8">
        <v>283</v>
      </c>
      <c r="F128" s="24"/>
      <c r="G128" s="5"/>
      <c r="H128" s="5"/>
      <c r="I128" s="5"/>
      <c r="J128" s="5"/>
      <c r="K128" s="5"/>
      <c r="L128" s="5"/>
      <c r="M128" s="25"/>
      <c r="N128" s="24"/>
      <c r="O128" s="5"/>
      <c r="P128" s="5"/>
      <c r="Q128" s="5"/>
      <c r="R128" s="5"/>
      <c r="S128" s="5"/>
      <c r="T128" s="5"/>
      <c r="U128" s="25"/>
      <c r="V128" s="5"/>
      <c r="W128" s="5"/>
      <c r="X128" s="5"/>
      <c r="Y128" s="5"/>
      <c r="Z128" s="5"/>
      <c r="AA128" s="5"/>
      <c r="AB128" s="5"/>
      <c r="AC128" s="5"/>
      <c r="AD128" s="24"/>
      <c r="AE128" s="5"/>
      <c r="AF128" s="5"/>
      <c r="AG128" s="5"/>
      <c r="AH128" s="5"/>
      <c r="AI128" s="5"/>
      <c r="AJ128" s="5"/>
      <c r="AK128" s="25"/>
      <c r="AL128" s="5">
        <v>283</v>
      </c>
      <c r="AM128" s="8">
        <v>1</v>
      </c>
      <c r="AR128" s="67">
        <f t="shared" si="1"/>
        <v>0</v>
      </c>
    </row>
    <row r="129" spans="1:44">
      <c r="A129" s="8">
        <v>286</v>
      </c>
      <c r="B129" s="8" t="s">
        <v>63</v>
      </c>
      <c r="C129" s="8" t="s">
        <v>346</v>
      </c>
      <c r="D129" s="8"/>
      <c r="E129" s="8">
        <v>286</v>
      </c>
      <c r="F129" s="24"/>
      <c r="G129" s="5"/>
      <c r="H129" s="5"/>
      <c r="I129" s="5"/>
      <c r="J129" s="5"/>
      <c r="K129" s="5"/>
      <c r="L129" s="5"/>
      <c r="M129" s="25"/>
      <c r="N129" s="24"/>
      <c r="O129" s="5"/>
      <c r="P129" s="5"/>
      <c r="Q129" s="5"/>
      <c r="R129" s="5"/>
      <c r="S129" s="5"/>
      <c r="T129" s="5"/>
      <c r="U129" s="25"/>
      <c r="V129" s="5"/>
      <c r="W129" s="5"/>
      <c r="X129" s="5"/>
      <c r="Y129" s="5"/>
      <c r="Z129" s="5"/>
      <c r="AA129" s="5"/>
      <c r="AB129" s="5"/>
      <c r="AC129" s="5"/>
      <c r="AD129" s="24"/>
      <c r="AE129" s="5"/>
      <c r="AF129" s="5"/>
      <c r="AG129" s="5"/>
      <c r="AH129" s="5"/>
      <c r="AI129" s="5"/>
      <c r="AJ129" s="5"/>
      <c r="AK129" s="25"/>
      <c r="AL129" s="5">
        <v>286</v>
      </c>
      <c r="AM129" s="8"/>
      <c r="AO129">
        <v>1</v>
      </c>
      <c r="AR129" s="67">
        <f t="shared" si="1"/>
        <v>0</v>
      </c>
    </row>
    <row r="130" spans="1:44">
      <c r="A130" s="8">
        <v>287</v>
      </c>
      <c r="B130" s="8" t="s">
        <v>71</v>
      </c>
      <c r="C130" s="8" t="s">
        <v>366</v>
      </c>
      <c r="D130" s="8" t="s">
        <v>42</v>
      </c>
      <c r="E130" s="8">
        <v>287</v>
      </c>
      <c r="F130" s="24"/>
      <c r="G130" s="5"/>
      <c r="H130" s="5"/>
      <c r="I130" s="5"/>
      <c r="J130" s="5"/>
      <c r="K130" s="5"/>
      <c r="L130" s="5"/>
      <c r="M130" s="25"/>
      <c r="N130" s="24"/>
      <c r="O130" s="5"/>
      <c r="P130" s="5"/>
      <c r="Q130" s="5"/>
      <c r="R130" s="5"/>
      <c r="S130" s="5"/>
      <c r="T130" s="5"/>
      <c r="U130" s="25"/>
      <c r="V130" s="5"/>
      <c r="W130" s="5"/>
      <c r="X130" s="5"/>
      <c r="Y130" s="5"/>
      <c r="Z130" s="5"/>
      <c r="AA130" s="5">
        <v>1</v>
      </c>
      <c r="AB130" s="5"/>
      <c r="AC130" s="5"/>
      <c r="AD130" s="24"/>
      <c r="AE130" s="5"/>
      <c r="AF130" s="5"/>
      <c r="AG130" s="5"/>
      <c r="AH130" s="5"/>
      <c r="AI130" s="5"/>
      <c r="AJ130" s="5"/>
      <c r="AK130" s="25"/>
      <c r="AL130" s="5">
        <v>287</v>
      </c>
      <c r="AM130" s="8"/>
      <c r="AN130">
        <v>1</v>
      </c>
      <c r="AR130" s="67">
        <f t="shared" si="1"/>
        <v>1</v>
      </c>
    </row>
    <row r="131" spans="1:44">
      <c r="A131" s="8">
        <v>288</v>
      </c>
      <c r="B131" s="8" t="s">
        <v>71</v>
      </c>
      <c r="C131" s="8" t="s">
        <v>366</v>
      </c>
      <c r="D131" s="8" t="s">
        <v>42</v>
      </c>
      <c r="E131" s="8">
        <v>288</v>
      </c>
      <c r="F131" s="24"/>
      <c r="G131" s="5"/>
      <c r="H131" s="5"/>
      <c r="I131" s="5"/>
      <c r="J131" s="5"/>
      <c r="K131" s="5">
        <v>1</v>
      </c>
      <c r="L131" s="5"/>
      <c r="M131" s="25"/>
      <c r="N131" s="24"/>
      <c r="O131" s="5"/>
      <c r="P131" s="5">
        <v>1</v>
      </c>
      <c r="Q131" s="5"/>
      <c r="R131" s="5"/>
      <c r="S131" s="5"/>
      <c r="T131" s="5"/>
      <c r="U131" s="25"/>
      <c r="V131" s="5"/>
      <c r="W131" s="5"/>
      <c r="X131" s="5"/>
      <c r="Y131" s="5"/>
      <c r="Z131" s="5"/>
      <c r="AA131" s="5">
        <v>1</v>
      </c>
      <c r="AB131" s="5"/>
      <c r="AC131" s="5"/>
      <c r="AD131" s="24"/>
      <c r="AE131" s="5"/>
      <c r="AF131" s="5">
        <v>1</v>
      </c>
      <c r="AG131" s="5"/>
      <c r="AH131" s="5"/>
      <c r="AI131" s="5"/>
      <c r="AJ131" s="5"/>
      <c r="AK131" s="25"/>
      <c r="AL131" s="5">
        <v>288</v>
      </c>
      <c r="AM131" s="8"/>
      <c r="AN131">
        <v>1</v>
      </c>
      <c r="AR131" s="67">
        <f t="shared" si="1"/>
        <v>4</v>
      </c>
    </row>
    <row r="132" spans="1:44">
      <c r="A132" s="8">
        <v>291</v>
      </c>
      <c r="B132" s="8" t="s">
        <v>80</v>
      </c>
      <c r="C132" s="8" t="s">
        <v>346</v>
      </c>
      <c r="D132" s="8"/>
      <c r="E132" s="8">
        <v>291</v>
      </c>
      <c r="F132" s="24"/>
      <c r="G132" s="5"/>
      <c r="H132" s="5"/>
      <c r="I132" s="5"/>
      <c r="J132" s="5"/>
      <c r="K132" s="5"/>
      <c r="L132" s="5"/>
      <c r="M132" s="25"/>
      <c r="N132" s="24"/>
      <c r="O132" s="5"/>
      <c r="P132" s="5"/>
      <c r="Q132" s="5"/>
      <c r="R132" s="5"/>
      <c r="S132" s="5"/>
      <c r="T132" s="5"/>
      <c r="U132" s="25"/>
      <c r="V132" s="5"/>
      <c r="W132" s="5"/>
      <c r="X132" s="5"/>
      <c r="Y132" s="5"/>
      <c r="Z132" s="5"/>
      <c r="AA132" s="5"/>
      <c r="AB132" s="5"/>
      <c r="AC132" s="5"/>
      <c r="AD132" s="24"/>
      <c r="AE132" s="5"/>
      <c r="AF132" s="5"/>
      <c r="AG132" s="5"/>
      <c r="AH132" s="5"/>
      <c r="AI132" s="5"/>
      <c r="AJ132" s="5"/>
      <c r="AK132" s="25"/>
      <c r="AL132" s="5">
        <v>291</v>
      </c>
      <c r="AM132" s="8">
        <v>1</v>
      </c>
      <c r="AR132" s="67">
        <f t="shared" si="1"/>
        <v>0</v>
      </c>
    </row>
    <row r="133" spans="1:44">
      <c r="A133" s="8">
        <v>292</v>
      </c>
      <c r="B133" s="8" t="s">
        <v>74</v>
      </c>
      <c r="C133" s="8" t="s">
        <v>346</v>
      </c>
      <c r="D133" s="8"/>
      <c r="E133" s="8">
        <v>292</v>
      </c>
      <c r="F133" s="24"/>
      <c r="G133" s="5"/>
      <c r="H133" s="5"/>
      <c r="I133" s="5"/>
      <c r="J133" s="5"/>
      <c r="K133" s="5"/>
      <c r="L133" s="5"/>
      <c r="M133" s="25"/>
      <c r="N133" s="24"/>
      <c r="O133" s="5"/>
      <c r="P133" s="5"/>
      <c r="Q133" s="5"/>
      <c r="R133" s="5"/>
      <c r="S133" s="5"/>
      <c r="T133" s="5"/>
      <c r="U133" s="25"/>
      <c r="V133" s="5"/>
      <c r="W133" s="5"/>
      <c r="X133" s="5"/>
      <c r="Y133" s="5"/>
      <c r="Z133" s="5"/>
      <c r="AA133" s="5"/>
      <c r="AB133" s="5"/>
      <c r="AC133" s="5"/>
      <c r="AD133" s="24"/>
      <c r="AE133" s="5"/>
      <c r="AF133" s="5"/>
      <c r="AG133" s="5"/>
      <c r="AH133" s="5"/>
      <c r="AI133" s="5"/>
      <c r="AJ133" s="5"/>
      <c r="AK133" s="25"/>
      <c r="AL133" s="5">
        <v>292</v>
      </c>
      <c r="AM133" s="8">
        <v>1</v>
      </c>
      <c r="AR133" s="67">
        <f t="shared" ref="AR133:AR196" si="2">SUM(F133:AK133)</f>
        <v>0</v>
      </c>
    </row>
    <row r="134" spans="1:44">
      <c r="A134" s="8">
        <v>293</v>
      </c>
      <c r="B134" s="8" t="s">
        <v>106</v>
      </c>
      <c r="C134" s="8" t="s">
        <v>349</v>
      </c>
      <c r="D134" s="8" t="s">
        <v>6</v>
      </c>
      <c r="E134" s="8">
        <v>293</v>
      </c>
      <c r="F134" s="24"/>
      <c r="G134" s="5"/>
      <c r="H134" s="5"/>
      <c r="I134" s="5"/>
      <c r="J134" s="5"/>
      <c r="K134" s="5"/>
      <c r="L134" s="5"/>
      <c r="M134" s="25"/>
      <c r="N134" s="24"/>
      <c r="O134" s="5"/>
      <c r="P134" s="5"/>
      <c r="Q134" s="5"/>
      <c r="R134" s="5"/>
      <c r="S134" s="5"/>
      <c r="T134" s="5"/>
      <c r="U134" s="25"/>
      <c r="V134" s="5"/>
      <c r="W134" s="5"/>
      <c r="X134" s="5"/>
      <c r="Y134" s="5"/>
      <c r="Z134" s="5"/>
      <c r="AA134" s="5"/>
      <c r="AB134" s="5"/>
      <c r="AC134" s="5"/>
      <c r="AD134" s="24"/>
      <c r="AE134" s="5"/>
      <c r="AF134" s="5"/>
      <c r="AG134" s="5"/>
      <c r="AH134" s="5"/>
      <c r="AI134" s="5"/>
      <c r="AJ134" s="5"/>
      <c r="AK134" s="25"/>
      <c r="AL134" s="5">
        <v>293</v>
      </c>
      <c r="AM134" s="8">
        <v>1</v>
      </c>
      <c r="AR134" s="67">
        <f t="shared" si="2"/>
        <v>0</v>
      </c>
    </row>
    <row r="135" spans="1:44">
      <c r="A135" s="8">
        <v>299</v>
      </c>
      <c r="B135" s="8" t="s">
        <v>63</v>
      </c>
      <c r="C135" s="8" t="s">
        <v>346</v>
      </c>
      <c r="D135" s="8"/>
      <c r="E135" s="8">
        <v>299</v>
      </c>
      <c r="F135" s="24"/>
      <c r="G135" s="5"/>
      <c r="H135" s="5"/>
      <c r="I135" s="5"/>
      <c r="J135" s="5"/>
      <c r="K135" s="5"/>
      <c r="L135" s="5"/>
      <c r="M135" s="25"/>
      <c r="N135" s="24"/>
      <c r="O135" s="5"/>
      <c r="P135" s="5"/>
      <c r="Q135" s="5"/>
      <c r="R135" s="5"/>
      <c r="S135" s="5"/>
      <c r="T135" s="5"/>
      <c r="U135" s="25"/>
      <c r="V135" s="5"/>
      <c r="W135" s="5"/>
      <c r="X135" s="5"/>
      <c r="Y135" s="5"/>
      <c r="Z135" s="5"/>
      <c r="AA135" s="5"/>
      <c r="AB135" s="5"/>
      <c r="AC135" s="5"/>
      <c r="AD135" s="24"/>
      <c r="AE135" s="5"/>
      <c r="AF135" s="5"/>
      <c r="AG135" s="5"/>
      <c r="AH135" s="5"/>
      <c r="AI135" s="5"/>
      <c r="AJ135" s="5"/>
      <c r="AK135" s="25"/>
      <c r="AL135" s="5">
        <v>299</v>
      </c>
      <c r="AM135" s="8">
        <v>1</v>
      </c>
      <c r="AR135" s="67">
        <f t="shared" si="2"/>
        <v>0</v>
      </c>
    </row>
    <row r="136" spans="1:44">
      <c r="A136" s="8">
        <v>301</v>
      </c>
      <c r="B136" s="8" t="s">
        <v>123</v>
      </c>
      <c r="C136" s="8" t="s">
        <v>366</v>
      </c>
      <c r="D136" s="8" t="s">
        <v>42</v>
      </c>
      <c r="E136" s="8">
        <v>301</v>
      </c>
      <c r="F136" s="24"/>
      <c r="G136" s="5"/>
      <c r="H136" s="5"/>
      <c r="I136" s="5"/>
      <c r="J136" s="5"/>
      <c r="K136" s="5"/>
      <c r="L136" s="5">
        <v>1</v>
      </c>
      <c r="M136" s="25"/>
      <c r="N136" s="24">
        <v>1</v>
      </c>
      <c r="O136" s="5"/>
      <c r="P136" s="5"/>
      <c r="Q136" s="5"/>
      <c r="R136" s="5"/>
      <c r="S136" s="5"/>
      <c r="T136" s="5"/>
      <c r="U136" s="25"/>
      <c r="V136" s="5"/>
      <c r="W136" s="5"/>
      <c r="X136" s="5"/>
      <c r="Y136" s="5"/>
      <c r="Z136" s="5"/>
      <c r="AA136" s="5"/>
      <c r="AB136" s="5"/>
      <c r="AC136" s="5"/>
      <c r="AD136" s="24"/>
      <c r="AE136" s="5"/>
      <c r="AF136" s="5"/>
      <c r="AG136" s="5"/>
      <c r="AH136" s="5"/>
      <c r="AI136" s="5"/>
      <c r="AJ136" s="5"/>
      <c r="AK136" s="25"/>
      <c r="AL136" s="5">
        <v>301</v>
      </c>
      <c r="AM136" s="8"/>
      <c r="AN136">
        <v>1</v>
      </c>
      <c r="AR136" s="67">
        <f t="shared" si="2"/>
        <v>2</v>
      </c>
    </row>
    <row r="137" spans="1:44">
      <c r="A137" s="8">
        <v>302</v>
      </c>
      <c r="B137" s="8" t="s">
        <v>41</v>
      </c>
      <c r="C137" s="8" t="s">
        <v>42</v>
      </c>
      <c r="D137" s="8" t="s">
        <v>42</v>
      </c>
      <c r="E137" s="8">
        <v>302</v>
      </c>
      <c r="F137" s="24"/>
      <c r="G137" s="5"/>
      <c r="H137" s="5"/>
      <c r="I137" s="5"/>
      <c r="J137" s="5"/>
      <c r="K137" s="5">
        <v>1</v>
      </c>
      <c r="L137" s="5">
        <v>1</v>
      </c>
      <c r="M137" s="25">
        <v>1</v>
      </c>
      <c r="N137" s="24">
        <v>1</v>
      </c>
      <c r="O137" s="5">
        <v>1</v>
      </c>
      <c r="P137" s="5">
        <v>1</v>
      </c>
      <c r="Q137" s="5"/>
      <c r="R137" s="5"/>
      <c r="S137" s="5"/>
      <c r="T137" s="5"/>
      <c r="U137" s="25"/>
      <c r="V137" s="5"/>
      <c r="W137" s="5"/>
      <c r="X137" s="5"/>
      <c r="Y137" s="5"/>
      <c r="Z137" s="5"/>
      <c r="AA137" s="5">
        <v>1</v>
      </c>
      <c r="AB137" s="5"/>
      <c r="AC137" s="5"/>
      <c r="AD137" s="24"/>
      <c r="AE137" s="5"/>
      <c r="AF137" s="5">
        <v>1</v>
      </c>
      <c r="AG137" s="5"/>
      <c r="AH137" s="5"/>
      <c r="AI137" s="5"/>
      <c r="AJ137" s="5"/>
      <c r="AK137" s="25"/>
      <c r="AL137" s="5">
        <v>302</v>
      </c>
      <c r="AM137" s="8"/>
      <c r="AN137">
        <v>1</v>
      </c>
      <c r="AR137" s="67">
        <f t="shared" si="2"/>
        <v>8</v>
      </c>
    </row>
    <row r="138" spans="1:44">
      <c r="A138" s="8">
        <v>303</v>
      </c>
      <c r="B138" s="8" t="s">
        <v>136</v>
      </c>
      <c r="C138" s="8" t="s">
        <v>12</v>
      </c>
      <c r="D138" s="8" t="s">
        <v>42</v>
      </c>
      <c r="E138" s="8">
        <v>303</v>
      </c>
      <c r="F138" s="24"/>
      <c r="G138" s="5"/>
      <c r="H138" s="5"/>
      <c r="I138" s="5"/>
      <c r="J138" s="5"/>
      <c r="K138" s="5">
        <v>1</v>
      </c>
      <c r="L138" s="5">
        <v>1</v>
      </c>
      <c r="M138" s="25"/>
      <c r="N138" s="24"/>
      <c r="O138" s="5">
        <v>1</v>
      </c>
      <c r="P138" s="5">
        <v>1</v>
      </c>
      <c r="Q138" s="5"/>
      <c r="R138" s="5"/>
      <c r="S138" s="5"/>
      <c r="T138" s="5"/>
      <c r="U138" s="25"/>
      <c r="V138" s="5"/>
      <c r="W138" s="5"/>
      <c r="X138" s="5"/>
      <c r="Y138" s="5"/>
      <c r="Z138" s="5"/>
      <c r="AA138" s="5">
        <v>1</v>
      </c>
      <c r="AB138" s="5">
        <v>1</v>
      </c>
      <c r="AC138" s="5">
        <v>1</v>
      </c>
      <c r="AD138" s="24">
        <v>1</v>
      </c>
      <c r="AE138" s="5">
        <v>1</v>
      </c>
      <c r="AF138" s="5">
        <v>1</v>
      </c>
      <c r="AG138" s="5"/>
      <c r="AH138" s="5"/>
      <c r="AI138" s="5"/>
      <c r="AJ138" s="5"/>
      <c r="AK138" s="25"/>
      <c r="AL138" s="5">
        <v>303</v>
      </c>
      <c r="AM138" s="8"/>
      <c r="AN138">
        <v>1</v>
      </c>
      <c r="AR138" s="67">
        <f t="shared" si="2"/>
        <v>10</v>
      </c>
    </row>
    <row r="139" spans="1:44">
      <c r="A139" s="8">
        <v>304</v>
      </c>
      <c r="B139" s="8" t="s">
        <v>93</v>
      </c>
      <c r="C139" s="8" t="s">
        <v>12</v>
      </c>
      <c r="D139" s="8" t="s">
        <v>42</v>
      </c>
      <c r="E139" s="8">
        <v>304</v>
      </c>
      <c r="F139" s="24"/>
      <c r="G139" s="5"/>
      <c r="H139" s="5"/>
      <c r="I139" s="5"/>
      <c r="J139" s="5"/>
      <c r="K139" s="5"/>
      <c r="L139" s="5"/>
      <c r="M139" s="25"/>
      <c r="N139" s="24"/>
      <c r="O139" s="5"/>
      <c r="P139" s="5"/>
      <c r="Q139" s="5"/>
      <c r="R139" s="5"/>
      <c r="S139" s="5"/>
      <c r="T139" s="5"/>
      <c r="U139" s="25"/>
      <c r="V139" s="5"/>
      <c r="W139" s="5"/>
      <c r="X139" s="5"/>
      <c r="Y139" s="5"/>
      <c r="Z139" s="5"/>
      <c r="AA139" s="5"/>
      <c r="AB139" s="5"/>
      <c r="AC139" s="5">
        <v>1</v>
      </c>
      <c r="AD139" s="24">
        <v>1</v>
      </c>
      <c r="AE139" s="5"/>
      <c r="AF139" s="5"/>
      <c r="AG139" s="5"/>
      <c r="AH139" s="5"/>
      <c r="AI139" s="5"/>
      <c r="AJ139" s="5"/>
      <c r="AK139" s="25"/>
      <c r="AL139" s="5">
        <v>304</v>
      </c>
      <c r="AM139" s="8"/>
      <c r="AN139">
        <v>1</v>
      </c>
      <c r="AR139" s="67">
        <f t="shared" si="2"/>
        <v>2</v>
      </c>
    </row>
    <row r="140" spans="1:44">
      <c r="A140" s="8">
        <v>308</v>
      </c>
      <c r="B140" s="8" t="s">
        <v>123</v>
      </c>
      <c r="C140" s="8" t="s">
        <v>366</v>
      </c>
      <c r="D140" s="8" t="s">
        <v>6</v>
      </c>
      <c r="E140" s="8">
        <v>308</v>
      </c>
      <c r="F140" s="24"/>
      <c r="G140" s="5"/>
      <c r="H140" s="5"/>
      <c r="I140" s="5"/>
      <c r="J140" s="5"/>
      <c r="K140" s="5"/>
      <c r="L140" s="5"/>
      <c r="M140" s="25"/>
      <c r="N140" s="24"/>
      <c r="O140" s="5"/>
      <c r="P140" s="5"/>
      <c r="Q140" s="5"/>
      <c r="R140" s="5"/>
      <c r="S140" s="5"/>
      <c r="T140" s="5"/>
      <c r="U140" s="25"/>
      <c r="V140" s="5"/>
      <c r="W140" s="5"/>
      <c r="X140" s="5"/>
      <c r="Y140" s="5"/>
      <c r="Z140" s="5"/>
      <c r="AA140" s="5"/>
      <c r="AB140" s="5"/>
      <c r="AC140" s="5"/>
      <c r="AD140" s="24"/>
      <c r="AE140" s="5"/>
      <c r="AF140" s="5"/>
      <c r="AG140" s="5"/>
      <c r="AH140" s="5"/>
      <c r="AI140" s="5"/>
      <c r="AJ140" s="5"/>
      <c r="AK140" s="25"/>
      <c r="AL140" s="5">
        <v>308</v>
      </c>
      <c r="AM140" s="8">
        <v>1</v>
      </c>
      <c r="AR140" s="67">
        <f t="shared" si="2"/>
        <v>0</v>
      </c>
    </row>
    <row r="141" spans="1:44">
      <c r="A141" s="8">
        <v>311</v>
      </c>
      <c r="B141" s="8" t="s">
        <v>130</v>
      </c>
      <c r="C141" s="8" t="s">
        <v>357</v>
      </c>
      <c r="D141" s="8"/>
      <c r="E141" s="8">
        <v>311</v>
      </c>
      <c r="F141" s="24"/>
      <c r="G141" s="5"/>
      <c r="H141" s="5"/>
      <c r="I141" s="5"/>
      <c r="J141" s="5"/>
      <c r="K141" s="5"/>
      <c r="L141" s="5"/>
      <c r="M141" s="25">
        <v>1</v>
      </c>
      <c r="N141" s="24">
        <v>1</v>
      </c>
      <c r="O141" s="5"/>
      <c r="P141" s="5"/>
      <c r="Q141" s="5"/>
      <c r="R141" s="5"/>
      <c r="S141" s="5"/>
      <c r="T141" s="5"/>
      <c r="U141" s="25"/>
      <c r="V141" s="5"/>
      <c r="W141" s="5"/>
      <c r="X141" s="5"/>
      <c r="Y141" s="5"/>
      <c r="Z141" s="5"/>
      <c r="AA141" s="5"/>
      <c r="AB141" s="5"/>
      <c r="AC141" s="5"/>
      <c r="AD141" s="24"/>
      <c r="AE141" s="5"/>
      <c r="AF141" s="5"/>
      <c r="AG141" s="5"/>
      <c r="AH141" s="5"/>
      <c r="AI141" s="5"/>
      <c r="AJ141" s="5"/>
      <c r="AK141" s="25"/>
      <c r="AL141" s="5">
        <v>311</v>
      </c>
      <c r="AM141" s="8"/>
      <c r="AN141">
        <v>1</v>
      </c>
      <c r="AR141" s="67">
        <f t="shared" si="2"/>
        <v>2</v>
      </c>
    </row>
    <row r="142" spans="1:44">
      <c r="A142" s="8">
        <v>315</v>
      </c>
      <c r="B142" s="8" t="s">
        <v>71</v>
      </c>
      <c r="C142" s="8" t="s">
        <v>366</v>
      </c>
      <c r="D142" s="8" t="s">
        <v>42</v>
      </c>
      <c r="E142" s="8">
        <v>315</v>
      </c>
      <c r="F142" s="24"/>
      <c r="G142" s="5"/>
      <c r="H142" s="5"/>
      <c r="I142" s="5"/>
      <c r="J142" s="5"/>
      <c r="K142" s="5"/>
      <c r="L142" s="5"/>
      <c r="M142" s="25"/>
      <c r="N142" s="24"/>
      <c r="O142" s="5"/>
      <c r="P142" s="5"/>
      <c r="Q142" s="5"/>
      <c r="R142" s="5"/>
      <c r="S142" s="5"/>
      <c r="T142" s="5"/>
      <c r="U142" s="25"/>
      <c r="V142" s="5"/>
      <c r="W142" s="5"/>
      <c r="X142" s="5"/>
      <c r="Y142" s="5"/>
      <c r="Z142" s="5"/>
      <c r="AA142" s="5"/>
      <c r="AB142" s="5"/>
      <c r="AC142" s="5"/>
      <c r="AD142" s="24"/>
      <c r="AE142" s="5"/>
      <c r="AF142" s="5"/>
      <c r="AG142" s="5"/>
      <c r="AH142" s="5"/>
      <c r="AI142" s="5"/>
      <c r="AJ142" s="5"/>
      <c r="AK142" s="25"/>
      <c r="AL142" s="5">
        <v>315</v>
      </c>
      <c r="AM142" s="8">
        <v>1</v>
      </c>
      <c r="AR142" s="67">
        <f t="shared" si="2"/>
        <v>0</v>
      </c>
    </row>
    <row r="143" spans="1:44">
      <c r="A143" s="8">
        <v>321</v>
      </c>
      <c r="B143" s="8" t="s">
        <v>54</v>
      </c>
      <c r="C143" s="8" t="s">
        <v>345</v>
      </c>
      <c r="D143" s="8"/>
      <c r="E143" s="8">
        <v>321</v>
      </c>
      <c r="F143" s="24"/>
      <c r="G143" s="5"/>
      <c r="H143" s="5"/>
      <c r="I143" s="5"/>
      <c r="J143" s="5"/>
      <c r="K143" s="5"/>
      <c r="L143" s="5"/>
      <c r="M143" s="25"/>
      <c r="N143" s="24"/>
      <c r="O143" s="5"/>
      <c r="P143" s="5"/>
      <c r="Q143" s="5"/>
      <c r="R143" s="5"/>
      <c r="S143" s="5"/>
      <c r="T143" s="5"/>
      <c r="U143" s="25"/>
      <c r="V143" s="5"/>
      <c r="W143" s="5"/>
      <c r="X143" s="5"/>
      <c r="Y143" s="5"/>
      <c r="Z143" s="5"/>
      <c r="AA143" s="5"/>
      <c r="AB143" s="5"/>
      <c r="AC143" s="5"/>
      <c r="AD143" s="24"/>
      <c r="AE143" s="5"/>
      <c r="AF143" s="5"/>
      <c r="AG143" s="5"/>
      <c r="AH143" s="5"/>
      <c r="AI143" s="5"/>
      <c r="AJ143" s="5"/>
      <c r="AK143" s="25"/>
      <c r="AL143" s="5">
        <v>321</v>
      </c>
      <c r="AM143" s="8">
        <v>1</v>
      </c>
      <c r="AR143" s="67">
        <f t="shared" si="2"/>
        <v>0</v>
      </c>
    </row>
    <row r="144" spans="1:44">
      <c r="A144" s="8">
        <v>331</v>
      </c>
      <c r="B144" s="8" t="s">
        <v>240</v>
      </c>
      <c r="C144" s="8" t="s">
        <v>42</v>
      </c>
      <c r="D144" s="8" t="s">
        <v>42</v>
      </c>
      <c r="E144" s="8">
        <v>331</v>
      </c>
      <c r="F144" s="24"/>
      <c r="G144" s="5"/>
      <c r="H144" s="5"/>
      <c r="I144" s="5"/>
      <c r="J144" s="5"/>
      <c r="K144" s="5">
        <v>1</v>
      </c>
      <c r="L144" s="5"/>
      <c r="M144" s="25"/>
      <c r="N144" s="24">
        <v>1</v>
      </c>
      <c r="O144" s="5"/>
      <c r="P144" s="5">
        <v>1</v>
      </c>
      <c r="Q144" s="5"/>
      <c r="R144" s="5"/>
      <c r="S144" s="5"/>
      <c r="T144" s="5"/>
      <c r="U144" s="25"/>
      <c r="V144" s="5"/>
      <c r="W144" s="5"/>
      <c r="X144" s="5"/>
      <c r="Y144" s="5"/>
      <c r="Z144" s="5"/>
      <c r="AA144" s="5"/>
      <c r="AB144" s="5"/>
      <c r="AC144" s="5"/>
      <c r="AD144" s="24"/>
      <c r="AE144" s="5"/>
      <c r="AF144" s="5">
        <v>1</v>
      </c>
      <c r="AG144" s="5"/>
      <c r="AH144" s="5"/>
      <c r="AI144" s="5"/>
      <c r="AJ144" s="5"/>
      <c r="AK144" s="25"/>
      <c r="AL144" s="5">
        <v>331</v>
      </c>
      <c r="AM144" s="8"/>
      <c r="AN144">
        <v>1</v>
      </c>
      <c r="AR144" s="67">
        <f t="shared" si="2"/>
        <v>4</v>
      </c>
    </row>
    <row r="145" spans="1:44">
      <c r="A145" s="8">
        <v>334</v>
      </c>
      <c r="B145" s="8" t="s">
        <v>5</v>
      </c>
      <c r="C145" s="8" t="s">
        <v>42</v>
      </c>
      <c r="D145" s="8" t="s">
        <v>6</v>
      </c>
      <c r="E145" s="8">
        <v>334</v>
      </c>
      <c r="F145" s="24"/>
      <c r="G145" s="5"/>
      <c r="H145" s="5"/>
      <c r="I145" s="5"/>
      <c r="J145" s="5"/>
      <c r="K145" s="5">
        <v>1</v>
      </c>
      <c r="L145" s="5"/>
      <c r="M145" s="25"/>
      <c r="N145" s="24"/>
      <c r="O145" s="5"/>
      <c r="P145" s="5">
        <v>1</v>
      </c>
      <c r="Q145" s="5"/>
      <c r="R145" s="5"/>
      <c r="S145" s="5"/>
      <c r="T145" s="5"/>
      <c r="U145" s="25"/>
      <c r="V145" s="5"/>
      <c r="W145" s="5"/>
      <c r="X145" s="5"/>
      <c r="Y145" s="5"/>
      <c r="Z145" s="5"/>
      <c r="AA145" s="5">
        <v>1</v>
      </c>
      <c r="AB145" s="5"/>
      <c r="AC145" s="5"/>
      <c r="AD145" s="24"/>
      <c r="AE145" s="5"/>
      <c r="AF145" s="5"/>
      <c r="AG145" s="5"/>
      <c r="AH145" s="5"/>
      <c r="AI145" s="5"/>
      <c r="AJ145" s="5"/>
      <c r="AK145" s="25"/>
      <c r="AL145" s="5">
        <v>334</v>
      </c>
      <c r="AM145" s="8"/>
      <c r="AN145" s="8">
        <v>1</v>
      </c>
      <c r="AR145" s="67">
        <f t="shared" si="2"/>
        <v>3</v>
      </c>
    </row>
    <row r="146" spans="1:44">
      <c r="A146" s="8">
        <v>335</v>
      </c>
      <c r="B146" s="8" t="s">
        <v>74</v>
      </c>
      <c r="C146" s="8" t="s">
        <v>346</v>
      </c>
      <c r="D146" s="8"/>
      <c r="E146" s="8">
        <v>335</v>
      </c>
      <c r="F146" s="24"/>
      <c r="G146" s="5"/>
      <c r="H146" s="5"/>
      <c r="I146" s="5"/>
      <c r="J146" s="5"/>
      <c r="K146" s="5"/>
      <c r="L146" s="5"/>
      <c r="M146" s="25"/>
      <c r="N146" s="24"/>
      <c r="O146" s="5"/>
      <c r="P146" s="5"/>
      <c r="Q146" s="5"/>
      <c r="R146" s="5"/>
      <c r="S146" s="5"/>
      <c r="T146" s="5"/>
      <c r="U146" s="25"/>
      <c r="V146" s="5"/>
      <c r="W146" s="5"/>
      <c r="X146" s="5"/>
      <c r="Y146" s="5"/>
      <c r="Z146" s="5"/>
      <c r="AA146" s="5"/>
      <c r="AB146" s="5"/>
      <c r="AC146" s="5"/>
      <c r="AD146" s="24"/>
      <c r="AE146" s="5"/>
      <c r="AF146" s="5"/>
      <c r="AG146" s="5"/>
      <c r="AH146" s="5"/>
      <c r="AI146" s="5"/>
      <c r="AJ146" s="5"/>
      <c r="AK146" s="25"/>
      <c r="AL146" s="5">
        <v>335</v>
      </c>
      <c r="AM146" s="8">
        <v>1</v>
      </c>
      <c r="AR146" s="67">
        <f t="shared" si="2"/>
        <v>0</v>
      </c>
    </row>
    <row r="147" spans="1:44">
      <c r="A147" s="8">
        <v>336</v>
      </c>
      <c r="B147" s="8" t="s">
        <v>55</v>
      </c>
      <c r="C147" s="8" t="s">
        <v>346</v>
      </c>
      <c r="D147" s="8"/>
      <c r="E147" s="8">
        <v>336</v>
      </c>
      <c r="F147" s="24"/>
      <c r="G147" s="5"/>
      <c r="H147" s="5"/>
      <c r="I147" s="5"/>
      <c r="J147" s="5"/>
      <c r="K147" s="5"/>
      <c r="L147" s="5"/>
      <c r="M147" s="25"/>
      <c r="N147" s="24"/>
      <c r="O147" s="5"/>
      <c r="P147" s="5"/>
      <c r="Q147" s="5"/>
      <c r="R147" s="5"/>
      <c r="S147" s="5"/>
      <c r="T147" s="5"/>
      <c r="U147" s="25"/>
      <c r="V147" s="5"/>
      <c r="W147" s="5"/>
      <c r="X147" s="5"/>
      <c r="Y147" s="5"/>
      <c r="Z147" s="5"/>
      <c r="AA147" s="5"/>
      <c r="AB147" s="5"/>
      <c r="AC147" s="5"/>
      <c r="AD147" s="24"/>
      <c r="AE147" s="5"/>
      <c r="AF147" s="5"/>
      <c r="AG147" s="5"/>
      <c r="AH147" s="5"/>
      <c r="AI147" s="5"/>
      <c r="AJ147" s="5"/>
      <c r="AK147" s="25"/>
      <c r="AL147" s="5">
        <v>336</v>
      </c>
      <c r="AM147" s="8"/>
      <c r="AO147">
        <v>1</v>
      </c>
      <c r="AR147" s="67">
        <f t="shared" si="2"/>
        <v>0</v>
      </c>
    </row>
    <row r="148" spans="1:44">
      <c r="A148" s="8">
        <v>339</v>
      </c>
      <c r="B148" s="8" t="s">
        <v>91</v>
      </c>
      <c r="C148" s="8" t="s">
        <v>366</v>
      </c>
      <c r="D148" s="8" t="s">
        <v>42</v>
      </c>
      <c r="E148" s="8">
        <v>339</v>
      </c>
      <c r="F148" s="24"/>
      <c r="G148" s="5"/>
      <c r="H148" s="5"/>
      <c r="I148" s="5"/>
      <c r="J148" s="5"/>
      <c r="K148" s="5"/>
      <c r="L148" s="5"/>
      <c r="M148" s="25">
        <v>1</v>
      </c>
      <c r="N148" s="24"/>
      <c r="O148" s="5"/>
      <c r="P148" s="5">
        <v>1</v>
      </c>
      <c r="Q148" s="5"/>
      <c r="R148" s="5"/>
      <c r="S148" s="5"/>
      <c r="T148" s="5"/>
      <c r="U148" s="25"/>
      <c r="V148" s="5"/>
      <c r="W148" s="5"/>
      <c r="X148" s="5"/>
      <c r="Y148" s="5"/>
      <c r="Z148" s="5"/>
      <c r="AA148" s="5">
        <v>1</v>
      </c>
      <c r="AB148" s="5"/>
      <c r="AC148" s="5"/>
      <c r="AD148" s="24"/>
      <c r="AE148" s="5"/>
      <c r="AF148" s="5"/>
      <c r="AG148" s="5"/>
      <c r="AH148" s="5"/>
      <c r="AI148" s="5"/>
      <c r="AJ148" s="5"/>
      <c r="AK148" s="25"/>
      <c r="AL148" s="5">
        <v>339</v>
      </c>
      <c r="AM148" s="8"/>
      <c r="AN148">
        <v>1</v>
      </c>
      <c r="AR148" s="67">
        <f t="shared" si="2"/>
        <v>3</v>
      </c>
    </row>
    <row r="149" spans="1:44">
      <c r="A149" s="8">
        <v>340</v>
      </c>
      <c r="B149" s="8" t="s">
        <v>44</v>
      </c>
      <c r="C149" s="8" t="s">
        <v>349</v>
      </c>
      <c r="D149" s="8" t="s">
        <v>6</v>
      </c>
      <c r="E149" s="8">
        <v>340</v>
      </c>
      <c r="F149" s="24"/>
      <c r="G149" s="5"/>
      <c r="H149" s="5"/>
      <c r="I149" s="5"/>
      <c r="J149" s="5"/>
      <c r="K149" s="5"/>
      <c r="L149" s="5"/>
      <c r="M149" s="25"/>
      <c r="N149" s="24"/>
      <c r="O149" s="5"/>
      <c r="P149" s="5"/>
      <c r="Q149" s="5"/>
      <c r="R149" s="5"/>
      <c r="S149" s="5"/>
      <c r="T149" s="5"/>
      <c r="U149" s="25"/>
      <c r="V149" s="5"/>
      <c r="W149" s="5"/>
      <c r="X149" s="5"/>
      <c r="Y149" s="5"/>
      <c r="Z149" s="5"/>
      <c r="AA149" s="5"/>
      <c r="AB149" s="5"/>
      <c r="AC149" s="5"/>
      <c r="AD149" s="24"/>
      <c r="AE149" s="5"/>
      <c r="AF149" s="5"/>
      <c r="AG149" s="5"/>
      <c r="AH149" s="5"/>
      <c r="AI149" s="5"/>
      <c r="AJ149" s="5"/>
      <c r="AK149" s="25"/>
      <c r="AL149" s="5">
        <v>340</v>
      </c>
      <c r="AM149" s="8">
        <v>1</v>
      </c>
      <c r="AR149" s="67">
        <f t="shared" si="2"/>
        <v>0</v>
      </c>
    </row>
    <row r="150" spans="1:44">
      <c r="A150" s="8">
        <v>343</v>
      </c>
      <c r="B150" s="8" t="s">
        <v>216</v>
      </c>
      <c r="C150" s="8" t="s">
        <v>42</v>
      </c>
      <c r="D150" s="8" t="s">
        <v>6</v>
      </c>
      <c r="E150" s="8">
        <v>343</v>
      </c>
      <c r="F150" s="24"/>
      <c r="G150" s="5"/>
      <c r="H150" s="5"/>
      <c r="I150" s="5"/>
      <c r="J150" s="5"/>
      <c r="K150" s="5"/>
      <c r="L150" s="5">
        <v>1</v>
      </c>
      <c r="M150" s="25">
        <v>1</v>
      </c>
      <c r="N150" s="24">
        <v>1</v>
      </c>
      <c r="O150" s="5">
        <v>1</v>
      </c>
      <c r="P150" s="5"/>
      <c r="Q150" s="5"/>
      <c r="R150" s="5"/>
      <c r="S150" s="5"/>
      <c r="T150" s="5"/>
      <c r="U150" s="25"/>
      <c r="V150" s="5"/>
      <c r="W150" s="5"/>
      <c r="X150" s="5"/>
      <c r="Y150" s="5"/>
      <c r="Z150" s="5">
        <v>1</v>
      </c>
      <c r="AA150" s="5"/>
      <c r="AB150" s="5"/>
      <c r="AC150" s="5"/>
      <c r="AD150" s="24"/>
      <c r="AE150" s="5"/>
      <c r="AF150" s="5"/>
      <c r="AG150" s="5"/>
      <c r="AH150" s="5"/>
      <c r="AI150" s="5"/>
      <c r="AJ150" s="5"/>
      <c r="AK150" s="25"/>
      <c r="AL150" s="5">
        <v>343</v>
      </c>
      <c r="AM150" s="8"/>
      <c r="AN150">
        <v>1</v>
      </c>
      <c r="AR150" s="67">
        <f t="shared" si="2"/>
        <v>5</v>
      </c>
    </row>
    <row r="151" spans="1:44">
      <c r="A151" s="8">
        <v>344</v>
      </c>
      <c r="B151" s="8" t="s">
        <v>63</v>
      </c>
      <c r="C151" s="8" t="s">
        <v>346</v>
      </c>
      <c r="D151" s="8"/>
      <c r="E151" s="8">
        <v>344</v>
      </c>
      <c r="F151" s="24"/>
      <c r="G151" s="5"/>
      <c r="H151" s="5"/>
      <c r="I151" s="5"/>
      <c r="J151" s="5"/>
      <c r="K151" s="5"/>
      <c r="L151" s="5"/>
      <c r="M151" s="25"/>
      <c r="N151" s="24"/>
      <c r="O151" s="5"/>
      <c r="P151" s="5"/>
      <c r="Q151" s="5"/>
      <c r="R151" s="5"/>
      <c r="S151" s="5"/>
      <c r="T151" s="5"/>
      <c r="U151" s="25"/>
      <c r="V151" s="5"/>
      <c r="W151" s="5"/>
      <c r="X151" s="5"/>
      <c r="Y151" s="5"/>
      <c r="Z151" s="5"/>
      <c r="AA151" s="5"/>
      <c r="AB151" s="5"/>
      <c r="AC151" s="5"/>
      <c r="AD151" s="24"/>
      <c r="AE151" s="5"/>
      <c r="AF151" s="5"/>
      <c r="AG151" s="5"/>
      <c r="AH151" s="5"/>
      <c r="AI151" s="5"/>
      <c r="AJ151" s="5"/>
      <c r="AK151" s="25"/>
      <c r="AL151" s="5">
        <v>344</v>
      </c>
      <c r="AM151" s="8">
        <v>1</v>
      </c>
      <c r="AR151" s="67">
        <f t="shared" si="2"/>
        <v>0</v>
      </c>
    </row>
    <row r="152" spans="1:44">
      <c r="A152" s="8">
        <v>345</v>
      </c>
      <c r="B152" s="8" t="s">
        <v>59</v>
      </c>
      <c r="C152" s="8" t="s">
        <v>346</v>
      </c>
      <c r="D152" s="8"/>
      <c r="E152" s="8">
        <v>345</v>
      </c>
      <c r="F152" s="24"/>
      <c r="G152" s="5"/>
      <c r="H152" s="5"/>
      <c r="I152" s="5"/>
      <c r="J152" s="5"/>
      <c r="K152" s="5"/>
      <c r="L152" s="5"/>
      <c r="M152" s="25"/>
      <c r="N152" s="24"/>
      <c r="O152" s="5"/>
      <c r="P152" s="5"/>
      <c r="Q152" s="5"/>
      <c r="R152" s="5"/>
      <c r="S152" s="5"/>
      <c r="T152" s="5"/>
      <c r="U152" s="25"/>
      <c r="V152" s="5"/>
      <c r="W152" s="5"/>
      <c r="X152" s="5"/>
      <c r="Y152" s="5"/>
      <c r="Z152" s="5"/>
      <c r="AA152" s="5"/>
      <c r="AB152" s="5"/>
      <c r="AC152" s="5"/>
      <c r="AD152" s="24"/>
      <c r="AE152" s="5"/>
      <c r="AF152" s="5"/>
      <c r="AG152" s="5"/>
      <c r="AH152" s="5"/>
      <c r="AI152" s="5"/>
      <c r="AJ152" s="5"/>
      <c r="AK152" s="25"/>
      <c r="AL152" s="5">
        <v>345</v>
      </c>
      <c r="AM152" s="8">
        <v>1</v>
      </c>
      <c r="AR152" s="67">
        <f t="shared" si="2"/>
        <v>0</v>
      </c>
    </row>
    <row r="153" spans="1:44">
      <c r="A153" s="8">
        <v>346</v>
      </c>
      <c r="B153" s="8" t="s">
        <v>5</v>
      </c>
      <c r="C153" s="8" t="s">
        <v>42</v>
      </c>
      <c r="D153" s="8" t="s">
        <v>6</v>
      </c>
      <c r="E153" s="8">
        <v>346</v>
      </c>
      <c r="F153" s="24"/>
      <c r="G153" s="5"/>
      <c r="H153" s="5"/>
      <c r="I153" s="5"/>
      <c r="J153" s="5"/>
      <c r="K153" s="5">
        <v>1</v>
      </c>
      <c r="L153" s="5"/>
      <c r="M153" s="25">
        <v>1</v>
      </c>
      <c r="N153" s="24">
        <v>1</v>
      </c>
      <c r="O153" s="5"/>
      <c r="P153" s="5"/>
      <c r="Q153" s="5"/>
      <c r="R153" s="5"/>
      <c r="S153" s="5"/>
      <c r="T153" s="5"/>
      <c r="U153" s="25"/>
      <c r="V153" s="5"/>
      <c r="W153" s="5"/>
      <c r="X153" s="5"/>
      <c r="Y153" s="5"/>
      <c r="Z153" s="5"/>
      <c r="AA153" s="5">
        <v>1</v>
      </c>
      <c r="AB153" s="5"/>
      <c r="AC153" s="5"/>
      <c r="AD153" s="24"/>
      <c r="AE153" s="5"/>
      <c r="AF153" s="5">
        <v>1</v>
      </c>
      <c r="AG153" s="5"/>
      <c r="AH153" s="5"/>
      <c r="AI153" s="5"/>
      <c r="AJ153" s="5"/>
      <c r="AK153" s="25"/>
      <c r="AL153" s="5">
        <v>346</v>
      </c>
      <c r="AM153" s="8"/>
      <c r="AN153">
        <v>1</v>
      </c>
      <c r="AR153" s="67">
        <f t="shared" si="2"/>
        <v>5</v>
      </c>
    </row>
    <row r="154" spans="1:44">
      <c r="A154" s="8">
        <v>347</v>
      </c>
      <c r="B154" s="8" t="s">
        <v>141</v>
      </c>
      <c r="C154" s="8" t="s">
        <v>346</v>
      </c>
      <c r="D154" s="8"/>
      <c r="E154" s="8">
        <v>347</v>
      </c>
      <c r="F154" s="24"/>
      <c r="G154" s="5"/>
      <c r="H154" s="5"/>
      <c r="I154" s="5"/>
      <c r="J154" s="5"/>
      <c r="K154" s="5"/>
      <c r="L154" s="5"/>
      <c r="M154" s="25"/>
      <c r="N154" s="24"/>
      <c r="O154" s="5"/>
      <c r="P154" s="5"/>
      <c r="Q154" s="5"/>
      <c r="R154" s="5"/>
      <c r="S154" s="5"/>
      <c r="T154" s="5"/>
      <c r="U154" s="25"/>
      <c r="V154" s="5"/>
      <c r="W154" s="5"/>
      <c r="X154" s="5"/>
      <c r="Y154" s="5"/>
      <c r="Z154" s="5"/>
      <c r="AA154" s="5"/>
      <c r="AB154" s="5"/>
      <c r="AC154" s="5"/>
      <c r="AD154" s="24"/>
      <c r="AE154" s="5"/>
      <c r="AF154" s="5"/>
      <c r="AG154" s="5"/>
      <c r="AH154" s="5"/>
      <c r="AI154" s="5"/>
      <c r="AJ154" s="5"/>
      <c r="AK154" s="25"/>
      <c r="AL154" s="5">
        <v>347</v>
      </c>
      <c r="AM154" s="8">
        <v>1</v>
      </c>
      <c r="AR154" s="67">
        <f t="shared" si="2"/>
        <v>0</v>
      </c>
    </row>
    <row r="155" spans="1:44">
      <c r="A155" s="8">
        <v>348</v>
      </c>
      <c r="B155" s="8" t="s">
        <v>106</v>
      </c>
      <c r="C155" s="8" t="s">
        <v>349</v>
      </c>
      <c r="D155" s="8" t="s">
        <v>6</v>
      </c>
      <c r="E155" s="8">
        <v>348</v>
      </c>
      <c r="F155" s="24"/>
      <c r="G155" s="5"/>
      <c r="H155" s="5"/>
      <c r="I155" s="5"/>
      <c r="J155" s="5"/>
      <c r="K155" s="5"/>
      <c r="L155" s="5"/>
      <c r="M155" s="25"/>
      <c r="N155" s="24"/>
      <c r="O155" s="5"/>
      <c r="P155" s="5"/>
      <c r="Q155" s="5"/>
      <c r="R155" s="5"/>
      <c r="S155" s="5"/>
      <c r="T155" s="5"/>
      <c r="U155" s="25"/>
      <c r="V155" s="5"/>
      <c r="W155" s="5"/>
      <c r="X155" s="5"/>
      <c r="Y155" s="5"/>
      <c r="Z155" s="5"/>
      <c r="AA155" s="5"/>
      <c r="AB155" s="5"/>
      <c r="AC155" s="5"/>
      <c r="AD155" s="24"/>
      <c r="AE155" s="5"/>
      <c r="AF155" s="5"/>
      <c r="AG155" s="5"/>
      <c r="AH155" s="5"/>
      <c r="AI155" s="5"/>
      <c r="AJ155" s="5"/>
      <c r="AK155" s="25"/>
      <c r="AL155" s="5">
        <v>348</v>
      </c>
      <c r="AM155" s="8">
        <v>1</v>
      </c>
      <c r="AR155" s="67">
        <f t="shared" si="2"/>
        <v>0</v>
      </c>
    </row>
    <row r="156" spans="1:44">
      <c r="A156" s="8">
        <v>349</v>
      </c>
      <c r="B156" s="8" t="s">
        <v>103</v>
      </c>
      <c r="C156" s="8" t="s">
        <v>357</v>
      </c>
      <c r="D156" s="8" t="s">
        <v>15</v>
      </c>
      <c r="E156" s="8">
        <v>349</v>
      </c>
      <c r="F156" s="24"/>
      <c r="G156" s="5"/>
      <c r="H156" s="5"/>
      <c r="I156" s="5"/>
      <c r="J156" s="5"/>
      <c r="K156" s="5">
        <v>1</v>
      </c>
      <c r="L156" s="5">
        <v>1</v>
      </c>
      <c r="M156" s="25"/>
      <c r="N156" s="24"/>
      <c r="O156" s="5">
        <v>1</v>
      </c>
      <c r="P156" s="5"/>
      <c r="Q156" s="5"/>
      <c r="R156" s="5"/>
      <c r="S156" s="5"/>
      <c r="T156" s="5"/>
      <c r="U156" s="25"/>
      <c r="V156" s="5"/>
      <c r="W156" s="5"/>
      <c r="X156" s="5"/>
      <c r="Y156" s="5"/>
      <c r="Z156" s="5"/>
      <c r="AA156" s="5">
        <v>1</v>
      </c>
      <c r="AB156" s="5"/>
      <c r="AC156" s="5"/>
      <c r="AD156" s="24"/>
      <c r="AE156" s="5"/>
      <c r="AF156" s="5">
        <v>1</v>
      </c>
      <c r="AG156" s="5"/>
      <c r="AH156" s="5"/>
      <c r="AI156" s="5"/>
      <c r="AJ156" s="5"/>
      <c r="AK156" s="25"/>
      <c r="AL156" s="5">
        <v>349</v>
      </c>
      <c r="AM156" s="8"/>
      <c r="AN156">
        <v>1</v>
      </c>
      <c r="AR156" s="67">
        <f t="shared" si="2"/>
        <v>5</v>
      </c>
    </row>
    <row r="157" spans="1:44">
      <c r="A157" s="8">
        <v>350</v>
      </c>
      <c r="B157" s="8" t="s">
        <v>80</v>
      </c>
      <c r="C157" s="8" t="s">
        <v>346</v>
      </c>
      <c r="D157" s="8"/>
      <c r="E157" s="8">
        <v>350</v>
      </c>
      <c r="F157" s="24"/>
      <c r="G157" s="5"/>
      <c r="H157" s="5"/>
      <c r="I157" s="5"/>
      <c r="J157" s="5"/>
      <c r="K157" s="5"/>
      <c r="L157" s="5"/>
      <c r="M157" s="25"/>
      <c r="N157" s="24"/>
      <c r="O157" s="5"/>
      <c r="P157" s="5"/>
      <c r="Q157" s="5"/>
      <c r="R157" s="5"/>
      <c r="S157" s="5"/>
      <c r="T157" s="5"/>
      <c r="U157" s="25"/>
      <c r="V157" s="5"/>
      <c r="W157" s="5"/>
      <c r="X157" s="5"/>
      <c r="Y157" s="5"/>
      <c r="Z157" s="5"/>
      <c r="AA157" s="5"/>
      <c r="AB157" s="5"/>
      <c r="AC157" s="5"/>
      <c r="AD157" s="24"/>
      <c r="AE157" s="5"/>
      <c r="AF157" s="5"/>
      <c r="AG157" s="5"/>
      <c r="AH157" s="5"/>
      <c r="AI157" s="5"/>
      <c r="AJ157" s="5"/>
      <c r="AK157" s="25"/>
      <c r="AL157" s="5">
        <v>350</v>
      </c>
      <c r="AM157" s="8">
        <v>1</v>
      </c>
      <c r="AR157" s="67">
        <f t="shared" si="2"/>
        <v>0</v>
      </c>
    </row>
    <row r="158" spans="1:44">
      <c r="A158" s="8">
        <v>351</v>
      </c>
      <c r="B158" s="8" t="s">
        <v>106</v>
      </c>
      <c r="C158" s="8" t="s">
        <v>349</v>
      </c>
      <c r="D158" s="8" t="s">
        <v>6</v>
      </c>
      <c r="E158" s="8">
        <v>351</v>
      </c>
      <c r="F158" s="24"/>
      <c r="G158" s="5"/>
      <c r="H158" s="5"/>
      <c r="I158" s="5"/>
      <c r="J158" s="5"/>
      <c r="K158" s="5">
        <v>1</v>
      </c>
      <c r="L158" s="5"/>
      <c r="M158" s="25"/>
      <c r="N158" s="24"/>
      <c r="O158" s="5"/>
      <c r="P158" s="5">
        <v>1</v>
      </c>
      <c r="Q158" s="5"/>
      <c r="R158" s="5"/>
      <c r="S158" s="5"/>
      <c r="T158" s="5"/>
      <c r="U158" s="25"/>
      <c r="V158" s="5"/>
      <c r="W158" s="5"/>
      <c r="X158" s="5"/>
      <c r="Y158" s="5"/>
      <c r="Z158" s="5"/>
      <c r="AA158" s="5">
        <v>1</v>
      </c>
      <c r="AB158" s="5">
        <v>1</v>
      </c>
      <c r="AC158" s="5"/>
      <c r="AD158" s="24"/>
      <c r="AE158" s="5"/>
      <c r="AF158" s="5"/>
      <c r="AG158" s="5"/>
      <c r="AH158" s="5"/>
      <c r="AI158" s="5"/>
      <c r="AJ158" s="5"/>
      <c r="AK158" s="25"/>
      <c r="AL158" s="5">
        <v>351</v>
      </c>
      <c r="AM158" s="8"/>
      <c r="AN158">
        <v>1</v>
      </c>
      <c r="AR158" s="67">
        <f t="shared" si="2"/>
        <v>4</v>
      </c>
    </row>
    <row r="159" spans="1:44">
      <c r="A159" s="8">
        <v>354</v>
      </c>
      <c r="B159" s="8" t="s">
        <v>136</v>
      </c>
      <c r="C159" s="8" t="s">
        <v>12</v>
      </c>
      <c r="D159" s="8" t="s">
        <v>42</v>
      </c>
      <c r="E159" s="8">
        <v>354</v>
      </c>
      <c r="F159" s="24"/>
      <c r="G159" s="5"/>
      <c r="H159" s="5"/>
      <c r="I159" s="5">
        <v>1</v>
      </c>
      <c r="J159" s="5">
        <v>1</v>
      </c>
      <c r="K159" s="5">
        <v>1</v>
      </c>
      <c r="L159" s="5">
        <v>1</v>
      </c>
      <c r="M159" s="25">
        <v>1</v>
      </c>
      <c r="N159" s="24">
        <v>1</v>
      </c>
      <c r="O159" s="5">
        <v>1</v>
      </c>
      <c r="P159" s="5">
        <v>1</v>
      </c>
      <c r="Q159" s="5">
        <v>1</v>
      </c>
      <c r="R159" s="5">
        <v>1</v>
      </c>
      <c r="S159" s="5"/>
      <c r="T159" s="5"/>
      <c r="U159" s="25"/>
      <c r="V159" s="5"/>
      <c r="W159" s="5"/>
      <c r="X159" s="5"/>
      <c r="Y159" s="5">
        <v>1</v>
      </c>
      <c r="Z159" s="5">
        <v>1</v>
      </c>
      <c r="AA159" s="5">
        <v>1</v>
      </c>
      <c r="AB159" s="5">
        <v>1</v>
      </c>
      <c r="AC159" s="5">
        <v>1</v>
      </c>
      <c r="AD159" s="24"/>
      <c r="AE159" s="5"/>
      <c r="AF159" s="5">
        <v>1</v>
      </c>
      <c r="AG159" s="5"/>
      <c r="AH159" s="5"/>
      <c r="AI159" s="5"/>
      <c r="AJ159" s="5"/>
      <c r="AK159" s="25"/>
      <c r="AL159" s="5">
        <v>354</v>
      </c>
      <c r="AM159" s="8"/>
      <c r="AN159">
        <v>1</v>
      </c>
      <c r="AR159" s="67">
        <f t="shared" si="2"/>
        <v>16</v>
      </c>
    </row>
    <row r="160" spans="1:44">
      <c r="A160" s="8">
        <v>358</v>
      </c>
      <c r="B160" s="8" t="s">
        <v>136</v>
      </c>
      <c r="C160" s="8" t="s">
        <v>12</v>
      </c>
      <c r="D160" s="8" t="s">
        <v>42</v>
      </c>
      <c r="E160" s="8">
        <v>358</v>
      </c>
      <c r="F160" s="24"/>
      <c r="G160" s="5"/>
      <c r="H160" s="5"/>
      <c r="I160" s="5"/>
      <c r="J160" s="5"/>
      <c r="K160" s="5">
        <v>1</v>
      </c>
      <c r="L160" s="5"/>
      <c r="M160" s="25"/>
      <c r="N160" s="24">
        <v>1</v>
      </c>
      <c r="O160" s="5"/>
      <c r="P160" s="5">
        <v>1</v>
      </c>
      <c r="Q160" s="5"/>
      <c r="R160" s="5"/>
      <c r="S160" s="5"/>
      <c r="T160" s="5"/>
      <c r="U160" s="25"/>
      <c r="V160" s="5"/>
      <c r="W160" s="5"/>
      <c r="X160" s="5"/>
      <c r="Y160" s="5"/>
      <c r="Z160" s="5"/>
      <c r="AA160" s="5"/>
      <c r="AB160" s="5"/>
      <c r="AC160" s="5"/>
      <c r="AD160" s="24"/>
      <c r="AE160" s="5"/>
      <c r="AF160" s="5"/>
      <c r="AG160" s="5"/>
      <c r="AH160" s="5"/>
      <c r="AI160" s="5"/>
      <c r="AJ160" s="5"/>
      <c r="AK160" s="25"/>
      <c r="AL160" s="5">
        <v>358</v>
      </c>
      <c r="AM160" s="8"/>
      <c r="AN160">
        <v>1</v>
      </c>
      <c r="AR160" s="67">
        <f t="shared" si="2"/>
        <v>3</v>
      </c>
    </row>
    <row r="161" spans="1:44">
      <c r="A161" s="8">
        <v>359</v>
      </c>
      <c r="B161" s="8" t="s">
        <v>78</v>
      </c>
      <c r="C161" s="8" t="s">
        <v>359</v>
      </c>
      <c r="D161" s="8"/>
      <c r="E161" s="8">
        <v>359</v>
      </c>
      <c r="F161" s="24"/>
      <c r="G161" s="5"/>
      <c r="H161" s="5"/>
      <c r="I161" s="5"/>
      <c r="J161" s="5"/>
      <c r="K161" s="5"/>
      <c r="L161" s="5"/>
      <c r="M161" s="25"/>
      <c r="N161" s="24"/>
      <c r="O161" s="5"/>
      <c r="P161" s="5"/>
      <c r="Q161" s="5"/>
      <c r="R161" s="5"/>
      <c r="S161" s="5"/>
      <c r="T161" s="5"/>
      <c r="U161" s="25"/>
      <c r="V161" s="5"/>
      <c r="W161" s="5"/>
      <c r="X161" s="5"/>
      <c r="Y161" s="5"/>
      <c r="Z161" s="5"/>
      <c r="AA161" s="5"/>
      <c r="AB161" s="5"/>
      <c r="AC161" s="5">
        <v>1</v>
      </c>
      <c r="AD161" s="24">
        <v>1</v>
      </c>
      <c r="AE161" s="5"/>
      <c r="AF161" s="5"/>
      <c r="AG161" s="5"/>
      <c r="AH161" s="5"/>
      <c r="AI161" s="5"/>
      <c r="AJ161" s="5"/>
      <c r="AK161" s="25"/>
      <c r="AL161" s="5">
        <v>359</v>
      </c>
      <c r="AM161" s="8"/>
      <c r="AN161">
        <v>1</v>
      </c>
      <c r="AR161" s="67">
        <f t="shared" si="2"/>
        <v>2</v>
      </c>
    </row>
    <row r="162" spans="1:44">
      <c r="A162" s="8">
        <v>360</v>
      </c>
      <c r="B162" s="8" t="s">
        <v>71</v>
      </c>
      <c r="C162" s="8" t="s">
        <v>366</v>
      </c>
      <c r="D162" s="8" t="s">
        <v>42</v>
      </c>
      <c r="E162" s="8">
        <v>360</v>
      </c>
      <c r="F162" s="24"/>
      <c r="G162" s="5"/>
      <c r="H162" s="5"/>
      <c r="I162" s="5"/>
      <c r="J162" s="5"/>
      <c r="K162" s="5"/>
      <c r="L162" s="5"/>
      <c r="M162" s="25"/>
      <c r="N162" s="24"/>
      <c r="O162" s="5"/>
      <c r="P162" s="5"/>
      <c r="Q162" s="5"/>
      <c r="R162" s="5"/>
      <c r="S162" s="5"/>
      <c r="T162" s="5"/>
      <c r="U162" s="25"/>
      <c r="V162" s="5"/>
      <c r="W162" s="5"/>
      <c r="X162" s="5"/>
      <c r="Y162" s="5"/>
      <c r="Z162" s="5"/>
      <c r="AA162" s="5"/>
      <c r="AB162" s="5"/>
      <c r="AC162" s="5"/>
      <c r="AD162" s="24"/>
      <c r="AE162" s="5"/>
      <c r="AF162" s="5"/>
      <c r="AG162" s="5"/>
      <c r="AH162" s="5"/>
      <c r="AI162" s="5"/>
      <c r="AJ162" s="5"/>
      <c r="AK162" s="25"/>
      <c r="AL162" s="5">
        <v>360</v>
      </c>
      <c r="AM162" s="8">
        <v>1</v>
      </c>
      <c r="AR162" s="67">
        <f t="shared" si="2"/>
        <v>0</v>
      </c>
    </row>
    <row r="163" spans="1:44">
      <c r="A163" s="8">
        <v>361</v>
      </c>
      <c r="B163" s="8" t="s">
        <v>55</v>
      </c>
      <c r="C163" s="8" t="s">
        <v>346</v>
      </c>
      <c r="D163" s="8"/>
      <c r="E163" s="8">
        <v>361</v>
      </c>
      <c r="F163" s="24"/>
      <c r="G163" s="5"/>
      <c r="H163" s="5"/>
      <c r="I163" s="5"/>
      <c r="J163" s="5"/>
      <c r="K163" s="5"/>
      <c r="L163" s="5"/>
      <c r="M163" s="25"/>
      <c r="N163" s="24"/>
      <c r="O163" s="5"/>
      <c r="P163" s="5"/>
      <c r="Q163" s="5"/>
      <c r="R163" s="5"/>
      <c r="S163" s="5"/>
      <c r="T163" s="5"/>
      <c r="U163" s="25"/>
      <c r="V163" s="5"/>
      <c r="W163" s="5"/>
      <c r="X163" s="5"/>
      <c r="Y163" s="5"/>
      <c r="Z163" s="5"/>
      <c r="AA163" s="5"/>
      <c r="AB163" s="5"/>
      <c r="AC163" s="5"/>
      <c r="AD163" s="24"/>
      <c r="AE163" s="5"/>
      <c r="AF163" s="5"/>
      <c r="AG163" s="5"/>
      <c r="AH163" s="5"/>
      <c r="AI163" s="5"/>
      <c r="AJ163" s="5"/>
      <c r="AK163" s="25"/>
      <c r="AL163" s="5">
        <v>361</v>
      </c>
      <c r="AM163" s="8">
        <v>1</v>
      </c>
      <c r="AR163" s="67">
        <f t="shared" si="2"/>
        <v>0</v>
      </c>
    </row>
    <row r="164" spans="1:44">
      <c r="A164" s="8">
        <v>363</v>
      </c>
      <c r="B164" s="8" t="s">
        <v>216</v>
      </c>
      <c r="C164" s="8" t="s">
        <v>42</v>
      </c>
      <c r="D164" s="8" t="s">
        <v>6</v>
      </c>
      <c r="E164" s="8">
        <v>363</v>
      </c>
      <c r="F164" s="24"/>
      <c r="G164" s="5"/>
      <c r="H164" s="5"/>
      <c r="I164" s="5"/>
      <c r="J164" s="5"/>
      <c r="K164" s="5">
        <v>1</v>
      </c>
      <c r="L164" s="5"/>
      <c r="M164" s="25"/>
      <c r="N164" s="24"/>
      <c r="O164" s="5"/>
      <c r="P164" s="5"/>
      <c r="Q164" s="5"/>
      <c r="R164" s="5"/>
      <c r="S164" s="5"/>
      <c r="T164" s="5"/>
      <c r="U164" s="25"/>
      <c r="V164" s="5"/>
      <c r="W164" s="5"/>
      <c r="X164" s="5"/>
      <c r="Y164" s="5"/>
      <c r="Z164" s="5"/>
      <c r="AA164" s="5">
        <v>1</v>
      </c>
      <c r="AB164" s="5"/>
      <c r="AC164" s="5"/>
      <c r="AD164" s="24"/>
      <c r="AE164" s="5"/>
      <c r="AF164" s="5">
        <v>1</v>
      </c>
      <c r="AG164" s="5"/>
      <c r="AH164" s="5"/>
      <c r="AI164" s="5"/>
      <c r="AJ164" s="5"/>
      <c r="AK164" s="25"/>
      <c r="AL164" s="5">
        <v>363</v>
      </c>
      <c r="AM164" s="8"/>
      <c r="AN164">
        <v>1</v>
      </c>
      <c r="AR164" s="67">
        <f t="shared" si="2"/>
        <v>3</v>
      </c>
    </row>
    <row r="165" spans="1:44">
      <c r="A165" s="8">
        <v>365</v>
      </c>
      <c r="B165" s="8" t="s">
        <v>197</v>
      </c>
      <c r="C165" s="8" t="s">
        <v>357</v>
      </c>
      <c r="D165" s="8"/>
      <c r="E165" s="8">
        <v>365</v>
      </c>
      <c r="F165" s="24"/>
      <c r="G165" s="5"/>
      <c r="H165" s="5"/>
      <c r="I165" s="5"/>
      <c r="J165" s="5"/>
      <c r="K165" s="5"/>
      <c r="L165" s="5"/>
      <c r="M165" s="25"/>
      <c r="N165" s="24"/>
      <c r="O165" s="5"/>
      <c r="P165" s="5"/>
      <c r="Q165" s="5"/>
      <c r="R165" s="5"/>
      <c r="S165" s="5"/>
      <c r="T165" s="5"/>
      <c r="U165" s="25"/>
      <c r="V165" s="5"/>
      <c r="W165" s="5"/>
      <c r="X165" s="5"/>
      <c r="Y165" s="5"/>
      <c r="Z165" s="5"/>
      <c r="AA165" s="5"/>
      <c r="AB165" s="5">
        <v>1</v>
      </c>
      <c r="AC165" s="5">
        <v>1</v>
      </c>
      <c r="AD165" s="24">
        <v>1</v>
      </c>
      <c r="AE165" s="5">
        <v>1</v>
      </c>
      <c r="AF165" s="5"/>
      <c r="AG165" s="5"/>
      <c r="AH165" s="5"/>
      <c r="AI165" s="5"/>
      <c r="AJ165" s="5"/>
      <c r="AK165" s="25"/>
      <c r="AL165" s="5">
        <v>365</v>
      </c>
      <c r="AM165" s="8"/>
      <c r="AN165">
        <v>1</v>
      </c>
      <c r="AR165" s="67">
        <f t="shared" si="2"/>
        <v>4</v>
      </c>
    </row>
    <row r="166" spans="1:44">
      <c r="A166" s="8">
        <v>367</v>
      </c>
      <c r="B166" s="8" t="s">
        <v>80</v>
      </c>
      <c r="C166" s="8" t="s">
        <v>346</v>
      </c>
      <c r="D166" s="8"/>
      <c r="E166" s="8">
        <v>367</v>
      </c>
      <c r="F166" s="24"/>
      <c r="G166" s="5"/>
      <c r="H166" s="5"/>
      <c r="I166" s="5"/>
      <c r="J166" s="5"/>
      <c r="K166" s="5"/>
      <c r="L166" s="5"/>
      <c r="M166" s="25"/>
      <c r="N166" s="24"/>
      <c r="O166" s="5"/>
      <c r="P166" s="5"/>
      <c r="Q166" s="5"/>
      <c r="R166" s="5"/>
      <c r="S166" s="5"/>
      <c r="T166" s="5"/>
      <c r="U166" s="25"/>
      <c r="V166" s="5"/>
      <c r="W166" s="5"/>
      <c r="X166" s="5"/>
      <c r="Y166" s="5"/>
      <c r="Z166" s="5"/>
      <c r="AA166" s="5"/>
      <c r="AB166" s="5"/>
      <c r="AC166" s="5"/>
      <c r="AD166" s="24"/>
      <c r="AE166" s="5"/>
      <c r="AF166" s="5"/>
      <c r="AG166" s="5"/>
      <c r="AH166" s="5"/>
      <c r="AI166" s="5"/>
      <c r="AJ166" s="5"/>
      <c r="AK166" s="25"/>
      <c r="AL166" s="5">
        <v>367</v>
      </c>
      <c r="AM166" s="8">
        <v>1</v>
      </c>
      <c r="AR166" s="67">
        <f t="shared" si="2"/>
        <v>0</v>
      </c>
    </row>
    <row r="167" spans="1:44">
      <c r="A167" s="8">
        <v>371</v>
      </c>
      <c r="B167" s="8" t="s">
        <v>73</v>
      </c>
      <c r="C167" s="8" t="s">
        <v>165</v>
      </c>
      <c r="D167" s="8" t="s">
        <v>42</v>
      </c>
      <c r="E167" s="8">
        <v>371</v>
      </c>
      <c r="F167" s="24"/>
      <c r="G167" s="5"/>
      <c r="H167" s="5"/>
      <c r="I167" s="5"/>
      <c r="J167" s="5"/>
      <c r="K167" s="5">
        <v>1</v>
      </c>
      <c r="L167" s="5"/>
      <c r="M167" s="25"/>
      <c r="N167" s="24"/>
      <c r="O167" s="5"/>
      <c r="P167" s="5">
        <v>1</v>
      </c>
      <c r="Q167" s="5"/>
      <c r="R167" s="5"/>
      <c r="S167" s="5"/>
      <c r="T167" s="5"/>
      <c r="U167" s="25"/>
      <c r="V167" s="5"/>
      <c r="W167" s="5"/>
      <c r="X167" s="5"/>
      <c r="Y167" s="5"/>
      <c r="Z167" s="5"/>
      <c r="AA167" s="5">
        <v>1</v>
      </c>
      <c r="AB167" s="5"/>
      <c r="AC167" s="5"/>
      <c r="AD167" s="24"/>
      <c r="AE167" s="5"/>
      <c r="AF167" s="5"/>
      <c r="AG167" s="5"/>
      <c r="AH167" s="5"/>
      <c r="AI167" s="5"/>
      <c r="AJ167" s="5"/>
      <c r="AK167" s="25"/>
      <c r="AL167" s="5">
        <v>371</v>
      </c>
      <c r="AM167" s="8"/>
      <c r="AN167">
        <v>1</v>
      </c>
      <c r="AR167" s="67">
        <f t="shared" si="2"/>
        <v>3</v>
      </c>
    </row>
    <row r="168" spans="1:44">
      <c r="A168" s="8">
        <v>375</v>
      </c>
      <c r="B168" s="8" t="s">
        <v>44</v>
      </c>
      <c r="C168" s="8" t="s">
        <v>349</v>
      </c>
      <c r="D168" s="8" t="s">
        <v>6</v>
      </c>
      <c r="E168" s="8">
        <v>375</v>
      </c>
      <c r="F168" s="24"/>
      <c r="G168" s="5"/>
      <c r="H168" s="5"/>
      <c r="I168" s="5"/>
      <c r="J168" s="5"/>
      <c r="K168" s="5">
        <v>1</v>
      </c>
      <c r="L168" s="5"/>
      <c r="M168" s="25"/>
      <c r="N168" s="24"/>
      <c r="O168" s="5"/>
      <c r="P168" s="5"/>
      <c r="Q168" s="5"/>
      <c r="R168" s="5"/>
      <c r="S168" s="5"/>
      <c r="T168" s="5"/>
      <c r="U168" s="25"/>
      <c r="V168" s="5"/>
      <c r="W168" s="5"/>
      <c r="X168" s="5"/>
      <c r="Y168" s="5"/>
      <c r="Z168" s="5"/>
      <c r="AA168" s="5"/>
      <c r="AB168" s="5"/>
      <c r="AC168" s="5"/>
      <c r="AD168" s="24"/>
      <c r="AE168" s="5"/>
      <c r="AF168" s="5"/>
      <c r="AG168" s="5"/>
      <c r="AH168" s="5"/>
      <c r="AI168" s="5"/>
      <c r="AJ168" s="5"/>
      <c r="AK168" s="25"/>
      <c r="AL168" s="5">
        <v>375</v>
      </c>
      <c r="AM168" s="8"/>
      <c r="AN168">
        <v>1</v>
      </c>
      <c r="AR168" s="67">
        <f t="shared" si="2"/>
        <v>1</v>
      </c>
    </row>
    <row r="169" spans="1:44">
      <c r="A169" s="8">
        <v>376</v>
      </c>
      <c r="B169" s="8" t="s">
        <v>106</v>
      </c>
      <c r="C169" s="8" t="s">
        <v>349</v>
      </c>
      <c r="D169" s="8" t="s">
        <v>6</v>
      </c>
      <c r="E169" s="8">
        <v>376</v>
      </c>
      <c r="F169" s="24"/>
      <c r="G169" s="5"/>
      <c r="H169" s="5"/>
      <c r="I169" s="5"/>
      <c r="J169" s="5"/>
      <c r="K169" s="5"/>
      <c r="L169" s="5"/>
      <c r="M169" s="25"/>
      <c r="N169" s="24"/>
      <c r="O169" s="5"/>
      <c r="P169" s="5"/>
      <c r="Q169" s="5"/>
      <c r="R169" s="5"/>
      <c r="S169" s="5"/>
      <c r="T169" s="5"/>
      <c r="U169" s="25"/>
      <c r="V169" s="5"/>
      <c r="W169" s="5"/>
      <c r="X169" s="5"/>
      <c r="Y169" s="5"/>
      <c r="Z169" s="5"/>
      <c r="AA169" s="5"/>
      <c r="AB169" s="5"/>
      <c r="AC169" s="5"/>
      <c r="AD169" s="24"/>
      <c r="AE169" s="5"/>
      <c r="AF169" s="5"/>
      <c r="AG169" s="5"/>
      <c r="AH169" s="5"/>
      <c r="AI169" s="5"/>
      <c r="AJ169" s="5"/>
      <c r="AK169" s="25"/>
      <c r="AL169" s="5">
        <v>376</v>
      </c>
      <c r="AM169" s="8">
        <v>1</v>
      </c>
      <c r="AR169" s="67">
        <f t="shared" si="2"/>
        <v>0</v>
      </c>
    </row>
    <row r="170" spans="1:44">
      <c r="A170" s="8">
        <v>377</v>
      </c>
      <c r="B170" s="8" t="s">
        <v>62</v>
      </c>
      <c r="C170" s="8" t="s">
        <v>42</v>
      </c>
      <c r="D170" s="8" t="s">
        <v>6</v>
      </c>
      <c r="E170" s="8">
        <v>377</v>
      </c>
      <c r="F170" s="24"/>
      <c r="G170" s="5"/>
      <c r="H170" s="5"/>
      <c r="I170" s="5"/>
      <c r="J170" s="5"/>
      <c r="K170" s="5">
        <v>1</v>
      </c>
      <c r="L170" s="5">
        <v>1</v>
      </c>
      <c r="M170" s="25"/>
      <c r="N170" s="24"/>
      <c r="O170" s="5">
        <v>1</v>
      </c>
      <c r="P170" s="5">
        <v>1</v>
      </c>
      <c r="Q170" s="5"/>
      <c r="R170" s="5"/>
      <c r="S170" s="5"/>
      <c r="T170" s="5"/>
      <c r="U170" s="25"/>
      <c r="V170" s="5"/>
      <c r="W170" s="5"/>
      <c r="X170" s="5"/>
      <c r="Y170" s="5"/>
      <c r="Z170" s="5"/>
      <c r="AA170" s="5">
        <v>1</v>
      </c>
      <c r="AB170" s="5"/>
      <c r="AC170" s="5"/>
      <c r="AD170" s="24"/>
      <c r="AE170" s="5"/>
      <c r="AF170" s="5">
        <v>1</v>
      </c>
      <c r="AG170" s="5"/>
      <c r="AH170" s="5"/>
      <c r="AI170" s="5"/>
      <c r="AJ170" s="5"/>
      <c r="AK170" s="25"/>
      <c r="AL170" s="5">
        <v>377</v>
      </c>
      <c r="AM170" s="8"/>
      <c r="AN170">
        <v>1</v>
      </c>
      <c r="AR170" s="67">
        <f t="shared" si="2"/>
        <v>6</v>
      </c>
    </row>
    <row r="171" spans="1:44">
      <c r="A171" s="8">
        <v>380</v>
      </c>
      <c r="B171" s="8" t="s">
        <v>136</v>
      </c>
      <c r="C171" s="8" t="s">
        <v>12</v>
      </c>
      <c r="D171" s="8" t="s">
        <v>42</v>
      </c>
      <c r="E171" s="8">
        <v>380</v>
      </c>
      <c r="F171" s="24"/>
      <c r="G171" s="5"/>
      <c r="H171" s="5"/>
      <c r="I171" s="5"/>
      <c r="J171" s="5"/>
      <c r="K171" s="5">
        <v>1</v>
      </c>
      <c r="L171" s="5">
        <v>1</v>
      </c>
      <c r="M171" s="25">
        <v>1</v>
      </c>
      <c r="N171" s="24">
        <v>1</v>
      </c>
      <c r="O171" s="5">
        <v>1</v>
      </c>
      <c r="P171" s="5">
        <v>1</v>
      </c>
      <c r="Q171" s="5"/>
      <c r="R171" s="5"/>
      <c r="S171" s="5"/>
      <c r="T171" s="5"/>
      <c r="U171" s="25"/>
      <c r="V171" s="5"/>
      <c r="W171" s="5"/>
      <c r="X171" s="5"/>
      <c r="Y171" s="5"/>
      <c r="Z171" s="5"/>
      <c r="AA171" s="5">
        <v>1</v>
      </c>
      <c r="AB171" s="5">
        <v>1</v>
      </c>
      <c r="AC171" s="5">
        <v>1</v>
      </c>
      <c r="AD171" s="24">
        <v>1</v>
      </c>
      <c r="AE171" s="5">
        <v>1</v>
      </c>
      <c r="AF171" s="5">
        <v>1</v>
      </c>
      <c r="AG171" s="5"/>
      <c r="AH171" s="5"/>
      <c r="AI171" s="5"/>
      <c r="AJ171" s="5"/>
      <c r="AK171" s="25"/>
      <c r="AL171" s="5">
        <v>380</v>
      </c>
      <c r="AM171" s="8"/>
      <c r="AN171">
        <v>1</v>
      </c>
      <c r="AR171" s="67">
        <f t="shared" si="2"/>
        <v>12</v>
      </c>
    </row>
    <row r="172" spans="1:44">
      <c r="A172" s="8">
        <v>386</v>
      </c>
      <c r="B172" s="8" t="s">
        <v>80</v>
      </c>
      <c r="C172" s="8" t="s">
        <v>346</v>
      </c>
      <c r="D172" s="8"/>
      <c r="E172" s="8">
        <v>386</v>
      </c>
      <c r="F172" s="24"/>
      <c r="G172" s="5"/>
      <c r="H172" s="5"/>
      <c r="I172" s="5"/>
      <c r="J172" s="5"/>
      <c r="K172" s="5"/>
      <c r="L172" s="5"/>
      <c r="M172" s="25"/>
      <c r="N172" s="24"/>
      <c r="O172" s="5"/>
      <c r="P172" s="5"/>
      <c r="Q172" s="5"/>
      <c r="R172" s="5"/>
      <c r="S172" s="5"/>
      <c r="T172" s="5"/>
      <c r="U172" s="25"/>
      <c r="V172" s="5"/>
      <c r="W172" s="5"/>
      <c r="X172" s="5"/>
      <c r="Y172" s="5"/>
      <c r="Z172" s="5"/>
      <c r="AA172" s="5"/>
      <c r="AB172" s="5"/>
      <c r="AC172" s="5"/>
      <c r="AD172" s="24"/>
      <c r="AE172" s="5"/>
      <c r="AF172" s="5"/>
      <c r="AG172" s="5"/>
      <c r="AH172" s="5"/>
      <c r="AI172" s="5"/>
      <c r="AJ172" s="5"/>
      <c r="AK172" s="25"/>
      <c r="AL172" s="5">
        <v>386</v>
      </c>
      <c r="AM172" s="8">
        <v>1</v>
      </c>
      <c r="AR172" s="67">
        <f t="shared" si="2"/>
        <v>0</v>
      </c>
    </row>
    <row r="173" spans="1:44">
      <c r="A173" s="8">
        <v>392</v>
      </c>
      <c r="B173" s="8" t="s">
        <v>80</v>
      </c>
      <c r="C173" s="8" t="s">
        <v>346</v>
      </c>
      <c r="D173" s="8"/>
      <c r="E173" s="8">
        <v>392</v>
      </c>
      <c r="F173" s="24"/>
      <c r="G173" s="5"/>
      <c r="H173" s="5"/>
      <c r="I173" s="5"/>
      <c r="J173" s="5"/>
      <c r="K173" s="5"/>
      <c r="L173" s="5"/>
      <c r="M173" s="25"/>
      <c r="N173" s="24"/>
      <c r="O173" s="5"/>
      <c r="P173" s="5"/>
      <c r="Q173" s="5"/>
      <c r="R173" s="5"/>
      <c r="S173" s="5"/>
      <c r="T173" s="5"/>
      <c r="U173" s="25"/>
      <c r="V173" s="5"/>
      <c r="W173" s="5"/>
      <c r="X173" s="5"/>
      <c r="Y173" s="5"/>
      <c r="Z173" s="5"/>
      <c r="AA173" s="5"/>
      <c r="AB173" s="5"/>
      <c r="AC173" s="5"/>
      <c r="AD173" s="24"/>
      <c r="AE173" s="5"/>
      <c r="AF173" s="5"/>
      <c r="AG173" s="5"/>
      <c r="AH173" s="5"/>
      <c r="AI173" s="5"/>
      <c r="AJ173" s="5"/>
      <c r="AK173" s="25"/>
      <c r="AL173" s="5">
        <v>392</v>
      </c>
      <c r="AM173" s="8"/>
      <c r="AP173">
        <v>1</v>
      </c>
      <c r="AR173" s="67">
        <f t="shared" si="2"/>
        <v>0</v>
      </c>
    </row>
    <row r="174" spans="1:44">
      <c r="A174" s="8">
        <v>401</v>
      </c>
      <c r="B174" s="8" t="s">
        <v>123</v>
      </c>
      <c r="C174" s="8" t="s">
        <v>366</v>
      </c>
      <c r="D174" s="8" t="s">
        <v>42</v>
      </c>
      <c r="E174" s="8">
        <v>401</v>
      </c>
      <c r="F174" s="24"/>
      <c r="G174" s="5"/>
      <c r="H174" s="5"/>
      <c r="I174" s="5"/>
      <c r="J174" s="5"/>
      <c r="K174" s="5"/>
      <c r="L174" s="5"/>
      <c r="M174" s="25"/>
      <c r="N174" s="24"/>
      <c r="O174" s="5"/>
      <c r="P174" s="5"/>
      <c r="Q174" s="5"/>
      <c r="R174" s="5"/>
      <c r="S174" s="5"/>
      <c r="T174" s="5"/>
      <c r="U174" s="25"/>
      <c r="V174" s="5"/>
      <c r="W174" s="5"/>
      <c r="X174" s="5"/>
      <c r="Y174" s="5"/>
      <c r="Z174" s="5"/>
      <c r="AA174" s="5"/>
      <c r="AB174" s="5"/>
      <c r="AC174" s="5"/>
      <c r="AD174" s="24"/>
      <c r="AE174" s="5"/>
      <c r="AF174" s="5"/>
      <c r="AG174" s="5"/>
      <c r="AH174" s="5"/>
      <c r="AI174" s="5"/>
      <c r="AJ174" s="5"/>
      <c r="AK174" s="25"/>
      <c r="AL174" s="5">
        <v>401</v>
      </c>
      <c r="AM174" s="8">
        <v>1</v>
      </c>
      <c r="AN174" s="8"/>
      <c r="AR174" s="67">
        <f t="shared" si="2"/>
        <v>0</v>
      </c>
    </row>
    <row r="175" spans="1:44">
      <c r="A175" s="8">
        <v>402</v>
      </c>
      <c r="B175" s="8" t="s">
        <v>88</v>
      </c>
      <c r="C175" s="8" t="s">
        <v>12</v>
      </c>
      <c r="D175" s="8" t="s">
        <v>6</v>
      </c>
      <c r="E175" s="8">
        <v>402</v>
      </c>
      <c r="F175" s="24"/>
      <c r="G175" s="5"/>
      <c r="H175" s="5"/>
      <c r="I175" s="5"/>
      <c r="J175" s="5"/>
      <c r="K175" s="5"/>
      <c r="L175" s="5"/>
      <c r="M175" s="25">
        <v>1</v>
      </c>
      <c r="N175" s="24"/>
      <c r="O175" s="5"/>
      <c r="P175" s="5"/>
      <c r="Q175" s="5"/>
      <c r="R175" s="5"/>
      <c r="S175" s="5"/>
      <c r="T175" s="5"/>
      <c r="U175" s="25"/>
      <c r="V175" s="5"/>
      <c r="W175" s="5"/>
      <c r="X175" s="5"/>
      <c r="Y175" s="5"/>
      <c r="Z175" s="5"/>
      <c r="AA175" s="5">
        <v>1</v>
      </c>
      <c r="AB175" s="5">
        <v>1</v>
      </c>
      <c r="AC175" s="5">
        <v>1</v>
      </c>
      <c r="AD175" s="24">
        <v>1</v>
      </c>
      <c r="AE175" s="5">
        <v>1</v>
      </c>
      <c r="AF175" s="5">
        <v>1</v>
      </c>
      <c r="AG175" s="5">
        <v>1</v>
      </c>
      <c r="AH175" s="5"/>
      <c r="AI175" s="5"/>
      <c r="AJ175" s="5"/>
      <c r="AK175" s="25"/>
      <c r="AL175" s="5">
        <v>402</v>
      </c>
      <c r="AM175" s="8"/>
      <c r="AN175">
        <v>1</v>
      </c>
      <c r="AR175" s="67">
        <f t="shared" si="2"/>
        <v>8</v>
      </c>
    </row>
    <row r="176" spans="1:44">
      <c r="A176" s="8">
        <v>412</v>
      </c>
      <c r="B176" s="8" t="s">
        <v>41</v>
      </c>
      <c r="C176" s="8" t="s">
        <v>42</v>
      </c>
      <c r="D176" s="8" t="s">
        <v>42</v>
      </c>
      <c r="E176" s="8">
        <v>412</v>
      </c>
      <c r="F176" s="24"/>
      <c r="G176" s="5"/>
      <c r="H176" s="5"/>
      <c r="I176" s="5"/>
      <c r="J176" s="5"/>
      <c r="K176" s="5">
        <v>1</v>
      </c>
      <c r="L176" s="5"/>
      <c r="M176" s="25">
        <v>1</v>
      </c>
      <c r="N176" s="24">
        <v>1</v>
      </c>
      <c r="O176" s="5">
        <v>1</v>
      </c>
      <c r="P176" s="5"/>
      <c r="Q176" s="5"/>
      <c r="R176" s="5"/>
      <c r="S176" s="5"/>
      <c r="T176" s="5"/>
      <c r="U176" s="25"/>
      <c r="V176" s="5"/>
      <c r="W176" s="5"/>
      <c r="X176" s="5"/>
      <c r="Y176" s="5"/>
      <c r="Z176" s="5"/>
      <c r="AA176" s="5">
        <v>1</v>
      </c>
      <c r="AB176" s="5"/>
      <c r="AC176" s="5"/>
      <c r="AD176" s="24">
        <v>1</v>
      </c>
      <c r="AE176" s="5">
        <v>1</v>
      </c>
      <c r="AF176" s="5">
        <v>1</v>
      </c>
      <c r="AG176" s="5"/>
      <c r="AH176" s="5"/>
      <c r="AI176" s="5"/>
      <c r="AJ176" s="5"/>
      <c r="AK176" s="25"/>
      <c r="AL176" s="5">
        <v>412</v>
      </c>
      <c r="AM176" s="8"/>
      <c r="AN176">
        <v>1</v>
      </c>
      <c r="AR176" s="67">
        <f t="shared" si="2"/>
        <v>8</v>
      </c>
    </row>
    <row r="177" spans="1:44">
      <c r="A177" s="8">
        <v>414</v>
      </c>
      <c r="B177" s="8" t="s">
        <v>62</v>
      </c>
      <c r="C177" s="8" t="s">
        <v>42</v>
      </c>
      <c r="D177" s="8" t="s">
        <v>42</v>
      </c>
      <c r="E177" s="8">
        <v>414</v>
      </c>
      <c r="F177" s="24"/>
      <c r="G177" s="5"/>
      <c r="H177" s="5"/>
      <c r="I177" s="5"/>
      <c r="J177" s="5"/>
      <c r="K177" s="5"/>
      <c r="L177" s="5"/>
      <c r="M177" s="25">
        <v>1</v>
      </c>
      <c r="N177" s="24"/>
      <c r="O177" s="5"/>
      <c r="P177" s="5">
        <v>1</v>
      </c>
      <c r="Q177" s="5"/>
      <c r="R177" s="5"/>
      <c r="S177" s="5"/>
      <c r="T177" s="5"/>
      <c r="U177" s="25"/>
      <c r="V177" s="5"/>
      <c r="W177" s="5"/>
      <c r="X177" s="5"/>
      <c r="Y177" s="5"/>
      <c r="Z177" s="5"/>
      <c r="AA177" s="5">
        <v>1</v>
      </c>
      <c r="AB177" s="5"/>
      <c r="AC177" s="5"/>
      <c r="AD177" s="24"/>
      <c r="AE177" s="5"/>
      <c r="AF177" s="5">
        <v>1</v>
      </c>
      <c r="AG177" s="5"/>
      <c r="AH177" s="5"/>
      <c r="AI177" s="5"/>
      <c r="AJ177" s="5"/>
      <c r="AK177" s="25"/>
      <c r="AL177" s="5">
        <v>414</v>
      </c>
      <c r="AM177" s="8"/>
      <c r="AN177">
        <v>1</v>
      </c>
      <c r="AR177" s="67">
        <f t="shared" si="2"/>
        <v>4</v>
      </c>
    </row>
    <row r="178" spans="1:44">
      <c r="A178" s="8">
        <v>417</v>
      </c>
      <c r="B178" s="8" t="s">
        <v>78</v>
      </c>
      <c r="C178" s="8" t="s">
        <v>359</v>
      </c>
      <c r="D178" s="8"/>
      <c r="E178" s="8">
        <v>417</v>
      </c>
      <c r="F178" s="24"/>
      <c r="G178" s="5"/>
      <c r="H178" s="5"/>
      <c r="I178" s="5"/>
      <c r="J178" s="5"/>
      <c r="K178" s="5"/>
      <c r="L178" s="5"/>
      <c r="M178" s="25"/>
      <c r="N178" s="24"/>
      <c r="O178" s="5"/>
      <c r="P178" s="5"/>
      <c r="Q178" s="5"/>
      <c r="R178" s="5"/>
      <c r="S178" s="5"/>
      <c r="T178" s="5"/>
      <c r="U178" s="25"/>
      <c r="V178" s="5"/>
      <c r="W178" s="5"/>
      <c r="X178" s="5"/>
      <c r="Y178" s="5"/>
      <c r="Z178" s="5"/>
      <c r="AA178" s="5"/>
      <c r="AB178" s="5"/>
      <c r="AC178" s="5"/>
      <c r="AD178" s="24"/>
      <c r="AE178" s="5"/>
      <c r="AF178" s="5"/>
      <c r="AG178" s="5"/>
      <c r="AH178" s="5"/>
      <c r="AI178" s="5"/>
      <c r="AJ178" s="5"/>
      <c r="AK178" s="25"/>
      <c r="AL178" s="5">
        <v>417</v>
      </c>
      <c r="AM178" s="8">
        <v>1</v>
      </c>
      <c r="AR178" s="67">
        <f t="shared" si="2"/>
        <v>0</v>
      </c>
    </row>
    <row r="179" spans="1:44">
      <c r="A179" s="8">
        <v>418</v>
      </c>
      <c r="B179" s="8" t="s">
        <v>80</v>
      </c>
      <c r="C179" s="8" t="s">
        <v>346</v>
      </c>
      <c r="D179" s="8"/>
      <c r="E179" s="8">
        <v>418</v>
      </c>
      <c r="F179" s="24"/>
      <c r="G179" s="5"/>
      <c r="H179" s="5"/>
      <c r="I179" s="5"/>
      <c r="J179" s="5"/>
      <c r="K179" s="5"/>
      <c r="L179" s="5"/>
      <c r="M179" s="25"/>
      <c r="N179" s="24"/>
      <c r="O179" s="5"/>
      <c r="P179" s="5"/>
      <c r="Q179" s="5"/>
      <c r="R179" s="5"/>
      <c r="S179" s="5"/>
      <c r="T179" s="5"/>
      <c r="U179" s="25"/>
      <c r="V179" s="5"/>
      <c r="W179" s="5"/>
      <c r="X179" s="5"/>
      <c r="Y179" s="5"/>
      <c r="Z179" s="5"/>
      <c r="AA179" s="5"/>
      <c r="AB179" s="5"/>
      <c r="AC179" s="5"/>
      <c r="AD179" s="24"/>
      <c r="AE179" s="5"/>
      <c r="AF179" s="5"/>
      <c r="AG179" s="5"/>
      <c r="AH179" s="5"/>
      <c r="AI179" s="5"/>
      <c r="AJ179" s="5"/>
      <c r="AK179" s="25"/>
      <c r="AL179" s="5">
        <v>418</v>
      </c>
      <c r="AM179" s="8">
        <v>1</v>
      </c>
      <c r="AR179" s="67">
        <f t="shared" si="2"/>
        <v>0</v>
      </c>
    </row>
    <row r="180" spans="1:44">
      <c r="A180" s="8">
        <v>419</v>
      </c>
      <c r="B180" s="8" t="s">
        <v>123</v>
      </c>
      <c r="C180" s="8" t="s">
        <v>366</v>
      </c>
      <c r="D180" s="8" t="s">
        <v>6</v>
      </c>
      <c r="E180" s="8">
        <v>419</v>
      </c>
      <c r="F180" s="24"/>
      <c r="G180" s="5"/>
      <c r="H180" s="5"/>
      <c r="I180" s="5"/>
      <c r="J180" s="5"/>
      <c r="K180" s="5">
        <v>1</v>
      </c>
      <c r="L180" s="5">
        <v>1</v>
      </c>
      <c r="M180" s="25">
        <v>1</v>
      </c>
      <c r="N180" s="24">
        <v>1</v>
      </c>
      <c r="O180" s="5">
        <v>1</v>
      </c>
      <c r="P180" s="5">
        <v>1</v>
      </c>
      <c r="Q180" s="5"/>
      <c r="R180" s="5"/>
      <c r="S180" s="5"/>
      <c r="T180" s="5"/>
      <c r="U180" s="25"/>
      <c r="V180" s="5"/>
      <c r="W180" s="5"/>
      <c r="X180" s="5"/>
      <c r="Y180" s="5"/>
      <c r="Z180" s="5"/>
      <c r="AA180" s="5">
        <v>1</v>
      </c>
      <c r="AB180" s="5">
        <v>1</v>
      </c>
      <c r="AC180" s="5">
        <v>1</v>
      </c>
      <c r="AD180" s="24"/>
      <c r="AE180" s="5">
        <v>1</v>
      </c>
      <c r="AF180" s="5">
        <v>1</v>
      </c>
      <c r="AG180" s="5"/>
      <c r="AH180" s="5"/>
      <c r="AI180" s="5"/>
      <c r="AJ180" s="5"/>
      <c r="AK180" s="25"/>
      <c r="AL180" s="5">
        <v>419</v>
      </c>
      <c r="AM180" s="8"/>
      <c r="AN180" s="53">
        <v>1</v>
      </c>
      <c r="AO180" s="52">
        <v>1</v>
      </c>
      <c r="AP180" s="52"/>
      <c r="AQ180" s="52">
        <v>1</v>
      </c>
      <c r="AR180" s="67">
        <f t="shared" si="2"/>
        <v>11</v>
      </c>
    </row>
    <row r="181" spans="1:44">
      <c r="A181" s="8">
        <v>421</v>
      </c>
      <c r="B181" s="8" t="s">
        <v>41</v>
      </c>
      <c r="C181" s="8" t="s">
        <v>42</v>
      </c>
      <c r="D181" s="8" t="s">
        <v>6</v>
      </c>
      <c r="E181" s="8">
        <v>421</v>
      </c>
      <c r="F181" s="24"/>
      <c r="G181" s="5"/>
      <c r="H181" s="5"/>
      <c r="I181" s="5"/>
      <c r="J181" s="5"/>
      <c r="K181" s="5"/>
      <c r="L181" s="5"/>
      <c r="M181" s="25">
        <v>1</v>
      </c>
      <c r="N181" s="24">
        <v>1</v>
      </c>
      <c r="O181" s="5"/>
      <c r="P181" s="5"/>
      <c r="Q181" s="5"/>
      <c r="R181" s="5"/>
      <c r="S181" s="5"/>
      <c r="T181" s="5"/>
      <c r="U181" s="25"/>
      <c r="V181" s="5"/>
      <c r="W181" s="5"/>
      <c r="X181" s="5"/>
      <c r="Y181" s="5"/>
      <c r="Z181" s="5"/>
      <c r="AA181" s="5">
        <v>1</v>
      </c>
      <c r="AB181" s="5"/>
      <c r="AC181" s="5"/>
      <c r="AD181" s="24"/>
      <c r="AE181" s="5"/>
      <c r="AF181" s="5">
        <v>1</v>
      </c>
      <c r="AG181" s="5"/>
      <c r="AH181" s="5"/>
      <c r="AI181" s="5"/>
      <c r="AJ181" s="5"/>
      <c r="AK181" s="25"/>
      <c r="AL181" s="5">
        <v>421</v>
      </c>
      <c r="AM181" s="8"/>
      <c r="AN181">
        <v>1</v>
      </c>
      <c r="AR181" s="67">
        <f t="shared" si="2"/>
        <v>4</v>
      </c>
    </row>
    <row r="182" spans="1:44">
      <c r="A182" s="8">
        <v>424</v>
      </c>
      <c r="B182" s="8" t="s">
        <v>63</v>
      </c>
      <c r="C182" s="8" t="s">
        <v>346</v>
      </c>
      <c r="D182" s="8"/>
      <c r="E182" s="8">
        <v>424</v>
      </c>
      <c r="F182" s="24"/>
      <c r="G182" s="5"/>
      <c r="H182" s="5"/>
      <c r="I182" s="5"/>
      <c r="J182" s="5"/>
      <c r="K182" s="5"/>
      <c r="L182" s="5"/>
      <c r="M182" s="25"/>
      <c r="N182" s="24"/>
      <c r="O182" s="5"/>
      <c r="P182" s="5"/>
      <c r="Q182" s="5"/>
      <c r="R182" s="5"/>
      <c r="S182" s="5"/>
      <c r="T182" s="5"/>
      <c r="U182" s="25"/>
      <c r="V182" s="5"/>
      <c r="W182" s="5"/>
      <c r="X182" s="5"/>
      <c r="Y182" s="5"/>
      <c r="Z182" s="5"/>
      <c r="AA182" s="5"/>
      <c r="AB182" s="5"/>
      <c r="AC182" s="5"/>
      <c r="AD182" s="24"/>
      <c r="AE182" s="5"/>
      <c r="AF182" s="5"/>
      <c r="AG182" s="5"/>
      <c r="AH182" s="5"/>
      <c r="AI182" s="5"/>
      <c r="AJ182" s="5"/>
      <c r="AK182" s="25"/>
      <c r="AL182" s="5">
        <v>424</v>
      </c>
      <c r="AM182" s="8">
        <v>1</v>
      </c>
      <c r="AR182" s="67">
        <f t="shared" si="2"/>
        <v>0</v>
      </c>
    </row>
    <row r="183" spans="1:44">
      <c r="A183" s="8">
        <v>425</v>
      </c>
      <c r="B183" s="8" t="s">
        <v>63</v>
      </c>
      <c r="C183" s="8" t="s">
        <v>346</v>
      </c>
      <c r="D183" s="8"/>
      <c r="E183" s="8">
        <v>425</v>
      </c>
      <c r="F183" s="24"/>
      <c r="G183" s="5"/>
      <c r="H183" s="5"/>
      <c r="I183" s="5"/>
      <c r="J183" s="5"/>
      <c r="K183" s="5"/>
      <c r="L183" s="5"/>
      <c r="M183" s="25"/>
      <c r="N183" s="24"/>
      <c r="O183" s="5"/>
      <c r="P183" s="5"/>
      <c r="Q183" s="5"/>
      <c r="R183" s="5"/>
      <c r="S183" s="5"/>
      <c r="T183" s="5"/>
      <c r="U183" s="25"/>
      <c r="V183" s="5"/>
      <c r="W183" s="5"/>
      <c r="X183" s="5"/>
      <c r="Y183" s="5"/>
      <c r="Z183" s="5"/>
      <c r="AA183" s="5"/>
      <c r="AB183" s="5"/>
      <c r="AC183" s="5"/>
      <c r="AD183" s="24"/>
      <c r="AE183" s="5"/>
      <c r="AF183" s="5"/>
      <c r="AG183" s="5"/>
      <c r="AH183" s="5"/>
      <c r="AI183" s="5"/>
      <c r="AJ183" s="5"/>
      <c r="AK183" s="25"/>
      <c r="AL183" s="5">
        <v>425</v>
      </c>
      <c r="AM183" s="8">
        <v>1</v>
      </c>
      <c r="AR183" s="67">
        <f t="shared" si="2"/>
        <v>0</v>
      </c>
    </row>
    <row r="184" spans="1:44">
      <c r="A184" s="8">
        <v>426</v>
      </c>
      <c r="B184" s="8" t="s">
        <v>44</v>
      </c>
      <c r="C184" s="8" t="s">
        <v>349</v>
      </c>
      <c r="D184" s="8" t="s">
        <v>6</v>
      </c>
      <c r="E184" s="8">
        <v>426</v>
      </c>
      <c r="F184" s="24"/>
      <c r="G184" s="5"/>
      <c r="H184" s="5"/>
      <c r="I184" s="5"/>
      <c r="J184" s="5"/>
      <c r="K184" s="5"/>
      <c r="L184" s="5"/>
      <c r="M184" s="25"/>
      <c r="N184" s="24"/>
      <c r="O184" s="5"/>
      <c r="P184" s="5"/>
      <c r="Q184" s="5"/>
      <c r="R184" s="5"/>
      <c r="S184" s="5"/>
      <c r="T184" s="5"/>
      <c r="U184" s="25"/>
      <c r="V184" s="5"/>
      <c r="W184" s="5"/>
      <c r="X184" s="5"/>
      <c r="Y184" s="5"/>
      <c r="Z184" s="5"/>
      <c r="AA184" s="5"/>
      <c r="AB184" s="5"/>
      <c r="AC184" s="5"/>
      <c r="AD184" s="24"/>
      <c r="AE184" s="5"/>
      <c r="AF184" s="5"/>
      <c r="AG184" s="5"/>
      <c r="AH184" s="5"/>
      <c r="AI184" s="5"/>
      <c r="AJ184" s="5"/>
      <c r="AK184" s="25"/>
      <c r="AL184" s="5">
        <v>426</v>
      </c>
      <c r="AM184" s="8">
        <v>1</v>
      </c>
      <c r="AR184" s="67">
        <f t="shared" si="2"/>
        <v>0</v>
      </c>
    </row>
    <row r="185" spans="1:44">
      <c r="A185" s="8">
        <v>429</v>
      </c>
      <c r="B185" s="8" t="s">
        <v>73</v>
      </c>
      <c r="C185" s="8" t="s">
        <v>165</v>
      </c>
      <c r="D185" s="8" t="s">
        <v>6</v>
      </c>
      <c r="E185" s="8">
        <v>429</v>
      </c>
      <c r="F185" s="24"/>
      <c r="G185" s="5"/>
      <c r="H185" s="5"/>
      <c r="I185" s="5"/>
      <c r="J185" s="5"/>
      <c r="K185" s="5"/>
      <c r="L185" s="5"/>
      <c r="M185" s="25"/>
      <c r="N185" s="24"/>
      <c r="O185" s="5"/>
      <c r="P185" s="5"/>
      <c r="Q185" s="5"/>
      <c r="R185" s="5"/>
      <c r="S185" s="5"/>
      <c r="T185" s="5"/>
      <c r="U185" s="25"/>
      <c r="V185" s="5"/>
      <c r="W185" s="5"/>
      <c r="X185" s="5"/>
      <c r="Y185" s="5"/>
      <c r="Z185" s="5"/>
      <c r="AA185" s="5"/>
      <c r="AB185" s="5"/>
      <c r="AC185" s="5"/>
      <c r="AD185" s="24"/>
      <c r="AE185" s="5"/>
      <c r="AF185" s="5"/>
      <c r="AG185" s="5"/>
      <c r="AH185" s="5"/>
      <c r="AI185" s="5"/>
      <c r="AJ185" s="5"/>
      <c r="AK185" s="25"/>
      <c r="AL185" s="5">
        <v>429</v>
      </c>
      <c r="AM185" s="8">
        <v>1</v>
      </c>
      <c r="AR185" s="67">
        <f t="shared" si="2"/>
        <v>0</v>
      </c>
    </row>
    <row r="186" spans="1:44">
      <c r="A186" s="8">
        <v>434</v>
      </c>
      <c r="B186" s="8" t="s">
        <v>56</v>
      </c>
      <c r="C186" s="8" t="s">
        <v>360</v>
      </c>
      <c r="D186" s="8"/>
      <c r="E186" s="8">
        <v>434</v>
      </c>
      <c r="F186" s="24"/>
      <c r="G186" s="5"/>
      <c r="H186" s="5"/>
      <c r="I186" s="5"/>
      <c r="J186" s="5"/>
      <c r="K186" s="5"/>
      <c r="L186" s="5"/>
      <c r="M186" s="25"/>
      <c r="N186" s="24"/>
      <c r="O186" s="5"/>
      <c r="P186" s="5"/>
      <c r="Q186" s="5"/>
      <c r="R186" s="5"/>
      <c r="S186" s="5"/>
      <c r="T186" s="5"/>
      <c r="U186" s="25"/>
      <c r="V186" s="5"/>
      <c r="W186" s="5"/>
      <c r="X186" s="5"/>
      <c r="Y186" s="5"/>
      <c r="Z186" s="5"/>
      <c r="AA186" s="5"/>
      <c r="AB186" s="5"/>
      <c r="AC186" s="5"/>
      <c r="AD186" s="24"/>
      <c r="AE186" s="5"/>
      <c r="AF186" s="5"/>
      <c r="AG186" s="5"/>
      <c r="AH186" s="5"/>
      <c r="AI186" s="5"/>
      <c r="AJ186" s="5"/>
      <c r="AK186" s="25"/>
      <c r="AL186" s="5">
        <v>434</v>
      </c>
      <c r="AM186" s="8">
        <v>1</v>
      </c>
      <c r="AR186" s="67">
        <f t="shared" si="2"/>
        <v>0</v>
      </c>
    </row>
    <row r="187" spans="1:44">
      <c r="A187" s="8">
        <v>435</v>
      </c>
      <c r="B187" s="8" t="s">
        <v>201</v>
      </c>
      <c r="C187" s="8" t="s">
        <v>357</v>
      </c>
      <c r="D187" s="8" t="s">
        <v>15</v>
      </c>
      <c r="E187" s="8">
        <v>435</v>
      </c>
      <c r="F187" s="24"/>
      <c r="G187" s="5"/>
      <c r="H187" s="5"/>
      <c r="I187" s="5"/>
      <c r="J187" s="5"/>
      <c r="K187" s="5">
        <v>1</v>
      </c>
      <c r="L187" s="5"/>
      <c r="M187" s="25"/>
      <c r="N187" s="24">
        <v>1</v>
      </c>
      <c r="O187" s="5"/>
      <c r="P187" s="5">
        <v>1</v>
      </c>
      <c r="Q187" s="5"/>
      <c r="R187" s="5"/>
      <c r="S187" s="5"/>
      <c r="T187" s="5"/>
      <c r="U187" s="25"/>
      <c r="V187" s="5"/>
      <c r="W187" s="5"/>
      <c r="X187" s="5"/>
      <c r="Y187" s="5"/>
      <c r="Z187" s="5"/>
      <c r="AA187" s="5">
        <v>1</v>
      </c>
      <c r="AB187" s="5"/>
      <c r="AC187" s="5"/>
      <c r="AD187" s="24"/>
      <c r="AE187" s="5"/>
      <c r="AF187" s="5"/>
      <c r="AG187" s="5"/>
      <c r="AH187" s="5"/>
      <c r="AI187" s="5"/>
      <c r="AJ187" s="5"/>
      <c r="AK187" s="25"/>
      <c r="AL187" s="5">
        <v>435</v>
      </c>
      <c r="AM187" s="8"/>
      <c r="AN187">
        <v>1</v>
      </c>
      <c r="AR187" s="67">
        <f t="shared" si="2"/>
        <v>4</v>
      </c>
    </row>
    <row r="188" spans="1:44">
      <c r="A188" s="8">
        <v>436</v>
      </c>
      <c r="B188" s="8" t="s">
        <v>44</v>
      </c>
      <c r="C188" s="8" t="s">
        <v>349</v>
      </c>
      <c r="D188" s="8" t="s">
        <v>6</v>
      </c>
      <c r="E188" s="8">
        <v>436</v>
      </c>
      <c r="F188" s="24"/>
      <c r="G188" s="5"/>
      <c r="H188" s="5"/>
      <c r="I188" s="5"/>
      <c r="J188" s="5"/>
      <c r="K188" s="5"/>
      <c r="L188" s="5"/>
      <c r="M188" s="25">
        <v>1</v>
      </c>
      <c r="N188" s="24">
        <v>1</v>
      </c>
      <c r="O188" s="5"/>
      <c r="P188" s="5"/>
      <c r="Q188" s="5"/>
      <c r="R188" s="5"/>
      <c r="S188" s="5"/>
      <c r="T188" s="5"/>
      <c r="U188" s="25"/>
      <c r="V188" s="5"/>
      <c r="W188" s="5"/>
      <c r="X188" s="5"/>
      <c r="Y188" s="5"/>
      <c r="Z188" s="5"/>
      <c r="AA188" s="5"/>
      <c r="AB188" s="5"/>
      <c r="AC188" s="5"/>
      <c r="AD188" s="24"/>
      <c r="AE188" s="5"/>
      <c r="AF188" s="5"/>
      <c r="AG188" s="5"/>
      <c r="AH188" s="5"/>
      <c r="AI188" s="5"/>
      <c r="AJ188" s="5"/>
      <c r="AK188" s="25"/>
      <c r="AL188" s="5">
        <v>436</v>
      </c>
      <c r="AM188" s="8"/>
      <c r="AN188">
        <v>1</v>
      </c>
      <c r="AR188" s="67">
        <f t="shared" si="2"/>
        <v>2</v>
      </c>
    </row>
    <row r="189" spans="1:44">
      <c r="A189" s="8">
        <v>437</v>
      </c>
      <c r="B189" s="8" t="s">
        <v>68</v>
      </c>
      <c r="C189" s="8" t="s">
        <v>357</v>
      </c>
      <c r="D189" s="8"/>
      <c r="E189" s="8">
        <v>437</v>
      </c>
      <c r="F189" s="24"/>
      <c r="G189" s="5"/>
      <c r="H189" s="5"/>
      <c r="I189" s="5"/>
      <c r="J189" s="5"/>
      <c r="K189" s="5"/>
      <c r="L189" s="5"/>
      <c r="M189" s="25"/>
      <c r="N189" s="24"/>
      <c r="O189" s="5"/>
      <c r="P189" s="5"/>
      <c r="Q189" s="5"/>
      <c r="R189" s="5"/>
      <c r="S189" s="5"/>
      <c r="T189" s="5"/>
      <c r="U189" s="25"/>
      <c r="V189" s="5"/>
      <c r="W189" s="5"/>
      <c r="X189" s="5"/>
      <c r="Y189" s="5"/>
      <c r="Z189" s="5"/>
      <c r="AA189" s="5"/>
      <c r="AB189" s="5"/>
      <c r="AC189" s="5"/>
      <c r="AD189" s="24"/>
      <c r="AE189" s="5"/>
      <c r="AF189" s="5"/>
      <c r="AG189" s="5"/>
      <c r="AH189" s="5"/>
      <c r="AI189" s="5"/>
      <c r="AJ189" s="5"/>
      <c r="AK189" s="25"/>
      <c r="AL189" s="5">
        <v>437</v>
      </c>
      <c r="AM189" s="8">
        <v>1</v>
      </c>
      <c r="AR189" s="67">
        <f t="shared" si="2"/>
        <v>0</v>
      </c>
    </row>
    <row r="190" spans="1:44">
      <c r="A190" s="8">
        <v>440</v>
      </c>
      <c r="B190" s="8" t="s">
        <v>5</v>
      </c>
      <c r="C190" s="8" t="s">
        <v>42</v>
      </c>
      <c r="D190" s="8" t="s">
        <v>42</v>
      </c>
      <c r="E190" s="8">
        <v>440</v>
      </c>
      <c r="F190" s="24"/>
      <c r="G190" s="5"/>
      <c r="H190" s="5"/>
      <c r="I190" s="5"/>
      <c r="J190" s="5"/>
      <c r="K190" s="5"/>
      <c r="L190" s="5"/>
      <c r="M190" s="25"/>
      <c r="N190" s="24"/>
      <c r="O190" s="5"/>
      <c r="P190" s="5"/>
      <c r="Q190" s="5"/>
      <c r="R190" s="5"/>
      <c r="S190" s="5"/>
      <c r="T190" s="5"/>
      <c r="U190" s="25"/>
      <c r="V190" s="5"/>
      <c r="W190" s="5"/>
      <c r="X190" s="5"/>
      <c r="Y190" s="5"/>
      <c r="Z190" s="5"/>
      <c r="AA190" s="5">
        <v>1</v>
      </c>
      <c r="AB190" s="5"/>
      <c r="AC190" s="5"/>
      <c r="AD190" s="24"/>
      <c r="AE190" s="5"/>
      <c r="AF190" s="5"/>
      <c r="AG190" s="5"/>
      <c r="AH190" s="5"/>
      <c r="AI190" s="5"/>
      <c r="AJ190" s="5"/>
      <c r="AK190" s="25"/>
      <c r="AL190" s="5">
        <v>440</v>
      </c>
      <c r="AM190" s="8"/>
      <c r="AN190">
        <v>1</v>
      </c>
      <c r="AR190" s="67">
        <f t="shared" si="2"/>
        <v>1</v>
      </c>
    </row>
    <row r="191" spans="1:44">
      <c r="A191" s="8" t="s">
        <v>271</v>
      </c>
      <c r="B191" s="8" t="s">
        <v>55</v>
      </c>
      <c r="C191" s="8" t="s">
        <v>346</v>
      </c>
      <c r="D191" s="8"/>
      <c r="E191" s="8" t="s">
        <v>271</v>
      </c>
      <c r="F191" s="24"/>
      <c r="G191" s="5"/>
      <c r="H191" s="5"/>
      <c r="I191" s="5"/>
      <c r="J191" s="5"/>
      <c r="K191" s="5"/>
      <c r="L191" s="5"/>
      <c r="M191" s="25"/>
      <c r="N191" s="24"/>
      <c r="O191" s="5"/>
      <c r="P191" s="5"/>
      <c r="Q191" s="5"/>
      <c r="R191" s="5"/>
      <c r="S191" s="5"/>
      <c r="T191" s="5"/>
      <c r="U191" s="25"/>
      <c r="V191" s="5"/>
      <c r="W191" s="5"/>
      <c r="X191" s="5"/>
      <c r="Y191" s="5"/>
      <c r="Z191" s="5"/>
      <c r="AA191" s="5"/>
      <c r="AB191" s="5"/>
      <c r="AC191" s="5"/>
      <c r="AD191" s="24"/>
      <c r="AE191" s="5"/>
      <c r="AF191" s="5"/>
      <c r="AG191" s="5"/>
      <c r="AH191" s="5"/>
      <c r="AI191" s="5"/>
      <c r="AJ191" s="5"/>
      <c r="AK191" s="25"/>
      <c r="AL191" s="5" t="s">
        <v>271</v>
      </c>
      <c r="AM191" s="8"/>
      <c r="AO191">
        <v>1</v>
      </c>
      <c r="AR191" s="67">
        <f t="shared" si="2"/>
        <v>0</v>
      </c>
    </row>
    <row r="192" spans="1:44">
      <c r="A192" s="8">
        <v>444</v>
      </c>
      <c r="B192" s="8" t="s">
        <v>44</v>
      </c>
      <c r="C192" s="8" t="s">
        <v>349</v>
      </c>
      <c r="D192" s="8" t="s">
        <v>6</v>
      </c>
      <c r="E192" s="8">
        <v>444</v>
      </c>
      <c r="F192" s="24"/>
      <c r="G192" s="5"/>
      <c r="H192" s="5"/>
      <c r="I192" s="5"/>
      <c r="J192" s="5"/>
      <c r="K192" s="5">
        <v>1</v>
      </c>
      <c r="L192" s="5"/>
      <c r="M192" s="25"/>
      <c r="N192" s="24"/>
      <c r="O192" s="5"/>
      <c r="P192" s="5"/>
      <c r="Q192" s="5"/>
      <c r="R192" s="5"/>
      <c r="S192" s="5"/>
      <c r="T192" s="5"/>
      <c r="U192" s="25"/>
      <c r="V192" s="5"/>
      <c r="W192" s="5"/>
      <c r="X192" s="5"/>
      <c r="Y192" s="5"/>
      <c r="Z192" s="5"/>
      <c r="AA192" s="5"/>
      <c r="AB192" s="5"/>
      <c r="AC192" s="5"/>
      <c r="AD192" s="24"/>
      <c r="AE192" s="5">
        <v>1</v>
      </c>
      <c r="AF192" s="5"/>
      <c r="AG192" s="5"/>
      <c r="AH192" s="5"/>
      <c r="AI192" s="5"/>
      <c r="AJ192" s="5"/>
      <c r="AK192" s="25"/>
      <c r="AL192" s="5">
        <v>444</v>
      </c>
      <c r="AM192" s="8"/>
      <c r="AN192" s="53">
        <v>1</v>
      </c>
      <c r="AO192" s="52">
        <v>1</v>
      </c>
      <c r="AP192" s="52"/>
      <c r="AQ192" s="52">
        <v>1</v>
      </c>
      <c r="AR192" s="67">
        <f t="shared" si="2"/>
        <v>2</v>
      </c>
    </row>
    <row r="193" spans="1:44">
      <c r="A193" s="8">
        <v>445</v>
      </c>
      <c r="B193" s="8" t="s">
        <v>106</v>
      </c>
      <c r="C193" s="8" t="s">
        <v>349</v>
      </c>
      <c r="D193" s="8" t="s">
        <v>6</v>
      </c>
      <c r="E193" s="8">
        <v>445</v>
      </c>
      <c r="F193" s="24"/>
      <c r="G193" s="5"/>
      <c r="H193" s="5"/>
      <c r="I193" s="5"/>
      <c r="J193" s="5"/>
      <c r="K193" s="5"/>
      <c r="L193" s="5"/>
      <c r="M193" s="25"/>
      <c r="N193" s="24"/>
      <c r="O193" s="5"/>
      <c r="P193" s="5"/>
      <c r="Q193" s="5"/>
      <c r="R193" s="5"/>
      <c r="S193" s="5"/>
      <c r="T193" s="5"/>
      <c r="U193" s="25"/>
      <c r="V193" s="5"/>
      <c r="W193" s="5"/>
      <c r="X193" s="5"/>
      <c r="Y193" s="5"/>
      <c r="Z193" s="5"/>
      <c r="AA193" s="5"/>
      <c r="AB193" s="5"/>
      <c r="AC193" s="5"/>
      <c r="AD193" s="24"/>
      <c r="AE193" s="5"/>
      <c r="AF193" s="5"/>
      <c r="AG193" s="5"/>
      <c r="AH193" s="5"/>
      <c r="AI193" s="5"/>
      <c r="AJ193" s="5"/>
      <c r="AK193" s="25"/>
      <c r="AL193" s="5">
        <v>445</v>
      </c>
      <c r="AM193" s="8">
        <v>1</v>
      </c>
      <c r="AR193" s="67">
        <f t="shared" si="2"/>
        <v>0</v>
      </c>
    </row>
    <row r="194" spans="1:44">
      <c r="A194" s="8">
        <v>449</v>
      </c>
      <c r="B194" s="8" t="s">
        <v>62</v>
      </c>
      <c r="C194" s="8" t="s">
        <v>42</v>
      </c>
      <c r="D194" s="8" t="s">
        <v>42</v>
      </c>
      <c r="E194" s="8">
        <v>449</v>
      </c>
      <c r="F194" s="24"/>
      <c r="G194" s="5"/>
      <c r="H194" s="5"/>
      <c r="I194" s="5"/>
      <c r="J194" s="5"/>
      <c r="K194" s="5">
        <v>1</v>
      </c>
      <c r="L194" s="5"/>
      <c r="M194" s="25">
        <v>1</v>
      </c>
      <c r="N194" s="24">
        <v>1</v>
      </c>
      <c r="O194" s="5"/>
      <c r="P194" s="5">
        <v>1</v>
      </c>
      <c r="Q194" s="5"/>
      <c r="R194" s="5"/>
      <c r="S194" s="5"/>
      <c r="T194" s="5"/>
      <c r="U194" s="25"/>
      <c r="V194" s="5"/>
      <c r="W194" s="5"/>
      <c r="X194" s="5"/>
      <c r="Y194" s="5"/>
      <c r="Z194" s="5"/>
      <c r="AA194" s="5">
        <v>1</v>
      </c>
      <c r="AB194" s="5"/>
      <c r="AC194" s="5"/>
      <c r="AD194" s="24"/>
      <c r="AE194" s="5"/>
      <c r="AF194" s="5">
        <v>1</v>
      </c>
      <c r="AG194" s="5"/>
      <c r="AH194" s="5"/>
      <c r="AI194" s="5"/>
      <c r="AJ194" s="5"/>
      <c r="AK194" s="25"/>
      <c r="AL194" s="5">
        <v>449</v>
      </c>
      <c r="AM194" s="8"/>
      <c r="AN194">
        <v>1</v>
      </c>
      <c r="AR194" s="67">
        <f t="shared" si="2"/>
        <v>6</v>
      </c>
    </row>
    <row r="195" spans="1:44">
      <c r="A195" s="8">
        <v>450</v>
      </c>
      <c r="B195" s="8" t="s">
        <v>73</v>
      </c>
      <c r="C195" s="8" t="s">
        <v>165</v>
      </c>
      <c r="D195" s="8" t="s">
        <v>6</v>
      </c>
      <c r="E195" s="8">
        <v>450</v>
      </c>
      <c r="F195" s="24"/>
      <c r="G195" s="5"/>
      <c r="H195" s="5"/>
      <c r="I195" s="5"/>
      <c r="J195" s="5"/>
      <c r="K195" s="5"/>
      <c r="L195" s="5"/>
      <c r="M195" s="25"/>
      <c r="N195" s="24"/>
      <c r="O195" s="5"/>
      <c r="P195" s="5"/>
      <c r="Q195" s="5"/>
      <c r="R195" s="5"/>
      <c r="S195" s="5"/>
      <c r="T195" s="5"/>
      <c r="U195" s="25"/>
      <c r="V195" s="5"/>
      <c r="W195" s="5"/>
      <c r="X195" s="5"/>
      <c r="Y195" s="5"/>
      <c r="Z195" s="5"/>
      <c r="AA195" s="5"/>
      <c r="AB195" s="5"/>
      <c r="AC195" s="5"/>
      <c r="AD195" s="24"/>
      <c r="AE195" s="5"/>
      <c r="AF195" s="5"/>
      <c r="AG195" s="5"/>
      <c r="AH195" s="5"/>
      <c r="AI195" s="5"/>
      <c r="AJ195" s="5"/>
      <c r="AK195" s="25"/>
      <c r="AL195" s="5">
        <v>450</v>
      </c>
      <c r="AM195" s="8">
        <v>1</v>
      </c>
      <c r="AR195" s="67">
        <f t="shared" si="2"/>
        <v>0</v>
      </c>
    </row>
    <row r="196" spans="1:44">
      <c r="A196" s="8">
        <v>452</v>
      </c>
      <c r="B196" s="8" t="s">
        <v>63</v>
      </c>
      <c r="C196" s="8" t="s">
        <v>346</v>
      </c>
      <c r="D196" s="8"/>
      <c r="E196" s="8">
        <v>452</v>
      </c>
      <c r="F196" s="24"/>
      <c r="G196" s="5"/>
      <c r="H196" s="5"/>
      <c r="I196" s="5"/>
      <c r="J196" s="5"/>
      <c r="K196" s="5"/>
      <c r="L196" s="5"/>
      <c r="M196" s="25"/>
      <c r="N196" s="24"/>
      <c r="O196" s="5"/>
      <c r="P196" s="5"/>
      <c r="Q196" s="5"/>
      <c r="R196" s="5"/>
      <c r="S196" s="5"/>
      <c r="T196" s="5"/>
      <c r="U196" s="25"/>
      <c r="V196" s="5"/>
      <c r="W196" s="5"/>
      <c r="X196" s="5"/>
      <c r="Y196" s="5"/>
      <c r="Z196" s="5"/>
      <c r="AA196" s="5"/>
      <c r="AB196" s="5"/>
      <c r="AC196" s="5"/>
      <c r="AD196" s="24"/>
      <c r="AE196" s="5"/>
      <c r="AF196" s="5"/>
      <c r="AG196" s="5"/>
      <c r="AH196" s="5"/>
      <c r="AI196" s="5"/>
      <c r="AJ196" s="5"/>
      <c r="AK196" s="25"/>
      <c r="AL196" s="5">
        <v>452</v>
      </c>
      <c r="AM196" s="8">
        <v>1</v>
      </c>
      <c r="AR196" s="67">
        <f t="shared" si="2"/>
        <v>0</v>
      </c>
    </row>
    <row r="197" spans="1:44">
      <c r="A197" s="8">
        <v>454</v>
      </c>
      <c r="B197" s="8" t="s">
        <v>88</v>
      </c>
      <c r="C197" s="8" t="s">
        <v>12</v>
      </c>
      <c r="D197" s="8" t="s">
        <v>42</v>
      </c>
      <c r="E197" s="8">
        <v>454</v>
      </c>
      <c r="F197" s="24"/>
      <c r="G197" s="5"/>
      <c r="H197" s="5"/>
      <c r="I197" s="5"/>
      <c r="J197" s="5"/>
      <c r="K197" s="5">
        <v>1</v>
      </c>
      <c r="L197" s="5"/>
      <c r="M197" s="25"/>
      <c r="N197" s="24">
        <v>1</v>
      </c>
      <c r="O197" s="5"/>
      <c r="P197" s="5">
        <v>1</v>
      </c>
      <c r="Q197" s="5"/>
      <c r="R197" s="5"/>
      <c r="S197" s="5"/>
      <c r="T197" s="5"/>
      <c r="U197" s="25"/>
      <c r="V197" s="5"/>
      <c r="W197" s="5"/>
      <c r="X197" s="5"/>
      <c r="Y197" s="5"/>
      <c r="Z197" s="5"/>
      <c r="AA197" s="5"/>
      <c r="AB197" s="5"/>
      <c r="AC197" s="5"/>
      <c r="AD197" s="24"/>
      <c r="AE197" s="5"/>
      <c r="AF197" s="5"/>
      <c r="AG197" s="5"/>
      <c r="AH197" s="5"/>
      <c r="AI197" s="5"/>
      <c r="AJ197" s="5"/>
      <c r="AK197" s="25"/>
      <c r="AL197" s="5">
        <v>454</v>
      </c>
      <c r="AM197" s="8"/>
      <c r="AN197">
        <v>1</v>
      </c>
      <c r="AR197" s="67">
        <f t="shared" ref="AR197:AR254" si="3">SUM(F197:AK197)</f>
        <v>3</v>
      </c>
    </row>
    <row r="198" spans="1:44">
      <c r="A198" s="8">
        <v>459</v>
      </c>
      <c r="B198" s="8" t="s">
        <v>201</v>
      </c>
      <c r="C198" s="8" t="s">
        <v>357</v>
      </c>
      <c r="D198" s="8" t="s">
        <v>42</v>
      </c>
      <c r="E198" s="8">
        <v>459</v>
      </c>
      <c r="F198" s="24"/>
      <c r="G198" s="5"/>
      <c r="H198" s="5"/>
      <c r="I198" s="5"/>
      <c r="J198" s="5"/>
      <c r="K198" s="5"/>
      <c r="L198" s="5"/>
      <c r="M198" s="25"/>
      <c r="N198" s="24"/>
      <c r="O198" s="5"/>
      <c r="P198" s="5"/>
      <c r="Q198" s="5"/>
      <c r="R198" s="5"/>
      <c r="S198" s="5"/>
      <c r="T198" s="5"/>
      <c r="U198" s="25"/>
      <c r="V198" s="5"/>
      <c r="W198" s="5"/>
      <c r="X198" s="5"/>
      <c r="Y198" s="5"/>
      <c r="Z198" s="5"/>
      <c r="AA198" s="5"/>
      <c r="AB198" s="5"/>
      <c r="AC198" s="5"/>
      <c r="AD198" s="24"/>
      <c r="AE198" s="5"/>
      <c r="AF198" s="5"/>
      <c r="AG198" s="5"/>
      <c r="AH198" s="5"/>
      <c r="AI198" s="5"/>
      <c r="AJ198" s="5"/>
      <c r="AK198" s="25"/>
      <c r="AL198" s="5">
        <v>459</v>
      </c>
      <c r="AM198" s="8">
        <v>1</v>
      </c>
      <c r="AR198" s="67">
        <f t="shared" si="3"/>
        <v>0</v>
      </c>
    </row>
    <row r="199" spans="1:44">
      <c r="A199" s="8">
        <v>464</v>
      </c>
      <c r="B199" s="8" t="s">
        <v>99</v>
      </c>
      <c r="C199" s="8" t="s">
        <v>346</v>
      </c>
      <c r="D199" s="8"/>
      <c r="E199" s="8">
        <v>464</v>
      </c>
      <c r="F199" s="24"/>
      <c r="G199" s="5"/>
      <c r="H199" s="5"/>
      <c r="I199" s="5"/>
      <c r="J199" s="5"/>
      <c r="K199" s="5"/>
      <c r="L199" s="5"/>
      <c r="M199" s="25"/>
      <c r="N199" s="24"/>
      <c r="O199" s="5"/>
      <c r="P199" s="5"/>
      <c r="Q199" s="5"/>
      <c r="R199" s="5"/>
      <c r="S199" s="5"/>
      <c r="T199" s="5"/>
      <c r="U199" s="25"/>
      <c r="V199" s="5"/>
      <c r="W199" s="5"/>
      <c r="X199" s="5"/>
      <c r="Y199" s="5"/>
      <c r="Z199" s="5"/>
      <c r="AA199" s="5"/>
      <c r="AB199" s="5"/>
      <c r="AC199" s="5"/>
      <c r="AD199" s="24"/>
      <c r="AE199" s="5"/>
      <c r="AF199" s="5"/>
      <c r="AG199" s="5"/>
      <c r="AH199" s="5"/>
      <c r="AI199" s="5"/>
      <c r="AJ199" s="5"/>
      <c r="AK199" s="25"/>
      <c r="AL199" s="5">
        <v>464</v>
      </c>
      <c r="AM199" s="8"/>
      <c r="AO199">
        <v>1</v>
      </c>
      <c r="AR199" s="67">
        <f t="shared" si="3"/>
        <v>0</v>
      </c>
    </row>
    <row r="200" spans="1:44">
      <c r="A200" s="8">
        <v>466</v>
      </c>
      <c r="B200" s="8" t="s">
        <v>41</v>
      </c>
      <c r="C200" s="8" t="s">
        <v>42</v>
      </c>
      <c r="D200" s="8" t="s">
        <v>6</v>
      </c>
      <c r="E200" s="8">
        <v>466</v>
      </c>
      <c r="F200" s="24"/>
      <c r="G200" s="5"/>
      <c r="H200" s="5"/>
      <c r="I200" s="5"/>
      <c r="J200" s="5"/>
      <c r="K200" s="5"/>
      <c r="L200" s="5"/>
      <c r="M200" s="25">
        <v>1</v>
      </c>
      <c r="N200" s="24">
        <v>1</v>
      </c>
      <c r="O200" s="5"/>
      <c r="P200" s="5"/>
      <c r="Q200" s="5"/>
      <c r="R200" s="5"/>
      <c r="S200" s="5"/>
      <c r="T200" s="5"/>
      <c r="U200" s="25"/>
      <c r="V200" s="5"/>
      <c r="W200" s="5"/>
      <c r="X200" s="5"/>
      <c r="Y200" s="5"/>
      <c r="Z200" s="5"/>
      <c r="AA200" s="5"/>
      <c r="AB200" s="5"/>
      <c r="AC200" s="5"/>
      <c r="AD200" s="24"/>
      <c r="AE200" s="5"/>
      <c r="AF200" s="5"/>
      <c r="AG200" s="5"/>
      <c r="AH200" s="5"/>
      <c r="AI200" s="5"/>
      <c r="AJ200" s="5"/>
      <c r="AK200" s="25"/>
      <c r="AL200" s="5">
        <v>466</v>
      </c>
      <c r="AM200" s="8"/>
      <c r="AN200">
        <v>1</v>
      </c>
      <c r="AR200" s="67">
        <f t="shared" si="3"/>
        <v>2</v>
      </c>
    </row>
    <row r="201" spans="1:44">
      <c r="A201" s="8">
        <v>467</v>
      </c>
      <c r="B201" s="8" t="s">
        <v>41</v>
      </c>
      <c r="C201" s="8" t="s">
        <v>42</v>
      </c>
      <c r="D201" s="8" t="s">
        <v>6</v>
      </c>
      <c r="E201" s="8">
        <v>467</v>
      </c>
      <c r="F201" s="24"/>
      <c r="G201" s="5"/>
      <c r="H201" s="5"/>
      <c r="I201" s="5"/>
      <c r="J201" s="5"/>
      <c r="K201" s="5"/>
      <c r="L201" s="5"/>
      <c r="M201" s="25">
        <v>1</v>
      </c>
      <c r="N201" s="24">
        <v>1</v>
      </c>
      <c r="O201" s="5"/>
      <c r="P201" s="5"/>
      <c r="Q201" s="5"/>
      <c r="R201" s="5"/>
      <c r="S201" s="5"/>
      <c r="T201" s="5"/>
      <c r="U201" s="25"/>
      <c r="V201" s="5"/>
      <c r="W201" s="5"/>
      <c r="X201" s="5"/>
      <c r="Y201" s="5"/>
      <c r="Z201" s="5"/>
      <c r="AA201" s="5">
        <v>1</v>
      </c>
      <c r="AB201" s="5"/>
      <c r="AC201" s="5"/>
      <c r="AD201" s="24"/>
      <c r="AE201" s="5">
        <v>1</v>
      </c>
      <c r="AF201" s="5">
        <v>1</v>
      </c>
      <c r="AG201" s="5"/>
      <c r="AH201" s="5"/>
      <c r="AI201" s="5"/>
      <c r="AJ201" s="5"/>
      <c r="AK201" s="25"/>
      <c r="AL201" s="5">
        <v>467</v>
      </c>
      <c r="AM201" s="8"/>
      <c r="AN201">
        <v>1</v>
      </c>
      <c r="AR201" s="67">
        <f t="shared" si="3"/>
        <v>5</v>
      </c>
    </row>
    <row r="202" spans="1:44">
      <c r="A202" s="8">
        <v>468</v>
      </c>
      <c r="B202" s="8" t="s">
        <v>282</v>
      </c>
      <c r="C202" s="8" t="s">
        <v>358</v>
      </c>
      <c r="D202" s="8" t="s">
        <v>6</v>
      </c>
      <c r="E202" s="8">
        <v>468</v>
      </c>
      <c r="F202" s="24"/>
      <c r="G202" s="5"/>
      <c r="H202" s="5"/>
      <c r="I202" s="5"/>
      <c r="J202" s="5"/>
      <c r="K202" s="5"/>
      <c r="L202" s="5"/>
      <c r="M202" s="25"/>
      <c r="N202" s="24"/>
      <c r="O202" s="5"/>
      <c r="P202" s="5">
        <v>1</v>
      </c>
      <c r="Q202" s="5"/>
      <c r="R202" s="5"/>
      <c r="S202" s="5"/>
      <c r="T202" s="5"/>
      <c r="U202" s="25"/>
      <c r="V202" s="5"/>
      <c r="W202" s="5"/>
      <c r="X202" s="5"/>
      <c r="Y202" s="5"/>
      <c r="Z202" s="5"/>
      <c r="AA202" s="5">
        <v>1</v>
      </c>
      <c r="AB202" s="5"/>
      <c r="AC202" s="5"/>
      <c r="AD202" s="24"/>
      <c r="AE202" s="5"/>
      <c r="AF202" s="5"/>
      <c r="AG202" s="5"/>
      <c r="AH202" s="5"/>
      <c r="AI202" s="5"/>
      <c r="AJ202" s="5"/>
      <c r="AK202" s="25"/>
      <c r="AL202" s="5">
        <v>468</v>
      </c>
      <c r="AM202" s="8"/>
      <c r="AN202">
        <v>1</v>
      </c>
      <c r="AR202" s="67">
        <f t="shared" si="3"/>
        <v>2</v>
      </c>
    </row>
    <row r="203" spans="1:44">
      <c r="A203" s="8">
        <v>469</v>
      </c>
      <c r="B203" s="8" t="s">
        <v>44</v>
      </c>
      <c r="C203" s="8" t="s">
        <v>349</v>
      </c>
      <c r="D203" s="8" t="s">
        <v>42</v>
      </c>
      <c r="E203" s="8">
        <v>469</v>
      </c>
      <c r="F203" s="24"/>
      <c r="G203" s="5"/>
      <c r="H203" s="5"/>
      <c r="I203" s="5"/>
      <c r="J203" s="5"/>
      <c r="K203" s="5"/>
      <c r="L203" s="5"/>
      <c r="M203" s="25"/>
      <c r="N203" s="24"/>
      <c r="O203" s="5"/>
      <c r="P203" s="5"/>
      <c r="Q203" s="5"/>
      <c r="R203" s="5"/>
      <c r="S203" s="5"/>
      <c r="T203" s="5"/>
      <c r="U203" s="25"/>
      <c r="V203" s="5"/>
      <c r="W203" s="5"/>
      <c r="X203" s="5"/>
      <c r="Y203" s="5"/>
      <c r="Z203" s="5"/>
      <c r="AA203" s="5">
        <v>1</v>
      </c>
      <c r="AB203" s="5"/>
      <c r="AC203" s="5"/>
      <c r="AD203" s="24"/>
      <c r="AE203" s="5"/>
      <c r="AF203" s="5">
        <v>1</v>
      </c>
      <c r="AG203" s="5"/>
      <c r="AH203" s="5"/>
      <c r="AI203" s="5"/>
      <c r="AJ203" s="5"/>
      <c r="AK203" s="25"/>
      <c r="AL203" s="5">
        <v>469</v>
      </c>
      <c r="AM203" s="8"/>
      <c r="AN203">
        <v>1</v>
      </c>
      <c r="AR203" s="67">
        <f t="shared" si="3"/>
        <v>2</v>
      </c>
    </row>
    <row r="204" spans="1:44">
      <c r="A204" s="8">
        <v>471</v>
      </c>
      <c r="B204" s="8" t="s">
        <v>71</v>
      </c>
      <c r="C204" s="8" t="s">
        <v>366</v>
      </c>
      <c r="D204" s="8" t="s">
        <v>6</v>
      </c>
      <c r="E204" s="8">
        <v>471</v>
      </c>
      <c r="F204" s="24"/>
      <c r="G204" s="5"/>
      <c r="H204" s="5"/>
      <c r="I204" s="5"/>
      <c r="J204" s="5"/>
      <c r="K204" s="5">
        <v>1</v>
      </c>
      <c r="L204" s="5"/>
      <c r="M204" s="25">
        <v>1</v>
      </c>
      <c r="N204" s="24"/>
      <c r="O204" s="5"/>
      <c r="P204" s="5"/>
      <c r="Q204" s="5"/>
      <c r="R204" s="5"/>
      <c r="S204" s="5"/>
      <c r="T204" s="5"/>
      <c r="U204" s="25"/>
      <c r="V204" s="5"/>
      <c r="W204" s="5"/>
      <c r="X204" s="5"/>
      <c r="Y204" s="5"/>
      <c r="Z204" s="5"/>
      <c r="AA204" s="5">
        <v>1</v>
      </c>
      <c r="AB204" s="5"/>
      <c r="AC204" s="5"/>
      <c r="AD204" s="24"/>
      <c r="AE204" s="5"/>
      <c r="AF204" s="5">
        <v>1</v>
      </c>
      <c r="AG204" s="5"/>
      <c r="AH204" s="5"/>
      <c r="AI204" s="5"/>
      <c r="AJ204" s="5"/>
      <c r="AK204" s="25"/>
      <c r="AL204" s="5">
        <v>471</v>
      </c>
      <c r="AM204" s="8"/>
      <c r="AN204">
        <v>1</v>
      </c>
      <c r="AR204" s="67">
        <f t="shared" si="3"/>
        <v>4</v>
      </c>
    </row>
    <row r="205" spans="1:44">
      <c r="A205" s="8">
        <v>474</v>
      </c>
      <c r="B205" s="8" t="s">
        <v>106</v>
      </c>
      <c r="C205" s="8" t="s">
        <v>349</v>
      </c>
      <c r="D205" s="8" t="s">
        <v>6</v>
      </c>
      <c r="E205" s="8">
        <v>474</v>
      </c>
      <c r="F205" s="24"/>
      <c r="G205" s="5"/>
      <c r="H205" s="5"/>
      <c r="I205" s="5"/>
      <c r="J205" s="5"/>
      <c r="K205" s="5"/>
      <c r="L205" s="5"/>
      <c r="M205" s="25"/>
      <c r="N205" s="24"/>
      <c r="O205" s="5"/>
      <c r="P205" s="5"/>
      <c r="Q205" s="5"/>
      <c r="R205" s="5"/>
      <c r="S205" s="5"/>
      <c r="T205" s="5"/>
      <c r="U205" s="25"/>
      <c r="V205" s="5"/>
      <c r="W205" s="5"/>
      <c r="X205" s="5"/>
      <c r="Y205" s="5"/>
      <c r="Z205" s="5"/>
      <c r="AA205" s="5"/>
      <c r="AB205" s="5"/>
      <c r="AC205" s="5"/>
      <c r="AD205" s="24"/>
      <c r="AE205" s="5"/>
      <c r="AF205" s="5"/>
      <c r="AG205" s="5"/>
      <c r="AH205" s="5"/>
      <c r="AI205" s="5"/>
      <c r="AJ205" s="5"/>
      <c r="AK205" s="25"/>
      <c r="AL205" s="5">
        <v>474</v>
      </c>
      <c r="AM205" s="8">
        <v>1</v>
      </c>
      <c r="AR205" s="67">
        <f t="shared" si="3"/>
        <v>0</v>
      </c>
    </row>
    <row r="206" spans="1:44">
      <c r="A206" s="8">
        <v>476</v>
      </c>
      <c r="B206" s="8" t="s">
        <v>44</v>
      </c>
      <c r="C206" s="8" t="s">
        <v>349</v>
      </c>
      <c r="D206" s="8" t="s">
        <v>42</v>
      </c>
      <c r="E206" s="8">
        <v>476</v>
      </c>
      <c r="F206" s="24"/>
      <c r="G206" s="5"/>
      <c r="H206" s="5"/>
      <c r="I206" s="5"/>
      <c r="J206" s="5"/>
      <c r="K206" s="5"/>
      <c r="L206" s="5"/>
      <c r="M206" s="25"/>
      <c r="N206" s="24"/>
      <c r="O206" s="5"/>
      <c r="P206" s="5"/>
      <c r="Q206" s="5"/>
      <c r="R206" s="5"/>
      <c r="S206" s="5"/>
      <c r="T206" s="5"/>
      <c r="U206" s="25"/>
      <c r="V206" s="5"/>
      <c r="W206" s="5"/>
      <c r="X206" s="5"/>
      <c r="Y206" s="5"/>
      <c r="Z206" s="5"/>
      <c r="AA206" s="5"/>
      <c r="AB206" s="5"/>
      <c r="AC206" s="5"/>
      <c r="AD206" s="24"/>
      <c r="AE206" s="5"/>
      <c r="AF206" s="5"/>
      <c r="AG206" s="5"/>
      <c r="AH206" s="5"/>
      <c r="AI206" s="5"/>
      <c r="AJ206" s="5"/>
      <c r="AK206" s="25"/>
      <c r="AL206" s="5">
        <v>476</v>
      </c>
      <c r="AM206" s="8">
        <v>1</v>
      </c>
      <c r="AR206" s="67">
        <f t="shared" si="3"/>
        <v>0</v>
      </c>
    </row>
    <row r="207" spans="1:44">
      <c r="A207" s="8">
        <v>478</v>
      </c>
      <c r="B207" s="8" t="s">
        <v>62</v>
      </c>
      <c r="C207" s="8" t="s">
        <v>42</v>
      </c>
      <c r="D207" s="8" t="s">
        <v>42</v>
      </c>
      <c r="E207" s="8">
        <v>478</v>
      </c>
      <c r="F207" s="24"/>
      <c r="G207" s="5"/>
      <c r="H207" s="5"/>
      <c r="I207" s="5"/>
      <c r="J207" s="5"/>
      <c r="K207" s="5"/>
      <c r="L207" s="5"/>
      <c r="M207" s="25"/>
      <c r="N207" s="24"/>
      <c r="O207" s="5"/>
      <c r="P207" s="5"/>
      <c r="Q207" s="5"/>
      <c r="R207" s="5"/>
      <c r="S207" s="5"/>
      <c r="T207" s="5"/>
      <c r="U207" s="25"/>
      <c r="V207" s="5"/>
      <c r="W207" s="5"/>
      <c r="X207" s="5"/>
      <c r="Y207" s="5"/>
      <c r="Z207" s="5"/>
      <c r="AA207" s="5"/>
      <c r="AB207" s="5"/>
      <c r="AC207" s="5"/>
      <c r="AD207" s="24"/>
      <c r="AE207" s="5"/>
      <c r="AF207" s="5"/>
      <c r="AG207" s="5"/>
      <c r="AH207" s="5"/>
      <c r="AI207" s="5"/>
      <c r="AJ207" s="5"/>
      <c r="AK207" s="25"/>
      <c r="AL207" s="5">
        <v>478</v>
      </c>
      <c r="AM207" s="8">
        <v>1</v>
      </c>
      <c r="AR207" s="67">
        <f t="shared" si="3"/>
        <v>0</v>
      </c>
    </row>
    <row r="208" spans="1:44">
      <c r="A208" s="8">
        <v>480</v>
      </c>
      <c r="B208" s="8" t="s">
        <v>55</v>
      </c>
      <c r="C208" s="8" t="s">
        <v>346</v>
      </c>
      <c r="D208" s="8"/>
      <c r="E208" s="8">
        <v>480</v>
      </c>
      <c r="F208" s="24"/>
      <c r="G208" s="5"/>
      <c r="H208" s="5"/>
      <c r="I208" s="5"/>
      <c r="J208" s="5"/>
      <c r="K208" s="5"/>
      <c r="L208" s="5"/>
      <c r="M208" s="25"/>
      <c r="N208" s="24"/>
      <c r="O208" s="5"/>
      <c r="P208" s="5"/>
      <c r="Q208" s="5"/>
      <c r="R208" s="5"/>
      <c r="S208" s="5"/>
      <c r="T208" s="5"/>
      <c r="U208" s="25"/>
      <c r="V208" s="5"/>
      <c r="W208" s="5"/>
      <c r="X208" s="5"/>
      <c r="Y208" s="5"/>
      <c r="Z208" s="5"/>
      <c r="AA208" s="5"/>
      <c r="AB208" s="5"/>
      <c r="AC208" s="5"/>
      <c r="AD208" s="24"/>
      <c r="AE208" s="5"/>
      <c r="AF208" s="5"/>
      <c r="AG208" s="5"/>
      <c r="AH208" s="5"/>
      <c r="AI208" s="5"/>
      <c r="AJ208" s="5"/>
      <c r="AK208" s="25"/>
      <c r="AL208" s="5">
        <v>480</v>
      </c>
      <c r="AM208" s="8">
        <v>1</v>
      </c>
      <c r="AR208" s="67">
        <f t="shared" si="3"/>
        <v>0</v>
      </c>
    </row>
    <row r="209" spans="1:44">
      <c r="A209" s="8" t="s">
        <v>287</v>
      </c>
      <c r="B209" s="8" t="s">
        <v>41</v>
      </c>
      <c r="C209" s="8" t="s">
        <v>42</v>
      </c>
      <c r="D209" s="8" t="s">
        <v>6</v>
      </c>
      <c r="E209" s="8" t="s">
        <v>287</v>
      </c>
      <c r="F209" s="24"/>
      <c r="G209" s="5"/>
      <c r="H209" s="5"/>
      <c r="I209" s="5"/>
      <c r="J209" s="5"/>
      <c r="K209" s="5"/>
      <c r="L209" s="5"/>
      <c r="M209" s="25"/>
      <c r="N209" s="24"/>
      <c r="O209" s="5"/>
      <c r="P209" s="5"/>
      <c r="Q209" s="5"/>
      <c r="R209" s="5"/>
      <c r="S209" s="5"/>
      <c r="T209" s="5"/>
      <c r="U209" s="25"/>
      <c r="V209" s="5"/>
      <c r="W209" s="5"/>
      <c r="X209" s="5"/>
      <c r="Y209" s="5"/>
      <c r="Z209" s="5"/>
      <c r="AA209" s="5"/>
      <c r="AB209" s="5">
        <v>1</v>
      </c>
      <c r="AC209" s="5">
        <v>1</v>
      </c>
      <c r="AD209" s="24">
        <v>1</v>
      </c>
      <c r="AE209" s="5">
        <v>1</v>
      </c>
      <c r="AF209" s="5"/>
      <c r="AG209" s="5"/>
      <c r="AH209" s="5"/>
      <c r="AI209" s="5"/>
      <c r="AJ209" s="5"/>
      <c r="AK209" s="25"/>
      <c r="AL209" s="5" t="s">
        <v>287</v>
      </c>
      <c r="AM209" s="8"/>
      <c r="AN209">
        <v>1</v>
      </c>
      <c r="AR209" s="67">
        <f t="shared" si="3"/>
        <v>4</v>
      </c>
    </row>
    <row r="210" spans="1:44">
      <c r="A210" s="8" t="s">
        <v>290</v>
      </c>
      <c r="B210" s="8" t="s">
        <v>5</v>
      </c>
      <c r="C210" s="8" t="s">
        <v>42</v>
      </c>
      <c r="D210" s="8" t="s">
        <v>42</v>
      </c>
      <c r="E210" s="8" t="s">
        <v>290</v>
      </c>
      <c r="F210" s="24"/>
      <c r="G210" s="5"/>
      <c r="H210" s="5"/>
      <c r="I210" s="5"/>
      <c r="J210" s="5"/>
      <c r="K210" s="5"/>
      <c r="L210" s="5"/>
      <c r="M210" s="25"/>
      <c r="N210" s="24"/>
      <c r="O210" s="5"/>
      <c r="P210" s="5"/>
      <c r="Q210" s="5"/>
      <c r="R210" s="5"/>
      <c r="S210" s="5"/>
      <c r="T210" s="5"/>
      <c r="U210" s="25"/>
      <c r="V210" s="5"/>
      <c r="W210" s="5"/>
      <c r="X210" s="5"/>
      <c r="Y210" s="5"/>
      <c r="Z210" s="5"/>
      <c r="AA210" s="5"/>
      <c r="AB210" s="5"/>
      <c r="AC210" s="5"/>
      <c r="AD210" s="24"/>
      <c r="AE210" s="5"/>
      <c r="AF210" s="5"/>
      <c r="AG210" s="5"/>
      <c r="AH210" s="5"/>
      <c r="AI210" s="5"/>
      <c r="AJ210" s="5"/>
      <c r="AK210" s="25"/>
      <c r="AL210" s="5" t="s">
        <v>290</v>
      </c>
      <c r="AM210" s="8">
        <v>1</v>
      </c>
      <c r="AR210" s="67">
        <f t="shared" si="3"/>
        <v>0</v>
      </c>
    </row>
    <row r="211" spans="1:44">
      <c r="A211" s="8">
        <v>489</v>
      </c>
      <c r="B211" s="8" t="s">
        <v>99</v>
      </c>
      <c r="C211" s="8" t="s">
        <v>346</v>
      </c>
      <c r="D211" s="8"/>
      <c r="E211" s="8">
        <v>489</v>
      </c>
      <c r="F211" s="24"/>
      <c r="G211" s="5"/>
      <c r="H211" s="5"/>
      <c r="I211" s="5"/>
      <c r="J211" s="5"/>
      <c r="K211" s="5"/>
      <c r="L211" s="5"/>
      <c r="M211" s="25"/>
      <c r="N211" s="24"/>
      <c r="O211" s="5"/>
      <c r="P211" s="5"/>
      <c r="Q211" s="5"/>
      <c r="R211" s="5"/>
      <c r="S211" s="5"/>
      <c r="T211" s="5"/>
      <c r="U211" s="25"/>
      <c r="V211" s="5"/>
      <c r="W211" s="5"/>
      <c r="X211" s="5"/>
      <c r="Y211" s="5"/>
      <c r="Z211" s="5"/>
      <c r="AA211" s="5"/>
      <c r="AB211" s="5"/>
      <c r="AC211" s="5"/>
      <c r="AD211" s="24"/>
      <c r="AE211" s="5"/>
      <c r="AF211" s="5"/>
      <c r="AG211" s="5"/>
      <c r="AH211" s="5"/>
      <c r="AI211" s="5"/>
      <c r="AJ211" s="5"/>
      <c r="AK211" s="25"/>
      <c r="AL211" s="5">
        <v>489</v>
      </c>
      <c r="AM211" s="8"/>
      <c r="AO211">
        <v>1</v>
      </c>
      <c r="AR211" s="67">
        <f t="shared" si="3"/>
        <v>0</v>
      </c>
    </row>
    <row r="212" spans="1:44">
      <c r="A212" s="8">
        <v>490</v>
      </c>
      <c r="B212" s="8" t="s">
        <v>74</v>
      </c>
      <c r="C212" s="8" t="s">
        <v>346</v>
      </c>
      <c r="D212" s="8"/>
      <c r="E212" s="8">
        <v>490</v>
      </c>
      <c r="F212" s="24"/>
      <c r="G212" s="5"/>
      <c r="H212" s="5"/>
      <c r="I212" s="5"/>
      <c r="J212" s="5"/>
      <c r="K212" s="5"/>
      <c r="L212" s="5"/>
      <c r="M212" s="25"/>
      <c r="N212" s="24"/>
      <c r="O212" s="5"/>
      <c r="P212" s="5"/>
      <c r="Q212" s="5"/>
      <c r="R212" s="5"/>
      <c r="S212" s="5"/>
      <c r="T212" s="5"/>
      <c r="U212" s="25"/>
      <c r="V212" s="5"/>
      <c r="W212" s="5"/>
      <c r="X212" s="5"/>
      <c r="Y212" s="5"/>
      <c r="Z212" s="5"/>
      <c r="AA212" s="5"/>
      <c r="AB212" s="5"/>
      <c r="AC212" s="5"/>
      <c r="AD212" s="24"/>
      <c r="AE212" s="5"/>
      <c r="AF212" s="5"/>
      <c r="AG212" s="5"/>
      <c r="AH212" s="5"/>
      <c r="AI212" s="5"/>
      <c r="AJ212" s="5"/>
      <c r="AK212" s="25"/>
      <c r="AL212" s="5">
        <v>490</v>
      </c>
      <c r="AM212" s="8">
        <v>1</v>
      </c>
      <c r="AR212" s="67">
        <f t="shared" si="3"/>
        <v>0</v>
      </c>
    </row>
    <row r="213" spans="1:44">
      <c r="A213" s="8">
        <v>492</v>
      </c>
      <c r="B213" s="8" t="s">
        <v>63</v>
      </c>
      <c r="C213" s="8" t="s">
        <v>346</v>
      </c>
      <c r="D213" s="8"/>
      <c r="E213" s="8">
        <v>492</v>
      </c>
      <c r="F213" s="24"/>
      <c r="G213" s="5"/>
      <c r="H213" s="5"/>
      <c r="I213" s="5"/>
      <c r="J213" s="5"/>
      <c r="K213" s="5"/>
      <c r="L213" s="5"/>
      <c r="M213" s="25"/>
      <c r="N213" s="24"/>
      <c r="O213" s="5"/>
      <c r="P213" s="5"/>
      <c r="Q213" s="5"/>
      <c r="R213" s="5"/>
      <c r="S213" s="5"/>
      <c r="T213" s="5"/>
      <c r="U213" s="25"/>
      <c r="V213" s="5"/>
      <c r="W213" s="5"/>
      <c r="X213" s="5"/>
      <c r="Y213" s="5"/>
      <c r="Z213" s="5"/>
      <c r="AA213" s="5"/>
      <c r="AB213" s="5"/>
      <c r="AC213" s="5"/>
      <c r="AD213" s="24"/>
      <c r="AE213" s="5"/>
      <c r="AF213" s="5"/>
      <c r="AG213" s="5"/>
      <c r="AH213" s="5"/>
      <c r="AI213" s="5"/>
      <c r="AJ213" s="5"/>
      <c r="AK213" s="25"/>
      <c r="AL213" s="5">
        <v>492</v>
      </c>
      <c r="AM213" s="8">
        <v>1</v>
      </c>
      <c r="AR213" s="67">
        <f t="shared" si="3"/>
        <v>0</v>
      </c>
    </row>
    <row r="214" spans="1:44">
      <c r="A214" s="8">
        <v>495</v>
      </c>
      <c r="B214" s="8" t="s">
        <v>63</v>
      </c>
      <c r="C214" s="8" t="s">
        <v>346</v>
      </c>
      <c r="D214" s="8"/>
      <c r="E214" s="8">
        <v>495</v>
      </c>
      <c r="F214" s="24"/>
      <c r="G214" s="5"/>
      <c r="H214" s="5"/>
      <c r="I214" s="5"/>
      <c r="J214" s="5"/>
      <c r="K214" s="5"/>
      <c r="L214" s="5"/>
      <c r="M214" s="25"/>
      <c r="N214" s="24"/>
      <c r="O214" s="5"/>
      <c r="P214" s="5"/>
      <c r="Q214" s="5"/>
      <c r="R214" s="5"/>
      <c r="S214" s="5"/>
      <c r="T214" s="5"/>
      <c r="U214" s="25"/>
      <c r="V214" s="5"/>
      <c r="W214" s="5"/>
      <c r="X214" s="5"/>
      <c r="Y214" s="5"/>
      <c r="Z214" s="5"/>
      <c r="AA214" s="5"/>
      <c r="AB214" s="5"/>
      <c r="AC214" s="5"/>
      <c r="AD214" s="24"/>
      <c r="AE214" s="5"/>
      <c r="AF214" s="5"/>
      <c r="AG214" s="5"/>
      <c r="AH214" s="5"/>
      <c r="AI214" s="5"/>
      <c r="AJ214" s="5"/>
      <c r="AK214" s="25"/>
      <c r="AL214" s="5">
        <v>495</v>
      </c>
      <c r="AM214" s="8">
        <v>1</v>
      </c>
      <c r="AR214" s="67">
        <f t="shared" si="3"/>
        <v>0</v>
      </c>
    </row>
    <row r="215" spans="1:44">
      <c r="A215" s="8">
        <v>498</v>
      </c>
      <c r="B215" s="8" t="s">
        <v>62</v>
      </c>
      <c r="C215" s="8" t="s">
        <v>42</v>
      </c>
      <c r="D215" s="8" t="s">
        <v>42</v>
      </c>
      <c r="E215" s="8">
        <v>498</v>
      </c>
      <c r="F215" s="24"/>
      <c r="G215" s="5"/>
      <c r="H215" s="5"/>
      <c r="I215" s="5"/>
      <c r="J215" s="5"/>
      <c r="K215" s="5">
        <v>1</v>
      </c>
      <c r="L215" s="5"/>
      <c r="M215" s="25"/>
      <c r="N215" s="24"/>
      <c r="O215" s="5"/>
      <c r="P215" s="5"/>
      <c r="Q215" s="5"/>
      <c r="R215" s="5"/>
      <c r="S215" s="5"/>
      <c r="T215" s="5"/>
      <c r="U215" s="25"/>
      <c r="V215" s="5"/>
      <c r="W215" s="5"/>
      <c r="X215" s="5"/>
      <c r="Y215" s="5"/>
      <c r="Z215" s="5"/>
      <c r="AA215" s="5">
        <v>1</v>
      </c>
      <c r="AB215" s="5"/>
      <c r="AC215" s="5"/>
      <c r="AD215" s="24"/>
      <c r="AE215" s="5"/>
      <c r="AF215" s="5">
        <v>1</v>
      </c>
      <c r="AG215" s="5"/>
      <c r="AH215" s="5"/>
      <c r="AI215" s="5"/>
      <c r="AJ215" s="5"/>
      <c r="AK215" s="25"/>
      <c r="AL215" s="5">
        <v>498</v>
      </c>
      <c r="AM215" s="8"/>
      <c r="AN215">
        <v>1</v>
      </c>
      <c r="AR215" s="67">
        <f t="shared" si="3"/>
        <v>3</v>
      </c>
    </row>
    <row r="216" spans="1:44">
      <c r="A216" s="8">
        <v>499</v>
      </c>
      <c r="B216" s="8" t="s">
        <v>123</v>
      </c>
      <c r="C216" s="8" t="s">
        <v>366</v>
      </c>
      <c r="D216" s="8" t="s">
        <v>6</v>
      </c>
      <c r="E216" s="8">
        <v>499</v>
      </c>
      <c r="F216" s="24"/>
      <c r="G216" s="5"/>
      <c r="H216" s="5"/>
      <c r="I216" s="5"/>
      <c r="J216" s="5"/>
      <c r="K216" s="5">
        <v>1</v>
      </c>
      <c r="L216" s="5"/>
      <c r="M216" s="25">
        <v>1</v>
      </c>
      <c r="N216" s="24"/>
      <c r="O216" s="5"/>
      <c r="P216" s="5"/>
      <c r="Q216" s="5"/>
      <c r="R216" s="5"/>
      <c r="S216" s="5"/>
      <c r="T216" s="5"/>
      <c r="U216" s="25"/>
      <c r="V216" s="5"/>
      <c r="W216" s="5"/>
      <c r="X216" s="5"/>
      <c r="Y216" s="5"/>
      <c r="Z216" s="5"/>
      <c r="AA216" s="5">
        <v>1</v>
      </c>
      <c r="AB216" s="5">
        <v>1</v>
      </c>
      <c r="AC216" s="5"/>
      <c r="AD216" s="24"/>
      <c r="AE216" s="5"/>
      <c r="AF216" s="5"/>
      <c r="AG216" s="5"/>
      <c r="AH216" s="5"/>
      <c r="AI216" s="5"/>
      <c r="AJ216" s="5"/>
      <c r="AK216" s="25"/>
      <c r="AL216" s="5">
        <v>499</v>
      </c>
      <c r="AM216" s="8"/>
      <c r="AN216">
        <v>1</v>
      </c>
      <c r="AR216" s="67">
        <f t="shared" si="3"/>
        <v>4</v>
      </c>
    </row>
    <row r="217" spans="1:44">
      <c r="A217" s="8">
        <v>503</v>
      </c>
      <c r="B217" s="8" t="s">
        <v>80</v>
      </c>
      <c r="C217" s="8" t="s">
        <v>346</v>
      </c>
      <c r="D217" s="8"/>
      <c r="E217" s="8">
        <v>503</v>
      </c>
      <c r="F217" s="24"/>
      <c r="G217" s="5"/>
      <c r="H217" s="5"/>
      <c r="I217" s="5"/>
      <c r="J217" s="5"/>
      <c r="K217" s="5"/>
      <c r="L217" s="5"/>
      <c r="M217" s="25"/>
      <c r="N217" s="24"/>
      <c r="O217" s="5"/>
      <c r="P217" s="5"/>
      <c r="Q217" s="5"/>
      <c r="R217" s="5"/>
      <c r="S217" s="5"/>
      <c r="T217" s="5"/>
      <c r="U217" s="25"/>
      <c r="V217" s="5"/>
      <c r="W217" s="5"/>
      <c r="X217" s="5"/>
      <c r="Y217" s="5"/>
      <c r="Z217" s="5"/>
      <c r="AA217" s="5"/>
      <c r="AB217" s="5"/>
      <c r="AC217" s="5"/>
      <c r="AD217" s="24"/>
      <c r="AE217" s="5"/>
      <c r="AF217" s="5"/>
      <c r="AG217" s="5"/>
      <c r="AH217" s="5"/>
      <c r="AI217" s="5"/>
      <c r="AJ217" s="5"/>
      <c r="AK217" s="25"/>
      <c r="AL217" s="5">
        <v>503</v>
      </c>
      <c r="AM217" s="8"/>
      <c r="AO217">
        <v>1</v>
      </c>
      <c r="AR217" s="67">
        <f t="shared" si="3"/>
        <v>0</v>
      </c>
    </row>
    <row r="218" spans="1:44">
      <c r="A218" s="8">
        <v>505</v>
      </c>
      <c r="B218" s="8" t="s">
        <v>73</v>
      </c>
      <c r="C218" s="8" t="s">
        <v>165</v>
      </c>
      <c r="D218" s="8" t="s">
        <v>42</v>
      </c>
      <c r="E218" s="8">
        <v>505</v>
      </c>
      <c r="F218" s="24"/>
      <c r="G218" s="5"/>
      <c r="H218" s="5"/>
      <c r="I218" s="5"/>
      <c r="J218" s="5"/>
      <c r="K218" s="5"/>
      <c r="L218" s="5"/>
      <c r="M218" s="25">
        <v>1</v>
      </c>
      <c r="N218" s="24"/>
      <c r="O218" s="5"/>
      <c r="P218" s="5"/>
      <c r="Q218" s="5"/>
      <c r="R218" s="5"/>
      <c r="S218" s="5"/>
      <c r="T218" s="5"/>
      <c r="U218" s="25"/>
      <c r="V218" s="5"/>
      <c r="W218" s="5"/>
      <c r="X218" s="5"/>
      <c r="Y218" s="5"/>
      <c r="Z218" s="5"/>
      <c r="AA218" s="5"/>
      <c r="AB218" s="5"/>
      <c r="AC218" s="5"/>
      <c r="AD218" s="24"/>
      <c r="AE218" s="5"/>
      <c r="AF218" s="5"/>
      <c r="AG218" s="5"/>
      <c r="AH218" s="5"/>
      <c r="AI218" s="5"/>
      <c r="AJ218" s="5"/>
      <c r="AK218" s="25"/>
      <c r="AL218" s="5">
        <v>505</v>
      </c>
      <c r="AM218" s="8"/>
      <c r="AN218">
        <v>1</v>
      </c>
      <c r="AR218" s="67">
        <f t="shared" si="3"/>
        <v>1</v>
      </c>
    </row>
    <row r="219" spans="1:44">
      <c r="A219" s="8">
        <v>506</v>
      </c>
      <c r="B219" s="8" t="s">
        <v>240</v>
      </c>
      <c r="C219" s="8" t="s">
        <v>42</v>
      </c>
      <c r="D219" s="8" t="s">
        <v>6</v>
      </c>
      <c r="E219" s="8">
        <v>506</v>
      </c>
      <c r="F219" s="24"/>
      <c r="G219" s="5"/>
      <c r="H219" s="5"/>
      <c r="I219" s="5"/>
      <c r="J219" s="5"/>
      <c r="K219" s="5"/>
      <c r="L219" s="5"/>
      <c r="M219" s="25"/>
      <c r="N219" s="24"/>
      <c r="O219" s="5"/>
      <c r="P219" s="5"/>
      <c r="Q219" s="5"/>
      <c r="R219" s="5"/>
      <c r="S219" s="5"/>
      <c r="T219" s="5"/>
      <c r="U219" s="25"/>
      <c r="V219" s="5"/>
      <c r="W219" s="5"/>
      <c r="X219" s="5"/>
      <c r="Y219" s="5"/>
      <c r="Z219" s="5"/>
      <c r="AA219" s="5"/>
      <c r="AB219" s="5"/>
      <c r="AC219" s="5"/>
      <c r="AD219" s="24"/>
      <c r="AE219" s="5"/>
      <c r="AF219" s="5"/>
      <c r="AG219" s="5"/>
      <c r="AH219" s="5"/>
      <c r="AI219" s="5"/>
      <c r="AJ219" s="5"/>
      <c r="AK219" s="25"/>
      <c r="AL219" s="5">
        <v>506</v>
      </c>
      <c r="AM219" s="8">
        <v>1</v>
      </c>
      <c r="AR219" s="67">
        <f t="shared" si="3"/>
        <v>0</v>
      </c>
    </row>
    <row r="220" spans="1:44">
      <c r="A220" s="8">
        <v>507</v>
      </c>
      <c r="B220" s="8" t="s">
        <v>63</v>
      </c>
      <c r="C220" s="8" t="s">
        <v>346</v>
      </c>
      <c r="D220" s="8"/>
      <c r="E220" s="8">
        <v>507</v>
      </c>
      <c r="F220" s="24"/>
      <c r="G220" s="5"/>
      <c r="H220" s="5"/>
      <c r="I220" s="5"/>
      <c r="J220" s="5"/>
      <c r="K220" s="5"/>
      <c r="L220" s="5"/>
      <c r="M220" s="25"/>
      <c r="N220" s="24"/>
      <c r="O220" s="5"/>
      <c r="P220" s="5"/>
      <c r="Q220" s="5"/>
      <c r="R220" s="5"/>
      <c r="S220" s="5"/>
      <c r="T220" s="5"/>
      <c r="U220" s="25"/>
      <c r="V220" s="5"/>
      <c r="W220" s="5"/>
      <c r="X220" s="5"/>
      <c r="Y220" s="5"/>
      <c r="Z220" s="5"/>
      <c r="AA220" s="5"/>
      <c r="AB220" s="5"/>
      <c r="AC220" s="5"/>
      <c r="AD220" s="24"/>
      <c r="AE220" s="5"/>
      <c r="AF220" s="5"/>
      <c r="AG220" s="5"/>
      <c r="AH220" s="5"/>
      <c r="AI220" s="5"/>
      <c r="AJ220" s="5"/>
      <c r="AK220" s="25"/>
      <c r="AL220" s="5">
        <v>507</v>
      </c>
      <c r="AM220" s="8">
        <v>1</v>
      </c>
      <c r="AR220" s="67">
        <f t="shared" si="3"/>
        <v>0</v>
      </c>
    </row>
    <row r="221" spans="1:44">
      <c r="A221" s="8">
        <v>508</v>
      </c>
      <c r="B221" s="8" t="s">
        <v>88</v>
      </c>
      <c r="C221" s="8" t="s">
        <v>12</v>
      </c>
      <c r="D221" s="8" t="s">
        <v>42</v>
      </c>
      <c r="E221" s="8">
        <v>508</v>
      </c>
      <c r="F221" s="24"/>
      <c r="G221" s="5"/>
      <c r="H221" s="5"/>
      <c r="I221" s="5"/>
      <c r="J221" s="5"/>
      <c r="K221" s="5"/>
      <c r="L221" s="5"/>
      <c r="M221" s="25"/>
      <c r="N221" s="24"/>
      <c r="O221" s="5"/>
      <c r="P221" s="5"/>
      <c r="Q221" s="5"/>
      <c r="R221" s="5"/>
      <c r="S221" s="5"/>
      <c r="T221" s="5"/>
      <c r="U221" s="25"/>
      <c r="V221" s="5"/>
      <c r="W221" s="5"/>
      <c r="X221" s="5"/>
      <c r="Y221" s="5"/>
      <c r="Z221" s="5"/>
      <c r="AA221" s="5"/>
      <c r="AB221" s="5"/>
      <c r="AC221" s="5"/>
      <c r="AD221" s="24"/>
      <c r="AE221" s="5"/>
      <c r="AF221" s="5"/>
      <c r="AG221" s="5"/>
      <c r="AH221" s="5"/>
      <c r="AI221" s="5"/>
      <c r="AJ221" s="5"/>
      <c r="AK221" s="25"/>
      <c r="AL221" s="5">
        <v>508</v>
      </c>
      <c r="AM221" s="8">
        <v>1</v>
      </c>
      <c r="AR221" s="67">
        <f t="shared" si="3"/>
        <v>0</v>
      </c>
    </row>
    <row r="222" spans="1:44">
      <c r="A222" s="8">
        <v>513</v>
      </c>
      <c r="B222" s="8" t="s">
        <v>73</v>
      </c>
      <c r="C222" s="8" t="s">
        <v>165</v>
      </c>
      <c r="D222" s="8" t="s">
        <v>6</v>
      </c>
      <c r="E222" s="8">
        <v>513</v>
      </c>
      <c r="F222" s="24"/>
      <c r="G222" s="5"/>
      <c r="H222" s="5"/>
      <c r="I222" s="5"/>
      <c r="J222" s="5"/>
      <c r="K222" s="5">
        <v>1</v>
      </c>
      <c r="L222" s="5">
        <v>1</v>
      </c>
      <c r="M222" s="25">
        <v>1</v>
      </c>
      <c r="N222" s="24">
        <v>1</v>
      </c>
      <c r="O222" s="5">
        <v>1</v>
      </c>
      <c r="P222" s="5">
        <v>1</v>
      </c>
      <c r="Q222" s="5"/>
      <c r="R222" s="5"/>
      <c r="S222" s="5"/>
      <c r="T222" s="5"/>
      <c r="U222" s="25"/>
      <c r="V222" s="5"/>
      <c r="W222" s="5"/>
      <c r="X222" s="5"/>
      <c r="Y222" s="5"/>
      <c r="Z222" s="5"/>
      <c r="AA222" s="5">
        <v>1</v>
      </c>
      <c r="AB222" s="5">
        <v>1</v>
      </c>
      <c r="AC222" s="5">
        <v>1</v>
      </c>
      <c r="AD222" s="24">
        <v>1</v>
      </c>
      <c r="AE222" s="5">
        <v>1</v>
      </c>
      <c r="AF222" s="5">
        <v>1</v>
      </c>
      <c r="AG222" s="5"/>
      <c r="AH222" s="5"/>
      <c r="AI222" s="5"/>
      <c r="AJ222" s="5"/>
      <c r="AK222" s="25"/>
      <c r="AL222" s="5">
        <v>513</v>
      </c>
      <c r="AM222" s="8"/>
      <c r="AN222">
        <v>1</v>
      </c>
      <c r="AR222" s="67">
        <f t="shared" si="3"/>
        <v>12</v>
      </c>
    </row>
    <row r="223" spans="1:44">
      <c r="A223" s="8">
        <v>514</v>
      </c>
      <c r="B223" s="8" t="s">
        <v>99</v>
      </c>
      <c r="C223" s="8" t="s">
        <v>346</v>
      </c>
      <c r="D223" s="8"/>
      <c r="E223" s="8">
        <v>514</v>
      </c>
      <c r="F223" s="24"/>
      <c r="G223" s="5"/>
      <c r="H223" s="5"/>
      <c r="I223" s="5"/>
      <c r="J223" s="5"/>
      <c r="K223" s="5"/>
      <c r="L223" s="5"/>
      <c r="M223" s="25"/>
      <c r="N223" s="24"/>
      <c r="O223" s="5"/>
      <c r="P223" s="5"/>
      <c r="Q223" s="5"/>
      <c r="R223" s="5"/>
      <c r="S223" s="5"/>
      <c r="T223" s="5"/>
      <c r="U223" s="25"/>
      <c r="V223" s="5"/>
      <c r="W223" s="5"/>
      <c r="X223" s="5"/>
      <c r="Y223" s="5"/>
      <c r="Z223" s="5"/>
      <c r="AA223" s="5"/>
      <c r="AB223" s="5"/>
      <c r="AC223" s="5"/>
      <c r="AD223" s="24"/>
      <c r="AE223" s="5"/>
      <c r="AF223" s="5"/>
      <c r="AG223" s="5"/>
      <c r="AH223" s="5"/>
      <c r="AI223" s="5"/>
      <c r="AJ223" s="5"/>
      <c r="AK223" s="25"/>
      <c r="AL223" s="5">
        <v>514</v>
      </c>
      <c r="AM223" s="8"/>
      <c r="AO223">
        <v>1</v>
      </c>
      <c r="AR223" s="67">
        <f t="shared" si="3"/>
        <v>0</v>
      </c>
    </row>
    <row r="224" spans="1:44">
      <c r="A224" s="8">
        <v>516</v>
      </c>
      <c r="B224" s="8" t="s">
        <v>99</v>
      </c>
      <c r="C224" s="8" t="s">
        <v>346</v>
      </c>
      <c r="D224" s="8"/>
      <c r="E224" s="8">
        <v>516</v>
      </c>
      <c r="F224" s="24"/>
      <c r="G224" s="5"/>
      <c r="H224" s="5"/>
      <c r="I224" s="5"/>
      <c r="J224" s="5"/>
      <c r="K224" s="5"/>
      <c r="L224" s="5"/>
      <c r="M224" s="25"/>
      <c r="N224" s="24"/>
      <c r="O224" s="5"/>
      <c r="P224" s="5"/>
      <c r="Q224" s="5"/>
      <c r="R224" s="5"/>
      <c r="S224" s="5"/>
      <c r="T224" s="5"/>
      <c r="U224" s="25"/>
      <c r="V224" s="5"/>
      <c r="W224" s="5"/>
      <c r="X224" s="5"/>
      <c r="Y224" s="5"/>
      <c r="Z224" s="5"/>
      <c r="AA224" s="5"/>
      <c r="AB224" s="5"/>
      <c r="AC224" s="5"/>
      <c r="AD224" s="24"/>
      <c r="AE224" s="5"/>
      <c r="AF224" s="5"/>
      <c r="AG224" s="5"/>
      <c r="AH224" s="5"/>
      <c r="AI224" s="5"/>
      <c r="AJ224" s="5"/>
      <c r="AK224" s="25"/>
      <c r="AL224" s="5">
        <v>516</v>
      </c>
      <c r="AM224" s="8"/>
      <c r="AO224">
        <v>1</v>
      </c>
      <c r="AR224" s="67">
        <f t="shared" si="3"/>
        <v>0</v>
      </c>
    </row>
    <row r="225" spans="1:44">
      <c r="A225" s="8">
        <v>518</v>
      </c>
      <c r="B225" s="8" t="s">
        <v>99</v>
      </c>
      <c r="C225" s="8" t="s">
        <v>346</v>
      </c>
      <c r="D225" s="8"/>
      <c r="E225" s="8">
        <v>518</v>
      </c>
      <c r="F225" s="24"/>
      <c r="G225" s="5"/>
      <c r="H225" s="5"/>
      <c r="I225" s="5"/>
      <c r="J225" s="5"/>
      <c r="K225" s="5"/>
      <c r="L225" s="5"/>
      <c r="M225" s="25"/>
      <c r="N225" s="24"/>
      <c r="O225" s="5"/>
      <c r="P225" s="5"/>
      <c r="Q225" s="5"/>
      <c r="R225" s="5"/>
      <c r="S225" s="5"/>
      <c r="T225" s="5"/>
      <c r="U225" s="25"/>
      <c r="V225" s="5"/>
      <c r="W225" s="5"/>
      <c r="X225" s="5"/>
      <c r="Y225" s="5"/>
      <c r="Z225" s="5"/>
      <c r="AA225" s="5"/>
      <c r="AB225" s="5"/>
      <c r="AC225" s="5"/>
      <c r="AD225" s="24"/>
      <c r="AE225" s="5"/>
      <c r="AF225" s="5"/>
      <c r="AG225" s="5"/>
      <c r="AH225" s="5"/>
      <c r="AI225" s="5"/>
      <c r="AJ225" s="5"/>
      <c r="AK225" s="25"/>
      <c r="AL225" s="5">
        <v>518</v>
      </c>
      <c r="AM225" s="8">
        <v>1</v>
      </c>
      <c r="AR225" s="67">
        <f t="shared" si="3"/>
        <v>0</v>
      </c>
    </row>
    <row r="226" spans="1:44">
      <c r="A226" s="8">
        <v>519</v>
      </c>
      <c r="B226" s="8" t="s">
        <v>62</v>
      </c>
      <c r="C226" s="8" t="s">
        <v>42</v>
      </c>
      <c r="D226" s="8" t="s">
        <v>42</v>
      </c>
      <c r="E226" s="8">
        <v>519</v>
      </c>
      <c r="F226" s="24"/>
      <c r="G226" s="5"/>
      <c r="H226" s="5"/>
      <c r="I226" s="5"/>
      <c r="J226" s="5"/>
      <c r="K226" s="5"/>
      <c r="L226" s="5"/>
      <c r="M226" s="25"/>
      <c r="N226" s="24"/>
      <c r="O226" s="5"/>
      <c r="P226" s="5"/>
      <c r="Q226" s="5"/>
      <c r="R226" s="5"/>
      <c r="S226" s="5"/>
      <c r="T226" s="5"/>
      <c r="U226" s="25"/>
      <c r="V226" s="5"/>
      <c r="W226" s="5"/>
      <c r="X226" s="5"/>
      <c r="Y226" s="5"/>
      <c r="Z226" s="5"/>
      <c r="AA226" s="5"/>
      <c r="AB226" s="5"/>
      <c r="AC226" s="5"/>
      <c r="AD226" s="24"/>
      <c r="AE226" s="5"/>
      <c r="AF226" s="5"/>
      <c r="AG226" s="5"/>
      <c r="AH226" s="5"/>
      <c r="AI226" s="5"/>
      <c r="AJ226" s="5"/>
      <c r="AK226" s="25"/>
      <c r="AL226" s="5">
        <v>519</v>
      </c>
      <c r="AM226" s="8">
        <v>1</v>
      </c>
      <c r="AR226" s="67">
        <f t="shared" si="3"/>
        <v>0</v>
      </c>
    </row>
    <row r="227" spans="1:44">
      <c r="A227" s="8">
        <v>521</v>
      </c>
      <c r="B227" s="8" t="s">
        <v>41</v>
      </c>
      <c r="C227" s="8" t="s">
        <v>42</v>
      </c>
      <c r="D227" s="8" t="s">
        <v>42</v>
      </c>
      <c r="E227" s="8">
        <v>521</v>
      </c>
      <c r="F227" s="24"/>
      <c r="G227" s="5"/>
      <c r="H227" s="5"/>
      <c r="I227" s="5"/>
      <c r="J227" s="5"/>
      <c r="K227" s="5"/>
      <c r="L227" s="5"/>
      <c r="M227" s="25"/>
      <c r="N227" s="24"/>
      <c r="O227" s="5"/>
      <c r="P227" s="5"/>
      <c r="Q227" s="5"/>
      <c r="R227" s="5"/>
      <c r="S227" s="5"/>
      <c r="T227" s="5"/>
      <c r="U227" s="25"/>
      <c r="V227" s="5"/>
      <c r="W227" s="5"/>
      <c r="X227" s="5"/>
      <c r="Y227" s="5"/>
      <c r="Z227" s="5"/>
      <c r="AA227" s="5">
        <v>1</v>
      </c>
      <c r="AB227" s="5"/>
      <c r="AC227" s="5"/>
      <c r="AD227" s="24"/>
      <c r="AE227" s="5"/>
      <c r="AF227" s="5"/>
      <c r="AG227" s="5"/>
      <c r="AH227" s="5"/>
      <c r="AI227" s="5"/>
      <c r="AJ227" s="5"/>
      <c r="AK227" s="25"/>
      <c r="AL227" s="5">
        <v>521</v>
      </c>
      <c r="AM227" s="8"/>
      <c r="AN227">
        <v>1</v>
      </c>
      <c r="AR227" s="67">
        <f t="shared" si="3"/>
        <v>1</v>
      </c>
    </row>
    <row r="228" spans="1:44">
      <c r="A228" s="8">
        <v>522</v>
      </c>
      <c r="B228" s="8" t="s">
        <v>55</v>
      </c>
      <c r="C228" s="8" t="s">
        <v>346</v>
      </c>
      <c r="D228" s="8"/>
      <c r="E228" s="8">
        <v>522</v>
      </c>
      <c r="F228" s="24"/>
      <c r="G228" s="5"/>
      <c r="H228" s="5"/>
      <c r="I228" s="5"/>
      <c r="J228" s="5"/>
      <c r="K228" s="5"/>
      <c r="L228" s="5"/>
      <c r="M228" s="25"/>
      <c r="N228" s="24"/>
      <c r="O228" s="5"/>
      <c r="P228" s="5"/>
      <c r="Q228" s="5"/>
      <c r="R228" s="5"/>
      <c r="S228" s="5"/>
      <c r="T228" s="5"/>
      <c r="U228" s="25"/>
      <c r="V228" s="5"/>
      <c r="W228" s="5"/>
      <c r="X228" s="5"/>
      <c r="Y228" s="5"/>
      <c r="Z228" s="5"/>
      <c r="AA228" s="5"/>
      <c r="AB228" s="5"/>
      <c r="AC228" s="5"/>
      <c r="AD228" s="24"/>
      <c r="AE228" s="5"/>
      <c r="AF228" s="5"/>
      <c r="AG228" s="5"/>
      <c r="AH228" s="5"/>
      <c r="AI228" s="5"/>
      <c r="AJ228" s="5"/>
      <c r="AK228" s="25"/>
      <c r="AL228" s="5">
        <v>522</v>
      </c>
      <c r="AM228" s="8">
        <v>1</v>
      </c>
      <c r="AR228" s="67">
        <f t="shared" si="3"/>
        <v>0</v>
      </c>
    </row>
    <row r="229" spans="1:44">
      <c r="A229" s="8">
        <v>523</v>
      </c>
      <c r="B229" s="8" t="s">
        <v>55</v>
      </c>
      <c r="C229" s="8" t="s">
        <v>346</v>
      </c>
      <c r="D229" s="8"/>
      <c r="E229" s="8">
        <v>523</v>
      </c>
      <c r="F229" s="24"/>
      <c r="G229" s="5"/>
      <c r="H229" s="5"/>
      <c r="I229" s="5"/>
      <c r="J229" s="5"/>
      <c r="K229" s="5"/>
      <c r="L229" s="5"/>
      <c r="M229" s="25"/>
      <c r="N229" s="24"/>
      <c r="O229" s="5"/>
      <c r="P229" s="5"/>
      <c r="Q229" s="5"/>
      <c r="R229" s="5"/>
      <c r="S229" s="5"/>
      <c r="T229" s="5"/>
      <c r="U229" s="25"/>
      <c r="V229" s="5"/>
      <c r="W229" s="5"/>
      <c r="X229" s="5"/>
      <c r="Y229" s="5"/>
      <c r="Z229" s="5"/>
      <c r="AA229" s="5"/>
      <c r="AB229" s="5"/>
      <c r="AC229" s="5"/>
      <c r="AD229" s="24"/>
      <c r="AE229" s="5"/>
      <c r="AF229" s="5"/>
      <c r="AG229" s="5"/>
      <c r="AH229" s="5"/>
      <c r="AI229" s="5"/>
      <c r="AJ229" s="5"/>
      <c r="AK229" s="25"/>
      <c r="AL229" s="5">
        <v>523</v>
      </c>
      <c r="AM229" s="8">
        <v>1</v>
      </c>
      <c r="AR229" s="67">
        <f t="shared" si="3"/>
        <v>0</v>
      </c>
    </row>
    <row r="230" spans="1:44">
      <c r="A230" s="8">
        <v>524</v>
      </c>
      <c r="B230" s="8" t="s">
        <v>41</v>
      </c>
      <c r="C230" s="8" t="s">
        <v>42</v>
      </c>
      <c r="D230" s="8" t="s">
        <v>6</v>
      </c>
      <c r="E230" s="8">
        <v>524</v>
      </c>
      <c r="F230" s="24"/>
      <c r="G230" s="5"/>
      <c r="H230" s="5"/>
      <c r="I230" s="5"/>
      <c r="J230" s="5"/>
      <c r="K230" s="5"/>
      <c r="L230" s="5"/>
      <c r="M230" s="25"/>
      <c r="N230" s="24"/>
      <c r="O230" s="5"/>
      <c r="P230" s="5"/>
      <c r="Q230" s="5"/>
      <c r="R230" s="5"/>
      <c r="S230" s="5"/>
      <c r="T230" s="5"/>
      <c r="U230" s="25"/>
      <c r="V230" s="5"/>
      <c r="W230" s="5"/>
      <c r="X230" s="5"/>
      <c r="Y230" s="5"/>
      <c r="Z230" s="5"/>
      <c r="AA230" s="5"/>
      <c r="AB230" s="5"/>
      <c r="AC230" s="5"/>
      <c r="AD230" s="24"/>
      <c r="AE230" s="5"/>
      <c r="AF230" s="5"/>
      <c r="AG230" s="5"/>
      <c r="AH230" s="5"/>
      <c r="AI230" s="5"/>
      <c r="AJ230" s="5"/>
      <c r="AK230" s="25"/>
      <c r="AL230" s="5">
        <v>524</v>
      </c>
      <c r="AM230" s="8">
        <v>1</v>
      </c>
      <c r="AR230" s="67">
        <f t="shared" si="3"/>
        <v>0</v>
      </c>
    </row>
    <row r="231" spans="1:44">
      <c r="A231" s="8">
        <v>525</v>
      </c>
      <c r="B231" s="8" t="s">
        <v>93</v>
      </c>
      <c r="C231" s="8" t="s">
        <v>12</v>
      </c>
      <c r="D231" s="8" t="s">
        <v>6</v>
      </c>
      <c r="E231" s="8">
        <v>525</v>
      </c>
      <c r="F231" s="24"/>
      <c r="G231" s="5"/>
      <c r="H231" s="5"/>
      <c r="I231" s="5"/>
      <c r="J231" s="5"/>
      <c r="K231" s="5">
        <v>1</v>
      </c>
      <c r="L231" s="5">
        <v>1</v>
      </c>
      <c r="M231" s="25">
        <v>1</v>
      </c>
      <c r="N231" s="24">
        <v>1</v>
      </c>
      <c r="O231" s="5">
        <v>1</v>
      </c>
      <c r="P231" s="5">
        <v>1</v>
      </c>
      <c r="Q231" s="5"/>
      <c r="R231" s="5"/>
      <c r="S231" s="5"/>
      <c r="T231" s="5"/>
      <c r="U231" s="25"/>
      <c r="V231" s="5"/>
      <c r="W231" s="5"/>
      <c r="X231" s="5"/>
      <c r="Y231" s="5"/>
      <c r="Z231" s="5"/>
      <c r="AA231" s="5"/>
      <c r="AB231" s="5"/>
      <c r="AC231" s="5"/>
      <c r="AD231" s="24"/>
      <c r="AE231" s="5"/>
      <c r="AF231" s="5">
        <v>1</v>
      </c>
      <c r="AG231" s="5"/>
      <c r="AH231" s="5"/>
      <c r="AI231" s="5"/>
      <c r="AJ231" s="5"/>
      <c r="AK231" s="25"/>
      <c r="AL231" s="5">
        <v>525</v>
      </c>
      <c r="AM231" s="8"/>
      <c r="AN231">
        <v>1</v>
      </c>
      <c r="AR231" s="67">
        <f t="shared" si="3"/>
        <v>7</v>
      </c>
    </row>
    <row r="232" spans="1:44">
      <c r="A232" s="8">
        <v>526</v>
      </c>
      <c r="B232" s="8" t="s">
        <v>240</v>
      </c>
      <c r="C232" s="8" t="s">
        <v>42</v>
      </c>
      <c r="D232" s="8" t="s">
        <v>42</v>
      </c>
      <c r="E232" s="8">
        <v>526</v>
      </c>
      <c r="F232" s="24"/>
      <c r="G232" s="5"/>
      <c r="H232" s="5"/>
      <c r="I232" s="5"/>
      <c r="J232" s="5"/>
      <c r="K232" s="5"/>
      <c r="L232" s="5"/>
      <c r="M232" s="25"/>
      <c r="N232" s="24"/>
      <c r="O232" s="5"/>
      <c r="P232" s="5"/>
      <c r="Q232" s="5"/>
      <c r="R232" s="5"/>
      <c r="S232" s="5"/>
      <c r="T232" s="5"/>
      <c r="U232" s="25"/>
      <c r="V232" s="5"/>
      <c r="W232" s="5"/>
      <c r="X232" s="5"/>
      <c r="Y232" s="5"/>
      <c r="Z232" s="5"/>
      <c r="AA232" s="5"/>
      <c r="AB232" s="5"/>
      <c r="AC232" s="5"/>
      <c r="AD232" s="24"/>
      <c r="AE232" s="5"/>
      <c r="AF232" s="5"/>
      <c r="AG232" s="5"/>
      <c r="AH232" s="5"/>
      <c r="AI232" s="5"/>
      <c r="AJ232" s="5"/>
      <c r="AK232" s="25"/>
      <c r="AL232" s="5">
        <v>526</v>
      </c>
      <c r="AM232" s="8">
        <v>1</v>
      </c>
      <c r="AR232" s="67">
        <f t="shared" si="3"/>
        <v>0</v>
      </c>
    </row>
    <row r="233" spans="1:44">
      <c r="A233" s="8">
        <v>527</v>
      </c>
      <c r="B233" s="8" t="s">
        <v>65</v>
      </c>
      <c r="C233" s="8" t="s">
        <v>12</v>
      </c>
      <c r="D233" s="8" t="s">
        <v>6</v>
      </c>
      <c r="E233" s="8">
        <v>527</v>
      </c>
      <c r="F233" s="24"/>
      <c r="G233" s="5"/>
      <c r="H233" s="5"/>
      <c r="I233" s="5"/>
      <c r="J233" s="5"/>
      <c r="K233" s="5"/>
      <c r="L233" s="5">
        <v>1</v>
      </c>
      <c r="M233" s="25">
        <v>1</v>
      </c>
      <c r="N233" s="24">
        <v>1</v>
      </c>
      <c r="O233" s="5"/>
      <c r="P233" s="5"/>
      <c r="Q233" s="5"/>
      <c r="R233" s="5"/>
      <c r="S233" s="5"/>
      <c r="T233" s="5"/>
      <c r="U233" s="25"/>
      <c r="V233" s="5"/>
      <c r="W233" s="5"/>
      <c r="X233" s="5"/>
      <c r="Y233" s="5"/>
      <c r="Z233" s="5"/>
      <c r="AA233" s="5"/>
      <c r="AB233" s="5"/>
      <c r="AC233" s="5"/>
      <c r="AD233" s="24"/>
      <c r="AE233" s="5"/>
      <c r="AF233" s="5"/>
      <c r="AG233" s="5"/>
      <c r="AH233" s="5"/>
      <c r="AI233" s="5"/>
      <c r="AJ233" s="5"/>
      <c r="AK233" s="25"/>
      <c r="AL233" s="5">
        <v>527</v>
      </c>
      <c r="AM233" s="8"/>
      <c r="AN233">
        <v>1</v>
      </c>
      <c r="AR233" s="67">
        <f t="shared" si="3"/>
        <v>3</v>
      </c>
    </row>
    <row r="234" spans="1:44">
      <c r="A234" s="8">
        <v>528</v>
      </c>
      <c r="B234" s="8" t="s">
        <v>75</v>
      </c>
      <c r="C234" s="8" t="s">
        <v>12</v>
      </c>
      <c r="D234" s="8" t="s">
        <v>6</v>
      </c>
      <c r="E234" s="8">
        <v>528</v>
      </c>
      <c r="F234" s="24"/>
      <c r="G234" s="5"/>
      <c r="H234" s="5"/>
      <c r="I234" s="5"/>
      <c r="J234" s="5"/>
      <c r="K234" s="5"/>
      <c r="L234" s="5"/>
      <c r="M234" s="25"/>
      <c r="N234" s="24"/>
      <c r="O234" s="5"/>
      <c r="P234" s="5"/>
      <c r="Q234" s="5"/>
      <c r="R234" s="5"/>
      <c r="S234" s="5"/>
      <c r="T234" s="5"/>
      <c r="U234" s="25"/>
      <c r="V234" s="5"/>
      <c r="W234" s="5"/>
      <c r="X234" s="5"/>
      <c r="Y234" s="5"/>
      <c r="Z234" s="5"/>
      <c r="AA234" s="5"/>
      <c r="AB234" s="5"/>
      <c r="AC234" s="5"/>
      <c r="AD234" s="24"/>
      <c r="AE234" s="5"/>
      <c r="AF234" s="5"/>
      <c r="AG234" s="5"/>
      <c r="AH234" s="5"/>
      <c r="AI234" s="5"/>
      <c r="AJ234" s="5"/>
      <c r="AK234" s="25"/>
      <c r="AL234" s="5">
        <v>528</v>
      </c>
      <c r="AM234" s="8">
        <v>1</v>
      </c>
      <c r="AR234" s="67">
        <f t="shared" si="3"/>
        <v>0</v>
      </c>
    </row>
    <row r="235" spans="1:44">
      <c r="A235" s="8">
        <v>529</v>
      </c>
      <c r="B235" s="8" t="s">
        <v>62</v>
      </c>
      <c r="C235" s="8" t="s">
        <v>42</v>
      </c>
      <c r="D235" s="8" t="s">
        <v>42</v>
      </c>
      <c r="E235" s="8">
        <v>529</v>
      </c>
      <c r="F235" s="24"/>
      <c r="G235" s="5"/>
      <c r="H235" s="5"/>
      <c r="I235" s="5"/>
      <c r="J235" s="5"/>
      <c r="K235" s="5"/>
      <c r="L235" s="5"/>
      <c r="M235" s="25"/>
      <c r="N235" s="24">
        <v>1</v>
      </c>
      <c r="O235" s="5"/>
      <c r="P235" s="5"/>
      <c r="Q235" s="5"/>
      <c r="R235" s="5"/>
      <c r="S235" s="5"/>
      <c r="T235" s="5"/>
      <c r="U235" s="25"/>
      <c r="V235" s="5"/>
      <c r="W235" s="5"/>
      <c r="X235" s="5"/>
      <c r="Y235" s="5"/>
      <c r="Z235" s="5"/>
      <c r="AA235" s="5">
        <v>1</v>
      </c>
      <c r="AB235" s="5"/>
      <c r="AC235" s="5"/>
      <c r="AD235" s="24"/>
      <c r="AE235" s="5"/>
      <c r="AF235" s="5">
        <v>1</v>
      </c>
      <c r="AG235" s="5"/>
      <c r="AH235" s="5"/>
      <c r="AI235" s="5"/>
      <c r="AJ235" s="5"/>
      <c r="AK235" s="25"/>
      <c r="AL235" s="5">
        <v>529</v>
      </c>
      <c r="AM235" s="8"/>
      <c r="AN235">
        <v>1</v>
      </c>
      <c r="AR235" s="67">
        <f t="shared" si="3"/>
        <v>3</v>
      </c>
    </row>
    <row r="236" spans="1:44">
      <c r="A236" s="8">
        <v>530</v>
      </c>
      <c r="B236" s="8" t="s">
        <v>63</v>
      </c>
      <c r="C236" s="8" t="s">
        <v>346</v>
      </c>
      <c r="D236" s="8"/>
      <c r="E236" s="8">
        <v>530</v>
      </c>
      <c r="F236" s="24"/>
      <c r="G236" s="5"/>
      <c r="H236" s="5"/>
      <c r="I236" s="5"/>
      <c r="J236" s="5"/>
      <c r="K236" s="5"/>
      <c r="L236" s="5"/>
      <c r="M236" s="25"/>
      <c r="N236" s="24"/>
      <c r="O236" s="5"/>
      <c r="P236" s="5"/>
      <c r="Q236" s="5"/>
      <c r="R236" s="5"/>
      <c r="S236" s="5"/>
      <c r="T236" s="5"/>
      <c r="U236" s="25"/>
      <c r="V236" s="5"/>
      <c r="W236" s="5"/>
      <c r="X236" s="5"/>
      <c r="Y236" s="5"/>
      <c r="Z236" s="5"/>
      <c r="AA236" s="5"/>
      <c r="AB236" s="5"/>
      <c r="AC236" s="5"/>
      <c r="AD236" s="24"/>
      <c r="AE236" s="5"/>
      <c r="AF236" s="5"/>
      <c r="AG236" s="5"/>
      <c r="AH236" s="5"/>
      <c r="AI236" s="5"/>
      <c r="AJ236" s="5"/>
      <c r="AK236" s="25"/>
      <c r="AL236" s="5">
        <v>530</v>
      </c>
      <c r="AM236" s="8">
        <v>1</v>
      </c>
      <c r="AR236" s="67">
        <f t="shared" si="3"/>
        <v>0</v>
      </c>
    </row>
    <row r="237" spans="1:44">
      <c r="A237" s="8">
        <v>531</v>
      </c>
      <c r="B237" s="8" t="s">
        <v>54</v>
      </c>
      <c r="C237" s="8" t="s">
        <v>345</v>
      </c>
      <c r="D237" s="8"/>
      <c r="E237" s="8">
        <v>531</v>
      </c>
      <c r="F237" s="24"/>
      <c r="G237" s="5"/>
      <c r="H237" s="5"/>
      <c r="I237" s="5"/>
      <c r="J237" s="5"/>
      <c r="K237" s="5"/>
      <c r="L237" s="5"/>
      <c r="M237" s="25"/>
      <c r="N237" s="24"/>
      <c r="O237" s="5"/>
      <c r="P237" s="5"/>
      <c r="Q237" s="5"/>
      <c r="R237" s="5"/>
      <c r="S237" s="5"/>
      <c r="T237" s="5"/>
      <c r="U237" s="25"/>
      <c r="V237" s="5"/>
      <c r="W237" s="5"/>
      <c r="X237" s="5"/>
      <c r="Y237" s="5"/>
      <c r="Z237" s="5"/>
      <c r="AA237" s="5"/>
      <c r="AB237" s="5"/>
      <c r="AC237" s="5"/>
      <c r="AD237" s="24"/>
      <c r="AE237" s="5"/>
      <c r="AF237" s="5"/>
      <c r="AG237" s="5"/>
      <c r="AH237" s="5"/>
      <c r="AI237" s="5"/>
      <c r="AJ237" s="5"/>
      <c r="AK237" s="25"/>
      <c r="AL237" s="5">
        <v>531</v>
      </c>
      <c r="AM237" s="8">
        <v>1</v>
      </c>
      <c r="AR237" s="67">
        <f t="shared" si="3"/>
        <v>0</v>
      </c>
    </row>
    <row r="238" spans="1:44">
      <c r="A238" s="8">
        <v>539</v>
      </c>
      <c r="B238" s="8" t="s">
        <v>240</v>
      </c>
      <c r="C238" s="8" t="s">
        <v>42</v>
      </c>
      <c r="D238" s="8" t="s">
        <v>42</v>
      </c>
      <c r="E238" s="8">
        <v>539</v>
      </c>
      <c r="F238" s="24"/>
      <c r="G238" s="5"/>
      <c r="H238" s="5"/>
      <c r="I238" s="5"/>
      <c r="J238" s="5"/>
      <c r="K238" s="5"/>
      <c r="L238" s="5"/>
      <c r="M238" s="25"/>
      <c r="N238" s="24"/>
      <c r="O238" s="5"/>
      <c r="P238" s="5"/>
      <c r="Q238" s="5"/>
      <c r="R238" s="5"/>
      <c r="S238" s="5"/>
      <c r="T238" s="5"/>
      <c r="U238" s="25"/>
      <c r="V238" s="5"/>
      <c r="W238" s="5"/>
      <c r="X238" s="5"/>
      <c r="Y238" s="5"/>
      <c r="Z238" s="5"/>
      <c r="AA238" s="5"/>
      <c r="AB238" s="5"/>
      <c r="AC238" s="5"/>
      <c r="AD238" s="24"/>
      <c r="AE238" s="5"/>
      <c r="AF238" s="5"/>
      <c r="AG238" s="5"/>
      <c r="AH238" s="5"/>
      <c r="AI238" s="5"/>
      <c r="AJ238" s="5"/>
      <c r="AK238" s="25"/>
      <c r="AL238" s="5">
        <v>539</v>
      </c>
      <c r="AM238" s="8">
        <v>1</v>
      </c>
      <c r="AR238" s="67">
        <f t="shared" si="3"/>
        <v>0</v>
      </c>
    </row>
    <row r="239" spans="1:44">
      <c r="A239" s="8">
        <v>540</v>
      </c>
      <c r="B239" s="8" t="s">
        <v>240</v>
      </c>
      <c r="C239" s="8" t="s">
        <v>42</v>
      </c>
      <c r="D239" s="8" t="s">
        <v>42</v>
      </c>
      <c r="E239" s="8">
        <v>540</v>
      </c>
      <c r="F239" s="24"/>
      <c r="G239" s="5"/>
      <c r="H239" s="5"/>
      <c r="I239" s="5"/>
      <c r="J239" s="5"/>
      <c r="K239" s="5">
        <v>1</v>
      </c>
      <c r="L239" s="5"/>
      <c r="M239" s="25"/>
      <c r="N239" s="24"/>
      <c r="O239" s="5"/>
      <c r="P239" s="5">
        <v>1</v>
      </c>
      <c r="Q239" s="5"/>
      <c r="R239" s="5"/>
      <c r="S239" s="5"/>
      <c r="T239" s="5"/>
      <c r="U239" s="25"/>
      <c r="V239" s="5"/>
      <c r="W239" s="5"/>
      <c r="X239" s="5"/>
      <c r="Y239" s="5"/>
      <c r="Z239" s="5"/>
      <c r="AA239" s="5">
        <v>1</v>
      </c>
      <c r="AB239" s="5"/>
      <c r="AC239" s="5"/>
      <c r="AD239" s="24"/>
      <c r="AE239" s="5">
        <v>1</v>
      </c>
      <c r="AF239" s="5">
        <v>1</v>
      </c>
      <c r="AG239" s="5"/>
      <c r="AH239" s="5"/>
      <c r="AI239" s="5"/>
      <c r="AJ239" s="5"/>
      <c r="AK239" s="25"/>
      <c r="AL239" s="5">
        <v>540</v>
      </c>
      <c r="AM239" s="8"/>
      <c r="AN239">
        <v>1</v>
      </c>
      <c r="AR239" s="67">
        <f t="shared" si="3"/>
        <v>5</v>
      </c>
    </row>
    <row r="240" spans="1:44">
      <c r="A240" s="8">
        <v>544</v>
      </c>
      <c r="B240" s="8" t="s">
        <v>54</v>
      </c>
      <c r="C240" s="8" t="s">
        <v>345</v>
      </c>
      <c r="D240" s="8"/>
      <c r="E240" s="8">
        <v>544</v>
      </c>
      <c r="F240" s="24"/>
      <c r="G240" s="5"/>
      <c r="H240" s="5"/>
      <c r="I240" s="5"/>
      <c r="J240" s="5"/>
      <c r="K240" s="5"/>
      <c r="L240" s="5"/>
      <c r="M240" s="25"/>
      <c r="N240" s="24"/>
      <c r="O240" s="5"/>
      <c r="P240" s="5"/>
      <c r="Q240" s="5"/>
      <c r="R240" s="5"/>
      <c r="S240" s="5"/>
      <c r="T240" s="5"/>
      <c r="U240" s="25"/>
      <c r="V240" s="5"/>
      <c r="W240" s="5"/>
      <c r="X240" s="5"/>
      <c r="Y240" s="5"/>
      <c r="Z240" s="5"/>
      <c r="AA240" s="5"/>
      <c r="AB240" s="5"/>
      <c r="AC240" s="5"/>
      <c r="AD240" s="24"/>
      <c r="AE240" s="5"/>
      <c r="AF240" s="5"/>
      <c r="AG240" s="5"/>
      <c r="AH240" s="5"/>
      <c r="AI240" s="5"/>
      <c r="AJ240" s="5"/>
      <c r="AK240" s="25"/>
      <c r="AL240" s="5">
        <v>544</v>
      </c>
      <c r="AM240" s="8">
        <v>1</v>
      </c>
      <c r="AR240" s="67">
        <f t="shared" si="3"/>
        <v>0</v>
      </c>
    </row>
    <row r="241" spans="1:44">
      <c r="A241" s="8">
        <v>547</v>
      </c>
      <c r="B241" s="8" t="s">
        <v>201</v>
      </c>
      <c r="C241" s="8" t="s">
        <v>357</v>
      </c>
      <c r="D241" s="8"/>
      <c r="E241" s="8">
        <v>547</v>
      </c>
      <c r="F241" s="24"/>
      <c r="G241" s="5"/>
      <c r="H241" s="5"/>
      <c r="I241" s="5"/>
      <c r="J241" s="5"/>
      <c r="K241" s="5"/>
      <c r="L241" s="5"/>
      <c r="M241" s="25"/>
      <c r="N241" s="24"/>
      <c r="O241" s="5"/>
      <c r="P241" s="5"/>
      <c r="Q241" s="5"/>
      <c r="R241" s="5"/>
      <c r="S241" s="5"/>
      <c r="T241" s="5"/>
      <c r="U241" s="25"/>
      <c r="V241" s="5"/>
      <c r="W241" s="5"/>
      <c r="X241" s="5"/>
      <c r="Y241" s="5"/>
      <c r="Z241" s="5"/>
      <c r="AA241" s="5"/>
      <c r="AB241" s="5"/>
      <c r="AC241" s="5"/>
      <c r="AD241" s="24"/>
      <c r="AE241" s="5"/>
      <c r="AF241" s="5"/>
      <c r="AG241" s="5"/>
      <c r="AH241" s="5"/>
      <c r="AI241" s="5"/>
      <c r="AJ241" s="5"/>
      <c r="AK241" s="25"/>
      <c r="AL241" s="5">
        <v>547</v>
      </c>
      <c r="AM241" s="8">
        <v>1</v>
      </c>
      <c r="AR241" s="67">
        <f t="shared" si="3"/>
        <v>0</v>
      </c>
    </row>
    <row r="242" spans="1:44">
      <c r="A242" s="8">
        <v>548</v>
      </c>
      <c r="B242" s="8" t="s">
        <v>56</v>
      </c>
      <c r="C242" s="8" t="s">
        <v>360</v>
      </c>
      <c r="D242" s="8"/>
      <c r="E242" s="8">
        <v>548</v>
      </c>
      <c r="F242" s="24"/>
      <c r="G242" s="5"/>
      <c r="H242" s="5"/>
      <c r="I242" s="5"/>
      <c r="J242" s="5"/>
      <c r="K242" s="5"/>
      <c r="L242" s="5"/>
      <c r="M242" s="25"/>
      <c r="N242" s="24"/>
      <c r="O242" s="5"/>
      <c r="P242" s="5"/>
      <c r="Q242" s="5"/>
      <c r="R242" s="5"/>
      <c r="S242" s="5"/>
      <c r="T242" s="5"/>
      <c r="U242" s="25"/>
      <c r="V242" s="5"/>
      <c r="W242" s="5"/>
      <c r="X242" s="5"/>
      <c r="Y242" s="5"/>
      <c r="Z242" s="5"/>
      <c r="AA242" s="5"/>
      <c r="AB242" s="5"/>
      <c r="AC242" s="5"/>
      <c r="AD242" s="24"/>
      <c r="AE242" s="5"/>
      <c r="AF242" s="5"/>
      <c r="AG242" s="5"/>
      <c r="AH242" s="5"/>
      <c r="AI242" s="5"/>
      <c r="AJ242" s="5"/>
      <c r="AK242" s="25"/>
      <c r="AL242" s="5">
        <v>548</v>
      </c>
      <c r="AM242" s="8">
        <v>1</v>
      </c>
      <c r="AR242" s="67">
        <f t="shared" si="3"/>
        <v>0</v>
      </c>
    </row>
    <row r="243" spans="1:44">
      <c r="A243" s="8">
        <v>551</v>
      </c>
      <c r="B243" s="8" t="s">
        <v>78</v>
      </c>
      <c r="C243" s="8" t="s">
        <v>359</v>
      </c>
      <c r="D243" s="8"/>
      <c r="E243" s="8">
        <v>551</v>
      </c>
      <c r="F243" s="24"/>
      <c r="G243" s="5"/>
      <c r="H243" s="5"/>
      <c r="I243" s="5"/>
      <c r="J243" s="5"/>
      <c r="K243" s="5"/>
      <c r="L243" s="5"/>
      <c r="M243" s="25"/>
      <c r="N243" s="24"/>
      <c r="O243" s="5"/>
      <c r="P243" s="5"/>
      <c r="Q243" s="5"/>
      <c r="R243" s="5"/>
      <c r="S243" s="5"/>
      <c r="T243" s="5"/>
      <c r="U243" s="25"/>
      <c r="V243" s="5"/>
      <c r="W243" s="5"/>
      <c r="X243" s="5"/>
      <c r="Y243" s="5"/>
      <c r="Z243" s="5"/>
      <c r="AA243" s="5"/>
      <c r="AB243" s="5"/>
      <c r="AC243" s="5"/>
      <c r="AD243" s="24"/>
      <c r="AE243" s="5"/>
      <c r="AF243" s="5"/>
      <c r="AG243" s="5"/>
      <c r="AH243" s="5"/>
      <c r="AI243" s="5"/>
      <c r="AJ243" s="5"/>
      <c r="AK243" s="25"/>
      <c r="AL243" s="5">
        <v>551</v>
      </c>
      <c r="AM243" s="8"/>
      <c r="AO243">
        <v>1</v>
      </c>
      <c r="AR243" s="67">
        <f t="shared" si="3"/>
        <v>0</v>
      </c>
    </row>
    <row r="244" spans="1:44">
      <c r="A244" s="8">
        <v>553</v>
      </c>
      <c r="B244" s="8" t="s">
        <v>106</v>
      </c>
      <c r="C244" s="8" t="s">
        <v>349</v>
      </c>
      <c r="D244" s="8" t="s">
        <v>6</v>
      </c>
      <c r="E244" s="8">
        <v>553</v>
      </c>
      <c r="F244" s="24"/>
      <c r="G244" s="5"/>
      <c r="H244" s="5"/>
      <c r="I244" s="5"/>
      <c r="J244" s="5"/>
      <c r="K244" s="5"/>
      <c r="L244" s="5"/>
      <c r="M244" s="25"/>
      <c r="N244" s="24"/>
      <c r="O244" s="5"/>
      <c r="P244" s="5"/>
      <c r="Q244" s="5"/>
      <c r="R244" s="5"/>
      <c r="S244" s="5"/>
      <c r="T244" s="5"/>
      <c r="U244" s="25"/>
      <c r="V244" s="5"/>
      <c r="W244" s="5"/>
      <c r="X244" s="5"/>
      <c r="Y244" s="5"/>
      <c r="Z244" s="5"/>
      <c r="AA244" s="5"/>
      <c r="AB244" s="5"/>
      <c r="AC244" s="5"/>
      <c r="AD244" s="24"/>
      <c r="AE244" s="5"/>
      <c r="AF244" s="5"/>
      <c r="AG244" s="5"/>
      <c r="AH244" s="5"/>
      <c r="AI244" s="5"/>
      <c r="AJ244" s="5"/>
      <c r="AK244" s="25"/>
      <c r="AL244" s="5">
        <v>553</v>
      </c>
      <c r="AM244" s="8">
        <v>1</v>
      </c>
      <c r="AR244" s="67">
        <f t="shared" si="3"/>
        <v>0</v>
      </c>
    </row>
    <row r="245" spans="1:44">
      <c r="A245" s="8">
        <v>555</v>
      </c>
      <c r="B245" s="8" t="s">
        <v>73</v>
      </c>
      <c r="C245" s="8" t="s">
        <v>165</v>
      </c>
      <c r="D245" s="8" t="s">
        <v>42</v>
      </c>
      <c r="E245" s="8">
        <v>555</v>
      </c>
      <c r="F245" s="24"/>
      <c r="G245" s="5"/>
      <c r="H245" s="5"/>
      <c r="I245" s="5"/>
      <c r="J245" s="5"/>
      <c r="K245" s="5"/>
      <c r="L245" s="5"/>
      <c r="M245" s="25"/>
      <c r="N245" s="24">
        <v>1</v>
      </c>
      <c r="O245" s="5"/>
      <c r="P245" s="5"/>
      <c r="Q245" s="5"/>
      <c r="R245" s="5"/>
      <c r="S245" s="5"/>
      <c r="T245" s="5"/>
      <c r="U245" s="25"/>
      <c r="V245" s="5"/>
      <c r="W245" s="5"/>
      <c r="X245" s="5"/>
      <c r="Y245" s="5"/>
      <c r="Z245" s="5"/>
      <c r="AA245" s="5">
        <v>1</v>
      </c>
      <c r="AB245" s="5">
        <v>1</v>
      </c>
      <c r="AC245" s="5">
        <v>1</v>
      </c>
      <c r="AD245" s="24">
        <v>1</v>
      </c>
      <c r="AE245" s="5"/>
      <c r="AF245" s="5">
        <v>1</v>
      </c>
      <c r="AG245" s="5"/>
      <c r="AH245" s="5"/>
      <c r="AI245" s="5"/>
      <c r="AJ245" s="5"/>
      <c r="AK245" s="25"/>
      <c r="AL245" s="5">
        <v>555</v>
      </c>
      <c r="AM245" s="8"/>
      <c r="AN245" s="8">
        <v>1</v>
      </c>
      <c r="AR245" s="67">
        <f t="shared" si="3"/>
        <v>6</v>
      </c>
    </row>
    <row r="246" spans="1:44">
      <c r="A246" s="8">
        <v>559</v>
      </c>
      <c r="B246" s="8" t="s">
        <v>74</v>
      </c>
      <c r="C246" s="8" t="s">
        <v>346</v>
      </c>
      <c r="D246" s="8"/>
      <c r="E246" s="8">
        <v>559</v>
      </c>
      <c r="F246" s="24"/>
      <c r="G246" s="5"/>
      <c r="H246" s="5"/>
      <c r="I246" s="5"/>
      <c r="J246" s="5"/>
      <c r="K246" s="5"/>
      <c r="L246" s="5"/>
      <c r="M246" s="25"/>
      <c r="N246" s="24"/>
      <c r="O246" s="5"/>
      <c r="P246" s="5"/>
      <c r="Q246" s="5"/>
      <c r="R246" s="5"/>
      <c r="S246" s="5"/>
      <c r="T246" s="5"/>
      <c r="U246" s="25"/>
      <c r="V246" s="5"/>
      <c r="W246" s="5"/>
      <c r="X246" s="5"/>
      <c r="Y246" s="5"/>
      <c r="Z246" s="5"/>
      <c r="AA246" s="5"/>
      <c r="AB246" s="5"/>
      <c r="AC246" s="5"/>
      <c r="AD246" s="24"/>
      <c r="AE246" s="5"/>
      <c r="AF246" s="5"/>
      <c r="AG246" s="5"/>
      <c r="AH246" s="5"/>
      <c r="AI246" s="5"/>
      <c r="AJ246" s="5"/>
      <c r="AK246" s="25"/>
      <c r="AL246" s="5">
        <v>559</v>
      </c>
      <c r="AM246" s="8"/>
      <c r="AO246">
        <v>1</v>
      </c>
      <c r="AR246" s="67">
        <f t="shared" si="3"/>
        <v>0</v>
      </c>
    </row>
    <row r="247" spans="1:44">
      <c r="A247" s="8">
        <v>563</v>
      </c>
      <c r="B247" s="8" t="s">
        <v>80</v>
      </c>
      <c r="C247" s="8" t="s">
        <v>346</v>
      </c>
      <c r="D247" s="8"/>
      <c r="E247" s="8">
        <v>563</v>
      </c>
      <c r="F247" s="24"/>
      <c r="G247" s="5"/>
      <c r="H247" s="5"/>
      <c r="I247" s="5"/>
      <c r="J247" s="5"/>
      <c r="K247" s="5"/>
      <c r="L247" s="5"/>
      <c r="M247" s="25"/>
      <c r="N247" s="24"/>
      <c r="O247" s="5"/>
      <c r="P247" s="5"/>
      <c r="Q247" s="5"/>
      <c r="R247" s="5"/>
      <c r="S247" s="5"/>
      <c r="T247" s="5"/>
      <c r="U247" s="25"/>
      <c r="V247" s="5"/>
      <c r="W247" s="5"/>
      <c r="X247" s="5"/>
      <c r="Y247" s="5"/>
      <c r="Z247" s="5"/>
      <c r="AA247" s="5"/>
      <c r="AB247" s="5"/>
      <c r="AC247" s="5"/>
      <c r="AD247" s="24"/>
      <c r="AE247" s="5"/>
      <c r="AF247" s="5"/>
      <c r="AG247" s="5"/>
      <c r="AH247" s="5"/>
      <c r="AI247" s="5"/>
      <c r="AJ247" s="5"/>
      <c r="AK247" s="25"/>
      <c r="AL247" s="5">
        <v>563</v>
      </c>
      <c r="AM247" s="8">
        <v>1</v>
      </c>
      <c r="AR247" s="67">
        <f t="shared" si="3"/>
        <v>0</v>
      </c>
    </row>
    <row r="248" spans="1:44">
      <c r="A248" s="8">
        <v>564</v>
      </c>
      <c r="B248" s="8" t="s">
        <v>62</v>
      </c>
      <c r="C248" s="8" t="s">
        <v>42</v>
      </c>
      <c r="D248" s="8" t="s">
        <v>6</v>
      </c>
      <c r="E248" s="8">
        <v>564</v>
      </c>
      <c r="F248" s="24"/>
      <c r="G248" s="5"/>
      <c r="H248" s="5"/>
      <c r="I248" s="5"/>
      <c r="J248" s="5"/>
      <c r="K248" s="5"/>
      <c r="L248" s="5"/>
      <c r="M248" s="25"/>
      <c r="N248" s="24"/>
      <c r="O248" s="5"/>
      <c r="P248" s="5"/>
      <c r="Q248" s="5"/>
      <c r="R248" s="5"/>
      <c r="S248" s="5"/>
      <c r="T248" s="5"/>
      <c r="U248" s="25"/>
      <c r="V248" s="5"/>
      <c r="W248" s="5"/>
      <c r="X248" s="5"/>
      <c r="Y248" s="5"/>
      <c r="Z248" s="5"/>
      <c r="AA248" s="5"/>
      <c r="AB248" s="5"/>
      <c r="AC248" s="5"/>
      <c r="AD248" s="24"/>
      <c r="AE248" s="5"/>
      <c r="AF248" s="5"/>
      <c r="AG248" s="5"/>
      <c r="AH248" s="5"/>
      <c r="AI248" s="5"/>
      <c r="AJ248" s="5"/>
      <c r="AK248" s="25"/>
      <c r="AL248" s="5">
        <v>564</v>
      </c>
      <c r="AM248" s="8">
        <v>1</v>
      </c>
      <c r="AR248" s="67">
        <f t="shared" si="3"/>
        <v>0</v>
      </c>
    </row>
    <row r="249" spans="1:44">
      <c r="A249" s="8">
        <v>567</v>
      </c>
      <c r="B249" s="8" t="s">
        <v>56</v>
      </c>
      <c r="C249" s="8" t="s">
        <v>360</v>
      </c>
      <c r="D249" s="8"/>
      <c r="E249" s="8">
        <v>567</v>
      </c>
      <c r="F249" s="24"/>
      <c r="G249" s="5"/>
      <c r="H249" s="5"/>
      <c r="I249" s="5"/>
      <c r="J249" s="5"/>
      <c r="K249" s="5"/>
      <c r="L249" s="5"/>
      <c r="M249" s="25"/>
      <c r="N249" s="24"/>
      <c r="O249" s="5"/>
      <c r="P249" s="5"/>
      <c r="Q249" s="5"/>
      <c r="R249" s="5"/>
      <c r="S249" s="5"/>
      <c r="T249" s="5"/>
      <c r="U249" s="25"/>
      <c r="V249" s="5"/>
      <c r="W249" s="5"/>
      <c r="X249" s="5"/>
      <c r="Y249" s="5"/>
      <c r="Z249" s="5"/>
      <c r="AA249" s="5"/>
      <c r="AB249" s="5"/>
      <c r="AC249" s="5"/>
      <c r="AD249" s="24"/>
      <c r="AE249" s="5"/>
      <c r="AF249" s="5"/>
      <c r="AG249" s="5"/>
      <c r="AH249" s="5"/>
      <c r="AI249" s="5"/>
      <c r="AJ249" s="5"/>
      <c r="AK249" s="25"/>
      <c r="AL249" s="5">
        <v>567</v>
      </c>
      <c r="AM249" s="8">
        <v>1</v>
      </c>
      <c r="AR249" s="67">
        <f t="shared" si="3"/>
        <v>0</v>
      </c>
    </row>
    <row r="250" spans="1:44">
      <c r="A250" s="8">
        <v>568</v>
      </c>
      <c r="B250" s="8" t="s">
        <v>65</v>
      </c>
      <c r="C250" s="8" t="s">
        <v>12</v>
      </c>
      <c r="D250" s="8" t="s">
        <v>42</v>
      </c>
      <c r="E250" s="8">
        <v>568</v>
      </c>
      <c r="F250" s="24"/>
      <c r="G250" s="5"/>
      <c r="H250" s="5"/>
      <c r="I250" s="5"/>
      <c r="J250" s="5"/>
      <c r="K250" s="5"/>
      <c r="L250" s="5">
        <v>1</v>
      </c>
      <c r="M250" s="25">
        <v>1</v>
      </c>
      <c r="N250" s="24"/>
      <c r="O250" s="5">
        <v>1</v>
      </c>
      <c r="P250" s="5">
        <v>1</v>
      </c>
      <c r="Q250" s="5"/>
      <c r="R250" s="5"/>
      <c r="S250" s="5"/>
      <c r="T250" s="5"/>
      <c r="U250" s="25"/>
      <c r="V250" s="5"/>
      <c r="W250" s="5"/>
      <c r="X250" s="5"/>
      <c r="Y250" s="5"/>
      <c r="Z250" s="5"/>
      <c r="AA250" s="5">
        <v>1</v>
      </c>
      <c r="AB250" s="5"/>
      <c r="AC250" s="5"/>
      <c r="AD250" s="24"/>
      <c r="AE250" s="5"/>
      <c r="AF250" s="5"/>
      <c r="AG250" s="5"/>
      <c r="AH250" s="5"/>
      <c r="AI250" s="5"/>
      <c r="AJ250" s="5"/>
      <c r="AK250" s="25"/>
      <c r="AL250" s="5">
        <v>568</v>
      </c>
      <c r="AM250" s="8"/>
      <c r="AN250">
        <v>1</v>
      </c>
      <c r="AR250" s="67">
        <f t="shared" si="3"/>
        <v>5</v>
      </c>
    </row>
    <row r="251" spans="1:44">
      <c r="A251" s="8">
        <v>569</v>
      </c>
      <c r="B251" s="8" t="s">
        <v>59</v>
      </c>
      <c r="C251" s="8" t="s">
        <v>346</v>
      </c>
      <c r="D251" s="8"/>
      <c r="E251" s="8">
        <v>569</v>
      </c>
      <c r="F251" s="24"/>
      <c r="G251" s="5"/>
      <c r="H251" s="5"/>
      <c r="I251" s="5"/>
      <c r="J251" s="5"/>
      <c r="K251" s="5"/>
      <c r="L251" s="5"/>
      <c r="M251" s="25"/>
      <c r="N251" s="24"/>
      <c r="O251" s="5"/>
      <c r="P251" s="5"/>
      <c r="Q251" s="5"/>
      <c r="R251" s="5"/>
      <c r="S251" s="5"/>
      <c r="T251" s="5"/>
      <c r="U251" s="25"/>
      <c r="V251" s="5"/>
      <c r="W251" s="5"/>
      <c r="X251" s="5"/>
      <c r="Y251" s="5"/>
      <c r="Z251" s="5"/>
      <c r="AA251" s="5"/>
      <c r="AB251" s="5"/>
      <c r="AC251" s="5"/>
      <c r="AD251" s="24"/>
      <c r="AE251" s="5"/>
      <c r="AF251" s="5"/>
      <c r="AG251" s="5"/>
      <c r="AH251" s="5"/>
      <c r="AI251" s="5"/>
      <c r="AJ251" s="5"/>
      <c r="AK251" s="25"/>
      <c r="AL251" s="5">
        <v>569</v>
      </c>
      <c r="AM251" s="8">
        <v>1</v>
      </c>
      <c r="AR251" s="67">
        <f t="shared" si="3"/>
        <v>0</v>
      </c>
    </row>
    <row r="252" spans="1:44">
      <c r="A252" s="8">
        <v>570</v>
      </c>
      <c r="B252" s="8" t="s">
        <v>73</v>
      </c>
      <c r="C252" s="8" t="s">
        <v>165</v>
      </c>
      <c r="D252" s="8" t="s">
        <v>6</v>
      </c>
      <c r="E252" s="8">
        <v>570</v>
      </c>
      <c r="F252" s="24"/>
      <c r="G252" s="5"/>
      <c r="H252" s="5"/>
      <c r="I252" s="5"/>
      <c r="J252" s="5">
        <v>1</v>
      </c>
      <c r="K252" s="5">
        <v>1</v>
      </c>
      <c r="L252" s="5"/>
      <c r="M252" s="25"/>
      <c r="N252" s="24"/>
      <c r="O252" s="5"/>
      <c r="P252" s="5"/>
      <c r="Q252" s="5"/>
      <c r="R252" s="5"/>
      <c r="S252" s="5"/>
      <c r="T252" s="5"/>
      <c r="U252" s="25"/>
      <c r="V252" s="5"/>
      <c r="W252" s="5"/>
      <c r="X252" s="5"/>
      <c r="Y252" s="5"/>
      <c r="Z252" s="5"/>
      <c r="AA252" s="5"/>
      <c r="AB252" s="5"/>
      <c r="AC252" s="5"/>
      <c r="AD252" s="24"/>
      <c r="AE252" s="5"/>
      <c r="AF252" s="5"/>
      <c r="AG252" s="5"/>
      <c r="AH252" s="5"/>
      <c r="AI252" s="5"/>
      <c r="AJ252" s="5"/>
      <c r="AK252" s="25"/>
      <c r="AL252" s="5">
        <v>570</v>
      </c>
      <c r="AM252" s="8"/>
      <c r="AN252">
        <v>1</v>
      </c>
      <c r="AR252" s="67">
        <f t="shared" si="3"/>
        <v>2</v>
      </c>
    </row>
    <row r="253" spans="1:44">
      <c r="A253" s="8">
        <v>571</v>
      </c>
      <c r="B253" s="8" t="s">
        <v>62</v>
      </c>
      <c r="C253" s="8" t="s">
        <v>42</v>
      </c>
      <c r="D253" s="8" t="s">
        <v>6</v>
      </c>
      <c r="E253" s="8">
        <v>571</v>
      </c>
      <c r="F253" s="24"/>
      <c r="G253" s="5"/>
      <c r="H253" s="5"/>
      <c r="I253" s="5"/>
      <c r="J253" s="5"/>
      <c r="K253" s="5"/>
      <c r="L253" s="5">
        <v>1</v>
      </c>
      <c r="M253" s="25">
        <v>1</v>
      </c>
      <c r="N253" s="24"/>
      <c r="O253" s="5">
        <v>1</v>
      </c>
      <c r="P253" s="5">
        <v>1</v>
      </c>
      <c r="Q253" s="5"/>
      <c r="R253" s="5"/>
      <c r="S253" s="5"/>
      <c r="T253" s="5"/>
      <c r="U253" s="25"/>
      <c r="V253" s="5"/>
      <c r="W253" s="5"/>
      <c r="X253" s="5"/>
      <c r="Y253" s="5"/>
      <c r="Z253" s="5"/>
      <c r="AA253" s="5">
        <v>1</v>
      </c>
      <c r="AB253" s="5"/>
      <c r="AC253" s="5"/>
      <c r="AD253" s="24"/>
      <c r="AE253" s="5"/>
      <c r="AF253" s="5">
        <v>1</v>
      </c>
      <c r="AG253" s="5"/>
      <c r="AH253" s="5"/>
      <c r="AI253" s="5"/>
      <c r="AJ253" s="5"/>
      <c r="AK253" s="25"/>
      <c r="AL253" s="5">
        <v>571</v>
      </c>
      <c r="AM253" s="8"/>
      <c r="AN253">
        <v>1</v>
      </c>
      <c r="AR253" s="67">
        <f t="shared" si="3"/>
        <v>6</v>
      </c>
    </row>
    <row r="254" spans="1:44">
      <c r="A254" s="8">
        <v>572</v>
      </c>
      <c r="B254" s="8" t="s">
        <v>74</v>
      </c>
      <c r="C254" s="8" t="s">
        <v>346</v>
      </c>
      <c r="D254" s="8"/>
      <c r="E254" s="8">
        <v>572</v>
      </c>
      <c r="F254" s="24"/>
      <c r="G254" s="5"/>
      <c r="H254" s="5"/>
      <c r="I254" s="5"/>
      <c r="J254" s="5"/>
      <c r="K254" s="5"/>
      <c r="L254" s="5"/>
      <c r="M254" s="25"/>
      <c r="N254" s="24"/>
      <c r="O254" s="5"/>
      <c r="P254" s="5"/>
      <c r="Q254" s="5"/>
      <c r="R254" s="5"/>
      <c r="S254" s="5"/>
      <c r="T254" s="5"/>
      <c r="U254" s="25"/>
      <c r="V254" s="5"/>
      <c r="W254" s="5"/>
      <c r="X254" s="5"/>
      <c r="Y254" s="5"/>
      <c r="Z254" s="5"/>
      <c r="AA254" s="5"/>
      <c r="AB254" s="5"/>
      <c r="AC254" s="5"/>
      <c r="AD254" s="24"/>
      <c r="AE254" s="5"/>
      <c r="AF254" s="5"/>
      <c r="AG254" s="5"/>
      <c r="AH254" s="5"/>
      <c r="AI254" s="5"/>
      <c r="AJ254" s="5"/>
      <c r="AK254" s="25"/>
      <c r="AL254" s="5">
        <v>572</v>
      </c>
      <c r="AM254" s="8">
        <v>1</v>
      </c>
      <c r="AR254" s="67">
        <f t="shared" si="3"/>
        <v>0</v>
      </c>
    </row>
    <row r="255" spans="1:44">
      <c r="A255" s="157" t="s">
        <v>342</v>
      </c>
      <c r="B255" s="157"/>
      <c r="C255" s="157"/>
      <c r="D255" s="157"/>
      <c r="E255" s="157"/>
      <c r="F255" s="158">
        <f t="shared" ref="F255:AK255" si="4">COUNT(F4:F254)</f>
        <v>0</v>
      </c>
      <c r="G255" s="159">
        <f t="shared" si="4"/>
        <v>0</v>
      </c>
      <c r="H255" s="159">
        <f t="shared" si="4"/>
        <v>0</v>
      </c>
      <c r="I255" s="159">
        <f t="shared" si="4"/>
        <v>6</v>
      </c>
      <c r="J255" s="159">
        <f t="shared" si="4"/>
        <v>6</v>
      </c>
      <c r="K255" s="159">
        <f t="shared" si="4"/>
        <v>48</v>
      </c>
      <c r="L255" s="159">
        <f t="shared" si="4"/>
        <v>33</v>
      </c>
      <c r="M255" s="160">
        <f t="shared" si="4"/>
        <v>53</v>
      </c>
      <c r="N255" s="158">
        <f t="shared" si="4"/>
        <v>52</v>
      </c>
      <c r="O255" s="159">
        <f t="shared" si="4"/>
        <v>31</v>
      </c>
      <c r="P255" s="159">
        <f t="shared" si="4"/>
        <v>44</v>
      </c>
      <c r="Q255" s="159">
        <f t="shared" si="4"/>
        <v>7</v>
      </c>
      <c r="R255" s="159">
        <f t="shared" si="4"/>
        <v>4</v>
      </c>
      <c r="S255" s="159">
        <f t="shared" si="4"/>
        <v>0</v>
      </c>
      <c r="T255" s="159">
        <f>COUNT(T4:T254)</f>
        <v>0</v>
      </c>
      <c r="U255" s="160">
        <f t="shared" si="4"/>
        <v>0</v>
      </c>
      <c r="V255" s="159">
        <f t="shared" si="4"/>
        <v>0</v>
      </c>
      <c r="W255" s="159">
        <f t="shared" si="4"/>
        <v>0</v>
      </c>
      <c r="X255" s="159">
        <f t="shared" si="4"/>
        <v>0</v>
      </c>
      <c r="Y255" s="159">
        <f t="shared" si="4"/>
        <v>6</v>
      </c>
      <c r="Z255" s="159">
        <f t="shared" si="4"/>
        <v>11</v>
      </c>
      <c r="AA255" s="159">
        <f t="shared" si="4"/>
        <v>65</v>
      </c>
      <c r="AB255" s="159">
        <f t="shared" si="4"/>
        <v>29</v>
      </c>
      <c r="AC255" s="159">
        <f t="shared" si="4"/>
        <v>29</v>
      </c>
      <c r="AD255" s="158">
        <f t="shared" si="4"/>
        <v>28</v>
      </c>
      <c r="AE255" s="159">
        <f t="shared" si="4"/>
        <v>28</v>
      </c>
      <c r="AF255" s="159">
        <f t="shared" si="4"/>
        <v>56</v>
      </c>
      <c r="AG255" s="159">
        <f t="shared" si="4"/>
        <v>10</v>
      </c>
      <c r="AH255" s="159">
        <f t="shared" si="4"/>
        <v>6</v>
      </c>
      <c r="AI255" s="159">
        <f t="shared" si="4"/>
        <v>0</v>
      </c>
      <c r="AJ255" s="159">
        <f t="shared" si="4"/>
        <v>0</v>
      </c>
      <c r="AK255" s="160">
        <f t="shared" si="4"/>
        <v>0</v>
      </c>
      <c r="AL255" s="159"/>
      <c r="AM255" s="157">
        <f>COUNT(AM4:AM254)</f>
        <v>128</v>
      </c>
      <c r="AN255" s="157">
        <f>SUM(AN4:AN254)</f>
        <v>105</v>
      </c>
      <c r="AO255" s="159">
        <f>COUNT(AO4:AO254)</f>
        <v>20</v>
      </c>
      <c r="AP255" s="159">
        <f>COUNT(AP4:AP254)</f>
        <v>1</v>
      </c>
      <c r="AQ255" s="159">
        <f>SUM(AQ4:AQ254)</f>
        <v>3</v>
      </c>
      <c r="AR255" s="60">
        <f>SUM(AR4:AR254)</f>
        <v>552</v>
      </c>
    </row>
    <row r="256" spans="1:44" s="67" customFormat="1">
      <c r="A256" s="102"/>
      <c r="B256" s="102"/>
      <c r="C256" s="102"/>
      <c r="D256" s="102"/>
      <c r="E256" s="102"/>
      <c r="F256" s="454">
        <f>SUM(F255:H255)</f>
        <v>0</v>
      </c>
      <c r="G256" s="452"/>
      <c r="H256" s="452"/>
      <c r="I256" s="455">
        <f>SUM(I255:J255)</f>
        <v>12</v>
      </c>
      <c r="J256" s="455"/>
      <c r="K256" s="378">
        <f>K255</f>
        <v>48</v>
      </c>
      <c r="L256" s="460">
        <f>SUM(L255:M255)</f>
        <v>86</v>
      </c>
      <c r="M256" s="461"/>
      <c r="N256" s="459">
        <f>SUM(N255:O255)</f>
        <v>83</v>
      </c>
      <c r="O256" s="460"/>
      <c r="P256" s="378">
        <f>P255</f>
        <v>44</v>
      </c>
      <c r="Q256" s="455">
        <f>SUM(Q255:R255)</f>
        <v>11</v>
      </c>
      <c r="R256" s="455"/>
      <c r="S256" s="452">
        <f>SUM(S255:U255)</f>
        <v>0</v>
      </c>
      <c r="T256" s="452"/>
      <c r="U256" s="453"/>
      <c r="V256" s="452">
        <f>SUM(V255:X255)</f>
        <v>0</v>
      </c>
      <c r="W256" s="452"/>
      <c r="X256" s="452"/>
      <c r="Y256" s="455">
        <f>SUM(Y255:Z255)</f>
        <v>17</v>
      </c>
      <c r="Z256" s="455"/>
      <c r="AA256" s="378">
        <f>AA255</f>
        <v>65</v>
      </c>
      <c r="AB256" s="460">
        <f>SUM(AB255:AC255)</f>
        <v>58</v>
      </c>
      <c r="AC256" s="460"/>
      <c r="AD256" s="459">
        <f>SUM(AD255:AE255)</f>
        <v>56</v>
      </c>
      <c r="AE256" s="460"/>
      <c r="AF256" s="378">
        <f>AF255</f>
        <v>56</v>
      </c>
      <c r="AG256" s="455">
        <f>SUM(AG255:AH255)</f>
        <v>16</v>
      </c>
      <c r="AH256" s="455"/>
      <c r="AI256" s="452">
        <f>SUM(AI255:AK255)</f>
        <v>0</v>
      </c>
      <c r="AJ256" s="452"/>
      <c r="AK256" s="453"/>
      <c r="AL256" s="103"/>
      <c r="AM256" s="102"/>
      <c r="AN256" s="102"/>
      <c r="AO256" s="103"/>
      <c r="AP256" s="103"/>
      <c r="AQ256" s="103"/>
      <c r="AR256" s="8"/>
    </row>
    <row r="257" spans="6:37">
      <c r="F257" s="434">
        <f>SUM(F255:M255)</f>
        <v>146</v>
      </c>
      <c r="G257" s="435"/>
      <c r="H257" s="435"/>
      <c r="I257" s="435"/>
      <c r="J257" s="435"/>
      <c r="K257" s="435"/>
      <c r="L257" s="435"/>
      <c r="M257" s="436"/>
      <c r="N257" s="456">
        <f>SUM(N255:U255)</f>
        <v>138</v>
      </c>
      <c r="O257" s="457"/>
      <c r="P257" s="457"/>
      <c r="Q257" s="457"/>
      <c r="R257" s="457"/>
      <c r="S257" s="457"/>
      <c r="T257" s="457"/>
      <c r="U257" s="458"/>
      <c r="V257" s="437">
        <f>SUM(V255:AC255)</f>
        <v>140</v>
      </c>
      <c r="W257" s="437"/>
      <c r="X257" s="437"/>
      <c r="Y257" s="437"/>
      <c r="Z257" s="437"/>
      <c r="AA257" s="437"/>
      <c r="AB257" s="437"/>
      <c r="AC257" s="437"/>
      <c r="AD257" s="434">
        <f>SUM(AD255:AK255)</f>
        <v>128</v>
      </c>
      <c r="AE257" s="435"/>
      <c r="AF257" s="435"/>
      <c r="AG257" s="435"/>
      <c r="AH257" s="435"/>
      <c r="AI257" s="435"/>
      <c r="AJ257" s="435"/>
      <c r="AK257" s="436"/>
    </row>
    <row r="258" spans="6:37">
      <c r="F258" s="442">
        <f>SUM(F257,N257)</f>
        <v>284</v>
      </c>
      <c r="G258" s="443"/>
      <c r="H258" s="443"/>
      <c r="I258" s="443"/>
      <c r="J258" s="443"/>
      <c r="K258" s="443"/>
      <c r="L258" s="443"/>
      <c r="M258" s="443"/>
      <c r="N258" s="443"/>
      <c r="O258" s="443"/>
      <c r="P258" s="443"/>
      <c r="Q258" s="443"/>
      <c r="R258" s="443"/>
      <c r="S258" s="443"/>
      <c r="T258" s="443"/>
      <c r="U258" s="444"/>
      <c r="V258" s="442">
        <f>SUM(V257,AD257)</f>
        <v>268</v>
      </c>
      <c r="W258" s="443"/>
      <c r="X258" s="443"/>
      <c r="Y258" s="443"/>
      <c r="Z258" s="443"/>
      <c r="AA258" s="443"/>
      <c r="AB258" s="443"/>
      <c r="AC258" s="443"/>
      <c r="AD258" s="443"/>
      <c r="AE258" s="443"/>
      <c r="AF258" s="443"/>
      <c r="AG258" s="443"/>
      <c r="AH258" s="443"/>
      <c r="AI258" s="443"/>
      <c r="AJ258" s="443"/>
      <c r="AK258" s="444"/>
    </row>
    <row r="259" spans="6:37">
      <c r="F259" s="442">
        <f>SUM(F258,V258)</f>
        <v>552</v>
      </c>
      <c r="G259" s="443"/>
      <c r="H259" s="443"/>
      <c r="I259" s="443"/>
      <c r="J259" s="443"/>
      <c r="K259" s="443"/>
      <c r="L259" s="443"/>
      <c r="M259" s="443"/>
      <c r="N259" s="443"/>
      <c r="O259" s="443"/>
      <c r="P259" s="443"/>
      <c r="Q259" s="443"/>
      <c r="R259" s="443"/>
      <c r="S259" s="443"/>
      <c r="T259" s="443"/>
      <c r="U259" s="443"/>
      <c r="V259" s="443"/>
      <c r="W259" s="443"/>
      <c r="X259" s="443"/>
      <c r="Y259" s="443"/>
      <c r="Z259" s="443"/>
      <c r="AA259" s="443"/>
      <c r="AB259" s="443"/>
      <c r="AC259" s="443"/>
      <c r="AD259" s="443"/>
      <c r="AE259" s="443"/>
      <c r="AF259" s="443"/>
      <c r="AG259" s="443"/>
      <c r="AH259" s="443"/>
      <c r="AI259" s="443"/>
      <c r="AJ259" s="443"/>
      <c r="AK259" s="444"/>
    </row>
    <row r="260" spans="6:37">
      <c r="F260" s="425">
        <f>SUM(F255:H255,S255:X255,AI255:AK255)</f>
        <v>0</v>
      </c>
      <c r="G260" s="425"/>
      <c r="H260" s="425"/>
      <c r="I260" s="426">
        <f>SUM(I255:J255,Q255:R255,Y255:Z255,AG255:AH255)</f>
        <v>56</v>
      </c>
      <c r="J260" s="426"/>
      <c r="K260" s="78">
        <f>SUM(K255,P255,AA255,AF255)</f>
        <v>213</v>
      </c>
      <c r="L260" s="427">
        <f>SUM(L255:O255,AB255:AE255)</f>
        <v>283</v>
      </c>
      <c r="M260" s="427"/>
    </row>
    <row r="262" spans="6:37">
      <c r="F262" s="437"/>
      <c r="G262" s="437"/>
    </row>
    <row r="263" spans="6:37">
      <c r="F263" s="437"/>
      <c r="G263" s="437"/>
    </row>
    <row r="264" spans="6:37">
      <c r="F264" s="437"/>
      <c r="G264" s="437"/>
    </row>
    <row r="265" spans="6:37">
      <c r="F265" s="451"/>
      <c r="G265" s="451"/>
    </row>
    <row r="266" spans="6:37">
      <c r="F266" s="451"/>
      <c r="G266" s="451"/>
      <c r="H266" s="5"/>
    </row>
  </sheetData>
  <mergeCells count="31">
    <mergeCell ref="I256:J256"/>
    <mergeCell ref="AD256:AE256"/>
    <mergeCell ref="AB256:AC256"/>
    <mergeCell ref="N256:O256"/>
    <mergeCell ref="L256:M256"/>
    <mergeCell ref="F264:G264"/>
    <mergeCell ref="F265:G265"/>
    <mergeCell ref="F266:G266"/>
    <mergeCell ref="F257:M257"/>
    <mergeCell ref="N257:U257"/>
    <mergeCell ref="F262:G262"/>
    <mergeCell ref="F263:G263"/>
    <mergeCell ref="F260:H260"/>
    <mergeCell ref="I260:J260"/>
    <mergeCell ref="L260:M260"/>
    <mergeCell ref="V257:AC257"/>
    <mergeCell ref="F258:U258"/>
    <mergeCell ref="V258:AK258"/>
    <mergeCell ref="F259:AK259"/>
    <mergeCell ref="F1:M1"/>
    <mergeCell ref="N1:U1"/>
    <mergeCell ref="V1:AC1"/>
    <mergeCell ref="AD1:AK1"/>
    <mergeCell ref="AD257:AK257"/>
    <mergeCell ref="AI256:AK256"/>
    <mergeCell ref="V256:X256"/>
    <mergeCell ref="S256:U256"/>
    <mergeCell ref="F256:H256"/>
    <mergeCell ref="AG256:AH256"/>
    <mergeCell ref="Y256:Z256"/>
    <mergeCell ref="Q256:R256"/>
  </mergeCells>
  <conditionalFormatting sqref="B40:D40">
    <cfRule type="duplicateValues" dxfId="3" priority="1" stopIfTrue="1"/>
  </conditionalFormatting>
  <pageMargins left="0.7" right="0.7" top="0.75" bottom="0.75" header="0.3" footer="0.3"/>
  <pageSetup paperSize="9" orientation="portrait" verticalDpi="0" r:id="rId1"/>
  <ignoredErrors>
    <ignoredError sqref="F255:AK255 AR4:AR254" formulaRange="1"/>
    <ignoredError sqref="AN25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T34" sqref="T34"/>
    </sheetView>
  </sheetViews>
  <sheetFormatPr defaultRowHeight="15"/>
  <cols>
    <col min="1" max="1" width="5.85546875" style="8" bestFit="1" customWidth="1"/>
    <col min="2" max="2" width="9.5703125" bestFit="1" customWidth="1"/>
    <col min="3" max="3" width="5" bestFit="1" customWidth="1"/>
    <col min="4" max="4" width="4.5703125" bestFit="1" customWidth="1"/>
    <col min="5" max="5" width="6.42578125" customWidth="1"/>
    <col min="6" max="6" width="6.85546875" style="8" bestFit="1" customWidth="1"/>
    <col min="7" max="7" width="4" style="8" bestFit="1" customWidth="1"/>
    <col min="8" max="8" width="3.5703125" style="8" bestFit="1" customWidth="1"/>
    <col min="9" max="9" width="3.140625" style="8" bestFit="1" customWidth="1"/>
    <col min="10" max="10" width="5" style="8" customWidth="1"/>
    <col min="11" max="11" width="4.42578125" style="8" bestFit="1" customWidth="1"/>
    <col min="12" max="12" width="5.85546875" style="8" bestFit="1" customWidth="1"/>
    <col min="13" max="13" width="8.42578125" style="67" customWidth="1"/>
    <col min="14" max="14" width="3.42578125" bestFit="1" customWidth="1"/>
    <col min="15" max="15" width="3" bestFit="1" customWidth="1"/>
  </cols>
  <sheetData>
    <row r="1" spans="1:15">
      <c r="B1" t="s">
        <v>1</v>
      </c>
      <c r="C1" t="s">
        <v>363</v>
      </c>
      <c r="D1" t="s">
        <v>2</v>
      </c>
      <c r="F1" s="8" t="s">
        <v>362</v>
      </c>
      <c r="G1" t="s">
        <v>378</v>
      </c>
      <c r="H1" t="s">
        <v>392</v>
      </c>
      <c r="I1" t="s">
        <v>619</v>
      </c>
      <c r="J1" s="8" t="s">
        <v>620</v>
      </c>
      <c r="K1" t="s">
        <v>166</v>
      </c>
      <c r="M1" s="67" t="s">
        <v>618</v>
      </c>
      <c r="N1" t="s">
        <v>616</v>
      </c>
      <c r="O1" t="s">
        <v>617</v>
      </c>
    </row>
    <row r="2" spans="1:15">
      <c r="A2" s="8">
        <v>1</v>
      </c>
      <c r="B2" t="s">
        <v>5</v>
      </c>
      <c r="C2" s="8" t="s">
        <v>42</v>
      </c>
      <c r="D2" t="s">
        <v>6</v>
      </c>
      <c r="E2">
        <v>1</v>
      </c>
      <c r="F2" s="8">
        <v>1</v>
      </c>
      <c r="G2">
        <v>1</v>
      </c>
      <c r="H2">
        <v>1</v>
      </c>
      <c r="I2">
        <v>1</v>
      </c>
      <c r="J2" s="8">
        <v>1</v>
      </c>
      <c r="K2">
        <v>1</v>
      </c>
      <c r="L2" s="8">
        <v>1</v>
      </c>
      <c r="M2" s="67">
        <f t="shared" ref="M2:M14" si="0">SUM(F2:K2)</f>
        <v>6</v>
      </c>
      <c r="O2">
        <v>1</v>
      </c>
    </row>
    <row r="3" spans="1:15">
      <c r="A3" s="8">
        <v>30</v>
      </c>
      <c r="B3" s="8" t="s">
        <v>41</v>
      </c>
      <c r="C3" s="8" t="s">
        <v>42</v>
      </c>
      <c r="D3" s="8" t="s">
        <v>42</v>
      </c>
      <c r="E3" s="8">
        <v>30</v>
      </c>
      <c r="F3" s="8">
        <v>1</v>
      </c>
      <c r="G3">
        <v>1</v>
      </c>
      <c r="H3">
        <v>1</v>
      </c>
      <c r="I3">
        <v>1</v>
      </c>
      <c r="K3">
        <v>1</v>
      </c>
      <c r="L3" s="8">
        <v>30</v>
      </c>
      <c r="M3" s="67">
        <f t="shared" si="0"/>
        <v>5</v>
      </c>
    </row>
    <row r="4" spans="1:15">
      <c r="A4" s="8">
        <v>34</v>
      </c>
      <c r="B4" t="s">
        <v>44</v>
      </c>
      <c r="C4" s="8" t="s">
        <v>349</v>
      </c>
      <c r="D4" t="s">
        <v>6</v>
      </c>
      <c r="E4">
        <v>34</v>
      </c>
      <c r="F4" s="8">
        <v>1</v>
      </c>
      <c r="G4"/>
      <c r="H4">
        <v>1</v>
      </c>
      <c r="I4">
        <v>1</v>
      </c>
      <c r="J4" s="8">
        <v>1</v>
      </c>
      <c r="K4"/>
      <c r="L4" s="8">
        <v>34</v>
      </c>
      <c r="M4" s="67">
        <f t="shared" si="0"/>
        <v>4</v>
      </c>
    </row>
    <row r="5" spans="1:15">
      <c r="A5" s="8">
        <v>38</v>
      </c>
      <c r="B5" t="s">
        <v>48</v>
      </c>
      <c r="C5" s="8" t="s">
        <v>357</v>
      </c>
      <c r="D5" t="s">
        <v>15</v>
      </c>
      <c r="E5">
        <v>38</v>
      </c>
      <c r="G5">
        <v>1</v>
      </c>
      <c r="H5"/>
      <c r="I5"/>
      <c r="K5"/>
      <c r="L5" s="8">
        <v>38</v>
      </c>
      <c r="M5" s="67">
        <f t="shared" si="0"/>
        <v>1</v>
      </c>
    </row>
    <row r="6" spans="1:15">
      <c r="A6" s="8">
        <v>41</v>
      </c>
      <c r="B6" t="s">
        <v>5</v>
      </c>
      <c r="C6" s="8" t="s">
        <v>42</v>
      </c>
      <c r="D6" t="s">
        <v>6</v>
      </c>
      <c r="E6">
        <v>41</v>
      </c>
      <c r="F6" s="8">
        <v>1</v>
      </c>
      <c r="G6">
        <v>1</v>
      </c>
      <c r="H6">
        <v>1</v>
      </c>
      <c r="I6"/>
      <c r="J6" s="8">
        <v>1</v>
      </c>
      <c r="K6"/>
      <c r="L6" s="8">
        <v>41</v>
      </c>
      <c r="M6" s="67">
        <f t="shared" si="0"/>
        <v>4</v>
      </c>
    </row>
    <row r="7" spans="1:15">
      <c r="A7" s="8">
        <v>42</v>
      </c>
      <c r="B7" t="s">
        <v>53</v>
      </c>
      <c r="C7" s="8" t="s">
        <v>346</v>
      </c>
      <c r="D7" s="67" t="s">
        <v>15</v>
      </c>
      <c r="E7">
        <v>42</v>
      </c>
      <c r="G7">
        <v>1</v>
      </c>
      <c r="H7"/>
      <c r="I7"/>
      <c r="K7"/>
      <c r="L7" s="8">
        <v>42</v>
      </c>
      <c r="M7" s="67">
        <f t="shared" si="0"/>
        <v>1</v>
      </c>
    </row>
    <row r="8" spans="1:15">
      <c r="A8" s="8">
        <v>45</v>
      </c>
      <c r="B8" t="s">
        <v>55</v>
      </c>
      <c r="C8" s="8" t="s">
        <v>346</v>
      </c>
      <c r="D8" s="67" t="s">
        <v>15</v>
      </c>
      <c r="E8">
        <v>45</v>
      </c>
      <c r="G8"/>
      <c r="H8"/>
      <c r="I8"/>
      <c r="K8"/>
      <c r="L8" s="8">
        <v>45</v>
      </c>
      <c r="M8" s="67">
        <f t="shared" si="0"/>
        <v>0</v>
      </c>
      <c r="N8">
        <v>1</v>
      </c>
    </row>
    <row r="9" spans="1:15">
      <c r="A9" s="8">
        <v>46</v>
      </c>
      <c r="B9" s="4" t="s">
        <v>56</v>
      </c>
      <c r="C9" s="8" t="s">
        <v>360</v>
      </c>
      <c r="D9" s="67" t="s">
        <v>15</v>
      </c>
      <c r="E9">
        <v>46</v>
      </c>
      <c r="G9"/>
      <c r="H9"/>
      <c r="I9"/>
      <c r="K9"/>
      <c r="L9" s="8">
        <v>46</v>
      </c>
      <c r="M9" s="67">
        <f t="shared" si="0"/>
        <v>0</v>
      </c>
      <c r="N9">
        <v>1</v>
      </c>
    </row>
    <row r="10" spans="1:15">
      <c r="A10" s="8">
        <v>48</v>
      </c>
      <c r="B10" t="s">
        <v>57</v>
      </c>
      <c r="C10" s="8" t="s">
        <v>12</v>
      </c>
      <c r="D10" t="s">
        <v>6</v>
      </c>
      <c r="E10">
        <v>48</v>
      </c>
      <c r="F10" s="8">
        <v>1</v>
      </c>
      <c r="G10"/>
      <c r="H10"/>
      <c r="I10">
        <v>1</v>
      </c>
      <c r="K10"/>
      <c r="L10" s="8">
        <v>48</v>
      </c>
      <c r="M10" s="67">
        <f t="shared" si="0"/>
        <v>2</v>
      </c>
    </row>
    <row r="11" spans="1:15">
      <c r="A11" s="8">
        <v>49</v>
      </c>
      <c r="B11" t="s">
        <v>58</v>
      </c>
      <c r="C11" s="8" t="s">
        <v>358</v>
      </c>
      <c r="D11" t="s">
        <v>6</v>
      </c>
      <c r="E11">
        <v>49</v>
      </c>
      <c r="F11" s="8">
        <v>1</v>
      </c>
      <c r="G11">
        <v>1</v>
      </c>
      <c r="H11"/>
      <c r="I11"/>
      <c r="K11">
        <v>1</v>
      </c>
      <c r="L11" s="8">
        <v>49</v>
      </c>
      <c r="M11" s="67">
        <f t="shared" si="0"/>
        <v>3</v>
      </c>
    </row>
    <row r="12" spans="1:15">
      <c r="A12" s="8">
        <v>52</v>
      </c>
      <c r="B12" t="s">
        <v>41</v>
      </c>
      <c r="C12" s="8" t="s">
        <v>42</v>
      </c>
      <c r="D12" t="s">
        <v>6</v>
      </c>
      <c r="E12">
        <v>52</v>
      </c>
      <c r="F12" s="8">
        <v>1</v>
      </c>
      <c r="G12">
        <v>1</v>
      </c>
      <c r="H12">
        <v>1</v>
      </c>
      <c r="I12">
        <v>1</v>
      </c>
      <c r="J12" s="8">
        <v>1</v>
      </c>
      <c r="K12">
        <v>1</v>
      </c>
      <c r="L12" s="8">
        <v>52</v>
      </c>
      <c r="M12" s="67">
        <f t="shared" si="0"/>
        <v>6</v>
      </c>
      <c r="O12">
        <v>1</v>
      </c>
    </row>
    <row r="13" spans="1:15">
      <c r="A13" s="8">
        <v>53</v>
      </c>
      <c r="B13" s="8" t="s">
        <v>62</v>
      </c>
      <c r="C13" s="8" t="s">
        <v>42</v>
      </c>
      <c r="D13" s="8" t="s">
        <v>42</v>
      </c>
      <c r="E13" s="8">
        <v>53</v>
      </c>
      <c r="F13" s="8">
        <v>1</v>
      </c>
      <c r="G13" s="8">
        <v>1</v>
      </c>
      <c r="H13" s="8">
        <v>1</v>
      </c>
      <c r="I13" s="8">
        <v>1</v>
      </c>
      <c r="J13" s="8">
        <v>1</v>
      </c>
      <c r="L13" s="8">
        <v>53</v>
      </c>
      <c r="M13" s="67">
        <f t="shared" si="0"/>
        <v>5</v>
      </c>
    </row>
    <row r="14" spans="1:15">
      <c r="A14" s="8">
        <v>54</v>
      </c>
      <c r="B14" t="s">
        <v>63</v>
      </c>
      <c r="C14" s="8" t="s">
        <v>346</v>
      </c>
      <c r="D14" s="67" t="s">
        <v>15</v>
      </c>
      <c r="E14">
        <v>54</v>
      </c>
      <c r="G14"/>
      <c r="H14"/>
      <c r="I14"/>
      <c r="K14"/>
      <c r="L14" s="8">
        <v>54</v>
      </c>
      <c r="M14" s="67">
        <f t="shared" si="0"/>
        <v>0</v>
      </c>
      <c r="N14">
        <v>1</v>
      </c>
    </row>
    <row r="15" spans="1:15">
      <c r="A15" s="8">
        <v>56</v>
      </c>
      <c r="B15" t="s">
        <v>53</v>
      </c>
      <c r="C15" s="8" t="s">
        <v>346</v>
      </c>
      <c r="D15" s="67" t="s">
        <v>15</v>
      </c>
      <c r="E15">
        <v>56</v>
      </c>
      <c r="G15">
        <v>1</v>
      </c>
      <c r="H15"/>
      <c r="I15"/>
      <c r="K15"/>
      <c r="L15" s="8">
        <v>56</v>
      </c>
      <c r="M15" s="67">
        <f t="shared" ref="M15:M78" si="1">SUM(F15:K15)</f>
        <v>1</v>
      </c>
    </row>
    <row r="16" spans="1:15">
      <c r="A16" s="8">
        <v>57</v>
      </c>
      <c r="B16" t="s">
        <v>44</v>
      </c>
      <c r="C16" s="8" t="s">
        <v>349</v>
      </c>
      <c r="D16" t="s">
        <v>6</v>
      </c>
      <c r="E16">
        <v>57</v>
      </c>
      <c r="F16" s="8">
        <v>1</v>
      </c>
      <c r="G16">
        <v>1</v>
      </c>
      <c r="H16">
        <v>1</v>
      </c>
      <c r="I16">
        <v>1</v>
      </c>
      <c r="J16" s="8">
        <v>1</v>
      </c>
      <c r="K16">
        <v>1</v>
      </c>
      <c r="L16" s="8">
        <v>57</v>
      </c>
      <c r="M16" s="67">
        <f t="shared" si="1"/>
        <v>6</v>
      </c>
      <c r="O16">
        <v>1</v>
      </c>
    </row>
    <row r="17" spans="1:15">
      <c r="A17" s="8">
        <v>59</v>
      </c>
      <c r="B17" s="4" t="s">
        <v>56</v>
      </c>
      <c r="C17" s="8" t="s">
        <v>360</v>
      </c>
      <c r="D17" s="67" t="s">
        <v>15</v>
      </c>
      <c r="E17">
        <v>59</v>
      </c>
      <c r="G17"/>
      <c r="H17"/>
      <c r="I17"/>
      <c r="K17"/>
      <c r="L17" s="8">
        <v>59</v>
      </c>
      <c r="M17" s="67">
        <f t="shared" si="1"/>
        <v>0</v>
      </c>
      <c r="N17">
        <v>1</v>
      </c>
    </row>
    <row r="18" spans="1:15">
      <c r="A18" s="8">
        <v>60</v>
      </c>
      <c r="B18" t="s">
        <v>48</v>
      </c>
      <c r="C18" s="8" t="s">
        <v>357</v>
      </c>
      <c r="D18" s="67" t="s">
        <v>15</v>
      </c>
      <c r="E18">
        <v>60</v>
      </c>
      <c r="G18">
        <v>1</v>
      </c>
      <c r="H18"/>
      <c r="I18"/>
      <c r="K18">
        <v>1</v>
      </c>
      <c r="L18" s="8">
        <v>60</v>
      </c>
      <c r="M18" s="67">
        <f t="shared" si="1"/>
        <v>2</v>
      </c>
    </row>
    <row r="19" spans="1:15">
      <c r="A19" s="8">
        <v>61</v>
      </c>
      <c r="B19" t="s">
        <v>99</v>
      </c>
      <c r="C19" s="8" t="s">
        <v>346</v>
      </c>
      <c r="D19" s="67" t="s">
        <v>15</v>
      </c>
      <c r="E19">
        <v>61</v>
      </c>
      <c r="G19">
        <v>1</v>
      </c>
      <c r="H19"/>
      <c r="I19"/>
      <c r="K19"/>
      <c r="L19" s="8">
        <v>61</v>
      </c>
      <c r="M19" s="67">
        <f t="shared" si="1"/>
        <v>1</v>
      </c>
    </row>
    <row r="20" spans="1:15">
      <c r="A20" s="8">
        <v>62</v>
      </c>
      <c r="B20" t="s">
        <v>68</v>
      </c>
      <c r="C20" s="8" t="s">
        <v>357</v>
      </c>
      <c r="D20" s="67" t="s">
        <v>15</v>
      </c>
      <c r="E20">
        <v>62</v>
      </c>
      <c r="F20" s="8">
        <v>1</v>
      </c>
      <c r="G20">
        <v>1</v>
      </c>
      <c r="H20"/>
      <c r="I20"/>
      <c r="K20">
        <v>1</v>
      </c>
      <c r="L20" s="8">
        <v>62</v>
      </c>
      <c r="M20" s="67">
        <f t="shared" si="1"/>
        <v>3</v>
      </c>
    </row>
    <row r="21" spans="1:15">
      <c r="A21" s="8">
        <v>63</v>
      </c>
      <c r="B21" t="s">
        <v>71</v>
      </c>
      <c r="C21" s="8" t="s">
        <v>366</v>
      </c>
      <c r="D21" t="s">
        <v>42</v>
      </c>
      <c r="E21">
        <v>63</v>
      </c>
      <c r="G21">
        <v>1</v>
      </c>
      <c r="H21"/>
      <c r="I21"/>
      <c r="J21" s="8">
        <v>1</v>
      </c>
      <c r="K21">
        <v>1</v>
      </c>
      <c r="L21" s="8">
        <v>63</v>
      </c>
      <c r="M21" s="67">
        <f t="shared" si="1"/>
        <v>3</v>
      </c>
    </row>
    <row r="22" spans="1:15">
      <c r="A22" s="8">
        <v>64</v>
      </c>
      <c r="B22" t="s">
        <v>73</v>
      </c>
      <c r="C22" s="8" t="s">
        <v>165</v>
      </c>
      <c r="D22" t="s">
        <v>42</v>
      </c>
      <c r="E22">
        <v>64</v>
      </c>
      <c r="F22" s="8">
        <v>1</v>
      </c>
      <c r="G22">
        <v>1</v>
      </c>
      <c r="H22">
        <v>1</v>
      </c>
      <c r="I22"/>
      <c r="J22" s="8">
        <v>1</v>
      </c>
      <c r="K22">
        <v>1</v>
      </c>
      <c r="L22" s="8">
        <v>64</v>
      </c>
      <c r="M22" s="67">
        <f t="shared" si="1"/>
        <v>5</v>
      </c>
    </row>
    <row r="23" spans="1:15">
      <c r="A23" s="8">
        <v>65</v>
      </c>
      <c r="B23" t="s">
        <v>74</v>
      </c>
      <c r="C23" s="8" t="s">
        <v>346</v>
      </c>
      <c r="D23" s="67" t="s">
        <v>15</v>
      </c>
      <c r="E23">
        <v>65</v>
      </c>
      <c r="G23"/>
      <c r="H23"/>
      <c r="I23"/>
      <c r="K23"/>
      <c r="L23" s="8">
        <v>65</v>
      </c>
      <c r="M23" s="67">
        <f t="shared" si="1"/>
        <v>0</v>
      </c>
      <c r="N23">
        <v>1</v>
      </c>
    </row>
    <row r="24" spans="1:15">
      <c r="A24" s="8">
        <v>68</v>
      </c>
      <c r="B24" s="8" t="s">
        <v>65</v>
      </c>
      <c r="C24" s="8" t="s">
        <v>12</v>
      </c>
      <c r="D24" s="8" t="s">
        <v>42</v>
      </c>
      <c r="E24" s="8">
        <v>68</v>
      </c>
      <c r="F24" s="8">
        <v>1</v>
      </c>
      <c r="G24">
        <v>1</v>
      </c>
      <c r="H24"/>
      <c r="I24">
        <v>1</v>
      </c>
      <c r="J24" s="58">
        <v>1</v>
      </c>
      <c r="K24">
        <v>1</v>
      </c>
      <c r="L24" s="8">
        <v>68</v>
      </c>
      <c r="M24" s="67">
        <f t="shared" si="1"/>
        <v>5</v>
      </c>
    </row>
    <row r="25" spans="1:15">
      <c r="A25" s="8">
        <v>69</v>
      </c>
      <c r="B25" t="s">
        <v>78</v>
      </c>
      <c r="C25" s="8" t="s">
        <v>359</v>
      </c>
      <c r="D25" s="67" t="s">
        <v>15</v>
      </c>
      <c r="E25">
        <v>69</v>
      </c>
      <c r="G25">
        <v>1</v>
      </c>
      <c r="H25"/>
      <c r="I25"/>
      <c r="K25"/>
      <c r="L25" s="8">
        <v>69</v>
      </c>
      <c r="M25" s="67">
        <f t="shared" si="1"/>
        <v>1</v>
      </c>
    </row>
    <row r="26" spans="1:15">
      <c r="A26" s="8">
        <v>70</v>
      </c>
      <c r="B26" t="s">
        <v>80</v>
      </c>
      <c r="C26" s="8" t="s">
        <v>346</v>
      </c>
      <c r="D26" s="67" t="s">
        <v>15</v>
      </c>
      <c r="E26">
        <v>70</v>
      </c>
      <c r="G26"/>
      <c r="H26"/>
      <c r="I26"/>
      <c r="K26"/>
      <c r="L26" s="8">
        <v>70</v>
      </c>
      <c r="M26" s="67">
        <f t="shared" si="1"/>
        <v>0</v>
      </c>
      <c r="N26">
        <v>1</v>
      </c>
    </row>
    <row r="27" spans="1:15">
      <c r="A27" s="8" t="s">
        <v>82</v>
      </c>
      <c r="B27" t="s">
        <v>55</v>
      </c>
      <c r="C27" s="8" t="s">
        <v>346</v>
      </c>
      <c r="D27" s="67" t="s">
        <v>15</v>
      </c>
      <c r="E27" t="s">
        <v>82</v>
      </c>
      <c r="G27">
        <v>1</v>
      </c>
      <c r="H27"/>
      <c r="I27"/>
      <c r="K27"/>
      <c r="L27" s="8" t="s">
        <v>82</v>
      </c>
      <c r="M27" s="67">
        <f t="shared" si="1"/>
        <v>1</v>
      </c>
    </row>
    <row r="28" spans="1:15">
      <c r="A28" s="8">
        <v>72</v>
      </c>
      <c r="B28" t="s">
        <v>5</v>
      </c>
      <c r="C28" s="8" t="s">
        <v>42</v>
      </c>
      <c r="D28" t="s">
        <v>42</v>
      </c>
      <c r="E28">
        <v>72</v>
      </c>
      <c r="F28" s="8">
        <v>1</v>
      </c>
      <c r="G28">
        <v>1</v>
      </c>
      <c r="H28">
        <v>1</v>
      </c>
      <c r="I28">
        <v>1</v>
      </c>
      <c r="J28" s="8">
        <v>1</v>
      </c>
      <c r="K28">
        <v>1</v>
      </c>
      <c r="L28" s="8">
        <v>72</v>
      </c>
      <c r="M28" s="67">
        <f t="shared" si="1"/>
        <v>6</v>
      </c>
      <c r="O28">
        <v>1</v>
      </c>
    </row>
    <row r="29" spans="1:15">
      <c r="A29" s="8">
        <v>73</v>
      </c>
      <c r="B29" t="s">
        <v>44</v>
      </c>
      <c r="C29" s="8" t="s">
        <v>349</v>
      </c>
      <c r="D29" t="s">
        <v>6</v>
      </c>
      <c r="E29">
        <v>73</v>
      </c>
      <c r="G29"/>
      <c r="H29">
        <v>1</v>
      </c>
      <c r="I29">
        <v>1</v>
      </c>
      <c r="K29"/>
      <c r="L29" s="8">
        <v>73</v>
      </c>
      <c r="M29" s="67">
        <f t="shared" si="1"/>
        <v>2</v>
      </c>
    </row>
    <row r="30" spans="1:15">
      <c r="A30" s="8">
        <v>74</v>
      </c>
      <c r="B30" t="s">
        <v>88</v>
      </c>
      <c r="C30" s="8" t="s">
        <v>12</v>
      </c>
      <c r="D30" t="s">
        <v>6</v>
      </c>
      <c r="E30">
        <v>74</v>
      </c>
      <c r="F30" s="8">
        <v>1</v>
      </c>
      <c r="G30">
        <v>1</v>
      </c>
      <c r="H30"/>
      <c r="I30"/>
      <c r="K30">
        <v>1</v>
      </c>
      <c r="L30" s="8">
        <v>74</v>
      </c>
      <c r="M30" s="67">
        <f t="shared" si="1"/>
        <v>3</v>
      </c>
    </row>
    <row r="31" spans="1:15">
      <c r="A31" s="8">
        <v>76</v>
      </c>
      <c r="B31" t="s">
        <v>73</v>
      </c>
      <c r="C31" s="8" t="s">
        <v>165</v>
      </c>
      <c r="D31" t="s">
        <v>42</v>
      </c>
      <c r="E31">
        <v>76</v>
      </c>
      <c r="F31" s="8">
        <v>1</v>
      </c>
      <c r="G31">
        <v>1</v>
      </c>
      <c r="H31">
        <v>1</v>
      </c>
      <c r="I31">
        <v>1</v>
      </c>
      <c r="J31" s="8">
        <v>1</v>
      </c>
      <c r="K31">
        <v>1</v>
      </c>
      <c r="L31" s="8">
        <v>76</v>
      </c>
      <c r="M31" s="67">
        <f t="shared" si="1"/>
        <v>6</v>
      </c>
      <c r="O31">
        <v>1</v>
      </c>
    </row>
    <row r="32" spans="1:15">
      <c r="A32" s="8">
        <v>77</v>
      </c>
      <c r="B32" t="s">
        <v>78</v>
      </c>
      <c r="C32" s="8" t="s">
        <v>359</v>
      </c>
      <c r="D32" s="67" t="s">
        <v>15</v>
      </c>
      <c r="E32">
        <v>77</v>
      </c>
      <c r="G32">
        <v>1</v>
      </c>
      <c r="H32"/>
      <c r="I32"/>
      <c r="K32"/>
      <c r="L32" s="8">
        <v>77</v>
      </c>
      <c r="M32" s="67">
        <f t="shared" si="1"/>
        <v>1</v>
      </c>
    </row>
    <row r="33" spans="1:14">
      <c r="A33" s="8">
        <v>79</v>
      </c>
      <c r="B33" t="s">
        <v>71</v>
      </c>
      <c r="C33" s="8" t="s">
        <v>366</v>
      </c>
      <c r="D33" t="s">
        <v>42</v>
      </c>
      <c r="E33">
        <v>79</v>
      </c>
      <c r="F33" s="8">
        <v>1</v>
      </c>
      <c r="G33">
        <v>1</v>
      </c>
      <c r="H33"/>
      <c r="I33"/>
      <c r="J33" s="8">
        <v>1</v>
      </c>
      <c r="K33">
        <v>1</v>
      </c>
      <c r="L33" s="8">
        <v>79</v>
      </c>
      <c r="M33" s="67">
        <f t="shared" si="1"/>
        <v>4</v>
      </c>
    </row>
    <row r="34" spans="1:14">
      <c r="A34" s="8">
        <v>82</v>
      </c>
      <c r="B34" s="55" t="s">
        <v>56</v>
      </c>
      <c r="C34" s="8" t="s">
        <v>360</v>
      </c>
      <c r="D34" s="67" t="s">
        <v>15</v>
      </c>
      <c r="E34" s="8">
        <v>82</v>
      </c>
      <c r="G34"/>
      <c r="H34"/>
      <c r="I34"/>
      <c r="K34"/>
      <c r="L34" s="8">
        <v>82</v>
      </c>
      <c r="M34" s="67">
        <f t="shared" si="1"/>
        <v>0</v>
      </c>
      <c r="N34">
        <v>1</v>
      </c>
    </row>
    <row r="35" spans="1:14">
      <c r="A35" s="8">
        <v>85</v>
      </c>
      <c r="B35" t="s">
        <v>93</v>
      </c>
      <c r="C35" s="8" t="s">
        <v>12</v>
      </c>
      <c r="D35" t="s">
        <v>6</v>
      </c>
      <c r="E35">
        <v>85</v>
      </c>
      <c r="F35" s="8">
        <v>1</v>
      </c>
      <c r="G35">
        <v>1</v>
      </c>
      <c r="H35">
        <v>1</v>
      </c>
      <c r="I35">
        <v>1</v>
      </c>
      <c r="K35">
        <v>1</v>
      </c>
      <c r="L35" s="8">
        <v>85</v>
      </c>
      <c r="M35" s="67">
        <f t="shared" si="1"/>
        <v>5</v>
      </c>
    </row>
    <row r="36" spans="1:14">
      <c r="A36" s="8">
        <v>86</v>
      </c>
      <c r="B36" t="s">
        <v>44</v>
      </c>
      <c r="C36" s="8" t="s">
        <v>349</v>
      </c>
      <c r="D36" t="s">
        <v>6</v>
      </c>
      <c r="E36">
        <v>86</v>
      </c>
      <c r="F36" s="8">
        <v>1</v>
      </c>
      <c r="G36">
        <v>1</v>
      </c>
      <c r="H36">
        <v>1</v>
      </c>
      <c r="I36">
        <v>1</v>
      </c>
      <c r="J36" s="8">
        <v>1</v>
      </c>
      <c r="K36">
        <v>1</v>
      </c>
      <c r="L36" s="8">
        <v>86</v>
      </c>
      <c r="M36" s="67">
        <f t="shared" si="1"/>
        <v>6</v>
      </c>
    </row>
    <row r="37" spans="1:14">
      <c r="A37" s="8">
        <v>88</v>
      </c>
      <c r="B37" t="s">
        <v>55</v>
      </c>
      <c r="C37" s="8" t="s">
        <v>346</v>
      </c>
      <c r="D37" s="67" t="s">
        <v>15</v>
      </c>
      <c r="E37">
        <v>88</v>
      </c>
      <c r="G37"/>
      <c r="H37"/>
      <c r="I37"/>
      <c r="K37"/>
      <c r="L37" s="8">
        <v>88</v>
      </c>
      <c r="M37" s="67">
        <f t="shared" si="1"/>
        <v>0</v>
      </c>
      <c r="N37">
        <v>1</v>
      </c>
    </row>
    <row r="38" spans="1:14">
      <c r="A38" s="8">
        <v>93</v>
      </c>
      <c r="B38" t="s">
        <v>63</v>
      </c>
      <c r="C38" s="8" t="s">
        <v>346</v>
      </c>
      <c r="D38" s="67" t="s">
        <v>15</v>
      </c>
      <c r="E38">
        <v>93</v>
      </c>
      <c r="G38"/>
      <c r="H38"/>
      <c r="I38"/>
      <c r="K38"/>
      <c r="L38" s="8">
        <v>93</v>
      </c>
      <c r="M38" s="67">
        <f t="shared" si="1"/>
        <v>0</v>
      </c>
      <c r="N38">
        <v>1</v>
      </c>
    </row>
    <row r="39" spans="1:14">
      <c r="A39" s="8">
        <v>95</v>
      </c>
      <c r="B39" t="s">
        <v>53</v>
      </c>
      <c r="C39" s="8" t="s">
        <v>346</v>
      </c>
      <c r="D39" s="67" t="s">
        <v>15</v>
      </c>
      <c r="E39">
        <v>95</v>
      </c>
      <c r="F39" s="8">
        <v>1</v>
      </c>
      <c r="G39">
        <v>1</v>
      </c>
      <c r="H39"/>
      <c r="I39">
        <v>1</v>
      </c>
      <c r="K39"/>
      <c r="L39" s="8">
        <v>95</v>
      </c>
      <c r="M39" s="67">
        <f t="shared" si="1"/>
        <v>3</v>
      </c>
    </row>
    <row r="40" spans="1:14">
      <c r="A40" s="8">
        <v>97</v>
      </c>
      <c r="B40" t="s">
        <v>44</v>
      </c>
      <c r="C40" s="8" t="s">
        <v>349</v>
      </c>
      <c r="D40" t="s">
        <v>42</v>
      </c>
      <c r="E40">
        <v>97</v>
      </c>
      <c r="F40" s="8">
        <v>1</v>
      </c>
      <c r="G40">
        <v>1</v>
      </c>
      <c r="H40">
        <v>1</v>
      </c>
      <c r="I40">
        <v>1</v>
      </c>
      <c r="J40" s="8">
        <v>1</v>
      </c>
      <c r="K40"/>
      <c r="L40" s="8">
        <v>97</v>
      </c>
      <c r="M40" s="67">
        <f t="shared" si="1"/>
        <v>5</v>
      </c>
    </row>
    <row r="41" spans="1:14">
      <c r="A41" s="8">
        <v>98</v>
      </c>
      <c r="B41" t="s">
        <v>62</v>
      </c>
      <c r="C41" s="8" t="s">
        <v>42</v>
      </c>
      <c r="D41" t="s">
        <v>42</v>
      </c>
      <c r="E41">
        <v>98</v>
      </c>
      <c r="F41" s="8">
        <v>1</v>
      </c>
      <c r="G41">
        <v>1</v>
      </c>
      <c r="H41"/>
      <c r="I41">
        <v>1</v>
      </c>
      <c r="J41" s="8">
        <v>1</v>
      </c>
      <c r="K41">
        <v>1</v>
      </c>
      <c r="L41" s="8">
        <v>98</v>
      </c>
      <c r="M41" s="67">
        <f t="shared" si="1"/>
        <v>5</v>
      </c>
    </row>
    <row r="42" spans="1:14">
      <c r="A42" s="8">
        <v>100</v>
      </c>
      <c r="B42" t="s">
        <v>62</v>
      </c>
      <c r="C42" s="8" t="s">
        <v>42</v>
      </c>
      <c r="D42" s="8" t="s">
        <v>42</v>
      </c>
      <c r="E42">
        <v>100</v>
      </c>
      <c r="F42" s="8">
        <v>1</v>
      </c>
      <c r="G42">
        <v>1</v>
      </c>
      <c r="H42"/>
      <c r="I42">
        <v>1</v>
      </c>
      <c r="J42" s="8">
        <v>1</v>
      </c>
      <c r="K42"/>
      <c r="L42" s="8">
        <v>100</v>
      </c>
      <c r="M42" s="67">
        <f t="shared" si="1"/>
        <v>4</v>
      </c>
    </row>
    <row r="43" spans="1:14">
      <c r="A43" s="8">
        <v>104</v>
      </c>
      <c r="B43" t="s">
        <v>106</v>
      </c>
      <c r="C43" s="8" t="s">
        <v>349</v>
      </c>
      <c r="D43" t="s">
        <v>42</v>
      </c>
      <c r="E43">
        <v>104</v>
      </c>
      <c r="F43" s="8">
        <v>1</v>
      </c>
      <c r="G43">
        <v>1</v>
      </c>
      <c r="H43">
        <v>1</v>
      </c>
      <c r="I43">
        <v>1</v>
      </c>
      <c r="J43" s="8">
        <v>1</v>
      </c>
      <c r="K43"/>
      <c r="L43" s="8">
        <v>104</v>
      </c>
      <c r="M43" s="67">
        <f t="shared" si="1"/>
        <v>5</v>
      </c>
    </row>
    <row r="44" spans="1:14">
      <c r="A44" s="8">
        <v>105</v>
      </c>
      <c r="B44" t="s">
        <v>55</v>
      </c>
      <c r="C44" s="8" t="s">
        <v>346</v>
      </c>
      <c r="D44" s="67" t="s">
        <v>15</v>
      </c>
      <c r="E44">
        <v>105</v>
      </c>
      <c r="G44"/>
      <c r="H44"/>
      <c r="I44"/>
      <c r="K44"/>
      <c r="L44" s="8">
        <v>105</v>
      </c>
      <c r="M44" s="67">
        <f t="shared" si="1"/>
        <v>0</v>
      </c>
      <c r="N44">
        <v>1</v>
      </c>
    </row>
    <row r="45" spans="1:14">
      <c r="A45" s="8">
        <v>106</v>
      </c>
      <c r="B45" t="s">
        <v>55</v>
      </c>
      <c r="C45" s="8" t="s">
        <v>346</v>
      </c>
      <c r="D45" s="67" t="s">
        <v>15</v>
      </c>
      <c r="E45">
        <v>106</v>
      </c>
      <c r="G45"/>
      <c r="H45"/>
      <c r="I45"/>
      <c r="K45"/>
      <c r="L45" s="8">
        <v>106</v>
      </c>
      <c r="M45" s="67">
        <f t="shared" si="1"/>
        <v>0</v>
      </c>
      <c r="N45">
        <v>1</v>
      </c>
    </row>
    <row r="46" spans="1:14">
      <c r="A46" s="8">
        <v>108</v>
      </c>
      <c r="B46" t="s">
        <v>99</v>
      </c>
      <c r="C46" s="8" t="s">
        <v>346</v>
      </c>
      <c r="D46" s="67" t="s">
        <v>15</v>
      </c>
      <c r="E46">
        <v>108</v>
      </c>
      <c r="G46">
        <v>1</v>
      </c>
      <c r="H46"/>
      <c r="I46"/>
      <c r="K46"/>
      <c r="L46" s="8">
        <v>108</v>
      </c>
      <c r="M46" s="67">
        <f t="shared" si="1"/>
        <v>1</v>
      </c>
    </row>
    <row r="47" spans="1:14">
      <c r="A47" s="8">
        <v>109</v>
      </c>
      <c r="B47" t="s">
        <v>107</v>
      </c>
      <c r="C47" s="8" t="s">
        <v>358</v>
      </c>
      <c r="D47" t="s">
        <v>6</v>
      </c>
      <c r="E47">
        <v>109</v>
      </c>
      <c r="G47">
        <v>1</v>
      </c>
      <c r="H47"/>
      <c r="I47"/>
      <c r="K47">
        <v>1</v>
      </c>
      <c r="L47" s="8">
        <v>109</v>
      </c>
      <c r="M47" s="67">
        <f t="shared" si="1"/>
        <v>2</v>
      </c>
    </row>
    <row r="48" spans="1:14">
      <c r="A48" s="8">
        <v>112</v>
      </c>
      <c r="B48" t="s">
        <v>62</v>
      </c>
      <c r="C48" s="8" t="s">
        <v>42</v>
      </c>
      <c r="D48" t="s">
        <v>42</v>
      </c>
      <c r="E48">
        <v>112</v>
      </c>
      <c r="G48">
        <v>1</v>
      </c>
      <c r="H48">
        <v>1</v>
      </c>
      <c r="I48">
        <v>1</v>
      </c>
      <c r="J48" s="8">
        <v>1</v>
      </c>
      <c r="K48"/>
      <c r="L48" s="8">
        <v>112</v>
      </c>
      <c r="M48" s="67">
        <f t="shared" si="1"/>
        <v>4</v>
      </c>
    </row>
    <row r="49" spans="1:15">
      <c r="A49" s="8">
        <v>115</v>
      </c>
      <c r="B49" t="s">
        <v>68</v>
      </c>
      <c r="C49" s="8" t="s">
        <v>357</v>
      </c>
      <c r="D49" s="67" t="s">
        <v>15</v>
      </c>
      <c r="E49">
        <v>115</v>
      </c>
      <c r="F49" s="8">
        <v>1</v>
      </c>
      <c r="G49">
        <v>1</v>
      </c>
      <c r="H49"/>
      <c r="I49"/>
      <c r="K49">
        <v>1</v>
      </c>
      <c r="L49" s="8">
        <v>115</v>
      </c>
      <c r="M49" s="67">
        <f t="shared" si="1"/>
        <v>3</v>
      </c>
    </row>
    <row r="50" spans="1:15">
      <c r="A50" s="8">
        <v>116</v>
      </c>
      <c r="B50" t="s">
        <v>62</v>
      </c>
      <c r="C50" s="8" t="s">
        <v>42</v>
      </c>
      <c r="D50" t="s">
        <v>42</v>
      </c>
      <c r="E50">
        <v>116</v>
      </c>
      <c r="G50">
        <v>1</v>
      </c>
      <c r="H50"/>
      <c r="I50">
        <v>1</v>
      </c>
      <c r="J50" s="8">
        <v>1</v>
      </c>
      <c r="K50"/>
      <c r="L50" s="8">
        <v>116</v>
      </c>
      <c r="M50" s="67">
        <f t="shared" si="1"/>
        <v>3</v>
      </c>
    </row>
    <row r="51" spans="1:15">
      <c r="A51" s="8">
        <v>117</v>
      </c>
      <c r="B51" t="s">
        <v>55</v>
      </c>
      <c r="C51" s="8" t="s">
        <v>346</v>
      </c>
      <c r="D51" s="67" t="s">
        <v>15</v>
      </c>
      <c r="E51">
        <v>117</v>
      </c>
      <c r="G51">
        <v>1</v>
      </c>
      <c r="H51"/>
      <c r="I51"/>
      <c r="K51"/>
      <c r="L51" s="8">
        <v>117</v>
      </c>
      <c r="M51" s="67">
        <f t="shared" si="1"/>
        <v>1</v>
      </c>
    </row>
    <row r="52" spans="1:15">
      <c r="A52" s="8">
        <v>120</v>
      </c>
      <c r="B52" t="s">
        <v>73</v>
      </c>
      <c r="C52" s="8" t="s">
        <v>165</v>
      </c>
      <c r="D52" t="s">
        <v>42</v>
      </c>
      <c r="E52">
        <v>120</v>
      </c>
      <c r="F52" s="8">
        <v>1</v>
      </c>
      <c r="G52">
        <v>1</v>
      </c>
      <c r="H52">
        <v>1</v>
      </c>
      <c r="I52">
        <v>1</v>
      </c>
      <c r="J52" s="8">
        <v>1</v>
      </c>
      <c r="K52">
        <v>1</v>
      </c>
      <c r="L52" s="8">
        <v>120</v>
      </c>
      <c r="M52" s="67">
        <f t="shared" si="1"/>
        <v>6</v>
      </c>
      <c r="O52">
        <v>1</v>
      </c>
    </row>
    <row r="53" spans="1:15">
      <c r="A53" s="8">
        <v>121</v>
      </c>
      <c r="B53" t="s">
        <v>113</v>
      </c>
      <c r="C53" s="8" t="s">
        <v>357</v>
      </c>
      <c r="D53" s="67" t="s">
        <v>15</v>
      </c>
      <c r="E53">
        <v>121</v>
      </c>
      <c r="F53" s="8">
        <v>1</v>
      </c>
      <c r="G53">
        <v>1</v>
      </c>
      <c r="H53"/>
      <c r="I53"/>
      <c r="K53">
        <v>1</v>
      </c>
      <c r="L53" s="8">
        <v>121</v>
      </c>
      <c r="M53" s="67">
        <f t="shared" si="1"/>
        <v>3</v>
      </c>
    </row>
    <row r="54" spans="1:15">
      <c r="A54" s="8">
        <v>122</v>
      </c>
      <c r="B54" t="s">
        <v>115</v>
      </c>
      <c r="C54" s="8" t="s">
        <v>357</v>
      </c>
      <c r="D54" t="s">
        <v>6</v>
      </c>
      <c r="E54">
        <v>122</v>
      </c>
      <c r="G54">
        <v>1</v>
      </c>
      <c r="H54"/>
      <c r="I54"/>
      <c r="K54"/>
      <c r="L54" s="8">
        <v>122</v>
      </c>
      <c r="M54" s="67">
        <f t="shared" si="1"/>
        <v>1</v>
      </c>
    </row>
    <row r="55" spans="1:15">
      <c r="A55" s="8">
        <v>125</v>
      </c>
      <c r="B55" t="s">
        <v>78</v>
      </c>
      <c r="C55" s="8" t="s">
        <v>359</v>
      </c>
      <c r="D55" s="67" t="s">
        <v>15</v>
      </c>
      <c r="E55">
        <v>125</v>
      </c>
      <c r="G55"/>
      <c r="H55"/>
      <c r="I55"/>
      <c r="K55"/>
      <c r="L55" s="8">
        <v>125</v>
      </c>
      <c r="M55" s="67">
        <f t="shared" si="1"/>
        <v>0</v>
      </c>
      <c r="N55">
        <v>1</v>
      </c>
    </row>
    <row r="56" spans="1:15">
      <c r="A56" s="8">
        <v>127</v>
      </c>
      <c r="B56" t="s">
        <v>62</v>
      </c>
      <c r="C56" s="8" t="s">
        <v>42</v>
      </c>
      <c r="D56" t="s">
        <v>42</v>
      </c>
      <c r="E56">
        <v>127</v>
      </c>
      <c r="F56" s="8">
        <v>1</v>
      </c>
      <c r="G56">
        <v>1</v>
      </c>
      <c r="H56"/>
      <c r="I56">
        <v>1</v>
      </c>
      <c r="K56"/>
      <c r="L56" s="8">
        <v>127</v>
      </c>
      <c r="M56" s="67">
        <f t="shared" si="1"/>
        <v>3</v>
      </c>
    </row>
    <row r="57" spans="1:15">
      <c r="A57" s="8">
        <v>129</v>
      </c>
      <c r="B57" t="s">
        <v>88</v>
      </c>
      <c r="C57" s="8" t="s">
        <v>12</v>
      </c>
      <c r="D57" t="s">
        <v>6</v>
      </c>
      <c r="E57">
        <v>129</v>
      </c>
      <c r="G57">
        <v>1</v>
      </c>
      <c r="H57"/>
      <c r="I57"/>
      <c r="K57">
        <v>1</v>
      </c>
      <c r="L57" s="8">
        <v>129</v>
      </c>
      <c r="M57" s="67">
        <f t="shared" si="1"/>
        <v>2</v>
      </c>
    </row>
    <row r="58" spans="1:15">
      <c r="A58" s="8">
        <v>130</v>
      </c>
      <c r="B58" t="s">
        <v>41</v>
      </c>
      <c r="C58" s="8" t="s">
        <v>42</v>
      </c>
      <c r="D58" t="s">
        <v>42</v>
      </c>
      <c r="E58">
        <v>130</v>
      </c>
      <c r="G58">
        <v>1</v>
      </c>
      <c r="H58"/>
      <c r="I58"/>
      <c r="J58" s="8">
        <v>1</v>
      </c>
      <c r="K58"/>
      <c r="L58" s="8">
        <v>130</v>
      </c>
      <c r="M58" s="67">
        <f t="shared" si="1"/>
        <v>2</v>
      </c>
    </row>
    <row r="59" spans="1:15">
      <c r="A59" s="8">
        <v>131</v>
      </c>
      <c r="B59" t="s">
        <v>63</v>
      </c>
      <c r="C59" s="8" t="s">
        <v>346</v>
      </c>
      <c r="D59" s="67" t="s">
        <v>15</v>
      </c>
      <c r="E59">
        <v>131</v>
      </c>
      <c r="G59"/>
      <c r="H59"/>
      <c r="I59"/>
      <c r="K59"/>
      <c r="L59" s="8">
        <v>131</v>
      </c>
      <c r="M59" s="67">
        <f t="shared" si="1"/>
        <v>0</v>
      </c>
      <c r="N59">
        <v>1</v>
      </c>
    </row>
    <row r="60" spans="1:15">
      <c r="A60" s="8">
        <v>132</v>
      </c>
      <c r="B60" t="s">
        <v>99</v>
      </c>
      <c r="C60" s="8" t="s">
        <v>346</v>
      </c>
      <c r="D60" s="67" t="s">
        <v>15</v>
      </c>
      <c r="E60">
        <v>132</v>
      </c>
      <c r="G60">
        <v>1</v>
      </c>
      <c r="H60"/>
      <c r="I60"/>
      <c r="K60"/>
      <c r="L60" s="8">
        <v>132</v>
      </c>
      <c r="M60" s="67">
        <f t="shared" si="1"/>
        <v>1</v>
      </c>
    </row>
    <row r="61" spans="1:15">
      <c r="A61" s="8">
        <v>133</v>
      </c>
      <c r="B61" t="s">
        <v>41</v>
      </c>
      <c r="C61" s="8" t="s">
        <v>42</v>
      </c>
      <c r="D61" t="s">
        <v>6</v>
      </c>
      <c r="E61">
        <v>133</v>
      </c>
      <c r="F61" s="8">
        <v>1</v>
      </c>
      <c r="G61">
        <v>1</v>
      </c>
      <c r="H61"/>
      <c r="I61"/>
      <c r="J61" s="8">
        <v>1</v>
      </c>
      <c r="K61">
        <v>1</v>
      </c>
      <c r="L61" s="8">
        <v>133</v>
      </c>
      <c r="M61" s="67">
        <f t="shared" si="1"/>
        <v>4</v>
      </c>
    </row>
    <row r="62" spans="1:15">
      <c r="A62" s="8">
        <v>134</v>
      </c>
      <c r="B62" t="s">
        <v>74</v>
      </c>
      <c r="C62" s="8" t="s">
        <v>346</v>
      </c>
      <c r="D62" s="67" t="s">
        <v>15</v>
      </c>
      <c r="E62">
        <v>134</v>
      </c>
      <c r="G62">
        <v>1</v>
      </c>
      <c r="H62"/>
      <c r="I62"/>
      <c r="K62"/>
      <c r="L62" s="8">
        <v>134</v>
      </c>
      <c r="M62" s="67">
        <f t="shared" si="1"/>
        <v>1</v>
      </c>
    </row>
    <row r="63" spans="1:15">
      <c r="A63" s="8">
        <v>135</v>
      </c>
      <c r="B63" t="s">
        <v>63</v>
      </c>
      <c r="C63" s="8" t="s">
        <v>346</v>
      </c>
      <c r="D63" s="67" t="s">
        <v>15</v>
      </c>
      <c r="E63">
        <v>135</v>
      </c>
      <c r="G63"/>
      <c r="H63"/>
      <c r="I63"/>
      <c r="K63"/>
      <c r="L63" s="8">
        <v>135</v>
      </c>
      <c r="M63" s="67">
        <f t="shared" si="1"/>
        <v>0</v>
      </c>
      <c r="N63">
        <v>1</v>
      </c>
    </row>
    <row r="64" spans="1:15">
      <c r="A64" s="8">
        <v>136</v>
      </c>
      <c r="B64" t="s">
        <v>54</v>
      </c>
      <c r="C64" s="8" t="s">
        <v>345</v>
      </c>
      <c r="D64" s="67" t="s">
        <v>15</v>
      </c>
      <c r="E64">
        <v>136</v>
      </c>
      <c r="G64"/>
      <c r="H64"/>
      <c r="I64"/>
      <c r="K64"/>
      <c r="L64" s="8">
        <v>136</v>
      </c>
      <c r="M64" s="67">
        <f t="shared" si="1"/>
        <v>0</v>
      </c>
      <c r="N64">
        <v>1</v>
      </c>
    </row>
    <row r="65" spans="1:15">
      <c r="A65" s="8">
        <v>139</v>
      </c>
      <c r="B65" t="s">
        <v>123</v>
      </c>
      <c r="C65" s="8" t="s">
        <v>366</v>
      </c>
      <c r="D65" t="s">
        <v>42</v>
      </c>
      <c r="E65">
        <v>139</v>
      </c>
      <c r="F65" s="8">
        <v>1</v>
      </c>
      <c r="G65">
        <v>1</v>
      </c>
      <c r="H65"/>
      <c r="I65">
        <v>1</v>
      </c>
      <c r="J65" s="8">
        <v>1</v>
      </c>
      <c r="K65">
        <v>1</v>
      </c>
      <c r="L65" s="8">
        <v>139</v>
      </c>
      <c r="M65" s="67">
        <f t="shared" si="1"/>
        <v>5</v>
      </c>
    </row>
    <row r="66" spans="1:15">
      <c r="A66" s="8">
        <v>140</v>
      </c>
      <c r="B66" s="8" t="s">
        <v>216</v>
      </c>
      <c r="C66" s="8" t="s">
        <v>42</v>
      </c>
      <c r="D66" s="8" t="s">
        <v>42</v>
      </c>
      <c r="E66" s="8">
        <v>140</v>
      </c>
      <c r="G66">
        <v>1</v>
      </c>
      <c r="H66"/>
      <c r="I66"/>
      <c r="K66">
        <v>1</v>
      </c>
      <c r="L66" s="8">
        <v>140</v>
      </c>
      <c r="M66" s="67">
        <f t="shared" si="1"/>
        <v>2</v>
      </c>
    </row>
    <row r="67" spans="1:15">
      <c r="A67" s="8">
        <v>141</v>
      </c>
      <c r="B67" s="8" t="s">
        <v>65</v>
      </c>
      <c r="C67" s="8" t="s">
        <v>12</v>
      </c>
      <c r="D67" s="8" t="s">
        <v>6</v>
      </c>
      <c r="E67">
        <v>141</v>
      </c>
      <c r="F67" s="8">
        <v>1</v>
      </c>
      <c r="G67">
        <v>1</v>
      </c>
      <c r="H67">
        <v>1</v>
      </c>
      <c r="I67">
        <v>1</v>
      </c>
      <c r="J67" s="8">
        <v>1</v>
      </c>
      <c r="K67">
        <v>1</v>
      </c>
      <c r="L67" s="8">
        <v>141</v>
      </c>
      <c r="M67" s="67">
        <f t="shared" si="1"/>
        <v>6</v>
      </c>
      <c r="O67">
        <v>1</v>
      </c>
    </row>
    <row r="68" spans="1:15">
      <c r="A68" s="8">
        <v>142</v>
      </c>
      <c r="B68" t="s">
        <v>71</v>
      </c>
      <c r="C68" s="8" t="s">
        <v>366</v>
      </c>
      <c r="D68" t="s">
        <v>42</v>
      </c>
      <c r="E68">
        <v>142</v>
      </c>
      <c r="F68" s="8">
        <v>1</v>
      </c>
      <c r="G68">
        <v>1</v>
      </c>
      <c r="H68">
        <v>1</v>
      </c>
      <c r="I68">
        <v>1</v>
      </c>
      <c r="J68" s="8">
        <v>1</v>
      </c>
      <c r="K68">
        <v>1</v>
      </c>
      <c r="L68" s="8">
        <v>142</v>
      </c>
      <c r="M68" s="67">
        <f t="shared" si="1"/>
        <v>6</v>
      </c>
      <c r="O68">
        <v>1</v>
      </c>
    </row>
    <row r="69" spans="1:15">
      <c r="A69" s="8">
        <v>143</v>
      </c>
      <c r="B69" t="s">
        <v>106</v>
      </c>
      <c r="C69" s="8" t="s">
        <v>349</v>
      </c>
      <c r="D69" t="s">
        <v>42</v>
      </c>
      <c r="E69">
        <v>143</v>
      </c>
      <c r="F69" s="8">
        <v>1</v>
      </c>
      <c r="G69">
        <v>1</v>
      </c>
      <c r="H69">
        <v>1</v>
      </c>
      <c r="I69"/>
      <c r="J69" s="8">
        <v>1</v>
      </c>
      <c r="K69"/>
      <c r="L69" s="8">
        <v>143</v>
      </c>
      <c r="M69" s="67">
        <f t="shared" si="1"/>
        <v>4</v>
      </c>
    </row>
    <row r="70" spans="1:15">
      <c r="A70" s="8">
        <v>144</v>
      </c>
      <c r="B70" t="s">
        <v>80</v>
      </c>
      <c r="C70" s="8" t="s">
        <v>346</v>
      </c>
      <c r="D70" s="67" t="s">
        <v>15</v>
      </c>
      <c r="E70">
        <v>144</v>
      </c>
      <c r="G70">
        <v>1</v>
      </c>
      <c r="H70"/>
      <c r="I70"/>
      <c r="K70"/>
      <c r="L70" s="8">
        <v>144</v>
      </c>
      <c r="M70" s="67">
        <f t="shared" si="1"/>
        <v>1</v>
      </c>
    </row>
    <row r="71" spans="1:15">
      <c r="A71" s="8">
        <v>145</v>
      </c>
      <c r="B71" t="s">
        <v>63</v>
      </c>
      <c r="C71" s="8" t="s">
        <v>346</v>
      </c>
      <c r="D71" s="67" t="s">
        <v>15</v>
      </c>
      <c r="E71">
        <v>145</v>
      </c>
      <c r="G71"/>
      <c r="H71"/>
      <c r="I71"/>
      <c r="K71"/>
      <c r="L71" s="8">
        <v>145</v>
      </c>
      <c r="M71" s="67">
        <f t="shared" si="1"/>
        <v>0</v>
      </c>
      <c r="N71">
        <v>1</v>
      </c>
    </row>
    <row r="72" spans="1:15">
      <c r="A72" s="8">
        <v>147</v>
      </c>
      <c r="B72" t="s">
        <v>68</v>
      </c>
      <c r="C72" s="8" t="s">
        <v>357</v>
      </c>
      <c r="D72" s="67" t="s">
        <v>15</v>
      </c>
      <c r="E72">
        <v>147</v>
      </c>
      <c r="G72">
        <v>1</v>
      </c>
      <c r="H72"/>
      <c r="I72"/>
      <c r="K72"/>
      <c r="L72" s="8">
        <v>147</v>
      </c>
      <c r="M72" s="67">
        <f t="shared" si="1"/>
        <v>1</v>
      </c>
    </row>
    <row r="73" spans="1:15">
      <c r="A73" s="8">
        <v>148</v>
      </c>
      <c r="B73" t="s">
        <v>68</v>
      </c>
      <c r="C73" s="8" t="s">
        <v>357</v>
      </c>
      <c r="D73" s="67" t="s">
        <v>15</v>
      </c>
      <c r="E73">
        <v>148</v>
      </c>
      <c r="F73" s="8">
        <v>1</v>
      </c>
      <c r="G73">
        <v>1</v>
      </c>
      <c r="H73"/>
      <c r="I73">
        <v>1</v>
      </c>
      <c r="K73"/>
      <c r="L73" s="8">
        <v>148</v>
      </c>
      <c r="M73" s="67">
        <f t="shared" si="1"/>
        <v>3</v>
      </c>
    </row>
    <row r="74" spans="1:15">
      <c r="A74" s="8">
        <v>149</v>
      </c>
      <c r="B74" t="s">
        <v>80</v>
      </c>
      <c r="C74" s="8" t="s">
        <v>346</v>
      </c>
      <c r="D74" s="67" t="s">
        <v>15</v>
      </c>
      <c r="E74">
        <v>149</v>
      </c>
      <c r="G74">
        <v>1</v>
      </c>
      <c r="H74"/>
      <c r="I74"/>
      <c r="K74"/>
      <c r="L74" s="8">
        <v>149</v>
      </c>
      <c r="M74" s="67">
        <f t="shared" si="1"/>
        <v>1</v>
      </c>
    </row>
    <row r="75" spans="1:15">
      <c r="A75" s="8">
        <v>150</v>
      </c>
      <c r="B75" t="s">
        <v>56</v>
      </c>
      <c r="C75" s="8" t="s">
        <v>360</v>
      </c>
      <c r="D75" s="67" t="s">
        <v>15</v>
      </c>
      <c r="E75">
        <v>150</v>
      </c>
      <c r="G75"/>
      <c r="H75"/>
      <c r="I75"/>
      <c r="K75"/>
      <c r="L75" s="8">
        <v>150</v>
      </c>
      <c r="M75" s="67">
        <f t="shared" si="1"/>
        <v>0</v>
      </c>
      <c r="N75">
        <v>1</v>
      </c>
    </row>
    <row r="76" spans="1:15">
      <c r="A76" s="8">
        <v>151</v>
      </c>
      <c r="B76" t="s">
        <v>130</v>
      </c>
      <c r="C76" s="8" t="s">
        <v>357</v>
      </c>
      <c r="D76" s="67" t="s">
        <v>15</v>
      </c>
      <c r="E76">
        <v>151</v>
      </c>
      <c r="F76" s="8">
        <v>1</v>
      </c>
      <c r="G76">
        <v>1</v>
      </c>
      <c r="H76"/>
      <c r="I76"/>
      <c r="K76"/>
      <c r="L76" s="8">
        <v>151</v>
      </c>
      <c r="M76" s="67">
        <f t="shared" si="1"/>
        <v>2</v>
      </c>
    </row>
    <row r="77" spans="1:15">
      <c r="A77" s="8">
        <v>157</v>
      </c>
      <c r="B77" t="s">
        <v>55</v>
      </c>
      <c r="C77" s="8" t="s">
        <v>346</v>
      </c>
      <c r="D77" s="67" t="s">
        <v>15</v>
      </c>
      <c r="E77">
        <v>157</v>
      </c>
      <c r="G77"/>
      <c r="H77"/>
      <c r="I77"/>
      <c r="K77"/>
      <c r="L77" s="8">
        <v>157</v>
      </c>
      <c r="M77" s="67">
        <f t="shared" si="1"/>
        <v>0</v>
      </c>
      <c r="N77">
        <v>1</v>
      </c>
    </row>
    <row r="78" spans="1:15">
      <c r="A78" s="8">
        <v>162</v>
      </c>
      <c r="B78" t="s">
        <v>80</v>
      </c>
      <c r="C78" s="8" t="s">
        <v>346</v>
      </c>
      <c r="D78" s="67" t="s">
        <v>15</v>
      </c>
      <c r="E78">
        <v>162</v>
      </c>
      <c r="G78">
        <v>1</v>
      </c>
      <c r="H78"/>
      <c r="I78"/>
      <c r="K78"/>
      <c r="L78" s="8">
        <v>162</v>
      </c>
      <c r="M78" s="67">
        <f t="shared" si="1"/>
        <v>1</v>
      </c>
    </row>
    <row r="79" spans="1:15">
      <c r="A79" s="8">
        <v>163</v>
      </c>
      <c r="B79" t="s">
        <v>62</v>
      </c>
      <c r="C79" s="8" t="s">
        <v>42</v>
      </c>
      <c r="D79" t="s">
        <v>42</v>
      </c>
      <c r="E79">
        <v>163</v>
      </c>
      <c r="F79" s="8">
        <v>1</v>
      </c>
      <c r="G79">
        <v>1</v>
      </c>
      <c r="H79"/>
      <c r="I79">
        <v>1</v>
      </c>
      <c r="J79" s="8">
        <v>1</v>
      </c>
      <c r="K79">
        <v>1</v>
      </c>
      <c r="L79" s="8">
        <v>163</v>
      </c>
      <c r="M79" s="67">
        <f t="shared" ref="M79:M143" si="2">SUM(F79:K79)</f>
        <v>5</v>
      </c>
    </row>
    <row r="80" spans="1:15">
      <c r="A80" s="8">
        <v>166</v>
      </c>
      <c r="B80" t="s">
        <v>136</v>
      </c>
      <c r="C80" s="8" t="s">
        <v>12</v>
      </c>
      <c r="D80" t="s">
        <v>6</v>
      </c>
      <c r="E80">
        <v>166</v>
      </c>
      <c r="F80" s="8">
        <v>1</v>
      </c>
      <c r="G80">
        <v>1</v>
      </c>
      <c r="H80"/>
      <c r="I80">
        <v>1</v>
      </c>
      <c r="K80">
        <v>1</v>
      </c>
      <c r="L80" s="8">
        <v>166</v>
      </c>
      <c r="M80" s="67">
        <f t="shared" si="2"/>
        <v>4</v>
      </c>
    </row>
    <row r="81" spans="1:15">
      <c r="A81" s="8">
        <v>169</v>
      </c>
      <c r="B81" t="s">
        <v>139</v>
      </c>
      <c r="C81" s="8" t="s">
        <v>357</v>
      </c>
      <c r="D81" s="67" t="s">
        <v>15</v>
      </c>
      <c r="E81">
        <v>169</v>
      </c>
      <c r="G81">
        <v>1</v>
      </c>
      <c r="H81"/>
      <c r="I81"/>
      <c r="K81">
        <v>1</v>
      </c>
      <c r="L81" s="8">
        <v>169</v>
      </c>
      <c r="M81" s="67">
        <f t="shared" si="2"/>
        <v>2</v>
      </c>
    </row>
    <row r="82" spans="1:15">
      <c r="A82" s="8">
        <v>170</v>
      </c>
      <c r="B82" t="s">
        <v>5</v>
      </c>
      <c r="C82" s="8" t="s">
        <v>42</v>
      </c>
      <c r="D82" t="s">
        <v>6</v>
      </c>
      <c r="E82">
        <v>170</v>
      </c>
      <c r="F82" s="8">
        <v>1</v>
      </c>
      <c r="G82">
        <v>1</v>
      </c>
      <c r="H82">
        <v>1</v>
      </c>
      <c r="I82"/>
      <c r="K82">
        <v>1</v>
      </c>
      <c r="L82" s="8">
        <v>170</v>
      </c>
      <c r="M82" s="67">
        <f t="shared" si="2"/>
        <v>4</v>
      </c>
    </row>
    <row r="83" spans="1:15">
      <c r="A83" s="8">
        <v>171</v>
      </c>
      <c r="B83" s="8" t="s">
        <v>58</v>
      </c>
      <c r="C83" s="8" t="s">
        <v>358</v>
      </c>
      <c r="D83" s="8" t="s">
        <v>6</v>
      </c>
      <c r="E83" s="8">
        <v>171</v>
      </c>
      <c r="F83" s="8">
        <v>1</v>
      </c>
      <c r="G83">
        <v>1</v>
      </c>
      <c r="H83"/>
      <c r="I83">
        <v>1</v>
      </c>
      <c r="K83">
        <v>1</v>
      </c>
      <c r="L83" s="8">
        <v>171</v>
      </c>
      <c r="M83" s="67">
        <f t="shared" si="2"/>
        <v>4</v>
      </c>
    </row>
    <row r="84" spans="1:15">
      <c r="A84" s="8">
        <v>172</v>
      </c>
      <c r="B84" t="s">
        <v>71</v>
      </c>
      <c r="C84" s="8" t="s">
        <v>366</v>
      </c>
      <c r="D84" t="s">
        <v>6</v>
      </c>
      <c r="E84">
        <v>172</v>
      </c>
      <c r="G84">
        <v>1</v>
      </c>
      <c r="H84">
        <v>1</v>
      </c>
      <c r="I84"/>
      <c r="J84" s="8">
        <v>1</v>
      </c>
      <c r="K84">
        <v>1</v>
      </c>
      <c r="L84" s="8">
        <v>172</v>
      </c>
      <c r="M84" s="67">
        <f t="shared" si="2"/>
        <v>4</v>
      </c>
    </row>
    <row r="85" spans="1:15">
      <c r="A85" s="8">
        <v>174</v>
      </c>
      <c r="B85" t="s">
        <v>141</v>
      </c>
      <c r="C85" s="8" t="s">
        <v>346</v>
      </c>
      <c r="D85" s="67" t="s">
        <v>15</v>
      </c>
      <c r="E85">
        <v>174</v>
      </c>
      <c r="G85"/>
      <c r="H85"/>
      <c r="I85"/>
      <c r="K85"/>
      <c r="L85" s="8">
        <v>174</v>
      </c>
      <c r="M85" s="67">
        <f t="shared" si="2"/>
        <v>0</v>
      </c>
      <c r="N85">
        <v>1</v>
      </c>
    </row>
    <row r="86" spans="1:15">
      <c r="A86" s="8">
        <v>176</v>
      </c>
      <c r="B86" t="s">
        <v>44</v>
      </c>
      <c r="C86" s="8" t="s">
        <v>349</v>
      </c>
      <c r="D86" t="s">
        <v>42</v>
      </c>
      <c r="E86">
        <v>176</v>
      </c>
      <c r="F86" s="8">
        <v>1</v>
      </c>
      <c r="G86">
        <v>1</v>
      </c>
      <c r="H86">
        <v>1</v>
      </c>
      <c r="I86">
        <v>1</v>
      </c>
      <c r="J86" s="8">
        <v>1</v>
      </c>
      <c r="K86">
        <v>1</v>
      </c>
      <c r="L86" s="8">
        <v>176</v>
      </c>
      <c r="M86" s="67">
        <f t="shared" si="2"/>
        <v>6</v>
      </c>
      <c r="O86">
        <v>1</v>
      </c>
    </row>
    <row r="87" spans="1:15">
      <c r="A87" s="8">
        <v>178</v>
      </c>
      <c r="B87" t="s">
        <v>5</v>
      </c>
      <c r="C87" s="8" t="s">
        <v>42</v>
      </c>
      <c r="D87" t="s">
        <v>6</v>
      </c>
      <c r="E87">
        <v>178</v>
      </c>
      <c r="F87" s="8">
        <v>1</v>
      </c>
      <c r="G87">
        <v>1</v>
      </c>
      <c r="H87">
        <v>1</v>
      </c>
      <c r="I87">
        <v>1</v>
      </c>
      <c r="K87"/>
      <c r="L87" s="8">
        <v>178</v>
      </c>
      <c r="M87" s="67">
        <f t="shared" si="2"/>
        <v>4</v>
      </c>
    </row>
    <row r="88" spans="1:15">
      <c r="A88" s="8">
        <v>179</v>
      </c>
      <c r="B88" s="8" t="s">
        <v>48</v>
      </c>
      <c r="C88" s="8" t="s">
        <v>357</v>
      </c>
      <c r="D88" s="67" t="s">
        <v>15</v>
      </c>
      <c r="E88" s="8">
        <v>179</v>
      </c>
      <c r="F88" s="8">
        <v>1</v>
      </c>
      <c r="G88">
        <v>1</v>
      </c>
      <c r="H88"/>
      <c r="I88">
        <v>1</v>
      </c>
      <c r="K88">
        <v>1</v>
      </c>
      <c r="L88" s="8">
        <v>179</v>
      </c>
      <c r="M88" s="67">
        <f t="shared" si="2"/>
        <v>4</v>
      </c>
    </row>
    <row r="89" spans="1:15">
      <c r="A89" s="8">
        <v>180</v>
      </c>
      <c r="B89" t="s">
        <v>143</v>
      </c>
      <c r="C89" s="8" t="s">
        <v>357</v>
      </c>
      <c r="D89" s="67" t="s">
        <v>15</v>
      </c>
      <c r="E89">
        <v>180</v>
      </c>
      <c r="G89">
        <v>1</v>
      </c>
      <c r="H89"/>
      <c r="I89"/>
      <c r="K89"/>
      <c r="L89" s="8">
        <v>180</v>
      </c>
      <c r="M89" s="67">
        <f t="shared" si="2"/>
        <v>1</v>
      </c>
    </row>
    <row r="90" spans="1:15">
      <c r="A90" s="8">
        <v>181</v>
      </c>
      <c r="B90" t="s">
        <v>145</v>
      </c>
      <c r="C90" s="8" t="s">
        <v>357</v>
      </c>
      <c r="D90" s="67" t="s">
        <v>15</v>
      </c>
      <c r="E90">
        <v>181</v>
      </c>
      <c r="F90" s="8">
        <v>1</v>
      </c>
      <c r="G90">
        <v>1</v>
      </c>
      <c r="H90"/>
      <c r="I90">
        <v>1</v>
      </c>
      <c r="K90">
        <v>1</v>
      </c>
      <c r="L90" s="8">
        <v>181</v>
      </c>
      <c r="M90" s="67">
        <f t="shared" si="2"/>
        <v>4</v>
      </c>
    </row>
    <row r="91" spans="1:15">
      <c r="A91" s="8">
        <v>185</v>
      </c>
      <c r="B91" t="s">
        <v>5</v>
      </c>
      <c r="C91" s="8" t="s">
        <v>42</v>
      </c>
      <c r="D91" t="s">
        <v>42</v>
      </c>
      <c r="E91">
        <v>185</v>
      </c>
      <c r="F91" s="8">
        <v>1</v>
      </c>
      <c r="G91">
        <v>1</v>
      </c>
      <c r="H91"/>
      <c r="I91">
        <v>1</v>
      </c>
      <c r="J91" s="8">
        <v>1</v>
      </c>
      <c r="K91"/>
      <c r="L91" s="8">
        <v>185</v>
      </c>
      <c r="M91" s="67">
        <f t="shared" si="2"/>
        <v>4</v>
      </c>
    </row>
    <row r="92" spans="1:15">
      <c r="A92" s="8">
        <v>187</v>
      </c>
      <c r="B92" t="s">
        <v>44</v>
      </c>
      <c r="C92" s="8" t="s">
        <v>349</v>
      </c>
      <c r="D92" t="s">
        <v>6</v>
      </c>
      <c r="E92">
        <v>187</v>
      </c>
      <c r="F92" s="8">
        <v>1</v>
      </c>
      <c r="G92">
        <v>1</v>
      </c>
      <c r="H92">
        <v>1</v>
      </c>
      <c r="I92">
        <v>1</v>
      </c>
      <c r="J92" s="8">
        <v>1</v>
      </c>
      <c r="K92">
        <v>1</v>
      </c>
      <c r="L92" s="8">
        <v>187</v>
      </c>
      <c r="M92" s="67">
        <f t="shared" si="2"/>
        <v>6</v>
      </c>
      <c r="O92">
        <v>1</v>
      </c>
    </row>
    <row r="93" spans="1:15">
      <c r="A93" s="8">
        <v>192</v>
      </c>
      <c r="B93" t="s">
        <v>149</v>
      </c>
      <c r="C93" s="8" t="s">
        <v>346</v>
      </c>
      <c r="D93" s="67" t="s">
        <v>15</v>
      </c>
      <c r="E93">
        <v>192</v>
      </c>
      <c r="G93">
        <v>1</v>
      </c>
      <c r="H93"/>
      <c r="I93"/>
      <c r="K93">
        <v>1</v>
      </c>
      <c r="L93" s="8">
        <v>192</v>
      </c>
      <c r="M93" s="67">
        <f t="shared" si="2"/>
        <v>2</v>
      </c>
    </row>
    <row r="94" spans="1:15">
      <c r="A94" s="8">
        <v>193</v>
      </c>
      <c r="B94" t="s">
        <v>123</v>
      </c>
      <c r="C94" s="8" t="s">
        <v>366</v>
      </c>
      <c r="D94" t="s">
        <v>6</v>
      </c>
      <c r="E94">
        <v>193</v>
      </c>
      <c r="F94" s="8">
        <v>1</v>
      </c>
      <c r="G94">
        <v>1</v>
      </c>
      <c r="H94">
        <v>1</v>
      </c>
      <c r="I94">
        <v>1</v>
      </c>
      <c r="J94" s="8">
        <v>1</v>
      </c>
      <c r="K94"/>
      <c r="L94" s="8">
        <v>193</v>
      </c>
      <c r="M94" s="67">
        <f t="shared" si="2"/>
        <v>5</v>
      </c>
    </row>
    <row r="95" spans="1:15">
      <c r="A95" s="8">
        <v>194</v>
      </c>
      <c r="B95" t="s">
        <v>62</v>
      </c>
      <c r="C95" s="8" t="s">
        <v>42</v>
      </c>
      <c r="D95" t="s">
        <v>42</v>
      </c>
      <c r="E95">
        <v>194</v>
      </c>
      <c r="F95" s="8">
        <v>1</v>
      </c>
      <c r="G95">
        <v>1</v>
      </c>
      <c r="H95">
        <v>1</v>
      </c>
      <c r="I95">
        <v>1</v>
      </c>
      <c r="J95" s="8">
        <v>1</v>
      </c>
      <c r="K95">
        <v>1</v>
      </c>
      <c r="L95" s="8">
        <v>194</v>
      </c>
      <c r="M95" s="67">
        <f t="shared" si="2"/>
        <v>6</v>
      </c>
      <c r="O95">
        <v>1</v>
      </c>
    </row>
    <row r="96" spans="1:15">
      <c r="A96" s="8">
        <v>205</v>
      </c>
      <c r="B96" t="s">
        <v>74</v>
      </c>
      <c r="C96" s="8" t="s">
        <v>346</v>
      </c>
      <c r="D96" s="67" t="s">
        <v>15</v>
      </c>
      <c r="E96">
        <v>205</v>
      </c>
      <c r="G96">
        <v>1</v>
      </c>
      <c r="H96"/>
      <c r="I96"/>
      <c r="K96"/>
      <c r="L96" s="8">
        <v>205</v>
      </c>
      <c r="M96" s="67">
        <f t="shared" si="2"/>
        <v>1</v>
      </c>
    </row>
    <row r="97" spans="1:15">
      <c r="A97" s="8">
        <v>206</v>
      </c>
      <c r="B97" t="s">
        <v>139</v>
      </c>
      <c r="C97" s="8" t="s">
        <v>357</v>
      </c>
      <c r="D97" s="67" t="s">
        <v>15</v>
      </c>
      <c r="E97">
        <v>206</v>
      </c>
      <c r="G97">
        <v>1</v>
      </c>
      <c r="H97"/>
      <c r="I97"/>
      <c r="K97"/>
      <c r="L97" s="8">
        <v>206</v>
      </c>
      <c r="M97" s="67">
        <f t="shared" si="2"/>
        <v>1</v>
      </c>
    </row>
    <row r="98" spans="1:15">
      <c r="A98" s="8">
        <v>210</v>
      </c>
      <c r="B98" t="s">
        <v>55</v>
      </c>
      <c r="C98" s="8" t="s">
        <v>346</v>
      </c>
      <c r="D98" s="67" t="s">
        <v>15</v>
      </c>
      <c r="E98">
        <v>210</v>
      </c>
      <c r="G98"/>
      <c r="H98"/>
      <c r="I98"/>
      <c r="K98"/>
      <c r="L98" s="8">
        <v>210</v>
      </c>
      <c r="M98" s="67">
        <f t="shared" si="2"/>
        <v>0</v>
      </c>
      <c r="N98">
        <v>1</v>
      </c>
    </row>
    <row r="99" spans="1:15">
      <c r="A99" s="8">
        <v>213</v>
      </c>
      <c r="B99" t="s">
        <v>62</v>
      </c>
      <c r="C99" s="8" t="s">
        <v>42</v>
      </c>
      <c r="D99" t="s">
        <v>42</v>
      </c>
      <c r="E99">
        <v>213</v>
      </c>
      <c r="F99" s="8">
        <v>1</v>
      </c>
      <c r="G99">
        <v>1</v>
      </c>
      <c r="H99">
        <v>1</v>
      </c>
      <c r="I99">
        <v>1</v>
      </c>
      <c r="J99" s="8">
        <v>1</v>
      </c>
      <c r="K99">
        <v>1</v>
      </c>
      <c r="L99" s="8">
        <v>213</v>
      </c>
      <c r="M99" s="67">
        <f t="shared" si="2"/>
        <v>6</v>
      </c>
      <c r="O99">
        <v>1</v>
      </c>
    </row>
    <row r="100" spans="1:15">
      <c r="A100" s="8">
        <v>214</v>
      </c>
      <c r="B100" t="s">
        <v>63</v>
      </c>
      <c r="C100" s="8" t="s">
        <v>346</v>
      </c>
      <c r="D100" s="67" t="s">
        <v>15</v>
      </c>
      <c r="E100">
        <v>214</v>
      </c>
      <c r="G100"/>
      <c r="H100"/>
      <c r="I100"/>
      <c r="K100"/>
      <c r="L100" s="8">
        <v>214</v>
      </c>
      <c r="M100" s="67">
        <f t="shared" si="2"/>
        <v>0</v>
      </c>
      <c r="N100">
        <v>1</v>
      </c>
    </row>
    <row r="101" spans="1:15">
      <c r="A101" s="8">
        <v>216</v>
      </c>
      <c r="B101" s="7" t="s">
        <v>71</v>
      </c>
      <c r="C101" s="8" t="s">
        <v>366</v>
      </c>
      <c r="D101" s="7" t="s">
        <v>42</v>
      </c>
      <c r="E101">
        <v>216</v>
      </c>
      <c r="F101" s="8">
        <v>1</v>
      </c>
      <c r="G101">
        <v>1</v>
      </c>
      <c r="H101">
        <v>1</v>
      </c>
      <c r="I101">
        <v>1</v>
      </c>
      <c r="J101" s="8">
        <v>1</v>
      </c>
      <c r="K101"/>
      <c r="L101" s="8">
        <v>216</v>
      </c>
      <c r="M101" s="67">
        <f t="shared" si="2"/>
        <v>5</v>
      </c>
    </row>
    <row r="102" spans="1:15">
      <c r="A102" s="8">
        <v>219</v>
      </c>
      <c r="B102" s="7" t="s">
        <v>106</v>
      </c>
      <c r="C102" s="8" t="s">
        <v>349</v>
      </c>
      <c r="D102" s="7" t="s">
        <v>6</v>
      </c>
      <c r="E102">
        <v>219</v>
      </c>
      <c r="F102" s="8">
        <v>1</v>
      </c>
      <c r="G102"/>
      <c r="H102">
        <v>1</v>
      </c>
      <c r="I102">
        <v>1</v>
      </c>
      <c r="K102"/>
      <c r="L102" s="8">
        <v>219</v>
      </c>
      <c r="M102" s="67">
        <f t="shared" si="2"/>
        <v>3</v>
      </c>
    </row>
    <row r="103" spans="1:15">
      <c r="A103" s="8">
        <v>220</v>
      </c>
      <c r="B103" s="7" t="s">
        <v>71</v>
      </c>
      <c r="C103" s="8" t="s">
        <v>366</v>
      </c>
      <c r="D103" s="7" t="s">
        <v>6</v>
      </c>
      <c r="E103">
        <v>220</v>
      </c>
      <c r="F103" s="8">
        <v>1</v>
      </c>
      <c r="G103">
        <v>1</v>
      </c>
      <c r="H103">
        <v>1</v>
      </c>
      <c r="I103">
        <v>1</v>
      </c>
      <c r="J103" s="8">
        <v>1</v>
      </c>
      <c r="K103"/>
      <c r="L103" s="8">
        <v>220</v>
      </c>
      <c r="M103" s="67">
        <f t="shared" si="2"/>
        <v>5</v>
      </c>
    </row>
    <row r="104" spans="1:15">
      <c r="A104" s="8">
        <v>222</v>
      </c>
      <c r="B104" s="8" t="s">
        <v>131</v>
      </c>
      <c r="C104" s="8" t="s">
        <v>358</v>
      </c>
      <c r="D104" s="67" t="s">
        <v>15</v>
      </c>
      <c r="E104" s="8">
        <v>222</v>
      </c>
      <c r="G104">
        <v>1</v>
      </c>
      <c r="H104"/>
      <c r="I104"/>
      <c r="K104"/>
      <c r="L104" s="8">
        <v>222</v>
      </c>
      <c r="M104" s="67">
        <f t="shared" si="2"/>
        <v>1</v>
      </c>
    </row>
    <row r="105" spans="1:15">
      <c r="A105" s="8">
        <v>224</v>
      </c>
      <c r="B105" s="8" t="s">
        <v>68</v>
      </c>
      <c r="C105" s="8" t="s">
        <v>357</v>
      </c>
      <c r="D105" s="67" t="s">
        <v>15</v>
      </c>
      <c r="E105">
        <v>224</v>
      </c>
      <c r="G105">
        <v>1</v>
      </c>
      <c r="H105"/>
      <c r="I105"/>
      <c r="K105">
        <v>1</v>
      </c>
      <c r="L105" s="8">
        <v>224</v>
      </c>
      <c r="M105" s="67">
        <f t="shared" si="2"/>
        <v>2</v>
      </c>
    </row>
    <row r="106" spans="1:15">
      <c r="A106" s="8">
        <v>227</v>
      </c>
      <c r="B106" s="8" t="s">
        <v>123</v>
      </c>
      <c r="C106" s="8" t="s">
        <v>366</v>
      </c>
      <c r="D106" s="8" t="s">
        <v>6</v>
      </c>
      <c r="E106">
        <v>227</v>
      </c>
      <c r="F106" s="8">
        <v>1</v>
      </c>
      <c r="G106">
        <v>1</v>
      </c>
      <c r="H106">
        <v>1</v>
      </c>
      <c r="I106">
        <v>1</v>
      </c>
      <c r="J106" s="8">
        <v>1</v>
      </c>
      <c r="K106">
        <v>1</v>
      </c>
      <c r="L106" s="8">
        <v>227</v>
      </c>
      <c r="M106" s="67">
        <f t="shared" si="2"/>
        <v>6</v>
      </c>
      <c r="O106">
        <v>1</v>
      </c>
    </row>
    <row r="107" spans="1:15">
      <c r="A107" s="8">
        <v>228</v>
      </c>
      <c r="B107" s="8" t="s">
        <v>74</v>
      </c>
      <c r="C107" s="8" t="s">
        <v>346</v>
      </c>
      <c r="D107" s="67" t="s">
        <v>15</v>
      </c>
      <c r="E107">
        <v>228</v>
      </c>
      <c r="G107"/>
      <c r="H107"/>
      <c r="I107"/>
      <c r="K107"/>
      <c r="L107" s="8">
        <v>228</v>
      </c>
      <c r="M107" s="67">
        <f t="shared" si="2"/>
        <v>0</v>
      </c>
      <c r="N107">
        <v>1</v>
      </c>
    </row>
    <row r="108" spans="1:15">
      <c r="A108" s="8">
        <v>229</v>
      </c>
      <c r="B108" s="8" t="s">
        <v>74</v>
      </c>
      <c r="C108" s="8" t="s">
        <v>346</v>
      </c>
      <c r="D108" s="67" t="s">
        <v>15</v>
      </c>
      <c r="E108">
        <v>229</v>
      </c>
      <c r="G108">
        <v>1</v>
      </c>
      <c r="H108"/>
      <c r="I108"/>
      <c r="K108"/>
      <c r="L108" s="8">
        <v>229</v>
      </c>
      <c r="M108" s="67">
        <f t="shared" si="2"/>
        <v>1</v>
      </c>
    </row>
    <row r="109" spans="1:15">
      <c r="A109" s="8">
        <v>234</v>
      </c>
      <c r="B109" s="8" t="s">
        <v>44</v>
      </c>
      <c r="C109" s="8" t="s">
        <v>349</v>
      </c>
      <c r="D109" s="8" t="s">
        <v>42</v>
      </c>
      <c r="E109">
        <v>234</v>
      </c>
      <c r="G109">
        <v>1</v>
      </c>
      <c r="H109">
        <v>1</v>
      </c>
      <c r="I109">
        <v>1</v>
      </c>
      <c r="J109" s="8">
        <v>1</v>
      </c>
      <c r="K109"/>
      <c r="L109" s="8">
        <v>234</v>
      </c>
      <c r="M109" s="67">
        <f t="shared" si="2"/>
        <v>4</v>
      </c>
    </row>
    <row r="110" spans="1:15">
      <c r="A110" s="8">
        <v>237</v>
      </c>
      <c r="B110" s="8" t="s">
        <v>63</v>
      </c>
      <c r="C110" s="8" t="s">
        <v>346</v>
      </c>
      <c r="D110" s="67" t="s">
        <v>15</v>
      </c>
      <c r="E110">
        <v>237</v>
      </c>
      <c r="G110"/>
      <c r="H110"/>
      <c r="I110"/>
      <c r="K110"/>
      <c r="L110" s="8">
        <v>237</v>
      </c>
      <c r="M110" s="67">
        <f t="shared" si="2"/>
        <v>0</v>
      </c>
      <c r="N110">
        <v>1</v>
      </c>
    </row>
    <row r="111" spans="1:15">
      <c r="A111" s="8">
        <v>241</v>
      </c>
      <c r="B111" s="8" t="s">
        <v>78</v>
      </c>
      <c r="C111" s="8" t="s">
        <v>359</v>
      </c>
      <c r="D111" s="67" t="s">
        <v>15</v>
      </c>
      <c r="E111">
        <v>241</v>
      </c>
      <c r="F111" s="8">
        <v>1</v>
      </c>
      <c r="G111">
        <v>1</v>
      </c>
      <c r="H111"/>
      <c r="I111"/>
      <c r="K111" s="5">
        <v>1</v>
      </c>
      <c r="L111" s="8">
        <v>241</v>
      </c>
      <c r="M111" s="67">
        <f t="shared" si="2"/>
        <v>3</v>
      </c>
    </row>
    <row r="112" spans="1:15">
      <c r="A112" s="8">
        <v>246</v>
      </c>
      <c r="B112" s="8" t="s">
        <v>59</v>
      </c>
      <c r="C112" s="8" t="s">
        <v>346</v>
      </c>
      <c r="D112" s="67" t="s">
        <v>15</v>
      </c>
      <c r="E112">
        <v>246</v>
      </c>
      <c r="F112" s="8">
        <v>1</v>
      </c>
      <c r="G112"/>
      <c r="H112"/>
      <c r="I112">
        <v>1</v>
      </c>
      <c r="K112"/>
      <c r="L112" s="8">
        <v>246</v>
      </c>
      <c r="M112" s="67">
        <f t="shared" si="2"/>
        <v>2</v>
      </c>
    </row>
    <row r="113" spans="1:15">
      <c r="A113" s="8">
        <v>251</v>
      </c>
      <c r="B113" s="55" t="s">
        <v>161</v>
      </c>
      <c r="C113" s="8" t="s">
        <v>357</v>
      </c>
      <c r="D113" s="67" t="s">
        <v>15</v>
      </c>
      <c r="E113">
        <v>251</v>
      </c>
      <c r="F113" s="8">
        <v>1</v>
      </c>
      <c r="G113">
        <v>1</v>
      </c>
      <c r="H113"/>
      <c r="I113"/>
      <c r="K113">
        <v>1</v>
      </c>
      <c r="L113" s="8">
        <v>251</v>
      </c>
      <c r="M113" s="67">
        <f t="shared" si="2"/>
        <v>3</v>
      </c>
    </row>
    <row r="114" spans="1:15" s="8" customFormat="1">
      <c r="A114" s="8">
        <v>254</v>
      </c>
      <c r="B114" s="8" t="s">
        <v>162</v>
      </c>
      <c r="C114" s="8" t="s">
        <v>12</v>
      </c>
      <c r="D114" s="8" t="s">
        <v>42</v>
      </c>
      <c r="E114" s="8">
        <v>254</v>
      </c>
      <c r="F114" s="8">
        <v>1</v>
      </c>
      <c r="G114" s="8">
        <v>1</v>
      </c>
      <c r="I114" s="8">
        <v>1</v>
      </c>
      <c r="K114" s="8">
        <v>1</v>
      </c>
      <c r="L114" s="8">
        <v>254</v>
      </c>
      <c r="M114" s="67">
        <f t="shared" si="2"/>
        <v>4</v>
      </c>
    </row>
    <row r="115" spans="1:15">
      <c r="A115" s="8">
        <v>255</v>
      </c>
      <c r="B115" s="8" t="s">
        <v>59</v>
      </c>
      <c r="C115" s="8" t="s">
        <v>346</v>
      </c>
      <c r="D115" s="67" t="s">
        <v>15</v>
      </c>
      <c r="E115" s="8">
        <v>255</v>
      </c>
      <c r="G115"/>
      <c r="H115"/>
      <c r="I115"/>
      <c r="K115"/>
      <c r="L115" s="8">
        <v>255</v>
      </c>
      <c r="M115" s="67">
        <f t="shared" si="2"/>
        <v>0</v>
      </c>
      <c r="N115">
        <v>1</v>
      </c>
    </row>
    <row r="116" spans="1:15">
      <c r="A116" s="8">
        <v>256</v>
      </c>
      <c r="B116" s="8" t="s">
        <v>44</v>
      </c>
      <c r="C116" s="8" t="s">
        <v>349</v>
      </c>
      <c r="D116" s="8" t="s">
        <v>42</v>
      </c>
      <c r="E116">
        <v>256</v>
      </c>
      <c r="F116" s="8">
        <v>1</v>
      </c>
      <c r="G116">
        <v>1</v>
      </c>
      <c r="H116">
        <v>1</v>
      </c>
      <c r="I116">
        <v>1</v>
      </c>
      <c r="K116">
        <v>1</v>
      </c>
      <c r="L116" s="8">
        <v>256</v>
      </c>
      <c r="M116" s="67">
        <f t="shared" si="2"/>
        <v>5</v>
      </c>
    </row>
    <row r="117" spans="1:15">
      <c r="A117" s="8">
        <v>257</v>
      </c>
      <c r="B117" s="8" t="s">
        <v>55</v>
      </c>
      <c r="C117" s="8" t="s">
        <v>346</v>
      </c>
      <c r="D117" s="67" t="s">
        <v>15</v>
      </c>
      <c r="E117">
        <v>257</v>
      </c>
      <c r="G117"/>
      <c r="H117"/>
      <c r="I117"/>
      <c r="K117"/>
      <c r="L117" s="8">
        <v>257</v>
      </c>
      <c r="M117" s="67">
        <f t="shared" si="2"/>
        <v>0</v>
      </c>
      <c r="N117">
        <v>1</v>
      </c>
    </row>
    <row r="118" spans="1:15" s="67" customFormat="1">
      <c r="A118" s="8">
        <v>258</v>
      </c>
      <c r="B118" s="8" t="s">
        <v>74</v>
      </c>
      <c r="C118" s="8" t="s">
        <v>346</v>
      </c>
      <c r="D118" s="67" t="s">
        <v>15</v>
      </c>
      <c r="E118" s="67">
        <v>258</v>
      </c>
      <c r="F118" s="8"/>
      <c r="J118" s="8"/>
      <c r="L118" s="8">
        <v>258</v>
      </c>
      <c r="M118" s="67">
        <f t="shared" si="2"/>
        <v>0</v>
      </c>
      <c r="N118" s="67">
        <v>1</v>
      </c>
    </row>
    <row r="119" spans="1:15">
      <c r="A119" s="8">
        <v>263</v>
      </c>
      <c r="B119" s="8" t="s">
        <v>5</v>
      </c>
      <c r="C119" s="8" t="s">
        <v>42</v>
      </c>
      <c r="D119" s="8" t="s">
        <v>6</v>
      </c>
      <c r="E119">
        <v>263</v>
      </c>
      <c r="G119"/>
      <c r="H119"/>
      <c r="I119"/>
      <c r="K119">
        <v>1</v>
      </c>
      <c r="L119" s="8">
        <v>263</v>
      </c>
      <c r="M119" s="67">
        <f t="shared" si="2"/>
        <v>1</v>
      </c>
    </row>
    <row r="120" spans="1:15">
      <c r="A120" s="8">
        <v>266</v>
      </c>
      <c r="B120" s="8" t="s">
        <v>197</v>
      </c>
      <c r="C120" s="8" t="s">
        <v>357</v>
      </c>
      <c r="D120" s="67" t="s">
        <v>15</v>
      </c>
      <c r="E120">
        <v>266</v>
      </c>
      <c r="F120" s="8">
        <v>1</v>
      </c>
      <c r="G120">
        <v>1</v>
      </c>
      <c r="H120"/>
      <c r="I120">
        <v>1</v>
      </c>
      <c r="K120">
        <v>1</v>
      </c>
      <c r="L120" s="8">
        <v>266</v>
      </c>
      <c r="M120" s="67">
        <f t="shared" si="2"/>
        <v>4</v>
      </c>
    </row>
    <row r="121" spans="1:15">
      <c r="A121" s="8">
        <v>267</v>
      </c>
      <c r="B121" s="8" t="s">
        <v>73</v>
      </c>
      <c r="C121" s="8" t="s">
        <v>165</v>
      </c>
      <c r="D121" t="s">
        <v>6</v>
      </c>
      <c r="E121">
        <v>267</v>
      </c>
      <c r="F121" s="8">
        <v>1</v>
      </c>
      <c r="G121">
        <v>1</v>
      </c>
      <c r="H121">
        <v>1</v>
      </c>
      <c r="I121"/>
      <c r="J121" s="8">
        <v>1</v>
      </c>
      <c r="K121">
        <v>1</v>
      </c>
      <c r="L121" s="8">
        <v>267</v>
      </c>
      <c r="M121" s="67">
        <f t="shared" si="2"/>
        <v>5</v>
      </c>
    </row>
    <row r="122" spans="1:15">
      <c r="A122" s="8">
        <v>270</v>
      </c>
      <c r="B122" s="8" t="s">
        <v>197</v>
      </c>
      <c r="C122" s="8" t="s">
        <v>357</v>
      </c>
      <c r="D122" s="67" t="s">
        <v>15</v>
      </c>
      <c r="E122">
        <v>270</v>
      </c>
      <c r="G122">
        <v>1</v>
      </c>
      <c r="H122"/>
      <c r="I122"/>
      <c r="K122">
        <v>1</v>
      </c>
      <c r="L122" s="8">
        <v>270</v>
      </c>
      <c r="M122" s="67">
        <f t="shared" si="2"/>
        <v>2</v>
      </c>
    </row>
    <row r="123" spans="1:15">
      <c r="A123" s="8">
        <v>271</v>
      </c>
      <c r="B123" s="8" t="s">
        <v>62</v>
      </c>
      <c r="C123" s="8" t="s">
        <v>42</v>
      </c>
      <c r="D123" s="8" t="s">
        <v>6</v>
      </c>
      <c r="E123">
        <v>271</v>
      </c>
      <c r="F123" s="8">
        <v>1</v>
      </c>
      <c r="G123">
        <v>1</v>
      </c>
      <c r="H123">
        <v>1</v>
      </c>
      <c r="I123"/>
      <c r="J123" s="8">
        <v>1</v>
      </c>
      <c r="K123"/>
      <c r="L123" s="8">
        <v>271</v>
      </c>
      <c r="M123" s="67">
        <f t="shared" si="2"/>
        <v>4</v>
      </c>
    </row>
    <row r="124" spans="1:15">
      <c r="A124" s="8">
        <v>272</v>
      </c>
      <c r="B124" s="8" t="s">
        <v>41</v>
      </c>
      <c r="C124" s="8" t="s">
        <v>42</v>
      </c>
      <c r="D124" s="8" t="s">
        <v>6</v>
      </c>
      <c r="E124">
        <v>272</v>
      </c>
      <c r="F124" s="8">
        <v>1</v>
      </c>
      <c r="G124">
        <v>1</v>
      </c>
      <c r="H124">
        <v>1</v>
      </c>
      <c r="I124"/>
      <c r="K124">
        <v>1</v>
      </c>
      <c r="L124" s="8">
        <v>272</v>
      </c>
      <c r="M124" s="67">
        <f t="shared" si="2"/>
        <v>4</v>
      </c>
    </row>
    <row r="125" spans="1:15">
      <c r="A125" s="8">
        <v>273</v>
      </c>
      <c r="B125" t="s">
        <v>5</v>
      </c>
      <c r="C125" s="8" t="s">
        <v>42</v>
      </c>
      <c r="D125" t="s">
        <v>42</v>
      </c>
      <c r="E125">
        <v>273</v>
      </c>
      <c r="F125" s="8">
        <v>1</v>
      </c>
      <c r="G125">
        <v>1</v>
      </c>
      <c r="H125">
        <v>1</v>
      </c>
      <c r="I125">
        <v>1</v>
      </c>
      <c r="J125" s="8">
        <v>1</v>
      </c>
      <c r="K125">
        <v>1</v>
      </c>
      <c r="L125" s="8">
        <v>273</v>
      </c>
      <c r="M125" s="67">
        <f t="shared" si="2"/>
        <v>6</v>
      </c>
      <c r="O125">
        <v>1</v>
      </c>
    </row>
    <row r="126" spans="1:15">
      <c r="A126" s="8">
        <v>280</v>
      </c>
      <c r="B126" s="8" t="s">
        <v>123</v>
      </c>
      <c r="C126" s="8" t="s">
        <v>366</v>
      </c>
      <c r="D126" s="8" t="s">
        <v>42</v>
      </c>
      <c r="E126">
        <v>280</v>
      </c>
      <c r="F126" s="8">
        <v>1</v>
      </c>
      <c r="G126">
        <v>1</v>
      </c>
      <c r="H126">
        <v>1</v>
      </c>
      <c r="I126">
        <v>1</v>
      </c>
      <c r="J126" s="8">
        <v>1</v>
      </c>
      <c r="K126"/>
      <c r="L126" s="8">
        <v>280</v>
      </c>
      <c r="M126" s="67">
        <f t="shared" si="2"/>
        <v>5</v>
      </c>
    </row>
    <row r="127" spans="1:15">
      <c r="A127" s="8">
        <v>283</v>
      </c>
      <c r="B127" t="s">
        <v>74</v>
      </c>
      <c r="C127" s="8" t="s">
        <v>346</v>
      </c>
      <c r="D127" s="67" t="s">
        <v>15</v>
      </c>
      <c r="E127">
        <v>283</v>
      </c>
      <c r="G127"/>
      <c r="H127"/>
      <c r="I127"/>
      <c r="K127"/>
      <c r="L127" s="8">
        <v>283</v>
      </c>
      <c r="M127" s="67">
        <f t="shared" si="2"/>
        <v>0</v>
      </c>
      <c r="N127">
        <v>1</v>
      </c>
    </row>
    <row r="128" spans="1:15">
      <c r="A128" s="8">
        <v>286</v>
      </c>
      <c r="B128" t="s">
        <v>63</v>
      </c>
      <c r="C128" s="8" t="s">
        <v>346</v>
      </c>
      <c r="D128" s="67" t="s">
        <v>15</v>
      </c>
      <c r="E128">
        <v>286</v>
      </c>
      <c r="G128"/>
      <c r="H128"/>
      <c r="I128"/>
      <c r="K128"/>
      <c r="L128" s="8">
        <v>286</v>
      </c>
      <c r="M128" s="67">
        <f t="shared" si="2"/>
        <v>0</v>
      </c>
      <c r="N128">
        <v>1</v>
      </c>
    </row>
    <row r="129" spans="1:15">
      <c r="A129" s="8">
        <v>287</v>
      </c>
      <c r="B129" t="s">
        <v>71</v>
      </c>
      <c r="C129" s="8" t="s">
        <v>366</v>
      </c>
      <c r="D129" t="s">
        <v>42</v>
      </c>
      <c r="E129">
        <v>287</v>
      </c>
      <c r="G129">
        <v>1</v>
      </c>
      <c r="H129"/>
      <c r="I129"/>
      <c r="K129">
        <v>1</v>
      </c>
      <c r="L129" s="8">
        <v>287</v>
      </c>
      <c r="M129" s="67">
        <f t="shared" si="2"/>
        <v>2</v>
      </c>
    </row>
    <row r="130" spans="1:15">
      <c r="A130" s="8">
        <v>288</v>
      </c>
      <c r="B130" t="s">
        <v>71</v>
      </c>
      <c r="C130" s="8" t="s">
        <v>366</v>
      </c>
      <c r="D130" t="s">
        <v>42</v>
      </c>
      <c r="E130">
        <v>288</v>
      </c>
      <c r="F130" s="8">
        <v>1</v>
      </c>
      <c r="G130">
        <v>1</v>
      </c>
      <c r="H130"/>
      <c r="I130">
        <v>1</v>
      </c>
      <c r="J130" s="8">
        <v>1</v>
      </c>
      <c r="K130">
        <v>1</v>
      </c>
      <c r="L130" s="8">
        <v>288</v>
      </c>
      <c r="M130" s="67">
        <f t="shared" si="2"/>
        <v>5</v>
      </c>
    </row>
    <row r="131" spans="1:15">
      <c r="A131" s="8">
        <v>291</v>
      </c>
      <c r="B131" t="s">
        <v>80</v>
      </c>
      <c r="C131" s="8" t="s">
        <v>346</v>
      </c>
      <c r="D131" s="67" t="s">
        <v>15</v>
      </c>
      <c r="E131">
        <v>291</v>
      </c>
      <c r="G131">
        <v>1</v>
      </c>
      <c r="H131"/>
      <c r="I131"/>
      <c r="K131"/>
      <c r="L131" s="8">
        <v>291</v>
      </c>
      <c r="M131" s="67">
        <f t="shared" si="2"/>
        <v>1</v>
      </c>
    </row>
    <row r="132" spans="1:15">
      <c r="A132" s="8">
        <v>292</v>
      </c>
      <c r="B132" t="s">
        <v>74</v>
      </c>
      <c r="C132" s="8" t="s">
        <v>346</v>
      </c>
      <c r="D132" s="67" t="s">
        <v>15</v>
      </c>
      <c r="E132">
        <v>292</v>
      </c>
      <c r="G132"/>
      <c r="H132"/>
      <c r="I132"/>
      <c r="K132"/>
      <c r="L132" s="8">
        <v>292</v>
      </c>
      <c r="M132" s="67">
        <f t="shared" si="2"/>
        <v>0</v>
      </c>
      <c r="N132">
        <v>1</v>
      </c>
    </row>
    <row r="133" spans="1:15">
      <c r="A133" s="8">
        <v>293</v>
      </c>
      <c r="B133" t="s">
        <v>106</v>
      </c>
      <c r="C133" s="8" t="s">
        <v>349</v>
      </c>
      <c r="D133" t="s">
        <v>6</v>
      </c>
      <c r="E133">
        <v>293</v>
      </c>
      <c r="G133">
        <v>1</v>
      </c>
      <c r="H133"/>
      <c r="I133"/>
      <c r="J133" s="8">
        <v>1</v>
      </c>
      <c r="K133"/>
      <c r="L133" s="8">
        <v>293</v>
      </c>
      <c r="M133" s="67">
        <f t="shared" si="2"/>
        <v>2</v>
      </c>
    </row>
    <row r="134" spans="1:15">
      <c r="A134" s="8">
        <v>299</v>
      </c>
      <c r="B134" t="s">
        <v>63</v>
      </c>
      <c r="C134" s="8" t="s">
        <v>346</v>
      </c>
      <c r="D134" s="67" t="s">
        <v>15</v>
      </c>
      <c r="E134">
        <v>299</v>
      </c>
      <c r="G134"/>
      <c r="H134"/>
      <c r="I134"/>
      <c r="K134"/>
      <c r="L134" s="8">
        <v>299</v>
      </c>
      <c r="M134" s="67">
        <f t="shared" si="2"/>
        <v>0</v>
      </c>
      <c r="N134">
        <v>1</v>
      </c>
    </row>
    <row r="135" spans="1:15">
      <c r="A135" s="8">
        <v>301</v>
      </c>
      <c r="B135" t="s">
        <v>123</v>
      </c>
      <c r="C135" s="8" t="s">
        <v>366</v>
      </c>
      <c r="D135" t="s">
        <v>42</v>
      </c>
      <c r="E135">
        <v>301</v>
      </c>
      <c r="F135" s="8">
        <v>1</v>
      </c>
      <c r="G135">
        <v>1</v>
      </c>
      <c r="H135">
        <v>1</v>
      </c>
      <c r="I135">
        <v>1</v>
      </c>
      <c r="J135" s="8">
        <v>1</v>
      </c>
      <c r="K135">
        <v>1</v>
      </c>
      <c r="L135" s="8">
        <v>301</v>
      </c>
      <c r="M135" s="67">
        <f t="shared" si="2"/>
        <v>6</v>
      </c>
      <c r="O135">
        <v>1</v>
      </c>
    </row>
    <row r="136" spans="1:15">
      <c r="A136" s="8">
        <v>302</v>
      </c>
      <c r="B136" t="s">
        <v>41</v>
      </c>
      <c r="C136" s="8" t="s">
        <v>42</v>
      </c>
      <c r="D136" t="s">
        <v>42</v>
      </c>
      <c r="E136">
        <v>302</v>
      </c>
      <c r="F136" s="8">
        <v>1</v>
      </c>
      <c r="G136">
        <v>1</v>
      </c>
      <c r="H136"/>
      <c r="I136"/>
      <c r="J136" s="8">
        <v>1</v>
      </c>
      <c r="K136">
        <v>1</v>
      </c>
      <c r="L136" s="8">
        <v>302</v>
      </c>
      <c r="M136" s="67">
        <f t="shared" si="2"/>
        <v>4</v>
      </c>
    </row>
    <row r="137" spans="1:15">
      <c r="A137" s="8">
        <v>303</v>
      </c>
      <c r="B137" t="s">
        <v>136</v>
      </c>
      <c r="C137" s="8" t="s">
        <v>12</v>
      </c>
      <c r="D137" t="s">
        <v>42</v>
      </c>
      <c r="E137">
        <v>303</v>
      </c>
      <c r="G137">
        <v>1</v>
      </c>
      <c r="H137"/>
      <c r="I137"/>
      <c r="K137">
        <v>1</v>
      </c>
      <c r="L137" s="8">
        <v>303</v>
      </c>
      <c r="M137" s="67">
        <f t="shared" si="2"/>
        <v>2</v>
      </c>
    </row>
    <row r="138" spans="1:15">
      <c r="A138" s="8">
        <v>304</v>
      </c>
      <c r="B138" t="s">
        <v>93</v>
      </c>
      <c r="C138" s="8" t="s">
        <v>12</v>
      </c>
      <c r="D138" t="s">
        <v>42</v>
      </c>
      <c r="E138">
        <v>304</v>
      </c>
      <c r="F138" s="8">
        <v>1</v>
      </c>
      <c r="G138">
        <v>1</v>
      </c>
      <c r="H138">
        <v>1</v>
      </c>
      <c r="I138"/>
      <c r="K138">
        <v>1</v>
      </c>
      <c r="L138" s="8">
        <v>304</v>
      </c>
      <c r="M138" s="67">
        <f t="shared" si="2"/>
        <v>4</v>
      </c>
    </row>
    <row r="139" spans="1:15">
      <c r="A139" s="8">
        <v>308</v>
      </c>
      <c r="B139" t="s">
        <v>123</v>
      </c>
      <c r="C139" s="8" t="s">
        <v>366</v>
      </c>
      <c r="D139" t="s">
        <v>6</v>
      </c>
      <c r="E139">
        <v>308</v>
      </c>
      <c r="F139" s="8">
        <v>1</v>
      </c>
      <c r="G139">
        <v>1</v>
      </c>
      <c r="H139">
        <v>1</v>
      </c>
      <c r="I139">
        <v>1</v>
      </c>
      <c r="J139" s="8">
        <v>1</v>
      </c>
      <c r="K139"/>
      <c r="L139" s="8">
        <v>308</v>
      </c>
      <c r="M139" s="67">
        <f t="shared" si="2"/>
        <v>5</v>
      </c>
    </row>
    <row r="140" spans="1:15">
      <c r="A140" s="8">
        <v>311</v>
      </c>
      <c r="B140" s="8" t="s">
        <v>130</v>
      </c>
      <c r="C140" s="8" t="s">
        <v>357</v>
      </c>
      <c r="D140" s="67" t="s">
        <v>15</v>
      </c>
      <c r="E140">
        <v>311</v>
      </c>
      <c r="G140">
        <v>1</v>
      </c>
      <c r="H140"/>
      <c r="I140"/>
      <c r="K140">
        <v>1</v>
      </c>
      <c r="L140" s="8">
        <v>311</v>
      </c>
      <c r="M140" s="67">
        <f t="shared" si="2"/>
        <v>2</v>
      </c>
    </row>
    <row r="141" spans="1:15">
      <c r="A141" s="8">
        <v>315</v>
      </c>
      <c r="B141" s="8" t="s">
        <v>71</v>
      </c>
      <c r="C141" s="8" t="s">
        <v>366</v>
      </c>
      <c r="D141" t="s">
        <v>42</v>
      </c>
      <c r="E141">
        <v>315</v>
      </c>
      <c r="F141" s="8">
        <v>1</v>
      </c>
      <c r="G141">
        <v>1</v>
      </c>
      <c r="H141">
        <v>1</v>
      </c>
      <c r="I141">
        <v>1</v>
      </c>
      <c r="J141" s="8">
        <v>1</v>
      </c>
      <c r="K141"/>
      <c r="L141" s="8">
        <v>315</v>
      </c>
      <c r="M141" s="67">
        <f t="shared" si="2"/>
        <v>5</v>
      </c>
    </row>
    <row r="142" spans="1:15">
      <c r="A142" s="8">
        <v>321</v>
      </c>
      <c r="B142" s="8" t="s">
        <v>54</v>
      </c>
      <c r="C142" s="8" t="s">
        <v>345</v>
      </c>
      <c r="D142" s="67" t="s">
        <v>15</v>
      </c>
      <c r="E142">
        <v>321</v>
      </c>
      <c r="G142"/>
      <c r="H142"/>
      <c r="I142"/>
      <c r="K142"/>
      <c r="L142" s="8">
        <v>321</v>
      </c>
      <c r="M142" s="67">
        <f t="shared" si="2"/>
        <v>0</v>
      </c>
      <c r="N142">
        <v>1</v>
      </c>
    </row>
    <row r="143" spans="1:15">
      <c r="A143" s="8">
        <v>331</v>
      </c>
      <c r="B143" s="8" t="s">
        <v>240</v>
      </c>
      <c r="C143" s="8" t="s">
        <v>42</v>
      </c>
      <c r="D143" t="s">
        <v>42</v>
      </c>
      <c r="E143">
        <v>331</v>
      </c>
      <c r="F143" s="8">
        <v>1</v>
      </c>
      <c r="G143">
        <v>1</v>
      </c>
      <c r="H143">
        <v>1</v>
      </c>
      <c r="I143">
        <v>1</v>
      </c>
      <c r="J143" s="8">
        <v>1</v>
      </c>
      <c r="K143">
        <v>1</v>
      </c>
      <c r="L143" s="8">
        <v>331</v>
      </c>
      <c r="M143" s="67">
        <f t="shared" si="2"/>
        <v>6</v>
      </c>
      <c r="O143">
        <v>1</v>
      </c>
    </row>
    <row r="144" spans="1:15">
      <c r="A144" s="8">
        <v>334</v>
      </c>
      <c r="B144" s="8" t="s">
        <v>5</v>
      </c>
      <c r="C144" s="8" t="s">
        <v>42</v>
      </c>
      <c r="D144" s="8" t="s">
        <v>6</v>
      </c>
      <c r="E144">
        <v>334</v>
      </c>
      <c r="F144" s="8">
        <v>1</v>
      </c>
      <c r="G144" s="8">
        <v>1</v>
      </c>
      <c r="I144" s="8">
        <v>1</v>
      </c>
      <c r="J144" s="8">
        <v>1</v>
      </c>
      <c r="K144" s="8">
        <v>1</v>
      </c>
      <c r="L144" s="8">
        <v>334</v>
      </c>
      <c r="M144" s="67">
        <f t="shared" ref="M144:M207" si="3">SUM(F144:K144)</f>
        <v>5</v>
      </c>
    </row>
    <row r="145" spans="1:14">
      <c r="A145" s="8">
        <v>335</v>
      </c>
      <c r="B145" s="8" t="s">
        <v>74</v>
      </c>
      <c r="C145" s="8" t="s">
        <v>346</v>
      </c>
      <c r="D145" s="67" t="s">
        <v>15</v>
      </c>
      <c r="E145">
        <v>335</v>
      </c>
      <c r="G145"/>
      <c r="H145"/>
      <c r="I145"/>
      <c r="K145"/>
      <c r="L145" s="8">
        <v>335</v>
      </c>
      <c r="M145" s="67">
        <f t="shared" si="3"/>
        <v>0</v>
      </c>
      <c r="N145">
        <v>1</v>
      </c>
    </row>
    <row r="146" spans="1:14">
      <c r="A146" s="8">
        <v>336</v>
      </c>
      <c r="B146" s="8" t="s">
        <v>55</v>
      </c>
      <c r="C146" s="8" t="s">
        <v>346</v>
      </c>
      <c r="D146" s="67" t="s">
        <v>15</v>
      </c>
      <c r="E146">
        <v>336</v>
      </c>
      <c r="G146"/>
      <c r="H146"/>
      <c r="I146"/>
      <c r="K146"/>
      <c r="L146" s="8">
        <v>336</v>
      </c>
      <c r="M146" s="67">
        <f t="shared" si="3"/>
        <v>0</v>
      </c>
      <c r="N146">
        <v>1</v>
      </c>
    </row>
    <row r="147" spans="1:14">
      <c r="A147" s="8">
        <v>339</v>
      </c>
      <c r="B147" s="8" t="s">
        <v>91</v>
      </c>
      <c r="C147" s="8" t="s">
        <v>366</v>
      </c>
      <c r="D147" t="s">
        <v>42</v>
      </c>
      <c r="E147">
        <v>339</v>
      </c>
      <c r="G147">
        <v>1</v>
      </c>
      <c r="H147"/>
      <c r="I147">
        <v>1</v>
      </c>
      <c r="J147" s="8">
        <v>1</v>
      </c>
      <c r="K147">
        <v>1</v>
      </c>
      <c r="L147" s="8">
        <v>339</v>
      </c>
      <c r="M147" s="67">
        <f t="shared" si="3"/>
        <v>4</v>
      </c>
    </row>
    <row r="148" spans="1:14">
      <c r="A148" s="8">
        <v>340</v>
      </c>
      <c r="B148" s="8" t="s">
        <v>44</v>
      </c>
      <c r="C148" s="8" t="s">
        <v>349</v>
      </c>
      <c r="D148" s="8" t="s">
        <v>6</v>
      </c>
      <c r="E148">
        <v>340</v>
      </c>
      <c r="F148" s="8">
        <v>1</v>
      </c>
      <c r="G148">
        <v>1</v>
      </c>
      <c r="H148">
        <v>1</v>
      </c>
      <c r="I148">
        <v>1</v>
      </c>
      <c r="J148" s="8">
        <v>1</v>
      </c>
      <c r="K148"/>
      <c r="L148" s="8">
        <v>340</v>
      </c>
      <c r="M148" s="67">
        <f t="shared" si="3"/>
        <v>5</v>
      </c>
    </row>
    <row r="149" spans="1:14">
      <c r="A149" s="8">
        <v>343</v>
      </c>
      <c r="B149" s="8" t="s">
        <v>216</v>
      </c>
      <c r="C149" s="8" t="s">
        <v>42</v>
      </c>
      <c r="D149" s="8" t="s">
        <v>6</v>
      </c>
      <c r="E149">
        <v>343</v>
      </c>
      <c r="F149" s="8">
        <v>1</v>
      </c>
      <c r="G149">
        <v>1</v>
      </c>
      <c r="H149"/>
      <c r="I149"/>
      <c r="J149" s="8">
        <v>1</v>
      </c>
      <c r="K149">
        <v>1</v>
      </c>
      <c r="L149" s="8">
        <v>343</v>
      </c>
      <c r="M149" s="67">
        <f t="shared" si="3"/>
        <v>4</v>
      </c>
    </row>
    <row r="150" spans="1:14">
      <c r="A150" s="8">
        <v>344</v>
      </c>
      <c r="B150" s="8" t="s">
        <v>63</v>
      </c>
      <c r="C150" s="8" t="s">
        <v>346</v>
      </c>
      <c r="D150" s="67" t="s">
        <v>15</v>
      </c>
      <c r="E150">
        <v>344</v>
      </c>
      <c r="G150"/>
      <c r="H150"/>
      <c r="I150"/>
      <c r="K150"/>
      <c r="L150" s="8">
        <v>344</v>
      </c>
      <c r="M150" s="67">
        <f t="shared" si="3"/>
        <v>0</v>
      </c>
      <c r="N150">
        <v>1</v>
      </c>
    </row>
    <row r="151" spans="1:14">
      <c r="A151" s="8">
        <v>345</v>
      </c>
      <c r="B151" s="8" t="s">
        <v>59</v>
      </c>
      <c r="C151" s="8" t="s">
        <v>346</v>
      </c>
      <c r="D151" s="67" t="s">
        <v>15</v>
      </c>
      <c r="E151">
        <v>345</v>
      </c>
      <c r="F151" s="8">
        <v>1</v>
      </c>
      <c r="G151">
        <v>1</v>
      </c>
      <c r="H151"/>
      <c r="I151"/>
      <c r="K151"/>
      <c r="L151" s="8">
        <v>345</v>
      </c>
      <c r="M151" s="67">
        <f t="shared" si="3"/>
        <v>2</v>
      </c>
    </row>
    <row r="152" spans="1:14">
      <c r="A152" s="8">
        <v>346</v>
      </c>
      <c r="B152" s="8" t="s">
        <v>5</v>
      </c>
      <c r="C152" s="8" t="s">
        <v>42</v>
      </c>
      <c r="D152" s="8" t="s">
        <v>6</v>
      </c>
      <c r="E152">
        <v>346</v>
      </c>
      <c r="F152" s="8">
        <v>1</v>
      </c>
      <c r="G152">
        <v>1</v>
      </c>
      <c r="H152">
        <v>1</v>
      </c>
      <c r="I152"/>
      <c r="J152" s="8">
        <v>1</v>
      </c>
      <c r="K152">
        <v>1</v>
      </c>
      <c r="L152" s="8">
        <v>346</v>
      </c>
      <c r="M152" s="67">
        <f t="shared" si="3"/>
        <v>5</v>
      </c>
    </row>
    <row r="153" spans="1:14">
      <c r="A153" s="8">
        <v>347</v>
      </c>
      <c r="B153" s="8" t="s">
        <v>141</v>
      </c>
      <c r="C153" s="8" t="s">
        <v>346</v>
      </c>
      <c r="D153" s="67" t="s">
        <v>15</v>
      </c>
      <c r="E153">
        <v>347</v>
      </c>
      <c r="G153">
        <v>1</v>
      </c>
      <c r="H153"/>
      <c r="I153"/>
      <c r="K153"/>
      <c r="L153" s="8">
        <v>347</v>
      </c>
      <c r="M153" s="67">
        <f t="shared" si="3"/>
        <v>1</v>
      </c>
    </row>
    <row r="154" spans="1:14">
      <c r="A154" s="8">
        <v>348</v>
      </c>
      <c r="B154" s="8" t="s">
        <v>106</v>
      </c>
      <c r="C154" s="8" t="s">
        <v>349</v>
      </c>
      <c r="D154" s="8" t="s">
        <v>6</v>
      </c>
      <c r="E154">
        <v>348</v>
      </c>
      <c r="F154" s="8">
        <v>1</v>
      </c>
      <c r="G154">
        <v>1</v>
      </c>
      <c r="H154">
        <v>1</v>
      </c>
      <c r="I154">
        <v>1</v>
      </c>
      <c r="J154" s="8">
        <v>1</v>
      </c>
      <c r="K154"/>
      <c r="L154" s="8">
        <v>348</v>
      </c>
      <c r="M154" s="67">
        <f t="shared" si="3"/>
        <v>5</v>
      </c>
    </row>
    <row r="155" spans="1:14">
      <c r="A155" s="8">
        <v>349</v>
      </c>
      <c r="B155" s="8" t="s">
        <v>103</v>
      </c>
      <c r="C155" s="8" t="s">
        <v>357</v>
      </c>
      <c r="D155" s="67" t="s">
        <v>15</v>
      </c>
      <c r="E155">
        <v>349</v>
      </c>
      <c r="G155">
        <v>1</v>
      </c>
      <c r="H155"/>
      <c r="I155"/>
      <c r="K155">
        <v>1</v>
      </c>
      <c r="L155" s="8">
        <v>349</v>
      </c>
      <c r="M155" s="67">
        <f t="shared" si="3"/>
        <v>2</v>
      </c>
    </row>
    <row r="156" spans="1:14">
      <c r="A156" s="8">
        <v>350</v>
      </c>
      <c r="B156" s="8" t="s">
        <v>80</v>
      </c>
      <c r="C156" s="8" t="s">
        <v>346</v>
      </c>
      <c r="D156" s="67" t="s">
        <v>15</v>
      </c>
      <c r="E156">
        <v>350</v>
      </c>
      <c r="G156">
        <v>1</v>
      </c>
      <c r="H156"/>
      <c r="I156"/>
      <c r="K156"/>
      <c r="L156" s="8">
        <v>350</v>
      </c>
      <c r="M156" s="67">
        <f t="shared" si="3"/>
        <v>1</v>
      </c>
    </row>
    <row r="157" spans="1:14">
      <c r="A157" s="8">
        <v>351</v>
      </c>
      <c r="B157" s="8" t="s">
        <v>106</v>
      </c>
      <c r="C157" s="8" t="s">
        <v>349</v>
      </c>
      <c r="D157" s="8" t="s">
        <v>6</v>
      </c>
      <c r="E157">
        <v>351</v>
      </c>
      <c r="G157">
        <v>1</v>
      </c>
      <c r="H157"/>
      <c r="I157"/>
      <c r="J157" s="8">
        <v>1</v>
      </c>
      <c r="K157">
        <v>1</v>
      </c>
      <c r="L157" s="8">
        <v>351</v>
      </c>
      <c r="M157" s="67">
        <f t="shared" si="3"/>
        <v>3</v>
      </c>
    </row>
    <row r="158" spans="1:14">
      <c r="A158" s="8">
        <v>354</v>
      </c>
      <c r="B158" s="8" t="s">
        <v>136</v>
      </c>
      <c r="C158" s="8" t="s">
        <v>12</v>
      </c>
      <c r="D158" s="8" t="s">
        <v>42</v>
      </c>
      <c r="E158">
        <v>354</v>
      </c>
      <c r="F158" s="8">
        <v>1</v>
      </c>
      <c r="G158">
        <v>1</v>
      </c>
      <c r="H158"/>
      <c r="I158"/>
      <c r="K158">
        <v>1</v>
      </c>
      <c r="L158" s="8">
        <v>354</v>
      </c>
      <c r="M158" s="67">
        <f t="shared" si="3"/>
        <v>3</v>
      </c>
    </row>
    <row r="159" spans="1:14">
      <c r="A159" s="8">
        <v>358</v>
      </c>
      <c r="B159" s="8" t="s">
        <v>136</v>
      </c>
      <c r="C159" s="8" t="s">
        <v>12</v>
      </c>
      <c r="D159" s="8" t="s">
        <v>42</v>
      </c>
      <c r="E159">
        <v>358</v>
      </c>
      <c r="G159">
        <v>1</v>
      </c>
      <c r="H159"/>
      <c r="I159"/>
      <c r="K159">
        <v>1</v>
      </c>
      <c r="L159" s="8">
        <v>358</v>
      </c>
      <c r="M159" s="67">
        <f t="shared" si="3"/>
        <v>2</v>
      </c>
    </row>
    <row r="160" spans="1:14">
      <c r="A160" s="8">
        <v>359</v>
      </c>
      <c r="B160" s="8" t="s">
        <v>78</v>
      </c>
      <c r="C160" s="8" t="s">
        <v>359</v>
      </c>
      <c r="D160" s="67" t="s">
        <v>15</v>
      </c>
      <c r="E160">
        <v>359</v>
      </c>
      <c r="G160">
        <v>1</v>
      </c>
      <c r="H160"/>
      <c r="I160"/>
      <c r="K160">
        <v>1</v>
      </c>
      <c r="L160" s="8">
        <v>359</v>
      </c>
      <c r="M160" s="67">
        <f t="shared" si="3"/>
        <v>2</v>
      </c>
    </row>
    <row r="161" spans="1:15">
      <c r="A161" s="8">
        <v>360</v>
      </c>
      <c r="B161" s="8" t="s">
        <v>71</v>
      </c>
      <c r="C161" s="8" t="s">
        <v>366</v>
      </c>
      <c r="D161" s="8" t="s">
        <v>42</v>
      </c>
      <c r="E161">
        <v>360</v>
      </c>
      <c r="F161" s="8">
        <v>1</v>
      </c>
      <c r="G161">
        <v>1</v>
      </c>
      <c r="H161">
        <v>1</v>
      </c>
      <c r="I161">
        <v>1</v>
      </c>
      <c r="K161"/>
      <c r="L161" s="8">
        <v>360</v>
      </c>
      <c r="M161" s="67">
        <f t="shared" si="3"/>
        <v>4</v>
      </c>
    </row>
    <row r="162" spans="1:15">
      <c r="A162" s="8">
        <v>361</v>
      </c>
      <c r="B162" s="8" t="s">
        <v>55</v>
      </c>
      <c r="C162" s="8" t="s">
        <v>346</v>
      </c>
      <c r="D162" s="67" t="s">
        <v>15</v>
      </c>
      <c r="E162">
        <v>361</v>
      </c>
      <c r="G162"/>
      <c r="H162"/>
      <c r="I162"/>
      <c r="K162"/>
      <c r="L162" s="8">
        <v>361</v>
      </c>
      <c r="M162" s="67">
        <f t="shared" si="3"/>
        <v>0</v>
      </c>
      <c r="N162">
        <v>1</v>
      </c>
    </row>
    <row r="163" spans="1:15">
      <c r="A163" s="8">
        <v>363</v>
      </c>
      <c r="B163" s="8" t="s">
        <v>216</v>
      </c>
      <c r="C163" s="8" t="s">
        <v>42</v>
      </c>
      <c r="D163" s="8" t="s">
        <v>6</v>
      </c>
      <c r="E163">
        <v>363</v>
      </c>
      <c r="F163" s="8">
        <v>1</v>
      </c>
      <c r="G163">
        <v>1</v>
      </c>
      <c r="H163"/>
      <c r="I163">
        <v>1</v>
      </c>
      <c r="K163">
        <v>1</v>
      </c>
      <c r="L163" s="8">
        <v>363</v>
      </c>
      <c r="M163" s="67">
        <f t="shared" si="3"/>
        <v>4</v>
      </c>
    </row>
    <row r="164" spans="1:15">
      <c r="A164" s="8">
        <v>365</v>
      </c>
      <c r="B164" s="8" t="s">
        <v>197</v>
      </c>
      <c r="C164" s="8" t="s">
        <v>357</v>
      </c>
      <c r="D164" s="67" t="s">
        <v>15</v>
      </c>
      <c r="E164">
        <v>365</v>
      </c>
      <c r="G164">
        <v>1</v>
      </c>
      <c r="H164"/>
      <c r="I164"/>
      <c r="K164">
        <v>1</v>
      </c>
      <c r="L164" s="8">
        <v>365</v>
      </c>
      <c r="M164" s="67">
        <f t="shared" si="3"/>
        <v>2</v>
      </c>
    </row>
    <row r="165" spans="1:15">
      <c r="A165" s="8">
        <v>367</v>
      </c>
      <c r="B165" s="8" t="s">
        <v>80</v>
      </c>
      <c r="C165" s="8" t="s">
        <v>346</v>
      </c>
      <c r="D165" s="67" t="s">
        <v>15</v>
      </c>
      <c r="E165">
        <v>367</v>
      </c>
      <c r="G165">
        <v>1</v>
      </c>
      <c r="H165"/>
      <c r="I165"/>
      <c r="K165"/>
      <c r="L165" s="8">
        <v>367</v>
      </c>
      <c r="M165" s="67">
        <f t="shared" si="3"/>
        <v>1</v>
      </c>
    </row>
    <row r="166" spans="1:15">
      <c r="A166" s="8">
        <v>371</v>
      </c>
      <c r="B166" s="8" t="s">
        <v>73</v>
      </c>
      <c r="C166" s="8" t="s">
        <v>165</v>
      </c>
      <c r="D166" s="8" t="s">
        <v>42</v>
      </c>
      <c r="E166">
        <v>371</v>
      </c>
      <c r="F166" s="8">
        <v>1</v>
      </c>
      <c r="G166">
        <v>1</v>
      </c>
      <c r="H166"/>
      <c r="I166"/>
      <c r="K166">
        <v>1</v>
      </c>
      <c r="L166" s="8">
        <v>371</v>
      </c>
      <c r="M166" s="67">
        <f t="shared" si="3"/>
        <v>3</v>
      </c>
    </row>
    <row r="167" spans="1:15">
      <c r="A167" s="8">
        <v>375</v>
      </c>
      <c r="B167" s="8" t="s">
        <v>44</v>
      </c>
      <c r="C167" s="8" t="s">
        <v>349</v>
      </c>
      <c r="D167" s="8" t="s">
        <v>6</v>
      </c>
      <c r="E167">
        <v>375</v>
      </c>
      <c r="G167">
        <v>1</v>
      </c>
      <c r="H167">
        <v>1</v>
      </c>
      <c r="I167">
        <v>1</v>
      </c>
      <c r="J167" s="8">
        <v>1</v>
      </c>
      <c r="K167">
        <v>1</v>
      </c>
      <c r="L167" s="8">
        <v>375</v>
      </c>
      <c r="M167" s="67">
        <f t="shared" si="3"/>
        <v>5</v>
      </c>
    </row>
    <row r="168" spans="1:15">
      <c r="A168" s="8">
        <v>376</v>
      </c>
      <c r="B168" s="8" t="s">
        <v>106</v>
      </c>
      <c r="C168" s="8" t="s">
        <v>349</v>
      </c>
      <c r="D168" s="8" t="s">
        <v>6</v>
      </c>
      <c r="E168">
        <v>376</v>
      </c>
      <c r="F168" s="8">
        <v>1</v>
      </c>
      <c r="G168"/>
      <c r="H168">
        <v>1</v>
      </c>
      <c r="I168">
        <v>1</v>
      </c>
      <c r="J168" s="8">
        <v>1</v>
      </c>
      <c r="K168"/>
      <c r="L168" s="8">
        <v>376</v>
      </c>
      <c r="M168" s="67">
        <f t="shared" si="3"/>
        <v>4</v>
      </c>
    </row>
    <row r="169" spans="1:15">
      <c r="A169" s="8">
        <v>377</v>
      </c>
      <c r="B169" s="8" t="s">
        <v>62</v>
      </c>
      <c r="C169" s="8" t="s">
        <v>42</v>
      </c>
      <c r="D169" s="8" t="s">
        <v>6</v>
      </c>
      <c r="E169">
        <v>377</v>
      </c>
      <c r="F169" s="8">
        <v>1</v>
      </c>
      <c r="G169">
        <v>1</v>
      </c>
      <c r="H169"/>
      <c r="I169">
        <v>1</v>
      </c>
      <c r="J169" s="8">
        <v>1</v>
      </c>
      <c r="K169">
        <v>1</v>
      </c>
      <c r="L169" s="8">
        <v>377</v>
      </c>
      <c r="M169" s="67">
        <f t="shared" si="3"/>
        <v>5</v>
      </c>
    </row>
    <row r="170" spans="1:15">
      <c r="A170" s="8">
        <v>380</v>
      </c>
      <c r="B170" s="8" t="s">
        <v>136</v>
      </c>
      <c r="C170" s="8" t="s">
        <v>12</v>
      </c>
      <c r="D170" s="8" t="s">
        <v>42</v>
      </c>
      <c r="E170">
        <v>380</v>
      </c>
      <c r="G170">
        <v>1</v>
      </c>
      <c r="H170"/>
      <c r="I170"/>
      <c r="K170">
        <v>1</v>
      </c>
      <c r="L170" s="8">
        <v>380</v>
      </c>
      <c r="M170" s="67">
        <f t="shared" si="3"/>
        <v>2</v>
      </c>
    </row>
    <row r="171" spans="1:15">
      <c r="A171" s="8">
        <v>386</v>
      </c>
      <c r="B171" s="8" t="s">
        <v>80</v>
      </c>
      <c r="C171" s="8" t="s">
        <v>346</v>
      </c>
      <c r="D171" s="67" t="s">
        <v>15</v>
      </c>
      <c r="E171">
        <v>386</v>
      </c>
      <c r="G171">
        <v>1</v>
      </c>
      <c r="H171"/>
      <c r="I171"/>
      <c r="K171"/>
      <c r="L171" s="8">
        <v>386</v>
      </c>
      <c r="M171" s="67">
        <f t="shared" si="3"/>
        <v>1</v>
      </c>
    </row>
    <row r="172" spans="1:15">
      <c r="A172" s="8">
        <v>392</v>
      </c>
      <c r="B172" s="8" t="s">
        <v>80</v>
      </c>
      <c r="C172" s="8" t="s">
        <v>346</v>
      </c>
      <c r="D172" s="67" t="s">
        <v>15</v>
      </c>
      <c r="E172">
        <v>392</v>
      </c>
      <c r="G172"/>
      <c r="H172"/>
      <c r="I172"/>
      <c r="K172"/>
      <c r="L172" s="8">
        <v>392</v>
      </c>
      <c r="M172" s="67">
        <f t="shared" si="3"/>
        <v>0</v>
      </c>
      <c r="N172">
        <v>1</v>
      </c>
    </row>
    <row r="173" spans="1:15">
      <c r="A173" s="8">
        <v>401</v>
      </c>
      <c r="B173" s="8" t="s">
        <v>123</v>
      </c>
      <c r="C173" s="8" t="s">
        <v>366</v>
      </c>
      <c r="D173" s="8" t="s">
        <v>42</v>
      </c>
      <c r="E173">
        <v>401</v>
      </c>
      <c r="F173" s="8">
        <v>1</v>
      </c>
      <c r="G173" s="8">
        <v>1</v>
      </c>
      <c r="H173" s="8">
        <v>1</v>
      </c>
      <c r="I173" s="8">
        <v>1</v>
      </c>
      <c r="J173" s="8">
        <v>1</v>
      </c>
      <c r="L173" s="8">
        <v>401</v>
      </c>
      <c r="M173" s="67">
        <f t="shared" si="3"/>
        <v>5</v>
      </c>
    </row>
    <row r="174" spans="1:15">
      <c r="A174" s="8">
        <v>402</v>
      </c>
      <c r="B174" s="8" t="s">
        <v>88</v>
      </c>
      <c r="C174" s="8" t="s">
        <v>12</v>
      </c>
      <c r="D174" s="8" t="s">
        <v>6</v>
      </c>
      <c r="E174">
        <v>402</v>
      </c>
      <c r="F174" s="8">
        <v>1</v>
      </c>
      <c r="G174" s="8">
        <v>1</v>
      </c>
      <c r="H174"/>
      <c r="I174"/>
      <c r="K174">
        <v>1</v>
      </c>
      <c r="L174" s="8">
        <v>402</v>
      </c>
      <c r="M174" s="67">
        <f t="shared" si="3"/>
        <v>3</v>
      </c>
    </row>
    <row r="175" spans="1:15">
      <c r="A175" s="8">
        <v>412</v>
      </c>
      <c r="B175" s="8" t="s">
        <v>41</v>
      </c>
      <c r="C175" s="8" t="s">
        <v>42</v>
      </c>
      <c r="D175" s="8" t="s">
        <v>42</v>
      </c>
      <c r="E175">
        <v>412</v>
      </c>
      <c r="F175" s="8">
        <v>1</v>
      </c>
      <c r="G175" s="8">
        <v>1</v>
      </c>
      <c r="H175">
        <v>1</v>
      </c>
      <c r="I175">
        <v>1</v>
      </c>
      <c r="J175" s="8">
        <v>1</v>
      </c>
      <c r="K175">
        <v>1</v>
      </c>
      <c r="L175" s="8">
        <v>412</v>
      </c>
      <c r="M175" s="67">
        <f t="shared" si="3"/>
        <v>6</v>
      </c>
      <c r="O175">
        <v>1</v>
      </c>
    </row>
    <row r="176" spans="1:15">
      <c r="A176" s="8">
        <v>414</v>
      </c>
      <c r="B176" s="8" t="s">
        <v>62</v>
      </c>
      <c r="C176" s="8" t="s">
        <v>42</v>
      </c>
      <c r="D176" s="8" t="s">
        <v>42</v>
      </c>
      <c r="E176">
        <v>414</v>
      </c>
      <c r="F176" s="8">
        <v>1</v>
      </c>
      <c r="G176" s="8">
        <v>1</v>
      </c>
      <c r="H176"/>
      <c r="I176"/>
      <c r="K176">
        <v>1</v>
      </c>
      <c r="L176" s="8">
        <v>414</v>
      </c>
      <c r="M176" s="67">
        <f t="shared" si="3"/>
        <v>3</v>
      </c>
    </row>
    <row r="177" spans="1:15">
      <c r="A177" s="8">
        <v>417</v>
      </c>
      <c r="B177" s="8" t="s">
        <v>78</v>
      </c>
      <c r="C177" s="8" t="s">
        <v>359</v>
      </c>
      <c r="D177" s="67" t="s">
        <v>15</v>
      </c>
      <c r="E177">
        <v>417</v>
      </c>
      <c r="G177"/>
      <c r="H177"/>
      <c r="I177"/>
      <c r="K177"/>
      <c r="L177" s="8">
        <v>417</v>
      </c>
      <c r="M177" s="67">
        <f t="shared" si="3"/>
        <v>0</v>
      </c>
      <c r="N177">
        <v>1</v>
      </c>
    </row>
    <row r="178" spans="1:15">
      <c r="A178" s="8">
        <v>418</v>
      </c>
      <c r="B178" s="8" t="s">
        <v>80</v>
      </c>
      <c r="C178" s="8" t="s">
        <v>346</v>
      </c>
      <c r="D178" s="67" t="s">
        <v>15</v>
      </c>
      <c r="E178">
        <v>418</v>
      </c>
      <c r="G178">
        <v>1</v>
      </c>
      <c r="H178"/>
      <c r="I178"/>
      <c r="K178"/>
      <c r="L178" s="8">
        <v>418</v>
      </c>
      <c r="M178" s="67">
        <f t="shared" si="3"/>
        <v>1</v>
      </c>
    </row>
    <row r="179" spans="1:15">
      <c r="A179" s="8">
        <v>419</v>
      </c>
      <c r="B179" s="8" t="s">
        <v>123</v>
      </c>
      <c r="C179" s="8" t="s">
        <v>366</v>
      </c>
      <c r="D179" s="8" t="s">
        <v>6</v>
      </c>
      <c r="E179">
        <v>419</v>
      </c>
      <c r="F179" s="8">
        <v>1</v>
      </c>
      <c r="G179">
        <v>1</v>
      </c>
      <c r="H179">
        <v>1</v>
      </c>
      <c r="I179"/>
      <c r="K179" s="5">
        <v>1</v>
      </c>
      <c r="L179" s="8">
        <v>419</v>
      </c>
      <c r="M179" s="67">
        <f t="shared" si="3"/>
        <v>4</v>
      </c>
    </row>
    <row r="180" spans="1:15">
      <c r="A180" s="8">
        <v>421</v>
      </c>
      <c r="B180" s="8" t="s">
        <v>41</v>
      </c>
      <c r="C180" s="8" t="s">
        <v>42</v>
      </c>
      <c r="D180" s="8" t="s">
        <v>6</v>
      </c>
      <c r="E180">
        <v>421</v>
      </c>
      <c r="G180">
        <v>1</v>
      </c>
      <c r="H180"/>
      <c r="I180"/>
      <c r="J180" s="8">
        <v>1</v>
      </c>
      <c r="K180">
        <v>1</v>
      </c>
      <c r="L180" s="8">
        <v>421</v>
      </c>
      <c r="M180" s="67">
        <f t="shared" si="3"/>
        <v>3</v>
      </c>
    </row>
    <row r="181" spans="1:15">
      <c r="A181" s="8">
        <v>424</v>
      </c>
      <c r="B181" s="8" t="s">
        <v>63</v>
      </c>
      <c r="C181" s="8" t="s">
        <v>346</v>
      </c>
      <c r="D181" s="67" t="s">
        <v>15</v>
      </c>
      <c r="E181">
        <v>424</v>
      </c>
      <c r="G181"/>
      <c r="H181"/>
      <c r="I181"/>
      <c r="K181"/>
      <c r="L181" s="8">
        <v>424</v>
      </c>
      <c r="M181" s="67">
        <f t="shared" si="3"/>
        <v>0</v>
      </c>
      <c r="N181">
        <v>1</v>
      </c>
    </row>
    <row r="182" spans="1:15">
      <c r="A182" s="8">
        <v>425</v>
      </c>
      <c r="B182" s="8" t="s">
        <v>63</v>
      </c>
      <c r="C182" s="8" t="s">
        <v>346</v>
      </c>
      <c r="D182" s="67" t="s">
        <v>15</v>
      </c>
      <c r="E182">
        <v>425</v>
      </c>
      <c r="G182"/>
      <c r="H182"/>
      <c r="I182"/>
      <c r="K182"/>
      <c r="L182" s="8">
        <v>425</v>
      </c>
      <c r="M182" s="67">
        <f t="shared" si="3"/>
        <v>0</v>
      </c>
      <c r="N182">
        <v>1</v>
      </c>
    </row>
    <row r="183" spans="1:15">
      <c r="A183" s="8">
        <v>426</v>
      </c>
      <c r="B183" s="8" t="s">
        <v>44</v>
      </c>
      <c r="C183" s="8" t="s">
        <v>349</v>
      </c>
      <c r="D183" s="8" t="s">
        <v>6</v>
      </c>
      <c r="E183">
        <v>426</v>
      </c>
      <c r="F183" s="8">
        <v>1</v>
      </c>
      <c r="G183">
        <v>1</v>
      </c>
      <c r="H183">
        <v>1</v>
      </c>
      <c r="I183">
        <v>1</v>
      </c>
      <c r="K183"/>
      <c r="L183" s="8">
        <v>426</v>
      </c>
      <c r="M183" s="67">
        <f t="shared" si="3"/>
        <v>4</v>
      </c>
    </row>
    <row r="184" spans="1:15">
      <c r="A184" s="8">
        <v>429</v>
      </c>
      <c r="B184" s="8" t="s">
        <v>73</v>
      </c>
      <c r="C184" s="8" t="s">
        <v>165</v>
      </c>
      <c r="D184" s="8" t="s">
        <v>6</v>
      </c>
      <c r="E184">
        <v>429</v>
      </c>
      <c r="G184">
        <v>1</v>
      </c>
      <c r="H184"/>
      <c r="I184"/>
      <c r="K184"/>
      <c r="L184" s="8">
        <v>429</v>
      </c>
      <c r="M184" s="67">
        <f t="shared" si="3"/>
        <v>1</v>
      </c>
    </row>
    <row r="185" spans="1:15">
      <c r="A185" s="8">
        <v>434</v>
      </c>
      <c r="B185" s="8" t="s">
        <v>56</v>
      </c>
      <c r="C185" s="8" t="s">
        <v>360</v>
      </c>
      <c r="D185" s="67" t="s">
        <v>15</v>
      </c>
      <c r="E185">
        <v>434</v>
      </c>
      <c r="G185"/>
      <c r="H185"/>
      <c r="I185"/>
      <c r="K185"/>
      <c r="L185" s="8">
        <v>434</v>
      </c>
      <c r="M185" s="67">
        <f t="shared" si="3"/>
        <v>0</v>
      </c>
      <c r="N185">
        <v>1</v>
      </c>
    </row>
    <row r="186" spans="1:15">
      <c r="A186" s="8">
        <v>435</v>
      </c>
      <c r="B186" s="8" t="s">
        <v>201</v>
      </c>
      <c r="C186" s="8" t="s">
        <v>357</v>
      </c>
      <c r="D186" s="67" t="s">
        <v>15</v>
      </c>
      <c r="E186">
        <v>435</v>
      </c>
      <c r="F186" s="8">
        <v>1</v>
      </c>
      <c r="G186">
        <v>1</v>
      </c>
      <c r="H186"/>
      <c r="I186"/>
      <c r="K186">
        <v>1</v>
      </c>
      <c r="L186" s="8">
        <v>435</v>
      </c>
      <c r="M186" s="67">
        <f t="shared" si="3"/>
        <v>3</v>
      </c>
    </row>
    <row r="187" spans="1:15">
      <c r="A187" s="8">
        <v>436</v>
      </c>
      <c r="B187" s="8" t="s">
        <v>44</v>
      </c>
      <c r="C187" s="8" t="s">
        <v>349</v>
      </c>
      <c r="D187" s="8" t="s">
        <v>6</v>
      </c>
      <c r="E187">
        <v>436</v>
      </c>
      <c r="F187" s="8">
        <v>1</v>
      </c>
      <c r="G187">
        <v>1</v>
      </c>
      <c r="H187">
        <v>1</v>
      </c>
      <c r="I187">
        <v>1</v>
      </c>
      <c r="J187" s="8">
        <v>1</v>
      </c>
      <c r="K187">
        <v>1</v>
      </c>
      <c r="L187" s="8">
        <v>436</v>
      </c>
      <c r="M187" s="67">
        <f t="shared" si="3"/>
        <v>6</v>
      </c>
      <c r="O187">
        <v>1</v>
      </c>
    </row>
    <row r="188" spans="1:15">
      <c r="A188" s="8">
        <v>437</v>
      </c>
      <c r="B188" s="8" t="s">
        <v>68</v>
      </c>
      <c r="C188" s="8" t="s">
        <v>357</v>
      </c>
      <c r="D188" s="67" t="s">
        <v>15</v>
      </c>
      <c r="E188">
        <v>437</v>
      </c>
      <c r="F188" s="8">
        <v>1</v>
      </c>
      <c r="G188">
        <v>1</v>
      </c>
      <c r="H188"/>
      <c r="I188"/>
      <c r="K188"/>
      <c r="L188" s="8">
        <v>437</v>
      </c>
      <c r="M188" s="67">
        <f t="shared" si="3"/>
        <v>2</v>
      </c>
    </row>
    <row r="189" spans="1:15">
      <c r="A189" s="8">
        <v>440</v>
      </c>
      <c r="B189" s="8" t="s">
        <v>5</v>
      </c>
      <c r="C189" s="8" t="s">
        <v>42</v>
      </c>
      <c r="D189" s="8" t="s">
        <v>42</v>
      </c>
      <c r="E189">
        <v>440</v>
      </c>
      <c r="F189" s="8">
        <v>1</v>
      </c>
      <c r="G189">
        <v>1</v>
      </c>
      <c r="H189"/>
      <c r="I189">
        <v>1</v>
      </c>
      <c r="K189">
        <v>1</v>
      </c>
      <c r="L189" s="8">
        <v>440</v>
      </c>
      <c r="M189" s="67">
        <f t="shared" si="3"/>
        <v>4</v>
      </c>
    </row>
    <row r="190" spans="1:15">
      <c r="A190" s="8" t="s">
        <v>271</v>
      </c>
      <c r="B190" s="8" t="s">
        <v>55</v>
      </c>
      <c r="C190" s="8" t="s">
        <v>346</v>
      </c>
      <c r="D190" s="67" t="s">
        <v>15</v>
      </c>
      <c r="E190" t="s">
        <v>271</v>
      </c>
      <c r="F190" s="8">
        <v>1</v>
      </c>
      <c r="G190"/>
      <c r="H190"/>
      <c r="I190"/>
      <c r="K190"/>
      <c r="L190" s="8" t="s">
        <v>271</v>
      </c>
      <c r="M190" s="67">
        <f t="shared" si="3"/>
        <v>1</v>
      </c>
    </row>
    <row r="191" spans="1:15">
      <c r="A191" s="8">
        <v>444</v>
      </c>
      <c r="B191" s="8" t="s">
        <v>44</v>
      </c>
      <c r="C191" s="8" t="s">
        <v>349</v>
      </c>
      <c r="D191" s="8" t="s">
        <v>6</v>
      </c>
      <c r="E191">
        <v>444</v>
      </c>
      <c r="F191" s="8">
        <v>1</v>
      </c>
      <c r="G191">
        <v>1</v>
      </c>
      <c r="H191">
        <v>1</v>
      </c>
      <c r="I191"/>
      <c r="J191" s="8">
        <v>1</v>
      </c>
      <c r="K191" s="5">
        <v>1</v>
      </c>
      <c r="L191" s="8">
        <v>444</v>
      </c>
      <c r="M191" s="67">
        <f t="shared" si="3"/>
        <v>5</v>
      </c>
    </row>
    <row r="192" spans="1:15">
      <c r="A192" s="8">
        <v>445</v>
      </c>
      <c r="B192" s="8" t="s">
        <v>106</v>
      </c>
      <c r="C192" s="8" t="s">
        <v>349</v>
      </c>
      <c r="D192" s="8" t="s">
        <v>6</v>
      </c>
      <c r="E192">
        <v>445</v>
      </c>
      <c r="F192" s="8">
        <v>1</v>
      </c>
      <c r="G192">
        <v>1</v>
      </c>
      <c r="H192">
        <v>1</v>
      </c>
      <c r="I192">
        <v>1</v>
      </c>
      <c r="J192" s="8">
        <v>1</v>
      </c>
      <c r="K192"/>
      <c r="L192" s="8">
        <v>445</v>
      </c>
      <c r="M192" s="67">
        <f t="shared" si="3"/>
        <v>5</v>
      </c>
    </row>
    <row r="193" spans="1:15">
      <c r="A193" s="8">
        <v>449</v>
      </c>
      <c r="B193" s="8" t="s">
        <v>62</v>
      </c>
      <c r="C193" s="8" t="s">
        <v>42</v>
      </c>
      <c r="D193" s="8" t="s">
        <v>42</v>
      </c>
      <c r="E193">
        <v>449</v>
      </c>
      <c r="F193" s="8">
        <v>1</v>
      </c>
      <c r="G193">
        <v>1</v>
      </c>
      <c r="H193"/>
      <c r="I193">
        <v>1</v>
      </c>
      <c r="J193" s="8">
        <v>1</v>
      </c>
      <c r="K193">
        <v>1</v>
      </c>
      <c r="L193" s="8">
        <v>449</v>
      </c>
      <c r="M193" s="67">
        <f t="shared" si="3"/>
        <v>5</v>
      </c>
    </row>
    <row r="194" spans="1:15">
      <c r="A194" s="8">
        <v>450</v>
      </c>
      <c r="B194" s="8" t="s">
        <v>73</v>
      </c>
      <c r="C194" s="8" t="s">
        <v>165</v>
      </c>
      <c r="D194" s="8" t="s">
        <v>6</v>
      </c>
      <c r="E194">
        <v>450</v>
      </c>
      <c r="F194" s="8">
        <v>1</v>
      </c>
      <c r="G194">
        <v>1</v>
      </c>
      <c r="H194">
        <v>1</v>
      </c>
      <c r="I194">
        <v>1</v>
      </c>
      <c r="K194"/>
      <c r="L194" s="8">
        <v>450</v>
      </c>
      <c r="M194" s="67">
        <f t="shared" si="3"/>
        <v>4</v>
      </c>
    </row>
    <row r="195" spans="1:15">
      <c r="A195" s="8">
        <v>452</v>
      </c>
      <c r="B195" s="8" t="s">
        <v>63</v>
      </c>
      <c r="C195" s="8" t="s">
        <v>346</v>
      </c>
      <c r="D195" s="67" t="s">
        <v>15</v>
      </c>
      <c r="E195">
        <v>452</v>
      </c>
      <c r="G195"/>
      <c r="H195"/>
      <c r="I195"/>
      <c r="K195"/>
      <c r="L195" s="8">
        <v>452</v>
      </c>
      <c r="M195" s="67">
        <f t="shared" si="3"/>
        <v>0</v>
      </c>
      <c r="N195">
        <v>1</v>
      </c>
    </row>
    <row r="196" spans="1:15">
      <c r="A196" s="8">
        <v>454</v>
      </c>
      <c r="B196" s="8" t="s">
        <v>88</v>
      </c>
      <c r="C196" s="8" t="s">
        <v>12</v>
      </c>
      <c r="D196" t="s">
        <v>42</v>
      </c>
      <c r="E196">
        <v>454</v>
      </c>
      <c r="F196" s="8">
        <v>1</v>
      </c>
      <c r="G196">
        <v>1</v>
      </c>
      <c r="H196"/>
      <c r="I196"/>
      <c r="K196">
        <v>1</v>
      </c>
      <c r="L196" s="8">
        <v>454</v>
      </c>
      <c r="M196" s="67">
        <f t="shared" si="3"/>
        <v>3</v>
      </c>
    </row>
    <row r="197" spans="1:15">
      <c r="A197" s="8">
        <v>459</v>
      </c>
      <c r="B197" s="8" t="s">
        <v>201</v>
      </c>
      <c r="C197" s="8" t="s">
        <v>357</v>
      </c>
      <c r="D197" s="8" t="s">
        <v>42</v>
      </c>
      <c r="E197">
        <v>459</v>
      </c>
      <c r="G197">
        <v>1</v>
      </c>
      <c r="H197"/>
      <c r="I197"/>
      <c r="K197"/>
      <c r="L197" s="8">
        <v>459</v>
      </c>
      <c r="M197" s="67">
        <f t="shared" si="3"/>
        <v>1</v>
      </c>
    </row>
    <row r="198" spans="1:15">
      <c r="A198" s="8">
        <v>464</v>
      </c>
      <c r="B198" s="8" t="s">
        <v>99</v>
      </c>
      <c r="C198" s="8" t="s">
        <v>346</v>
      </c>
      <c r="D198" s="67" t="s">
        <v>15</v>
      </c>
      <c r="E198">
        <v>464</v>
      </c>
      <c r="F198" s="8">
        <v>1</v>
      </c>
      <c r="G198">
        <v>1</v>
      </c>
      <c r="H198"/>
      <c r="I198">
        <v>1</v>
      </c>
      <c r="K198"/>
      <c r="L198" s="8">
        <v>464</v>
      </c>
      <c r="M198" s="67">
        <f t="shared" si="3"/>
        <v>3</v>
      </c>
    </row>
    <row r="199" spans="1:15">
      <c r="A199" s="8">
        <v>466</v>
      </c>
      <c r="B199" s="8" t="s">
        <v>41</v>
      </c>
      <c r="C199" s="8" t="s">
        <v>42</v>
      </c>
      <c r="D199" s="8" t="s">
        <v>6</v>
      </c>
      <c r="E199">
        <v>466</v>
      </c>
      <c r="F199" s="8">
        <v>1</v>
      </c>
      <c r="G199">
        <v>1</v>
      </c>
      <c r="H199">
        <v>1</v>
      </c>
      <c r="I199">
        <v>1</v>
      </c>
      <c r="J199" s="8">
        <v>1</v>
      </c>
      <c r="K199">
        <v>1</v>
      </c>
      <c r="L199" s="8">
        <v>466</v>
      </c>
      <c r="M199" s="67">
        <f t="shared" si="3"/>
        <v>6</v>
      </c>
      <c r="O199">
        <v>1</v>
      </c>
    </row>
    <row r="200" spans="1:15">
      <c r="A200" s="8">
        <v>467</v>
      </c>
      <c r="B200" s="8" t="s">
        <v>41</v>
      </c>
      <c r="C200" s="8" t="s">
        <v>42</v>
      </c>
      <c r="D200" s="8" t="s">
        <v>6</v>
      </c>
      <c r="E200">
        <v>467</v>
      </c>
      <c r="F200" s="8">
        <v>1</v>
      </c>
      <c r="G200">
        <v>1</v>
      </c>
      <c r="H200"/>
      <c r="I200"/>
      <c r="J200" s="8">
        <v>1</v>
      </c>
      <c r="K200">
        <v>1</v>
      </c>
      <c r="L200" s="8">
        <v>467</v>
      </c>
      <c r="M200" s="67">
        <f t="shared" si="3"/>
        <v>4</v>
      </c>
    </row>
    <row r="201" spans="1:15">
      <c r="A201" s="8">
        <v>468</v>
      </c>
      <c r="B201" s="8" t="s">
        <v>282</v>
      </c>
      <c r="C201" s="8" t="s">
        <v>358</v>
      </c>
      <c r="D201" s="8" t="s">
        <v>6</v>
      </c>
      <c r="E201">
        <v>468</v>
      </c>
      <c r="G201">
        <v>1</v>
      </c>
      <c r="H201"/>
      <c r="I201"/>
      <c r="K201">
        <v>1</v>
      </c>
      <c r="L201" s="8">
        <v>468</v>
      </c>
      <c r="M201" s="67">
        <f t="shared" si="3"/>
        <v>2</v>
      </c>
    </row>
    <row r="202" spans="1:15">
      <c r="A202" s="8">
        <v>469</v>
      </c>
      <c r="B202" s="8" t="s">
        <v>44</v>
      </c>
      <c r="C202" s="8" t="s">
        <v>349</v>
      </c>
      <c r="D202" s="8" t="s">
        <v>42</v>
      </c>
      <c r="E202">
        <v>469</v>
      </c>
      <c r="F202" s="8">
        <v>1</v>
      </c>
      <c r="G202">
        <v>1</v>
      </c>
      <c r="H202">
        <v>1</v>
      </c>
      <c r="I202">
        <v>1</v>
      </c>
      <c r="J202" s="8">
        <v>1</v>
      </c>
      <c r="K202">
        <v>1</v>
      </c>
      <c r="L202" s="8">
        <v>469</v>
      </c>
      <c r="M202" s="67">
        <f t="shared" si="3"/>
        <v>6</v>
      </c>
      <c r="O202">
        <v>1</v>
      </c>
    </row>
    <row r="203" spans="1:15">
      <c r="A203" s="8">
        <v>471</v>
      </c>
      <c r="B203" s="8" t="s">
        <v>71</v>
      </c>
      <c r="C203" s="8" t="s">
        <v>366</v>
      </c>
      <c r="D203" s="8" t="s">
        <v>6</v>
      </c>
      <c r="E203">
        <v>471</v>
      </c>
      <c r="F203" s="8">
        <v>1</v>
      </c>
      <c r="G203">
        <v>1</v>
      </c>
      <c r="H203"/>
      <c r="I203"/>
      <c r="J203" s="8">
        <v>1</v>
      </c>
      <c r="K203">
        <v>1</v>
      </c>
      <c r="L203" s="8">
        <v>471</v>
      </c>
      <c r="M203" s="67">
        <f t="shared" si="3"/>
        <v>4</v>
      </c>
    </row>
    <row r="204" spans="1:15">
      <c r="A204" s="8">
        <v>474</v>
      </c>
      <c r="B204" s="8" t="s">
        <v>106</v>
      </c>
      <c r="C204" s="8" t="s">
        <v>349</v>
      </c>
      <c r="D204" s="8" t="s">
        <v>6</v>
      </c>
      <c r="E204">
        <v>474</v>
      </c>
      <c r="F204" s="8">
        <v>1</v>
      </c>
      <c r="G204">
        <v>1</v>
      </c>
      <c r="H204">
        <v>1</v>
      </c>
      <c r="I204"/>
      <c r="J204" s="8">
        <v>1</v>
      </c>
      <c r="K204"/>
      <c r="L204" s="8">
        <v>474</v>
      </c>
      <c r="M204" s="67">
        <f t="shared" si="3"/>
        <v>4</v>
      </c>
    </row>
    <row r="205" spans="1:15">
      <c r="A205" s="8">
        <v>476</v>
      </c>
      <c r="B205" s="8" t="s">
        <v>44</v>
      </c>
      <c r="C205" s="8" t="s">
        <v>349</v>
      </c>
      <c r="D205" s="8" t="s">
        <v>42</v>
      </c>
      <c r="E205">
        <v>476</v>
      </c>
      <c r="G205">
        <v>1</v>
      </c>
      <c r="H205">
        <v>1</v>
      </c>
      <c r="I205">
        <v>1</v>
      </c>
      <c r="J205" s="8">
        <v>1</v>
      </c>
      <c r="K205"/>
      <c r="L205" s="8">
        <v>476</v>
      </c>
      <c r="M205" s="67">
        <f t="shared" si="3"/>
        <v>4</v>
      </c>
    </row>
    <row r="206" spans="1:15">
      <c r="A206" s="8">
        <v>478</v>
      </c>
      <c r="B206" s="8" t="s">
        <v>62</v>
      </c>
      <c r="C206" s="8" t="s">
        <v>42</v>
      </c>
      <c r="D206" s="8" t="s">
        <v>42</v>
      </c>
      <c r="E206">
        <v>478</v>
      </c>
      <c r="F206" s="8">
        <v>1</v>
      </c>
      <c r="G206">
        <v>1</v>
      </c>
      <c r="H206">
        <v>1</v>
      </c>
      <c r="I206">
        <v>1</v>
      </c>
      <c r="J206" s="8">
        <v>1</v>
      </c>
      <c r="K206"/>
      <c r="L206" s="8">
        <v>478</v>
      </c>
      <c r="M206" s="67">
        <f t="shared" si="3"/>
        <v>5</v>
      </c>
    </row>
    <row r="207" spans="1:15">
      <c r="A207" s="8">
        <v>480</v>
      </c>
      <c r="B207" s="8" t="s">
        <v>55</v>
      </c>
      <c r="C207" s="8" t="s">
        <v>346</v>
      </c>
      <c r="D207" s="67" t="s">
        <v>15</v>
      </c>
      <c r="E207">
        <v>480</v>
      </c>
      <c r="G207"/>
      <c r="H207"/>
      <c r="I207"/>
      <c r="K207"/>
      <c r="L207" s="8">
        <v>480</v>
      </c>
      <c r="M207" s="67">
        <f t="shared" si="3"/>
        <v>0</v>
      </c>
      <c r="N207">
        <v>1</v>
      </c>
    </row>
    <row r="208" spans="1:15">
      <c r="A208" s="8" t="s">
        <v>287</v>
      </c>
      <c r="B208" s="8" t="s">
        <v>41</v>
      </c>
      <c r="C208" s="8" t="s">
        <v>42</v>
      </c>
      <c r="D208" s="8" t="s">
        <v>6</v>
      </c>
      <c r="E208" t="s">
        <v>287</v>
      </c>
      <c r="F208" s="8">
        <v>1</v>
      </c>
      <c r="G208">
        <v>1</v>
      </c>
      <c r="H208">
        <v>1</v>
      </c>
      <c r="I208"/>
      <c r="K208">
        <v>1</v>
      </c>
      <c r="L208" s="8" t="s">
        <v>287</v>
      </c>
      <c r="M208" s="67">
        <f t="shared" ref="M208:M253" si="4">SUM(F208:K208)</f>
        <v>4</v>
      </c>
    </row>
    <row r="209" spans="1:15">
      <c r="A209" s="8" t="s">
        <v>290</v>
      </c>
      <c r="B209" s="8" t="s">
        <v>5</v>
      </c>
      <c r="C209" s="8" t="s">
        <v>42</v>
      </c>
      <c r="D209" s="8" t="s">
        <v>42</v>
      </c>
      <c r="E209" t="s">
        <v>290</v>
      </c>
      <c r="F209" s="8">
        <v>1</v>
      </c>
      <c r="G209">
        <v>1</v>
      </c>
      <c r="H209"/>
      <c r="I209"/>
      <c r="J209" s="8">
        <v>1</v>
      </c>
      <c r="K209"/>
      <c r="L209" s="8" t="s">
        <v>290</v>
      </c>
      <c r="M209" s="67">
        <f t="shared" si="4"/>
        <v>3</v>
      </c>
    </row>
    <row r="210" spans="1:15">
      <c r="A210" s="8">
        <v>489</v>
      </c>
      <c r="B210" s="8" t="s">
        <v>99</v>
      </c>
      <c r="C210" s="8" t="s">
        <v>346</v>
      </c>
      <c r="D210" s="67" t="s">
        <v>15</v>
      </c>
      <c r="E210">
        <v>489</v>
      </c>
      <c r="F210" s="8">
        <v>1</v>
      </c>
      <c r="G210"/>
      <c r="H210"/>
      <c r="I210"/>
      <c r="K210"/>
      <c r="L210" s="8">
        <v>489</v>
      </c>
      <c r="M210" s="67">
        <f t="shared" si="4"/>
        <v>1</v>
      </c>
    </row>
    <row r="211" spans="1:15">
      <c r="A211" s="8">
        <v>490</v>
      </c>
      <c r="B211" s="8" t="s">
        <v>74</v>
      </c>
      <c r="C211" s="8" t="s">
        <v>346</v>
      </c>
      <c r="D211" s="67" t="s">
        <v>15</v>
      </c>
      <c r="E211">
        <v>490</v>
      </c>
      <c r="G211"/>
      <c r="H211"/>
      <c r="I211"/>
      <c r="K211"/>
      <c r="L211" s="8">
        <v>490</v>
      </c>
      <c r="M211" s="67">
        <f t="shared" si="4"/>
        <v>0</v>
      </c>
      <c r="N211">
        <v>1</v>
      </c>
    </row>
    <row r="212" spans="1:15">
      <c r="A212" s="8">
        <v>492</v>
      </c>
      <c r="B212" s="8" t="s">
        <v>63</v>
      </c>
      <c r="C212" s="8" t="s">
        <v>346</v>
      </c>
      <c r="D212" s="67" t="s">
        <v>15</v>
      </c>
      <c r="E212">
        <v>492</v>
      </c>
      <c r="G212"/>
      <c r="H212"/>
      <c r="I212"/>
      <c r="K212"/>
      <c r="L212" s="8">
        <v>492</v>
      </c>
      <c r="M212" s="67">
        <f t="shared" si="4"/>
        <v>0</v>
      </c>
      <c r="N212">
        <v>1</v>
      </c>
    </row>
    <row r="213" spans="1:15">
      <c r="A213" s="8">
        <v>495</v>
      </c>
      <c r="B213" s="8" t="s">
        <v>63</v>
      </c>
      <c r="C213" s="8" t="s">
        <v>346</v>
      </c>
      <c r="D213" s="67" t="s">
        <v>15</v>
      </c>
      <c r="E213">
        <v>495</v>
      </c>
      <c r="G213"/>
      <c r="H213"/>
      <c r="I213"/>
      <c r="K213"/>
      <c r="L213" s="8">
        <v>495</v>
      </c>
      <c r="M213" s="67">
        <f t="shared" si="4"/>
        <v>0</v>
      </c>
      <c r="N213">
        <v>1</v>
      </c>
    </row>
    <row r="214" spans="1:15">
      <c r="A214" s="8">
        <v>498</v>
      </c>
      <c r="B214" t="s">
        <v>62</v>
      </c>
      <c r="C214" s="8" t="s">
        <v>42</v>
      </c>
      <c r="D214" t="s">
        <v>42</v>
      </c>
      <c r="E214">
        <v>498</v>
      </c>
      <c r="F214" s="8">
        <v>1</v>
      </c>
      <c r="G214">
        <v>1</v>
      </c>
      <c r="H214">
        <v>1</v>
      </c>
      <c r="I214">
        <v>1</v>
      </c>
      <c r="J214" s="8">
        <v>1</v>
      </c>
      <c r="K214">
        <v>1</v>
      </c>
      <c r="L214" s="8">
        <v>498</v>
      </c>
      <c r="M214" s="67">
        <f t="shared" si="4"/>
        <v>6</v>
      </c>
      <c r="O214">
        <v>1</v>
      </c>
    </row>
    <row r="215" spans="1:15">
      <c r="A215" s="8">
        <v>499</v>
      </c>
      <c r="B215" t="s">
        <v>123</v>
      </c>
      <c r="C215" s="8" t="s">
        <v>366</v>
      </c>
      <c r="D215" t="s">
        <v>6</v>
      </c>
      <c r="E215">
        <v>499</v>
      </c>
      <c r="F215" s="8">
        <v>1</v>
      </c>
      <c r="G215">
        <v>1</v>
      </c>
      <c r="H215">
        <v>1</v>
      </c>
      <c r="I215">
        <v>1</v>
      </c>
      <c r="J215" s="8">
        <v>1</v>
      </c>
      <c r="K215">
        <v>1</v>
      </c>
      <c r="L215" s="8">
        <v>499</v>
      </c>
      <c r="M215" s="67">
        <f t="shared" si="4"/>
        <v>6</v>
      </c>
      <c r="O215">
        <v>1</v>
      </c>
    </row>
    <row r="216" spans="1:15">
      <c r="A216" s="8">
        <v>503</v>
      </c>
      <c r="B216" t="s">
        <v>80</v>
      </c>
      <c r="C216" s="8" t="s">
        <v>346</v>
      </c>
      <c r="D216" s="67" t="s">
        <v>15</v>
      </c>
      <c r="E216">
        <v>503</v>
      </c>
      <c r="G216">
        <v>1</v>
      </c>
      <c r="H216"/>
      <c r="I216"/>
      <c r="K216"/>
      <c r="L216" s="8">
        <v>503</v>
      </c>
      <c r="M216" s="67">
        <f t="shared" si="4"/>
        <v>1</v>
      </c>
    </row>
    <row r="217" spans="1:15">
      <c r="A217" s="8">
        <v>505</v>
      </c>
      <c r="B217" t="s">
        <v>73</v>
      </c>
      <c r="C217" s="8" t="s">
        <v>165</v>
      </c>
      <c r="D217" t="s">
        <v>42</v>
      </c>
      <c r="E217">
        <v>505</v>
      </c>
      <c r="F217" s="8">
        <v>1</v>
      </c>
      <c r="G217">
        <v>1</v>
      </c>
      <c r="H217"/>
      <c r="I217">
        <v>1</v>
      </c>
      <c r="J217" s="8">
        <v>1</v>
      </c>
      <c r="K217">
        <v>1</v>
      </c>
      <c r="L217" s="8">
        <v>505</v>
      </c>
      <c r="M217" s="67">
        <f t="shared" si="4"/>
        <v>5</v>
      </c>
    </row>
    <row r="218" spans="1:15">
      <c r="A218" s="8">
        <v>506</v>
      </c>
      <c r="B218" t="s">
        <v>240</v>
      </c>
      <c r="C218" s="8" t="s">
        <v>42</v>
      </c>
      <c r="D218" t="s">
        <v>6</v>
      </c>
      <c r="E218">
        <v>506</v>
      </c>
      <c r="F218" s="8">
        <v>1</v>
      </c>
      <c r="G218">
        <v>1</v>
      </c>
      <c r="H218">
        <v>1</v>
      </c>
      <c r="I218">
        <v>1</v>
      </c>
      <c r="J218" s="8">
        <v>1</v>
      </c>
      <c r="K218"/>
      <c r="L218" s="8">
        <v>506</v>
      </c>
      <c r="M218" s="67">
        <f t="shared" si="4"/>
        <v>5</v>
      </c>
    </row>
    <row r="219" spans="1:15">
      <c r="A219" s="8">
        <v>507</v>
      </c>
      <c r="B219" t="s">
        <v>63</v>
      </c>
      <c r="C219" s="8" t="s">
        <v>346</v>
      </c>
      <c r="D219" s="67" t="s">
        <v>15</v>
      </c>
      <c r="E219">
        <v>507</v>
      </c>
      <c r="G219"/>
      <c r="H219"/>
      <c r="I219"/>
      <c r="K219"/>
      <c r="L219" s="8">
        <v>507</v>
      </c>
      <c r="M219" s="67">
        <f t="shared" si="4"/>
        <v>0</v>
      </c>
      <c r="N219">
        <v>1</v>
      </c>
    </row>
    <row r="220" spans="1:15">
      <c r="A220" s="8">
        <v>508</v>
      </c>
      <c r="B220" t="s">
        <v>88</v>
      </c>
      <c r="C220" s="8" t="s">
        <v>12</v>
      </c>
      <c r="D220" s="8" t="s">
        <v>42</v>
      </c>
      <c r="E220">
        <v>508</v>
      </c>
      <c r="G220">
        <v>1</v>
      </c>
      <c r="H220"/>
      <c r="I220"/>
      <c r="K220"/>
      <c r="L220" s="8">
        <v>508</v>
      </c>
      <c r="M220" s="67">
        <f t="shared" si="4"/>
        <v>1</v>
      </c>
    </row>
    <row r="221" spans="1:15">
      <c r="A221" s="8">
        <v>513</v>
      </c>
      <c r="B221" t="s">
        <v>73</v>
      </c>
      <c r="C221" s="8" t="s">
        <v>165</v>
      </c>
      <c r="D221" t="s">
        <v>6</v>
      </c>
      <c r="E221">
        <v>513</v>
      </c>
      <c r="F221" s="8">
        <v>1</v>
      </c>
      <c r="G221">
        <v>1</v>
      </c>
      <c r="H221">
        <v>1</v>
      </c>
      <c r="I221">
        <v>1</v>
      </c>
      <c r="K221">
        <v>1</v>
      </c>
      <c r="L221" s="8">
        <v>513</v>
      </c>
      <c r="M221" s="67">
        <f t="shared" si="4"/>
        <v>5</v>
      </c>
    </row>
    <row r="222" spans="1:15">
      <c r="A222" s="8">
        <v>514</v>
      </c>
      <c r="B222" t="s">
        <v>99</v>
      </c>
      <c r="C222" s="8" t="s">
        <v>346</v>
      </c>
      <c r="D222" s="67" t="s">
        <v>15</v>
      </c>
      <c r="E222">
        <v>514</v>
      </c>
      <c r="G222">
        <v>1</v>
      </c>
      <c r="H222"/>
      <c r="I222"/>
      <c r="K222"/>
      <c r="L222" s="8">
        <v>514</v>
      </c>
      <c r="M222" s="67">
        <f t="shared" si="4"/>
        <v>1</v>
      </c>
    </row>
    <row r="223" spans="1:15">
      <c r="A223" s="8">
        <v>516</v>
      </c>
      <c r="B223" t="s">
        <v>99</v>
      </c>
      <c r="C223" s="8" t="s">
        <v>346</v>
      </c>
      <c r="D223" s="67" t="s">
        <v>15</v>
      </c>
      <c r="E223">
        <v>516</v>
      </c>
      <c r="G223">
        <v>1</v>
      </c>
      <c r="H223"/>
      <c r="I223"/>
      <c r="K223"/>
      <c r="L223" s="8">
        <v>516</v>
      </c>
      <c r="M223" s="67">
        <f t="shared" si="4"/>
        <v>1</v>
      </c>
    </row>
    <row r="224" spans="1:15">
      <c r="A224" s="8">
        <v>518</v>
      </c>
      <c r="B224" t="s">
        <v>99</v>
      </c>
      <c r="C224" s="8" t="s">
        <v>346</v>
      </c>
      <c r="D224" s="67" t="s">
        <v>15</v>
      </c>
      <c r="E224">
        <v>518</v>
      </c>
      <c r="G224">
        <v>1</v>
      </c>
      <c r="H224"/>
      <c r="I224"/>
      <c r="K224"/>
      <c r="L224" s="8">
        <v>518</v>
      </c>
      <c r="M224" s="67">
        <f t="shared" si="4"/>
        <v>1</v>
      </c>
    </row>
    <row r="225" spans="1:14">
      <c r="A225" s="8">
        <v>519</v>
      </c>
      <c r="B225" t="s">
        <v>62</v>
      </c>
      <c r="C225" s="8" t="s">
        <v>42</v>
      </c>
      <c r="D225" t="s">
        <v>42</v>
      </c>
      <c r="E225">
        <v>519</v>
      </c>
      <c r="F225" s="8">
        <v>1</v>
      </c>
      <c r="G225">
        <v>1</v>
      </c>
      <c r="H225">
        <v>1</v>
      </c>
      <c r="I225">
        <v>1</v>
      </c>
      <c r="J225" s="8">
        <v>1</v>
      </c>
      <c r="K225"/>
      <c r="L225" s="8">
        <v>519</v>
      </c>
      <c r="M225" s="67">
        <f t="shared" si="4"/>
        <v>5</v>
      </c>
    </row>
    <row r="226" spans="1:14">
      <c r="A226" s="8">
        <v>521</v>
      </c>
      <c r="B226" t="s">
        <v>41</v>
      </c>
      <c r="C226" s="8" t="s">
        <v>42</v>
      </c>
      <c r="D226" t="s">
        <v>42</v>
      </c>
      <c r="E226">
        <v>521</v>
      </c>
      <c r="F226" s="8">
        <v>1</v>
      </c>
      <c r="G226">
        <v>1</v>
      </c>
      <c r="H226">
        <v>1</v>
      </c>
      <c r="I226">
        <v>1</v>
      </c>
      <c r="K226">
        <v>1</v>
      </c>
      <c r="L226" s="8">
        <v>521</v>
      </c>
      <c r="M226" s="67">
        <f t="shared" si="4"/>
        <v>5</v>
      </c>
    </row>
    <row r="227" spans="1:14">
      <c r="A227" s="8">
        <v>522</v>
      </c>
      <c r="B227" t="s">
        <v>55</v>
      </c>
      <c r="C227" s="8" t="s">
        <v>346</v>
      </c>
      <c r="D227" s="67" t="s">
        <v>15</v>
      </c>
      <c r="E227">
        <v>522</v>
      </c>
      <c r="G227">
        <v>1</v>
      </c>
      <c r="H227"/>
      <c r="I227"/>
      <c r="K227"/>
      <c r="L227" s="8">
        <v>522</v>
      </c>
      <c r="M227" s="67">
        <f t="shared" si="4"/>
        <v>1</v>
      </c>
    </row>
    <row r="228" spans="1:14">
      <c r="A228" s="8">
        <v>523</v>
      </c>
      <c r="B228" t="s">
        <v>55</v>
      </c>
      <c r="C228" s="8" t="s">
        <v>346</v>
      </c>
      <c r="D228" s="67" t="s">
        <v>15</v>
      </c>
      <c r="E228">
        <v>523</v>
      </c>
      <c r="G228"/>
      <c r="H228"/>
      <c r="I228"/>
      <c r="K228"/>
      <c r="L228" s="8">
        <v>523</v>
      </c>
      <c r="M228" s="67">
        <f t="shared" si="4"/>
        <v>0</v>
      </c>
      <c r="N228">
        <v>1</v>
      </c>
    </row>
    <row r="229" spans="1:14">
      <c r="A229" s="8">
        <v>524</v>
      </c>
      <c r="B229" t="s">
        <v>41</v>
      </c>
      <c r="C229" s="8" t="s">
        <v>42</v>
      </c>
      <c r="D229" t="s">
        <v>6</v>
      </c>
      <c r="E229">
        <v>524</v>
      </c>
      <c r="F229" s="8">
        <v>1</v>
      </c>
      <c r="G229">
        <v>1</v>
      </c>
      <c r="H229">
        <v>1</v>
      </c>
      <c r="I229">
        <v>1</v>
      </c>
      <c r="J229" s="8">
        <v>1</v>
      </c>
      <c r="K229"/>
      <c r="L229" s="8">
        <v>524</v>
      </c>
      <c r="M229" s="67">
        <f t="shared" si="4"/>
        <v>5</v>
      </c>
    </row>
    <row r="230" spans="1:14">
      <c r="A230" s="8">
        <v>525</v>
      </c>
      <c r="B230" t="s">
        <v>93</v>
      </c>
      <c r="C230" s="8" t="s">
        <v>12</v>
      </c>
      <c r="D230" t="s">
        <v>6</v>
      </c>
      <c r="E230">
        <v>525</v>
      </c>
      <c r="F230" s="8">
        <v>1</v>
      </c>
      <c r="G230">
        <v>1</v>
      </c>
      <c r="H230"/>
      <c r="I230"/>
      <c r="K230">
        <v>1</v>
      </c>
      <c r="L230" s="8">
        <v>525</v>
      </c>
      <c r="M230" s="67">
        <f t="shared" si="4"/>
        <v>3</v>
      </c>
    </row>
    <row r="231" spans="1:14">
      <c r="A231" s="8">
        <v>526</v>
      </c>
      <c r="B231" t="s">
        <v>240</v>
      </c>
      <c r="C231" s="8" t="s">
        <v>42</v>
      </c>
      <c r="D231" t="s">
        <v>42</v>
      </c>
      <c r="E231">
        <v>526</v>
      </c>
      <c r="F231" s="8">
        <v>1</v>
      </c>
      <c r="G231">
        <v>1</v>
      </c>
      <c r="H231"/>
      <c r="I231"/>
      <c r="K231"/>
      <c r="L231" s="8">
        <v>526</v>
      </c>
      <c r="M231" s="67">
        <f t="shared" si="4"/>
        <v>2</v>
      </c>
    </row>
    <row r="232" spans="1:14">
      <c r="A232" s="8">
        <v>527</v>
      </c>
      <c r="B232" t="s">
        <v>65</v>
      </c>
      <c r="C232" s="8" t="s">
        <v>12</v>
      </c>
      <c r="D232" t="s">
        <v>6</v>
      </c>
      <c r="E232">
        <v>527</v>
      </c>
      <c r="F232" s="8">
        <v>1</v>
      </c>
      <c r="G232">
        <v>1</v>
      </c>
      <c r="H232"/>
      <c r="I232"/>
      <c r="K232">
        <v>1</v>
      </c>
      <c r="L232" s="8">
        <v>527</v>
      </c>
      <c r="M232" s="67">
        <f t="shared" si="4"/>
        <v>3</v>
      </c>
    </row>
    <row r="233" spans="1:14">
      <c r="A233" s="8">
        <v>528</v>
      </c>
      <c r="B233" t="s">
        <v>75</v>
      </c>
      <c r="C233" s="8" t="s">
        <v>12</v>
      </c>
      <c r="D233" t="s">
        <v>6</v>
      </c>
      <c r="E233">
        <v>528</v>
      </c>
      <c r="F233" s="8">
        <v>1</v>
      </c>
      <c r="G233">
        <v>1</v>
      </c>
      <c r="H233">
        <v>1</v>
      </c>
      <c r="I233"/>
      <c r="K233"/>
      <c r="L233" s="8">
        <v>528</v>
      </c>
      <c r="M233" s="67">
        <f t="shared" si="4"/>
        <v>3</v>
      </c>
    </row>
    <row r="234" spans="1:14">
      <c r="A234" s="8">
        <v>529</v>
      </c>
      <c r="B234" t="s">
        <v>62</v>
      </c>
      <c r="C234" s="8" t="s">
        <v>42</v>
      </c>
      <c r="D234" s="8" t="s">
        <v>42</v>
      </c>
      <c r="E234">
        <v>529</v>
      </c>
      <c r="G234">
        <v>1</v>
      </c>
      <c r="H234">
        <v>1</v>
      </c>
      <c r="I234">
        <v>1</v>
      </c>
      <c r="J234" s="8">
        <v>1</v>
      </c>
      <c r="K234">
        <v>1</v>
      </c>
      <c r="L234" s="8">
        <v>529</v>
      </c>
      <c r="M234" s="67">
        <f t="shared" si="4"/>
        <v>5</v>
      </c>
    </row>
    <row r="235" spans="1:14">
      <c r="A235" s="8">
        <v>530</v>
      </c>
      <c r="B235" t="s">
        <v>63</v>
      </c>
      <c r="C235" s="8" t="s">
        <v>346</v>
      </c>
      <c r="D235" s="67" t="s">
        <v>15</v>
      </c>
      <c r="E235">
        <v>530</v>
      </c>
      <c r="G235"/>
      <c r="H235"/>
      <c r="I235"/>
      <c r="K235"/>
      <c r="L235" s="8">
        <v>530</v>
      </c>
      <c r="M235" s="67">
        <f t="shared" si="4"/>
        <v>0</v>
      </c>
      <c r="N235">
        <v>1</v>
      </c>
    </row>
    <row r="236" spans="1:14">
      <c r="A236" s="8">
        <v>531</v>
      </c>
      <c r="B236" t="s">
        <v>54</v>
      </c>
      <c r="C236" s="8" t="s">
        <v>345</v>
      </c>
      <c r="D236" s="67" t="s">
        <v>15</v>
      </c>
      <c r="E236">
        <v>531</v>
      </c>
      <c r="G236"/>
      <c r="H236"/>
      <c r="I236"/>
      <c r="K236"/>
      <c r="L236" s="8">
        <v>531</v>
      </c>
      <c r="M236" s="67">
        <f t="shared" si="4"/>
        <v>0</v>
      </c>
      <c r="N236">
        <v>1</v>
      </c>
    </row>
    <row r="237" spans="1:14">
      <c r="A237" s="8">
        <v>539</v>
      </c>
      <c r="B237" t="s">
        <v>240</v>
      </c>
      <c r="C237" s="8" t="s">
        <v>42</v>
      </c>
      <c r="D237" t="s">
        <v>42</v>
      </c>
      <c r="E237">
        <v>539</v>
      </c>
      <c r="F237" s="8">
        <v>1</v>
      </c>
      <c r="G237">
        <v>1</v>
      </c>
      <c r="H237">
        <v>1</v>
      </c>
      <c r="I237">
        <v>1</v>
      </c>
      <c r="J237" s="8">
        <v>1</v>
      </c>
      <c r="K237"/>
      <c r="L237" s="8">
        <v>539</v>
      </c>
      <c r="M237" s="67">
        <f t="shared" si="4"/>
        <v>5</v>
      </c>
    </row>
    <row r="238" spans="1:14">
      <c r="A238" s="8">
        <v>540</v>
      </c>
      <c r="B238" t="s">
        <v>240</v>
      </c>
      <c r="C238" s="8" t="s">
        <v>42</v>
      </c>
      <c r="D238" t="s">
        <v>42</v>
      </c>
      <c r="E238">
        <v>540</v>
      </c>
      <c r="F238" s="8">
        <v>1</v>
      </c>
      <c r="G238">
        <v>1</v>
      </c>
      <c r="H238"/>
      <c r="I238">
        <v>1</v>
      </c>
      <c r="J238" s="8">
        <v>1</v>
      </c>
      <c r="K238">
        <v>1</v>
      </c>
      <c r="L238" s="8">
        <v>540</v>
      </c>
      <c r="M238" s="67">
        <f t="shared" si="4"/>
        <v>5</v>
      </c>
    </row>
    <row r="239" spans="1:14">
      <c r="A239" s="8">
        <v>544</v>
      </c>
      <c r="B239" t="s">
        <v>54</v>
      </c>
      <c r="C239" s="8" t="s">
        <v>345</v>
      </c>
      <c r="D239" s="67" t="s">
        <v>15</v>
      </c>
      <c r="E239">
        <v>544</v>
      </c>
      <c r="G239"/>
      <c r="H239"/>
      <c r="I239"/>
      <c r="K239"/>
      <c r="L239" s="8">
        <v>544</v>
      </c>
      <c r="M239" s="67">
        <f t="shared" si="4"/>
        <v>0</v>
      </c>
      <c r="N239">
        <v>1</v>
      </c>
    </row>
    <row r="240" spans="1:14">
      <c r="A240" s="8">
        <v>547</v>
      </c>
      <c r="B240" t="s">
        <v>201</v>
      </c>
      <c r="C240" s="8" t="s">
        <v>357</v>
      </c>
      <c r="D240" s="67" t="s">
        <v>15</v>
      </c>
      <c r="E240">
        <v>547</v>
      </c>
      <c r="G240">
        <v>1</v>
      </c>
      <c r="H240"/>
      <c r="I240"/>
      <c r="K240"/>
      <c r="L240" s="8">
        <v>547</v>
      </c>
      <c r="M240" s="67">
        <f t="shared" si="4"/>
        <v>1</v>
      </c>
    </row>
    <row r="241" spans="1:15">
      <c r="A241" s="8">
        <v>548</v>
      </c>
      <c r="B241" t="s">
        <v>56</v>
      </c>
      <c r="C241" s="8" t="s">
        <v>360</v>
      </c>
      <c r="D241" s="67" t="s">
        <v>15</v>
      </c>
      <c r="E241">
        <v>548</v>
      </c>
      <c r="G241"/>
      <c r="H241"/>
      <c r="I241"/>
      <c r="K241"/>
      <c r="L241" s="8">
        <v>548</v>
      </c>
      <c r="M241" s="67">
        <f t="shared" si="4"/>
        <v>0</v>
      </c>
      <c r="N241">
        <v>1</v>
      </c>
    </row>
    <row r="242" spans="1:15">
      <c r="A242" s="8">
        <v>551</v>
      </c>
      <c r="B242" t="s">
        <v>78</v>
      </c>
      <c r="C242" s="8" t="s">
        <v>359</v>
      </c>
      <c r="D242" s="67" t="s">
        <v>15</v>
      </c>
      <c r="E242">
        <v>551</v>
      </c>
      <c r="F242" s="8">
        <v>1</v>
      </c>
      <c r="G242">
        <v>1</v>
      </c>
      <c r="H242"/>
      <c r="I242"/>
      <c r="K242"/>
      <c r="L242" s="8">
        <v>551</v>
      </c>
      <c r="M242" s="67">
        <f t="shared" si="4"/>
        <v>2</v>
      </c>
    </row>
    <row r="243" spans="1:15">
      <c r="A243" s="8">
        <v>553</v>
      </c>
      <c r="B243" t="s">
        <v>106</v>
      </c>
      <c r="C243" s="8" t="s">
        <v>349</v>
      </c>
      <c r="D243" t="s">
        <v>6</v>
      </c>
      <c r="E243">
        <v>553</v>
      </c>
      <c r="G243">
        <v>1</v>
      </c>
      <c r="H243">
        <v>1</v>
      </c>
      <c r="I243"/>
      <c r="K243"/>
      <c r="L243" s="8">
        <v>553</v>
      </c>
      <c r="M243" s="67">
        <f t="shared" si="4"/>
        <v>2</v>
      </c>
    </row>
    <row r="244" spans="1:15">
      <c r="A244" s="8">
        <v>555</v>
      </c>
      <c r="B244" s="8" t="s">
        <v>73</v>
      </c>
      <c r="C244" s="8" t="s">
        <v>165</v>
      </c>
      <c r="D244" s="8" t="s">
        <v>42</v>
      </c>
      <c r="E244" s="8">
        <v>555</v>
      </c>
      <c r="F244" s="8">
        <v>1</v>
      </c>
      <c r="G244" s="8">
        <v>1</v>
      </c>
      <c r="H244" s="8">
        <v>1</v>
      </c>
      <c r="K244" s="8">
        <v>1</v>
      </c>
      <c r="L244" s="8">
        <v>555</v>
      </c>
      <c r="M244" s="67">
        <f t="shared" si="4"/>
        <v>4</v>
      </c>
    </row>
    <row r="245" spans="1:15">
      <c r="A245" s="8">
        <v>559</v>
      </c>
      <c r="B245" t="s">
        <v>74</v>
      </c>
      <c r="C245" s="8" t="s">
        <v>346</v>
      </c>
      <c r="D245" s="67" t="s">
        <v>15</v>
      </c>
      <c r="E245">
        <v>559</v>
      </c>
      <c r="G245"/>
      <c r="H245"/>
      <c r="I245"/>
      <c r="K245"/>
      <c r="L245" s="8">
        <v>559</v>
      </c>
      <c r="M245" s="67">
        <f t="shared" si="4"/>
        <v>0</v>
      </c>
      <c r="N245">
        <v>1</v>
      </c>
    </row>
    <row r="246" spans="1:15">
      <c r="A246" s="8">
        <v>563</v>
      </c>
      <c r="B246" t="s">
        <v>80</v>
      </c>
      <c r="C246" s="8" t="s">
        <v>346</v>
      </c>
      <c r="D246" s="67" t="s">
        <v>15</v>
      </c>
      <c r="E246">
        <v>563</v>
      </c>
      <c r="G246">
        <v>1</v>
      </c>
      <c r="H246"/>
      <c r="I246"/>
      <c r="K246"/>
      <c r="L246" s="8">
        <v>563</v>
      </c>
      <c r="M246" s="67">
        <f t="shared" si="4"/>
        <v>1</v>
      </c>
    </row>
    <row r="247" spans="1:15">
      <c r="A247" s="8">
        <v>564</v>
      </c>
      <c r="B247" t="s">
        <v>62</v>
      </c>
      <c r="C247" s="8" t="s">
        <v>42</v>
      </c>
      <c r="D247" t="s">
        <v>6</v>
      </c>
      <c r="E247">
        <v>564</v>
      </c>
      <c r="F247" s="8">
        <v>1</v>
      </c>
      <c r="G247">
        <v>1</v>
      </c>
      <c r="H247">
        <v>1</v>
      </c>
      <c r="I247">
        <v>1</v>
      </c>
      <c r="J247" s="8">
        <v>1</v>
      </c>
      <c r="K247"/>
      <c r="L247" s="8">
        <v>564</v>
      </c>
      <c r="M247" s="67">
        <f t="shared" si="4"/>
        <v>5</v>
      </c>
    </row>
    <row r="248" spans="1:15">
      <c r="A248" s="8">
        <v>567</v>
      </c>
      <c r="B248" t="s">
        <v>56</v>
      </c>
      <c r="C248" s="8" t="s">
        <v>360</v>
      </c>
      <c r="D248" s="67" t="s">
        <v>15</v>
      </c>
      <c r="E248">
        <v>567</v>
      </c>
      <c r="G248"/>
      <c r="H248"/>
      <c r="I248"/>
      <c r="K248"/>
      <c r="L248" s="8">
        <v>567</v>
      </c>
      <c r="M248" s="67">
        <f t="shared" si="4"/>
        <v>0</v>
      </c>
      <c r="N248">
        <v>1</v>
      </c>
    </row>
    <row r="249" spans="1:15">
      <c r="A249" s="8">
        <v>568</v>
      </c>
      <c r="B249" t="s">
        <v>65</v>
      </c>
      <c r="C249" s="8" t="s">
        <v>12</v>
      </c>
      <c r="D249" t="s">
        <v>42</v>
      </c>
      <c r="E249">
        <v>568</v>
      </c>
      <c r="G249">
        <v>1</v>
      </c>
      <c r="H249"/>
      <c r="I249">
        <v>1</v>
      </c>
      <c r="K249">
        <v>1</v>
      </c>
      <c r="L249" s="8">
        <v>568</v>
      </c>
      <c r="M249" s="67">
        <f t="shared" si="4"/>
        <v>3</v>
      </c>
    </row>
    <row r="250" spans="1:15">
      <c r="A250" s="8">
        <v>569</v>
      </c>
      <c r="B250" t="s">
        <v>59</v>
      </c>
      <c r="C250" s="8" t="s">
        <v>346</v>
      </c>
      <c r="D250" s="67" t="s">
        <v>15</v>
      </c>
      <c r="E250">
        <v>569</v>
      </c>
      <c r="G250">
        <v>1</v>
      </c>
      <c r="H250"/>
      <c r="I250"/>
      <c r="K250"/>
      <c r="L250" s="8">
        <v>569</v>
      </c>
      <c r="M250" s="67">
        <f t="shared" si="4"/>
        <v>1</v>
      </c>
    </row>
    <row r="251" spans="1:15">
      <c r="A251" s="8">
        <v>570</v>
      </c>
      <c r="B251" t="s">
        <v>73</v>
      </c>
      <c r="C251" s="8" t="s">
        <v>165</v>
      </c>
      <c r="D251" t="s">
        <v>6</v>
      </c>
      <c r="E251">
        <v>570</v>
      </c>
      <c r="F251" s="8">
        <v>1</v>
      </c>
      <c r="G251">
        <v>1</v>
      </c>
      <c r="H251">
        <v>1</v>
      </c>
      <c r="I251">
        <v>1</v>
      </c>
      <c r="K251">
        <v>1</v>
      </c>
      <c r="L251" s="8">
        <v>570</v>
      </c>
      <c r="M251" s="67">
        <f t="shared" si="4"/>
        <v>5</v>
      </c>
    </row>
    <row r="252" spans="1:15">
      <c r="A252" s="8">
        <v>571</v>
      </c>
      <c r="B252" t="s">
        <v>62</v>
      </c>
      <c r="C252" s="8" t="s">
        <v>42</v>
      </c>
      <c r="D252" t="s">
        <v>6</v>
      </c>
      <c r="E252">
        <v>571</v>
      </c>
      <c r="F252" s="8">
        <v>1</v>
      </c>
      <c r="G252">
        <v>1</v>
      </c>
      <c r="H252">
        <v>1</v>
      </c>
      <c r="I252">
        <v>1</v>
      </c>
      <c r="J252" s="8">
        <v>1</v>
      </c>
      <c r="K252">
        <v>1</v>
      </c>
      <c r="L252" s="8">
        <v>571</v>
      </c>
      <c r="M252" s="67">
        <f t="shared" si="4"/>
        <v>6</v>
      </c>
      <c r="O252">
        <v>1</v>
      </c>
    </row>
    <row r="253" spans="1:15">
      <c r="A253" s="8">
        <v>572</v>
      </c>
      <c r="B253" t="s">
        <v>74</v>
      </c>
      <c r="C253" s="8" t="s">
        <v>346</v>
      </c>
      <c r="D253" s="67" t="s">
        <v>15</v>
      </c>
      <c r="E253">
        <v>572</v>
      </c>
      <c r="G253">
        <v>1</v>
      </c>
      <c r="H253"/>
      <c r="I253"/>
      <c r="K253"/>
      <c r="L253" s="8">
        <v>572</v>
      </c>
      <c r="M253" s="67">
        <f t="shared" si="4"/>
        <v>1</v>
      </c>
    </row>
    <row r="254" spans="1:15" s="8" customFormat="1">
      <c r="A254" s="379"/>
      <c r="B254" s="379"/>
      <c r="C254" s="379"/>
      <c r="D254" s="379"/>
      <c r="E254" s="379" t="s">
        <v>342</v>
      </c>
      <c r="F254" s="379">
        <f>SUM(F2:F253)</f>
        <v>126</v>
      </c>
      <c r="G254" s="379">
        <f>SUM(G2:G253)</f>
        <v>190</v>
      </c>
      <c r="H254" s="379">
        <f>SUM(H2:H253)</f>
        <v>79</v>
      </c>
      <c r="I254" s="379">
        <f>SUM(I2:I253)</f>
        <v>91</v>
      </c>
      <c r="J254" s="379">
        <f>COUNT(J2:J253)</f>
        <v>85</v>
      </c>
      <c r="K254" s="379">
        <f>SUM(K2:K253)</f>
        <v>105</v>
      </c>
      <c r="L254" s="379" t="s">
        <v>342</v>
      </c>
      <c r="M254" s="379"/>
      <c r="N254" s="379">
        <f>SUM(N2:N253)</f>
        <v>53</v>
      </c>
      <c r="O254" s="379">
        <f>SUM(O2:O253)</f>
        <v>23</v>
      </c>
    </row>
  </sheetData>
  <conditionalFormatting sqref="B38:C38">
    <cfRule type="duplicateValues" dxfId="2" priority="1" stopIfTrue="1"/>
  </conditionalFormatting>
  <pageMargins left="0.7" right="0.7" top="0.75" bottom="0.75" header="0.3" footer="0.3"/>
  <pageSetup paperSize="9" orientation="portrait" horizontalDpi="300" verticalDpi="0" r:id="rId1"/>
  <ignoredErrors>
    <ignoredError sqref="M2:M23 M24:M253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39"/>
  <sheetViews>
    <sheetView workbookViewId="0">
      <selection activeCell="J34" sqref="J34"/>
    </sheetView>
  </sheetViews>
  <sheetFormatPr defaultColWidth="9.140625" defaultRowHeight="15"/>
  <cols>
    <col min="1" max="1" width="6.42578125" style="164" bestFit="1" customWidth="1"/>
    <col min="2" max="2" width="9.7109375" style="164" bestFit="1" customWidth="1"/>
    <col min="3" max="3" width="5.140625" style="164" bestFit="1" customWidth="1"/>
    <col min="4" max="4" width="5.28515625" style="164" customWidth="1"/>
    <col min="5" max="5" width="8.140625" style="164" customWidth="1"/>
    <col min="6" max="29" width="5.28515625" style="164" customWidth="1"/>
    <col min="30" max="30" width="6.5703125" style="164" bestFit="1" customWidth="1"/>
    <col min="31" max="36" width="5.28515625" style="164" customWidth="1"/>
    <col min="37" max="37" width="6.42578125" style="164" bestFit="1" customWidth="1"/>
    <col min="38" max="38" width="3.85546875" style="164" customWidth="1"/>
    <col min="39" max="39" width="3.28515625" style="164" customWidth="1"/>
    <col min="40" max="41" width="6.5703125" style="164" bestFit="1" customWidth="1"/>
    <col min="42" max="42" width="8.42578125" style="164" bestFit="1" customWidth="1"/>
    <col min="43" max="43" width="8.5703125" style="164" customWidth="1"/>
    <col min="44" max="16384" width="9.140625" style="164"/>
  </cols>
  <sheetData>
    <row r="1" spans="1:51">
      <c r="E1" s="462" t="s">
        <v>336</v>
      </c>
      <c r="F1" s="463"/>
      <c r="G1" s="463"/>
      <c r="H1" s="463"/>
      <c r="I1" s="463"/>
      <c r="J1" s="463"/>
      <c r="K1" s="463"/>
      <c r="L1" s="463"/>
      <c r="M1" s="464" t="s">
        <v>337</v>
      </c>
      <c r="N1" s="465"/>
      <c r="O1" s="465"/>
      <c r="P1" s="465"/>
      <c r="Q1" s="465"/>
      <c r="R1" s="465"/>
      <c r="S1" s="465"/>
      <c r="T1" s="466"/>
      <c r="U1" s="467" t="s">
        <v>339</v>
      </c>
      <c r="V1" s="468"/>
      <c r="W1" s="468"/>
      <c r="X1" s="468"/>
      <c r="Y1" s="468"/>
      <c r="Z1" s="468"/>
      <c r="AA1" s="468"/>
      <c r="AB1" s="469"/>
      <c r="AC1" s="470" t="s">
        <v>338</v>
      </c>
      <c r="AD1" s="470"/>
      <c r="AE1" s="470"/>
      <c r="AF1" s="470"/>
      <c r="AG1" s="470"/>
      <c r="AH1" s="470"/>
      <c r="AI1" s="470"/>
      <c r="AJ1" s="471"/>
      <c r="AQ1" s="58"/>
      <c r="AR1" s="58"/>
      <c r="AW1" s="58"/>
      <c r="AX1" s="58"/>
      <c r="AY1" s="58"/>
    </row>
    <row r="2" spans="1:51">
      <c r="E2" s="165" t="s">
        <v>42</v>
      </c>
      <c r="F2" s="166" t="s">
        <v>42</v>
      </c>
      <c r="G2" s="166" t="s">
        <v>42</v>
      </c>
      <c r="H2" s="166" t="s">
        <v>340</v>
      </c>
      <c r="I2" s="166" t="s">
        <v>341</v>
      </c>
      <c r="J2" s="166" t="s">
        <v>334</v>
      </c>
      <c r="K2" s="166" t="s">
        <v>335</v>
      </c>
      <c r="L2" s="167" t="s">
        <v>335</v>
      </c>
      <c r="M2" s="168" t="s">
        <v>335</v>
      </c>
      <c r="N2" s="169" t="s">
        <v>335</v>
      </c>
      <c r="O2" s="169" t="s">
        <v>334</v>
      </c>
      <c r="P2" s="169" t="s">
        <v>341</v>
      </c>
      <c r="Q2" s="169" t="s">
        <v>341</v>
      </c>
      <c r="R2" s="169" t="s">
        <v>42</v>
      </c>
      <c r="S2" s="169" t="s">
        <v>42</v>
      </c>
      <c r="T2" s="170" t="s">
        <v>42</v>
      </c>
      <c r="U2" s="171" t="s">
        <v>42</v>
      </c>
      <c r="V2" s="172" t="s">
        <v>42</v>
      </c>
      <c r="W2" s="172" t="s">
        <v>42</v>
      </c>
      <c r="X2" s="172" t="s">
        <v>341</v>
      </c>
      <c r="Y2" s="172" t="s">
        <v>341</v>
      </c>
      <c r="Z2" s="172" t="s">
        <v>334</v>
      </c>
      <c r="AA2" s="172" t="s">
        <v>335</v>
      </c>
      <c r="AB2" s="173" t="s">
        <v>335</v>
      </c>
      <c r="AC2" s="174" t="s">
        <v>335</v>
      </c>
      <c r="AD2" s="175" t="s">
        <v>335</v>
      </c>
      <c r="AE2" s="175" t="s">
        <v>334</v>
      </c>
      <c r="AF2" s="175" t="s">
        <v>341</v>
      </c>
      <c r="AG2" s="175" t="s">
        <v>341</v>
      </c>
      <c r="AH2" s="175" t="s">
        <v>42</v>
      </c>
      <c r="AI2" s="175" t="s">
        <v>42</v>
      </c>
      <c r="AJ2" s="176" t="s">
        <v>42</v>
      </c>
      <c r="AN2" s="472" t="s">
        <v>397</v>
      </c>
      <c r="AO2" s="472"/>
      <c r="AP2" s="472"/>
      <c r="AQ2" s="472"/>
      <c r="AS2" s="472" t="s">
        <v>374</v>
      </c>
      <c r="AT2" s="472"/>
      <c r="AU2" s="472"/>
      <c r="AW2" s="483" t="s">
        <v>398</v>
      </c>
      <c r="AX2" s="483"/>
      <c r="AY2" s="483"/>
    </row>
    <row r="3" spans="1:51" ht="15.75" thickBot="1">
      <c r="A3" s="164" t="s">
        <v>0</v>
      </c>
      <c r="B3" s="164" t="s">
        <v>1</v>
      </c>
      <c r="C3" s="164" t="s">
        <v>363</v>
      </c>
      <c r="D3" s="164" t="s">
        <v>2</v>
      </c>
      <c r="E3" s="177">
        <v>8</v>
      </c>
      <c r="F3" s="178">
        <v>7</v>
      </c>
      <c r="G3" s="178">
        <v>6</v>
      </c>
      <c r="H3" s="178">
        <v>5</v>
      </c>
      <c r="I3" s="178">
        <v>4</v>
      </c>
      <c r="J3" s="178">
        <v>3</v>
      </c>
      <c r="K3" s="178">
        <v>2</v>
      </c>
      <c r="L3" s="179">
        <v>1</v>
      </c>
      <c r="M3" s="180">
        <v>1</v>
      </c>
      <c r="N3" s="181">
        <v>2</v>
      </c>
      <c r="O3" s="181">
        <v>3</v>
      </c>
      <c r="P3" s="181">
        <v>4</v>
      </c>
      <c r="Q3" s="181">
        <v>5</v>
      </c>
      <c r="R3" s="181">
        <v>6</v>
      </c>
      <c r="S3" s="181">
        <v>7</v>
      </c>
      <c r="T3" s="182">
        <v>8</v>
      </c>
      <c r="U3" s="183">
        <v>8</v>
      </c>
      <c r="V3" s="184">
        <v>7</v>
      </c>
      <c r="W3" s="184">
        <v>6</v>
      </c>
      <c r="X3" s="184">
        <v>5</v>
      </c>
      <c r="Y3" s="184">
        <v>4</v>
      </c>
      <c r="Z3" s="184">
        <v>3</v>
      </c>
      <c r="AA3" s="184">
        <v>2</v>
      </c>
      <c r="AB3" s="185">
        <v>1</v>
      </c>
      <c r="AC3" s="186">
        <v>1</v>
      </c>
      <c r="AD3" s="187">
        <v>2</v>
      </c>
      <c r="AE3" s="187">
        <v>3</v>
      </c>
      <c r="AF3" s="187">
        <v>4</v>
      </c>
      <c r="AG3" s="187">
        <v>5</v>
      </c>
      <c r="AH3" s="187">
        <v>6</v>
      </c>
      <c r="AI3" s="187">
        <v>7</v>
      </c>
      <c r="AJ3" s="188">
        <v>8</v>
      </c>
      <c r="AK3" s="164" t="s">
        <v>0</v>
      </c>
      <c r="AN3" s="141" t="s">
        <v>349</v>
      </c>
      <c r="AO3" s="189" t="s">
        <v>42</v>
      </c>
      <c r="AP3" s="190" t="s">
        <v>399</v>
      </c>
      <c r="AQ3" s="191" t="s">
        <v>375</v>
      </c>
      <c r="AS3" s="141" t="s">
        <v>349</v>
      </c>
      <c r="AT3" s="189" t="s">
        <v>42</v>
      </c>
      <c r="AU3" s="190" t="s">
        <v>399</v>
      </c>
      <c r="AW3" s="141" t="s">
        <v>349</v>
      </c>
      <c r="AX3" s="189" t="s">
        <v>42</v>
      </c>
      <c r="AY3" s="190" t="s">
        <v>399</v>
      </c>
    </row>
    <row r="4" spans="1:51">
      <c r="A4" s="164">
        <v>1</v>
      </c>
      <c r="B4" s="164" t="s">
        <v>5</v>
      </c>
      <c r="C4" s="58" t="s">
        <v>42</v>
      </c>
      <c r="D4" s="164" t="s">
        <v>6</v>
      </c>
      <c r="E4" s="192" t="s">
        <v>349</v>
      </c>
      <c r="F4" s="193" t="s">
        <v>42</v>
      </c>
      <c r="G4" s="193" t="s">
        <v>400</v>
      </c>
      <c r="H4" s="193"/>
      <c r="I4" s="193" t="s">
        <v>42</v>
      </c>
      <c r="J4" s="193"/>
      <c r="K4" s="193"/>
      <c r="L4" s="194"/>
      <c r="M4" s="192"/>
      <c r="N4" s="193"/>
      <c r="O4" s="193"/>
      <c r="P4" s="193"/>
      <c r="Q4" s="193"/>
      <c r="R4" s="193" t="s">
        <v>42</v>
      </c>
      <c r="S4" s="193"/>
      <c r="T4" s="194"/>
      <c r="U4" s="192"/>
      <c r="V4" s="193"/>
      <c r="W4" s="193"/>
      <c r="X4" s="193"/>
      <c r="Y4" s="193"/>
      <c r="Z4" s="193"/>
      <c r="AA4" s="193"/>
      <c r="AB4" s="194"/>
      <c r="AC4" s="192"/>
      <c r="AD4" s="193"/>
      <c r="AE4" s="193"/>
      <c r="AF4" s="193"/>
      <c r="AG4" s="193"/>
      <c r="AH4" s="193"/>
      <c r="AI4" s="193" t="s">
        <v>349</v>
      </c>
      <c r="AJ4" s="194" t="s">
        <v>349</v>
      </c>
      <c r="AK4" s="164">
        <v>1</v>
      </c>
      <c r="AN4" s="141">
        <f t="shared" ref="AN4:AP19" si="0">LEN(CONCATENATE($E4,$F4,$G4,$H4,$I4,$J4,$K4,$L4,$M4,$N4,$O4,$P4,$Q4,$R4,$S4,$T4,$U4,$V4,$W4,$X4,$Y4,$Z4,$AA4,$AB4,$AC4,$AD4,$AE4,$AF4,$AG4,$AH4,$AI4,$AJ4))-LEN(SUBSTITUTE(CONCATENATE($E4,$F4,$G4,$H4,$I4,$J4,$K4,$L4,$M4,$N4,$O4,$P4,$Q4,$R4,$S4,$T4,$U4,$V4,$W4,$X4,$Y4,$Z4,$AA4,$AB4,$AC4,$AD4,$AE4,$AF4,$AG4,$AH4,$AI4,$AJ4),AN$3,""))</f>
        <v>3</v>
      </c>
      <c r="AO4" s="189">
        <f t="shared" si="0"/>
        <v>3</v>
      </c>
      <c r="AP4" s="190">
        <f t="shared" si="0"/>
        <v>5</v>
      </c>
      <c r="AQ4" s="191">
        <f t="shared" ref="AQ4:AQ67" si="1">SUM(AN4:AP4)</f>
        <v>11</v>
      </c>
      <c r="AS4" s="195">
        <f>AN4/AQ4</f>
        <v>0.27272727272727271</v>
      </c>
      <c r="AT4" s="196">
        <f>AO4/AQ4</f>
        <v>0.27272727272727271</v>
      </c>
      <c r="AU4" s="197">
        <f>AP4/AQ4</f>
        <v>0.45454545454545453</v>
      </c>
      <c r="AW4" s="141">
        <f>COUNTIF(E4:AJ4,"*s*")</f>
        <v>3</v>
      </c>
      <c r="AX4" s="189">
        <f>COUNTIF(E4:AJ4,"*m*")</f>
        <v>3</v>
      </c>
      <c r="AY4" s="190">
        <f>COUNTIF(E4:AJ4,"*l*")</f>
        <v>1</v>
      </c>
    </row>
    <row r="5" spans="1:51">
      <c r="A5" s="58">
        <v>30</v>
      </c>
      <c r="B5" s="58" t="s">
        <v>41</v>
      </c>
      <c r="C5" s="58" t="s">
        <v>42</v>
      </c>
      <c r="D5" s="58" t="s">
        <v>42</v>
      </c>
      <c r="E5" s="198"/>
      <c r="F5" s="199"/>
      <c r="G5" s="199"/>
      <c r="H5" s="199"/>
      <c r="I5" s="199"/>
      <c r="J5" s="199"/>
      <c r="K5" s="199"/>
      <c r="L5" s="200"/>
      <c r="M5" s="198"/>
      <c r="N5" s="199"/>
      <c r="O5" s="199"/>
      <c r="P5" s="199"/>
      <c r="Q5" s="199"/>
      <c r="R5" s="199"/>
      <c r="S5" s="199" t="s">
        <v>349</v>
      </c>
      <c r="T5" s="200"/>
      <c r="U5" s="198"/>
      <c r="V5" s="199" t="s">
        <v>349</v>
      </c>
      <c r="W5" s="199"/>
      <c r="X5" s="199"/>
      <c r="Y5" s="199"/>
      <c r="Z5" s="199"/>
      <c r="AA5" s="199"/>
      <c r="AB5" s="200"/>
      <c r="AC5" s="198"/>
      <c r="AD5" s="199"/>
      <c r="AE5" s="199"/>
      <c r="AF5" s="199"/>
      <c r="AG5" s="199"/>
      <c r="AH5" s="199"/>
      <c r="AI5" s="199"/>
      <c r="AJ5" s="200"/>
      <c r="AK5" s="58">
        <v>30</v>
      </c>
      <c r="AN5" s="141">
        <f t="shared" si="0"/>
        <v>2</v>
      </c>
      <c r="AO5" s="189">
        <f t="shared" si="0"/>
        <v>0</v>
      </c>
      <c r="AP5" s="190">
        <f t="shared" si="0"/>
        <v>0</v>
      </c>
      <c r="AQ5" s="191">
        <f t="shared" si="1"/>
        <v>2</v>
      </c>
      <c r="AS5" s="195">
        <f t="shared" ref="AS5:AS68" si="2">AN5/AQ5</f>
        <v>1</v>
      </c>
      <c r="AT5" s="196">
        <f t="shared" ref="AT5:AT68" si="3">AO5/AQ5</f>
        <v>0</v>
      </c>
      <c r="AU5" s="197">
        <f t="shared" ref="AU5:AU68" si="4">AP5/AQ5</f>
        <v>0</v>
      </c>
      <c r="AW5" s="141">
        <f t="shared" ref="AW5:AW68" si="5">COUNTIF(E5:AJ5,"*s*")</f>
        <v>2</v>
      </c>
      <c r="AX5" s="189">
        <f t="shared" ref="AX5:AX68" si="6">COUNTIF(E5:AJ5,"*m*")</f>
        <v>0</v>
      </c>
      <c r="AY5" s="190">
        <f t="shared" ref="AY5:AY68" si="7">COUNTIF(E5:AJ5,"*l*")</f>
        <v>0</v>
      </c>
    </row>
    <row r="6" spans="1:51">
      <c r="A6" s="164">
        <v>34</v>
      </c>
      <c r="B6" s="164" t="s">
        <v>44</v>
      </c>
      <c r="C6" s="58" t="s">
        <v>349</v>
      </c>
      <c r="D6" s="164" t="s">
        <v>6</v>
      </c>
      <c r="E6" s="198"/>
      <c r="F6" s="199"/>
      <c r="G6" s="199"/>
      <c r="H6" s="199"/>
      <c r="I6" s="199"/>
      <c r="J6" s="199"/>
      <c r="K6" s="199"/>
      <c r="L6" s="200"/>
      <c r="M6" s="198"/>
      <c r="N6" s="199"/>
      <c r="O6" s="199"/>
      <c r="P6" s="199"/>
      <c r="Q6" s="199"/>
      <c r="R6" s="199"/>
      <c r="S6" s="199"/>
      <c r="T6" s="200"/>
      <c r="U6" s="198" t="s">
        <v>401</v>
      </c>
      <c r="V6" s="199"/>
      <c r="W6" s="199" t="s">
        <v>400</v>
      </c>
      <c r="X6" s="199"/>
      <c r="Y6" s="199"/>
      <c r="Z6" s="199"/>
      <c r="AA6" s="199"/>
      <c r="AB6" s="200"/>
      <c r="AC6" s="198"/>
      <c r="AD6" s="199"/>
      <c r="AE6" s="199"/>
      <c r="AF6" s="199"/>
      <c r="AG6" s="199"/>
      <c r="AH6" s="199"/>
      <c r="AI6" s="199"/>
      <c r="AJ6" s="200"/>
      <c r="AK6" s="164">
        <v>34</v>
      </c>
      <c r="AN6" s="141">
        <f t="shared" si="0"/>
        <v>2</v>
      </c>
      <c r="AO6" s="189">
        <f t="shared" si="0"/>
        <v>0</v>
      </c>
      <c r="AP6" s="190">
        <f t="shared" si="0"/>
        <v>5</v>
      </c>
      <c r="AQ6" s="191">
        <f t="shared" si="1"/>
        <v>7</v>
      </c>
      <c r="AS6" s="195">
        <f t="shared" si="2"/>
        <v>0.2857142857142857</v>
      </c>
      <c r="AT6" s="196">
        <f t="shared" si="3"/>
        <v>0</v>
      </c>
      <c r="AU6" s="197">
        <f t="shared" si="4"/>
        <v>0.7142857142857143</v>
      </c>
      <c r="AW6" s="141">
        <f t="shared" si="5"/>
        <v>1</v>
      </c>
      <c r="AX6" s="189">
        <f t="shared" si="6"/>
        <v>0</v>
      </c>
      <c r="AY6" s="190">
        <f t="shared" si="7"/>
        <v>1</v>
      </c>
    </row>
    <row r="7" spans="1:51">
      <c r="A7" s="164">
        <v>41</v>
      </c>
      <c r="B7" s="164" t="s">
        <v>5</v>
      </c>
      <c r="C7" s="58" t="s">
        <v>42</v>
      </c>
      <c r="D7" s="164" t="s">
        <v>6</v>
      </c>
      <c r="E7" s="198"/>
      <c r="F7" s="199"/>
      <c r="G7" s="199"/>
      <c r="H7" s="199"/>
      <c r="I7" s="199" t="s">
        <v>349</v>
      </c>
      <c r="J7" s="199"/>
      <c r="K7" s="199" t="s">
        <v>401</v>
      </c>
      <c r="L7" s="200"/>
      <c r="M7" s="198"/>
      <c r="N7" s="199" t="s">
        <v>401</v>
      </c>
      <c r="O7" s="199"/>
      <c r="P7" s="199"/>
      <c r="Q7" s="199"/>
      <c r="R7" s="199" t="s">
        <v>349</v>
      </c>
      <c r="S7" s="199"/>
      <c r="T7" s="200" t="s">
        <v>349</v>
      </c>
      <c r="U7" s="198"/>
      <c r="V7" s="199"/>
      <c r="W7" s="199"/>
      <c r="X7" s="199"/>
      <c r="Y7" s="199"/>
      <c r="Z7" s="199"/>
      <c r="AA7" s="199"/>
      <c r="AB7" s="200"/>
      <c r="AC7" s="198"/>
      <c r="AD7" s="199"/>
      <c r="AE7" s="199"/>
      <c r="AF7" s="199"/>
      <c r="AG7" s="199"/>
      <c r="AH7" s="199"/>
      <c r="AI7" s="199" t="s">
        <v>399</v>
      </c>
      <c r="AJ7" s="200"/>
      <c r="AK7" s="164">
        <v>41</v>
      </c>
      <c r="AN7" s="141">
        <f t="shared" si="0"/>
        <v>7</v>
      </c>
      <c r="AO7" s="189">
        <f t="shared" si="0"/>
        <v>0</v>
      </c>
      <c r="AP7" s="190">
        <f t="shared" si="0"/>
        <v>1</v>
      </c>
      <c r="AQ7" s="191">
        <f t="shared" si="1"/>
        <v>8</v>
      </c>
      <c r="AS7" s="195">
        <f t="shared" si="2"/>
        <v>0.875</v>
      </c>
      <c r="AT7" s="196">
        <f t="shared" si="3"/>
        <v>0</v>
      </c>
      <c r="AU7" s="197">
        <f t="shared" si="4"/>
        <v>0.125</v>
      </c>
      <c r="AW7" s="141">
        <f t="shared" si="5"/>
        <v>5</v>
      </c>
      <c r="AX7" s="189">
        <f t="shared" si="6"/>
        <v>0</v>
      </c>
      <c r="AY7" s="190">
        <f t="shared" si="7"/>
        <v>1</v>
      </c>
    </row>
    <row r="8" spans="1:51">
      <c r="A8" s="164">
        <v>48</v>
      </c>
      <c r="B8" s="164" t="s">
        <v>57</v>
      </c>
      <c r="C8" s="58" t="s">
        <v>12</v>
      </c>
      <c r="D8" s="164" t="s">
        <v>6</v>
      </c>
      <c r="E8" s="198"/>
      <c r="F8" s="199"/>
      <c r="G8" s="199"/>
      <c r="H8" s="199"/>
      <c r="I8" s="199"/>
      <c r="J8" s="199"/>
      <c r="K8" s="199"/>
      <c r="L8" s="200"/>
      <c r="M8" s="198"/>
      <c r="N8" s="199"/>
      <c r="O8" s="199"/>
      <c r="P8" s="199"/>
      <c r="Q8" s="199"/>
      <c r="R8" s="199"/>
      <c r="S8" s="199"/>
      <c r="T8" s="200"/>
      <c r="U8" s="198"/>
      <c r="V8" s="199"/>
      <c r="W8" s="199" t="s">
        <v>402</v>
      </c>
      <c r="X8" s="199"/>
      <c r="Y8" s="199"/>
      <c r="Z8" s="199"/>
      <c r="AA8" s="199"/>
      <c r="AB8" s="200"/>
      <c r="AC8" s="198"/>
      <c r="AD8" s="199"/>
      <c r="AE8" s="199"/>
      <c r="AF8" s="199"/>
      <c r="AG8" s="199"/>
      <c r="AH8" s="199"/>
      <c r="AI8" s="199"/>
      <c r="AJ8" s="200"/>
      <c r="AK8" s="164">
        <v>48</v>
      </c>
      <c r="AN8" s="141">
        <f t="shared" si="0"/>
        <v>0</v>
      </c>
      <c r="AO8" s="189">
        <f t="shared" si="0"/>
        <v>0</v>
      </c>
      <c r="AP8" s="190">
        <f t="shared" si="0"/>
        <v>4</v>
      </c>
      <c r="AQ8" s="191">
        <f t="shared" si="1"/>
        <v>4</v>
      </c>
      <c r="AS8" s="195">
        <f t="shared" si="2"/>
        <v>0</v>
      </c>
      <c r="AT8" s="196">
        <f t="shared" si="3"/>
        <v>0</v>
      </c>
      <c r="AU8" s="197">
        <f t="shared" si="4"/>
        <v>1</v>
      </c>
      <c r="AW8" s="141">
        <f t="shared" si="5"/>
        <v>0</v>
      </c>
      <c r="AX8" s="189">
        <f t="shared" si="6"/>
        <v>0</v>
      </c>
      <c r="AY8" s="190">
        <f t="shared" si="7"/>
        <v>1</v>
      </c>
    </row>
    <row r="9" spans="1:51">
      <c r="A9" s="164">
        <v>49</v>
      </c>
      <c r="B9" s="164" t="s">
        <v>58</v>
      </c>
      <c r="C9" s="58" t="s">
        <v>358</v>
      </c>
      <c r="D9" s="164" t="s">
        <v>6</v>
      </c>
      <c r="E9" s="198"/>
      <c r="F9" s="199"/>
      <c r="G9" s="199"/>
      <c r="H9" s="199"/>
      <c r="I9" s="199"/>
      <c r="J9" s="199"/>
      <c r="K9" s="199"/>
      <c r="L9" s="200"/>
      <c r="M9" s="198"/>
      <c r="N9" s="199"/>
      <c r="O9" s="199"/>
      <c r="P9" s="199"/>
      <c r="Q9" s="199"/>
      <c r="R9" s="199"/>
      <c r="S9" s="199"/>
      <c r="T9" s="200"/>
      <c r="U9" s="198"/>
      <c r="V9" s="199" t="s">
        <v>349</v>
      </c>
      <c r="W9" s="199"/>
      <c r="X9" s="199"/>
      <c r="Y9" s="199"/>
      <c r="Z9" s="199"/>
      <c r="AA9" s="199"/>
      <c r="AB9" s="200"/>
      <c r="AC9" s="198"/>
      <c r="AD9" s="199"/>
      <c r="AE9" s="199"/>
      <c r="AF9" s="199"/>
      <c r="AG9" s="199"/>
      <c r="AH9" s="199" t="s">
        <v>349</v>
      </c>
      <c r="AI9" s="199"/>
      <c r="AJ9" s="200"/>
      <c r="AK9" s="164">
        <v>49</v>
      </c>
      <c r="AN9" s="141">
        <f t="shared" si="0"/>
        <v>2</v>
      </c>
      <c r="AO9" s="189">
        <f t="shared" si="0"/>
        <v>0</v>
      </c>
      <c r="AP9" s="190">
        <f t="shared" si="0"/>
        <v>0</v>
      </c>
      <c r="AQ9" s="191">
        <f t="shared" si="1"/>
        <v>2</v>
      </c>
      <c r="AS9" s="195">
        <f t="shared" si="2"/>
        <v>1</v>
      </c>
      <c r="AT9" s="196">
        <f t="shared" si="3"/>
        <v>0</v>
      </c>
      <c r="AU9" s="197">
        <f t="shared" si="4"/>
        <v>0</v>
      </c>
      <c r="AW9" s="141">
        <f t="shared" si="5"/>
        <v>2</v>
      </c>
      <c r="AX9" s="189">
        <f t="shared" si="6"/>
        <v>0</v>
      </c>
      <c r="AY9" s="190">
        <f t="shared" si="7"/>
        <v>0</v>
      </c>
    </row>
    <row r="10" spans="1:51">
      <c r="A10" s="164">
        <v>52</v>
      </c>
      <c r="B10" s="164" t="s">
        <v>41</v>
      </c>
      <c r="C10" s="58" t="s">
        <v>42</v>
      </c>
      <c r="D10" s="164" t="s">
        <v>6</v>
      </c>
      <c r="E10" s="198"/>
      <c r="F10" s="199"/>
      <c r="G10" s="199"/>
      <c r="H10" s="199"/>
      <c r="I10" s="199" t="s">
        <v>400</v>
      </c>
      <c r="J10" s="199"/>
      <c r="K10" s="199"/>
      <c r="L10" s="200"/>
      <c r="M10" s="198"/>
      <c r="N10" s="199"/>
      <c r="O10" s="199"/>
      <c r="P10" s="199" t="s">
        <v>400</v>
      </c>
      <c r="Q10" s="199"/>
      <c r="R10" s="199" t="s">
        <v>349</v>
      </c>
      <c r="S10" s="199" t="s">
        <v>42</v>
      </c>
      <c r="T10" s="200"/>
      <c r="U10" s="198"/>
      <c r="V10" s="199" t="s">
        <v>403</v>
      </c>
      <c r="W10" s="199"/>
      <c r="X10" s="199"/>
      <c r="Y10" s="199"/>
      <c r="Z10" s="199"/>
      <c r="AA10" s="199"/>
      <c r="AB10" s="200"/>
      <c r="AC10" s="198"/>
      <c r="AD10" s="199"/>
      <c r="AE10" s="199"/>
      <c r="AF10" s="199"/>
      <c r="AG10" s="199"/>
      <c r="AH10" s="199" t="s">
        <v>400</v>
      </c>
      <c r="AI10" s="199"/>
      <c r="AJ10" s="200"/>
      <c r="AK10" s="164">
        <v>52</v>
      </c>
      <c r="AN10" s="141">
        <f t="shared" si="0"/>
        <v>3</v>
      </c>
      <c r="AO10" s="189">
        <f t="shared" si="0"/>
        <v>2</v>
      </c>
      <c r="AP10" s="190">
        <f>LEN(CONCATENATE($E10,$F10,$G10,$H10,$I10,$J10,$K10,$L10,$M10,$N10,$O10,$P10,$Q10,$R10,$S10,$T10,$U10,$V10,$W10,$X10,$Y10,$Z10,$AA10,$AB10,$AC10,$AD10,$AE10,$AF10,$AG10,$AH10,$AI10,$AJ10))-LEN(SUBSTITUTE(CONCATENATE($E10,$F10,$G10,$H10,$I10,$J10,$K10,$L10,$M10,$N10,$O10,$P10,$Q10,$R10,$S10,$T10,$U10,$V10,$W10,$X10,$Y10,$Z10,$AA10,$AB10,$AC10,$AD10,$AE10,$AF10,$AG10,$AH10,$AI10,$AJ10),AP$3,""))</f>
        <v>15</v>
      </c>
      <c r="AQ10" s="191">
        <f t="shared" si="1"/>
        <v>20</v>
      </c>
      <c r="AS10" s="195">
        <f t="shared" si="2"/>
        <v>0.15</v>
      </c>
      <c r="AT10" s="196">
        <f t="shared" si="3"/>
        <v>0.1</v>
      </c>
      <c r="AU10" s="197">
        <f t="shared" si="4"/>
        <v>0.75</v>
      </c>
      <c r="AW10" s="141">
        <f t="shared" si="5"/>
        <v>2</v>
      </c>
      <c r="AX10" s="189">
        <f t="shared" si="6"/>
        <v>2</v>
      </c>
      <c r="AY10" s="190">
        <f t="shared" si="7"/>
        <v>3</v>
      </c>
    </row>
    <row r="11" spans="1:51">
      <c r="A11" s="58">
        <v>53</v>
      </c>
      <c r="B11" s="58" t="s">
        <v>62</v>
      </c>
      <c r="C11" s="58" t="s">
        <v>42</v>
      </c>
      <c r="D11" s="58" t="s">
        <v>42</v>
      </c>
      <c r="E11" s="201"/>
      <c r="F11" s="202" t="s">
        <v>42</v>
      </c>
      <c r="G11" s="202"/>
      <c r="H11" s="202"/>
      <c r="I11" s="202" t="s">
        <v>349</v>
      </c>
      <c r="J11" s="202"/>
      <c r="K11" s="202"/>
      <c r="L11" s="203"/>
      <c r="M11" s="201"/>
      <c r="N11" s="202"/>
      <c r="O11" s="202"/>
      <c r="P11" s="202"/>
      <c r="Q11" s="202"/>
      <c r="R11" s="202" t="s">
        <v>349</v>
      </c>
      <c r="S11" s="202" t="s">
        <v>349</v>
      </c>
      <c r="T11" s="203"/>
      <c r="U11" s="201" t="s">
        <v>349</v>
      </c>
      <c r="V11" s="202" t="s">
        <v>349</v>
      </c>
      <c r="W11" s="202"/>
      <c r="X11" s="202"/>
      <c r="Y11" s="202"/>
      <c r="Z11" s="202"/>
      <c r="AA11" s="202"/>
      <c r="AB11" s="203"/>
      <c r="AC11" s="201"/>
      <c r="AD11" s="202"/>
      <c r="AE11" s="202"/>
      <c r="AF11" s="202"/>
      <c r="AG11" s="202"/>
      <c r="AH11" s="202"/>
      <c r="AI11" s="202"/>
      <c r="AJ11" s="203" t="s">
        <v>349</v>
      </c>
      <c r="AK11" s="58">
        <v>53</v>
      </c>
      <c r="AL11" s="58"/>
      <c r="AM11" s="58"/>
      <c r="AN11" s="141">
        <f t="shared" si="0"/>
        <v>6</v>
      </c>
      <c r="AO11" s="189">
        <f t="shared" si="0"/>
        <v>1</v>
      </c>
      <c r="AP11" s="190">
        <f t="shared" si="0"/>
        <v>0</v>
      </c>
      <c r="AQ11" s="191">
        <f t="shared" si="1"/>
        <v>7</v>
      </c>
      <c r="AS11" s="195">
        <f t="shared" si="2"/>
        <v>0.8571428571428571</v>
      </c>
      <c r="AT11" s="196">
        <f t="shared" si="3"/>
        <v>0.14285714285714285</v>
      </c>
      <c r="AU11" s="197">
        <f t="shared" si="4"/>
        <v>0</v>
      </c>
      <c r="AW11" s="141">
        <f t="shared" si="5"/>
        <v>6</v>
      </c>
      <c r="AX11" s="189">
        <f t="shared" si="6"/>
        <v>1</v>
      </c>
      <c r="AY11" s="190">
        <f t="shared" si="7"/>
        <v>0</v>
      </c>
    </row>
    <row r="12" spans="1:51">
      <c r="A12" s="164">
        <v>57</v>
      </c>
      <c r="B12" s="164" t="s">
        <v>44</v>
      </c>
      <c r="C12" s="58" t="s">
        <v>349</v>
      </c>
      <c r="D12" s="164" t="s">
        <v>6</v>
      </c>
      <c r="E12" s="198"/>
      <c r="F12" s="199"/>
      <c r="G12" s="199"/>
      <c r="H12" s="199" t="s">
        <v>400</v>
      </c>
      <c r="I12" s="199"/>
      <c r="J12" s="199" t="s">
        <v>404</v>
      </c>
      <c r="K12" s="199" t="s">
        <v>404</v>
      </c>
      <c r="L12" s="200" t="s">
        <v>403</v>
      </c>
      <c r="M12" s="198"/>
      <c r="N12" s="202" t="s">
        <v>401</v>
      </c>
      <c r="O12" s="202" t="s">
        <v>405</v>
      </c>
      <c r="P12" s="199"/>
      <c r="Q12" s="202" t="s">
        <v>42</v>
      </c>
      <c r="R12" s="199"/>
      <c r="S12" s="199"/>
      <c r="T12" s="200"/>
      <c r="U12" s="198"/>
      <c r="V12" s="199"/>
      <c r="W12" s="199"/>
      <c r="X12" s="199"/>
      <c r="Y12" s="199"/>
      <c r="Z12" s="199" t="s">
        <v>349</v>
      </c>
      <c r="AA12" s="199"/>
      <c r="AB12" s="200"/>
      <c r="AC12" s="198"/>
      <c r="AD12" s="199" t="s">
        <v>406</v>
      </c>
      <c r="AE12" s="199" t="s">
        <v>42</v>
      </c>
      <c r="AF12" s="199" t="s">
        <v>405</v>
      </c>
      <c r="AG12" s="202" t="s">
        <v>400</v>
      </c>
      <c r="AH12" s="199"/>
      <c r="AI12" s="199"/>
      <c r="AJ12" s="200"/>
      <c r="AK12" s="164">
        <v>57</v>
      </c>
      <c r="AN12" s="141">
        <f t="shared" si="0"/>
        <v>12</v>
      </c>
      <c r="AO12" s="189">
        <f t="shared" si="0"/>
        <v>5</v>
      </c>
      <c r="AP12" s="190">
        <f t="shared" si="0"/>
        <v>14</v>
      </c>
      <c r="AQ12" s="191">
        <f t="shared" si="1"/>
        <v>31</v>
      </c>
      <c r="AS12" s="195">
        <f t="shared" si="2"/>
        <v>0.38709677419354838</v>
      </c>
      <c r="AT12" s="196">
        <f t="shared" si="3"/>
        <v>0.16129032258064516</v>
      </c>
      <c r="AU12" s="197">
        <f t="shared" si="4"/>
        <v>0.45161290322580644</v>
      </c>
      <c r="AW12" s="141">
        <f t="shared" si="5"/>
        <v>6</v>
      </c>
      <c r="AX12" s="189">
        <f t="shared" si="6"/>
        <v>5</v>
      </c>
      <c r="AY12" s="190">
        <f t="shared" si="7"/>
        <v>4</v>
      </c>
    </row>
    <row r="13" spans="1:51">
      <c r="A13" s="164">
        <v>62</v>
      </c>
      <c r="B13" s="164" t="s">
        <v>68</v>
      </c>
      <c r="C13" s="58" t="s">
        <v>357</v>
      </c>
      <c r="E13" s="198"/>
      <c r="F13" s="199"/>
      <c r="G13" s="199"/>
      <c r="H13" s="199" t="s">
        <v>401</v>
      </c>
      <c r="I13" s="199"/>
      <c r="J13" s="199" t="s">
        <v>349</v>
      </c>
      <c r="K13" s="199"/>
      <c r="L13" s="200"/>
      <c r="M13" s="198"/>
      <c r="N13" s="199"/>
      <c r="O13" s="199" t="s">
        <v>349</v>
      </c>
      <c r="P13" s="199" t="s">
        <v>401</v>
      </c>
      <c r="Q13" s="199"/>
      <c r="R13" s="199"/>
      <c r="S13" s="199"/>
      <c r="T13" s="200"/>
      <c r="U13" s="198"/>
      <c r="V13" s="199"/>
      <c r="W13" s="199"/>
      <c r="X13" s="199"/>
      <c r="Y13" s="199"/>
      <c r="Z13" s="199"/>
      <c r="AA13" s="199"/>
      <c r="AB13" s="200"/>
      <c r="AC13" s="198"/>
      <c r="AD13" s="199"/>
      <c r="AE13" s="199"/>
      <c r="AF13" s="199"/>
      <c r="AG13" s="199"/>
      <c r="AH13" s="199"/>
      <c r="AI13" s="199"/>
      <c r="AJ13" s="200"/>
      <c r="AK13" s="164">
        <v>62</v>
      </c>
      <c r="AN13" s="141">
        <f t="shared" si="0"/>
        <v>6</v>
      </c>
      <c r="AO13" s="189">
        <f t="shared" si="0"/>
        <v>0</v>
      </c>
      <c r="AP13" s="190">
        <f t="shared" si="0"/>
        <v>0</v>
      </c>
      <c r="AQ13" s="191">
        <f t="shared" si="1"/>
        <v>6</v>
      </c>
      <c r="AS13" s="195">
        <f t="shared" si="2"/>
        <v>1</v>
      </c>
      <c r="AT13" s="196">
        <f t="shared" si="3"/>
        <v>0</v>
      </c>
      <c r="AU13" s="197">
        <f t="shared" si="4"/>
        <v>0</v>
      </c>
      <c r="AW13" s="141">
        <f t="shared" si="5"/>
        <v>4</v>
      </c>
      <c r="AX13" s="189">
        <f t="shared" si="6"/>
        <v>0</v>
      </c>
      <c r="AY13" s="190">
        <f t="shared" si="7"/>
        <v>0</v>
      </c>
    </row>
    <row r="14" spans="1:51">
      <c r="A14" s="164">
        <v>64</v>
      </c>
      <c r="B14" s="164" t="s">
        <v>73</v>
      </c>
      <c r="C14" s="58" t="s">
        <v>165</v>
      </c>
      <c r="D14" s="164" t="s">
        <v>42</v>
      </c>
      <c r="E14" s="198" t="s">
        <v>42</v>
      </c>
      <c r="F14" s="202" t="s">
        <v>349</v>
      </c>
      <c r="G14" s="199"/>
      <c r="H14" s="199"/>
      <c r="I14" s="199"/>
      <c r="J14" s="199"/>
      <c r="K14" s="199"/>
      <c r="L14" s="200"/>
      <c r="M14" s="198"/>
      <c r="N14" s="199"/>
      <c r="O14" s="199"/>
      <c r="P14" s="199"/>
      <c r="Q14" s="199"/>
      <c r="R14" s="199"/>
      <c r="S14" s="199"/>
      <c r="T14" s="200" t="s">
        <v>349</v>
      </c>
      <c r="U14" s="198"/>
      <c r="V14" s="199"/>
      <c r="W14" s="199"/>
      <c r="X14" s="199"/>
      <c r="Y14" s="199"/>
      <c r="Z14" s="199"/>
      <c r="AA14" s="199"/>
      <c r="AB14" s="200"/>
      <c r="AC14" s="198"/>
      <c r="AD14" s="199"/>
      <c r="AE14" s="199"/>
      <c r="AF14" s="199"/>
      <c r="AG14" s="199"/>
      <c r="AH14" s="199"/>
      <c r="AI14" s="199"/>
      <c r="AJ14" s="200"/>
      <c r="AK14" s="164">
        <v>64</v>
      </c>
      <c r="AN14" s="141">
        <f t="shared" si="0"/>
        <v>2</v>
      </c>
      <c r="AO14" s="189">
        <f t="shared" si="0"/>
        <v>1</v>
      </c>
      <c r="AP14" s="190">
        <f t="shared" si="0"/>
        <v>0</v>
      </c>
      <c r="AQ14" s="191">
        <f t="shared" si="1"/>
        <v>3</v>
      </c>
      <c r="AS14" s="195">
        <f t="shared" si="2"/>
        <v>0.66666666666666663</v>
      </c>
      <c r="AT14" s="196">
        <f t="shared" si="3"/>
        <v>0.33333333333333331</v>
      </c>
      <c r="AU14" s="197">
        <f t="shared" si="4"/>
        <v>0</v>
      </c>
      <c r="AW14" s="141">
        <f t="shared" si="5"/>
        <v>2</v>
      </c>
      <c r="AX14" s="189">
        <f t="shared" si="6"/>
        <v>1</v>
      </c>
      <c r="AY14" s="190">
        <f t="shared" si="7"/>
        <v>0</v>
      </c>
    </row>
    <row r="15" spans="1:51">
      <c r="A15" s="58">
        <v>68</v>
      </c>
      <c r="B15" s="58" t="s">
        <v>65</v>
      </c>
      <c r="C15" s="58" t="s">
        <v>12</v>
      </c>
      <c r="D15" s="58" t="s">
        <v>42</v>
      </c>
      <c r="E15" s="198"/>
      <c r="F15" s="199"/>
      <c r="G15" s="199"/>
      <c r="H15" s="199"/>
      <c r="I15" s="199"/>
      <c r="J15" s="199"/>
      <c r="K15" s="199"/>
      <c r="L15" s="200"/>
      <c r="M15" s="198"/>
      <c r="N15" s="199"/>
      <c r="O15" s="199"/>
      <c r="P15" s="199"/>
      <c r="Q15" s="199"/>
      <c r="R15" s="199"/>
      <c r="S15" s="199"/>
      <c r="T15" s="200"/>
      <c r="U15" s="198"/>
      <c r="V15" s="199"/>
      <c r="W15" s="199" t="s">
        <v>42</v>
      </c>
      <c r="X15" s="199" t="s">
        <v>400</v>
      </c>
      <c r="Y15" s="199"/>
      <c r="Z15" s="199"/>
      <c r="AA15" s="199"/>
      <c r="AB15" s="200"/>
      <c r="AC15" s="198"/>
      <c r="AD15" s="199"/>
      <c r="AE15" s="199"/>
      <c r="AF15" s="199"/>
      <c r="AG15" s="199"/>
      <c r="AH15" s="199"/>
      <c r="AI15" s="199"/>
      <c r="AJ15" s="200"/>
      <c r="AK15" s="58">
        <v>68</v>
      </c>
      <c r="AL15" s="58"/>
      <c r="AN15" s="141">
        <f t="shared" si="0"/>
        <v>0</v>
      </c>
      <c r="AO15" s="189">
        <f t="shared" si="0"/>
        <v>1</v>
      </c>
      <c r="AP15" s="190">
        <f t="shared" si="0"/>
        <v>5</v>
      </c>
      <c r="AQ15" s="191">
        <f t="shared" si="1"/>
        <v>6</v>
      </c>
      <c r="AS15" s="195">
        <f t="shared" si="2"/>
        <v>0</v>
      </c>
      <c r="AT15" s="196">
        <f t="shared" si="3"/>
        <v>0.16666666666666666</v>
      </c>
      <c r="AU15" s="197">
        <f t="shared" si="4"/>
        <v>0.83333333333333337</v>
      </c>
      <c r="AW15" s="141">
        <f t="shared" si="5"/>
        <v>0</v>
      </c>
      <c r="AX15" s="189">
        <f t="shared" si="6"/>
        <v>1</v>
      </c>
      <c r="AY15" s="190">
        <f t="shared" si="7"/>
        <v>1</v>
      </c>
    </row>
    <row r="16" spans="1:51">
      <c r="A16" s="164">
        <v>72</v>
      </c>
      <c r="B16" s="164" t="s">
        <v>5</v>
      </c>
      <c r="C16" s="58" t="s">
        <v>42</v>
      </c>
      <c r="D16" s="164" t="s">
        <v>42</v>
      </c>
      <c r="E16" s="198"/>
      <c r="F16" s="202" t="s">
        <v>349</v>
      </c>
      <c r="G16" s="199"/>
      <c r="H16" s="199"/>
      <c r="I16" s="199" t="s">
        <v>407</v>
      </c>
      <c r="J16" s="199" t="s">
        <v>349</v>
      </c>
      <c r="K16" s="199"/>
      <c r="L16" s="200"/>
      <c r="M16" s="198"/>
      <c r="N16" s="199"/>
      <c r="O16" s="199"/>
      <c r="P16" s="199"/>
      <c r="Q16" s="199"/>
      <c r="R16" s="199"/>
      <c r="S16" s="199" t="s">
        <v>349</v>
      </c>
      <c r="T16" s="200"/>
      <c r="U16" s="198" t="s">
        <v>349</v>
      </c>
      <c r="V16" s="199" t="s">
        <v>401</v>
      </c>
      <c r="W16" s="199"/>
      <c r="X16" s="199"/>
      <c r="Y16" s="199"/>
      <c r="Z16" s="199"/>
      <c r="AA16" s="199"/>
      <c r="AB16" s="200"/>
      <c r="AC16" s="198"/>
      <c r="AD16" s="199"/>
      <c r="AE16" s="199"/>
      <c r="AF16" s="199"/>
      <c r="AG16" s="199"/>
      <c r="AH16" s="199"/>
      <c r="AI16" s="199"/>
      <c r="AJ16" s="200"/>
      <c r="AK16" s="164">
        <v>72</v>
      </c>
      <c r="AN16" s="141">
        <f t="shared" si="0"/>
        <v>6</v>
      </c>
      <c r="AO16" s="189">
        <f t="shared" si="0"/>
        <v>2</v>
      </c>
      <c r="AP16" s="190">
        <f t="shared" si="0"/>
        <v>0</v>
      </c>
      <c r="AQ16" s="191">
        <f t="shared" si="1"/>
        <v>8</v>
      </c>
      <c r="AS16" s="195">
        <f t="shared" si="2"/>
        <v>0.75</v>
      </c>
      <c r="AT16" s="196">
        <f t="shared" si="3"/>
        <v>0.25</v>
      </c>
      <c r="AU16" s="197">
        <f t="shared" si="4"/>
        <v>0</v>
      </c>
      <c r="AW16" s="141">
        <f t="shared" si="5"/>
        <v>5</v>
      </c>
      <c r="AX16" s="189">
        <f t="shared" si="6"/>
        <v>1</v>
      </c>
      <c r="AY16" s="190">
        <f t="shared" si="7"/>
        <v>0</v>
      </c>
    </row>
    <row r="17" spans="1:51">
      <c r="A17" s="164">
        <v>74</v>
      </c>
      <c r="B17" s="164" t="s">
        <v>88</v>
      </c>
      <c r="C17" s="58" t="s">
        <v>12</v>
      </c>
      <c r="D17" s="164" t="s">
        <v>6</v>
      </c>
      <c r="E17" s="198"/>
      <c r="F17" s="199"/>
      <c r="G17" s="199"/>
      <c r="H17" s="199"/>
      <c r="I17" s="199"/>
      <c r="J17" s="199"/>
      <c r="K17" s="199"/>
      <c r="L17" s="200"/>
      <c r="M17" s="198"/>
      <c r="N17" s="199"/>
      <c r="O17" s="199"/>
      <c r="P17" s="199"/>
      <c r="Q17" s="199"/>
      <c r="R17" s="199"/>
      <c r="S17" s="199"/>
      <c r="T17" s="200"/>
      <c r="U17" s="198" t="s">
        <v>349</v>
      </c>
      <c r="V17" s="199" t="s">
        <v>349</v>
      </c>
      <c r="W17" s="199"/>
      <c r="X17" s="199"/>
      <c r="Y17" s="199"/>
      <c r="Z17" s="199"/>
      <c r="AA17" s="199"/>
      <c r="AB17" s="200"/>
      <c r="AC17" s="198"/>
      <c r="AD17" s="199"/>
      <c r="AE17" s="199"/>
      <c r="AF17" s="199"/>
      <c r="AG17" s="199"/>
      <c r="AH17" s="199"/>
      <c r="AI17" s="199"/>
      <c r="AJ17" s="200"/>
      <c r="AK17" s="164">
        <v>74</v>
      </c>
      <c r="AN17" s="141">
        <f t="shared" si="0"/>
        <v>2</v>
      </c>
      <c r="AO17" s="189">
        <f t="shared" si="0"/>
        <v>0</v>
      </c>
      <c r="AP17" s="190">
        <f t="shared" si="0"/>
        <v>0</v>
      </c>
      <c r="AQ17" s="191">
        <f t="shared" si="1"/>
        <v>2</v>
      </c>
      <c r="AS17" s="195">
        <f t="shared" si="2"/>
        <v>1</v>
      </c>
      <c r="AT17" s="196">
        <f t="shared" si="3"/>
        <v>0</v>
      </c>
      <c r="AU17" s="197">
        <f t="shared" si="4"/>
        <v>0</v>
      </c>
      <c r="AW17" s="141">
        <f t="shared" si="5"/>
        <v>2</v>
      </c>
      <c r="AX17" s="189">
        <f t="shared" si="6"/>
        <v>0</v>
      </c>
      <c r="AY17" s="190">
        <f t="shared" si="7"/>
        <v>0</v>
      </c>
    </row>
    <row r="18" spans="1:51">
      <c r="A18" s="164">
        <v>76</v>
      </c>
      <c r="B18" s="164" t="s">
        <v>73</v>
      </c>
      <c r="C18" s="58" t="s">
        <v>165</v>
      </c>
      <c r="D18" s="164" t="s">
        <v>42</v>
      </c>
      <c r="E18" s="198"/>
      <c r="F18" s="199"/>
      <c r="G18" s="202" t="s">
        <v>349</v>
      </c>
      <c r="H18" s="199"/>
      <c r="I18" s="199"/>
      <c r="J18" s="199"/>
      <c r="K18" s="199"/>
      <c r="L18" s="200"/>
      <c r="M18" s="198"/>
      <c r="N18" s="199"/>
      <c r="O18" s="199"/>
      <c r="P18" s="199"/>
      <c r="Q18" s="199"/>
      <c r="R18" s="199" t="s">
        <v>400</v>
      </c>
      <c r="S18" s="199"/>
      <c r="T18" s="200"/>
      <c r="U18" s="198"/>
      <c r="V18" s="199" t="s">
        <v>349</v>
      </c>
      <c r="W18" s="199" t="s">
        <v>349</v>
      </c>
      <c r="X18" s="199"/>
      <c r="Y18" s="199"/>
      <c r="Z18" s="199"/>
      <c r="AA18" s="199"/>
      <c r="AB18" s="200"/>
      <c r="AC18" s="198"/>
      <c r="AD18" s="199"/>
      <c r="AE18" s="199"/>
      <c r="AF18" s="199"/>
      <c r="AG18" s="199" t="s">
        <v>349</v>
      </c>
      <c r="AH18" s="199"/>
      <c r="AI18" s="199" t="s">
        <v>401</v>
      </c>
      <c r="AJ18" s="200"/>
      <c r="AK18" s="164">
        <v>76</v>
      </c>
      <c r="AN18" s="141">
        <f t="shared" si="0"/>
        <v>6</v>
      </c>
      <c r="AO18" s="189">
        <f t="shared" si="0"/>
        <v>0</v>
      </c>
      <c r="AP18" s="190">
        <f t="shared" si="0"/>
        <v>5</v>
      </c>
      <c r="AQ18" s="191">
        <f t="shared" si="1"/>
        <v>11</v>
      </c>
      <c r="AS18" s="195">
        <f t="shared" si="2"/>
        <v>0.54545454545454541</v>
      </c>
      <c r="AT18" s="196">
        <f t="shared" si="3"/>
        <v>0</v>
      </c>
      <c r="AU18" s="197">
        <f t="shared" si="4"/>
        <v>0.45454545454545453</v>
      </c>
      <c r="AW18" s="141">
        <f t="shared" si="5"/>
        <v>5</v>
      </c>
      <c r="AX18" s="189">
        <f t="shared" si="6"/>
        <v>0</v>
      </c>
      <c r="AY18" s="190">
        <f t="shared" si="7"/>
        <v>1</v>
      </c>
    </row>
    <row r="19" spans="1:51">
      <c r="A19" s="164">
        <v>79</v>
      </c>
      <c r="B19" s="164" t="s">
        <v>71</v>
      </c>
      <c r="C19" s="58" t="s">
        <v>366</v>
      </c>
      <c r="D19" s="164" t="s">
        <v>42</v>
      </c>
      <c r="E19" s="198"/>
      <c r="F19" s="199"/>
      <c r="G19" s="202" t="s">
        <v>349</v>
      </c>
      <c r="H19" s="199"/>
      <c r="I19" s="199"/>
      <c r="J19" s="199"/>
      <c r="K19" s="199"/>
      <c r="L19" s="200"/>
      <c r="M19" s="198"/>
      <c r="N19" s="199"/>
      <c r="O19" s="199"/>
      <c r="P19" s="199"/>
      <c r="Q19" s="199"/>
      <c r="R19" s="199"/>
      <c r="S19" s="199"/>
      <c r="T19" s="200"/>
      <c r="U19" s="198"/>
      <c r="V19" s="199"/>
      <c r="W19" s="199"/>
      <c r="X19" s="199"/>
      <c r="Y19" s="199"/>
      <c r="Z19" s="199"/>
      <c r="AA19" s="199"/>
      <c r="AB19" s="200"/>
      <c r="AC19" s="198"/>
      <c r="AD19" s="199"/>
      <c r="AE19" s="199"/>
      <c r="AF19" s="199"/>
      <c r="AG19" s="199"/>
      <c r="AH19" s="199"/>
      <c r="AI19" s="199"/>
      <c r="AJ19" s="200"/>
      <c r="AK19" s="164">
        <v>79</v>
      </c>
      <c r="AN19" s="141">
        <f t="shared" si="0"/>
        <v>1</v>
      </c>
      <c r="AO19" s="189">
        <f t="shared" si="0"/>
        <v>0</v>
      </c>
      <c r="AP19" s="190">
        <f t="shared" si="0"/>
        <v>0</v>
      </c>
      <c r="AQ19" s="191">
        <f t="shared" si="1"/>
        <v>1</v>
      </c>
      <c r="AS19" s="195">
        <f t="shared" si="2"/>
        <v>1</v>
      </c>
      <c r="AT19" s="196">
        <f t="shared" si="3"/>
        <v>0</v>
      </c>
      <c r="AU19" s="197">
        <f t="shared" si="4"/>
        <v>0</v>
      </c>
      <c r="AW19" s="141">
        <f t="shared" si="5"/>
        <v>1</v>
      </c>
      <c r="AX19" s="189">
        <f t="shared" si="6"/>
        <v>0</v>
      </c>
      <c r="AY19" s="190">
        <f t="shared" si="7"/>
        <v>0</v>
      </c>
    </row>
    <row r="20" spans="1:51">
      <c r="A20" s="164">
        <v>85</v>
      </c>
      <c r="B20" s="164" t="s">
        <v>93</v>
      </c>
      <c r="C20" s="58" t="s">
        <v>12</v>
      </c>
      <c r="D20" s="164" t="s">
        <v>6</v>
      </c>
      <c r="E20" s="198"/>
      <c r="F20" s="199"/>
      <c r="G20" s="199"/>
      <c r="H20" s="199"/>
      <c r="I20" s="199"/>
      <c r="J20" s="199"/>
      <c r="K20" s="199"/>
      <c r="L20" s="200"/>
      <c r="M20" s="198"/>
      <c r="N20" s="199"/>
      <c r="O20" s="199"/>
      <c r="P20" s="199"/>
      <c r="Q20" s="199"/>
      <c r="R20" s="199"/>
      <c r="S20" s="199"/>
      <c r="T20" s="200"/>
      <c r="U20" s="198"/>
      <c r="V20" s="199"/>
      <c r="W20" s="199"/>
      <c r="X20" s="199"/>
      <c r="Y20" s="199"/>
      <c r="Z20" s="199"/>
      <c r="AA20" s="199"/>
      <c r="AB20" s="200"/>
      <c r="AC20" s="198"/>
      <c r="AD20" s="199"/>
      <c r="AE20" s="199"/>
      <c r="AF20" s="199"/>
      <c r="AG20" s="199"/>
      <c r="AH20" s="199" t="s">
        <v>400</v>
      </c>
      <c r="AI20" s="199"/>
      <c r="AJ20" s="200"/>
      <c r="AK20" s="164">
        <v>85</v>
      </c>
      <c r="AN20" s="141">
        <f t="shared" ref="AN20:AP35" si="8">LEN(CONCATENATE($E20,$F20,$G20,$H20,$I20,$J20,$K20,$L20,$M20,$N20,$O20,$P20,$Q20,$R20,$S20,$T20,$U20,$V20,$W20,$X20,$Y20,$Z20,$AA20,$AB20,$AC20,$AD20,$AE20,$AF20,$AG20,$AH20,$AI20,$AJ20))-LEN(SUBSTITUTE(CONCATENATE($E20,$F20,$G20,$H20,$I20,$J20,$K20,$L20,$M20,$N20,$O20,$P20,$Q20,$R20,$S20,$T20,$U20,$V20,$W20,$X20,$Y20,$Z20,$AA20,$AB20,$AC20,$AD20,$AE20,$AF20,$AG20,$AH20,$AI20,$AJ20),AN$3,""))</f>
        <v>0</v>
      </c>
      <c r="AO20" s="189">
        <f t="shared" si="8"/>
        <v>0</v>
      </c>
      <c r="AP20" s="190">
        <f t="shared" si="8"/>
        <v>5</v>
      </c>
      <c r="AQ20" s="191">
        <f t="shared" si="1"/>
        <v>5</v>
      </c>
      <c r="AS20" s="195">
        <f t="shared" si="2"/>
        <v>0</v>
      </c>
      <c r="AT20" s="196">
        <f t="shared" si="3"/>
        <v>0</v>
      </c>
      <c r="AU20" s="197">
        <f t="shared" si="4"/>
        <v>1</v>
      </c>
      <c r="AW20" s="141">
        <f t="shared" si="5"/>
        <v>0</v>
      </c>
      <c r="AX20" s="189">
        <f t="shared" si="6"/>
        <v>0</v>
      </c>
      <c r="AY20" s="190">
        <f t="shared" si="7"/>
        <v>1</v>
      </c>
    </row>
    <row r="21" spans="1:51">
      <c r="A21" s="164">
        <v>86</v>
      </c>
      <c r="B21" s="164" t="s">
        <v>44</v>
      </c>
      <c r="C21" s="58" t="s">
        <v>349</v>
      </c>
      <c r="D21" s="164" t="s">
        <v>6</v>
      </c>
      <c r="E21" s="198"/>
      <c r="F21" s="199"/>
      <c r="G21" s="199"/>
      <c r="H21" s="199"/>
      <c r="I21" s="199" t="s">
        <v>400</v>
      </c>
      <c r="J21" s="199" t="s">
        <v>400</v>
      </c>
      <c r="K21" s="199"/>
      <c r="L21" s="200"/>
      <c r="M21" s="198"/>
      <c r="N21" s="199"/>
      <c r="O21" s="199"/>
      <c r="P21" s="199"/>
      <c r="Q21" s="199"/>
      <c r="R21" s="199"/>
      <c r="S21" s="199"/>
      <c r="T21" s="200"/>
      <c r="U21" s="198"/>
      <c r="V21" s="199"/>
      <c r="W21" s="199"/>
      <c r="X21" s="199"/>
      <c r="Y21" s="199"/>
      <c r="Z21" s="199"/>
      <c r="AA21" s="199"/>
      <c r="AB21" s="200"/>
      <c r="AC21" s="198"/>
      <c r="AD21" s="199"/>
      <c r="AE21" s="199"/>
      <c r="AF21" s="199"/>
      <c r="AG21" s="199" t="s">
        <v>349</v>
      </c>
      <c r="AH21" s="199"/>
      <c r="AI21" s="199"/>
      <c r="AJ21" s="200"/>
      <c r="AK21" s="164">
        <v>86</v>
      </c>
      <c r="AN21" s="141">
        <f t="shared" si="8"/>
        <v>1</v>
      </c>
      <c r="AO21" s="189">
        <f t="shared" si="8"/>
        <v>0</v>
      </c>
      <c r="AP21" s="190">
        <f t="shared" si="8"/>
        <v>10</v>
      </c>
      <c r="AQ21" s="191">
        <f t="shared" si="1"/>
        <v>11</v>
      </c>
      <c r="AS21" s="195">
        <f t="shared" si="2"/>
        <v>9.0909090909090912E-2</v>
      </c>
      <c r="AT21" s="196">
        <f t="shared" si="3"/>
        <v>0</v>
      </c>
      <c r="AU21" s="197">
        <f t="shared" si="4"/>
        <v>0.90909090909090906</v>
      </c>
      <c r="AW21" s="141">
        <f t="shared" si="5"/>
        <v>1</v>
      </c>
      <c r="AX21" s="189">
        <f t="shared" si="6"/>
        <v>0</v>
      </c>
      <c r="AY21" s="190">
        <f t="shared" si="7"/>
        <v>2</v>
      </c>
    </row>
    <row r="22" spans="1:51">
      <c r="A22" s="164">
        <v>95</v>
      </c>
      <c r="B22" s="164" t="s">
        <v>53</v>
      </c>
      <c r="C22" s="58" t="s">
        <v>346</v>
      </c>
      <c r="E22" s="198"/>
      <c r="F22" s="199"/>
      <c r="G22" s="199"/>
      <c r="H22" s="199"/>
      <c r="I22" s="199" t="s">
        <v>42</v>
      </c>
      <c r="J22" s="199"/>
      <c r="K22" s="199"/>
      <c r="L22" s="200"/>
      <c r="M22" s="198"/>
      <c r="N22" s="199"/>
      <c r="O22" s="199"/>
      <c r="P22" s="199" t="s">
        <v>42</v>
      </c>
      <c r="Q22" s="199"/>
      <c r="R22" s="199"/>
      <c r="S22" s="199"/>
      <c r="T22" s="200"/>
      <c r="U22" s="198"/>
      <c r="V22" s="199"/>
      <c r="W22" s="199"/>
      <c r="X22" s="199"/>
      <c r="Y22" s="199"/>
      <c r="Z22" s="199"/>
      <c r="AA22" s="199"/>
      <c r="AB22" s="200"/>
      <c r="AC22" s="198"/>
      <c r="AD22" s="199"/>
      <c r="AE22" s="199"/>
      <c r="AF22" s="199"/>
      <c r="AG22" s="199"/>
      <c r="AH22" s="199"/>
      <c r="AI22" s="199"/>
      <c r="AJ22" s="200"/>
      <c r="AK22" s="164">
        <v>95</v>
      </c>
      <c r="AN22" s="141">
        <f t="shared" si="8"/>
        <v>0</v>
      </c>
      <c r="AO22" s="189">
        <f t="shared" si="8"/>
        <v>2</v>
      </c>
      <c r="AP22" s="190">
        <f t="shared" si="8"/>
        <v>0</v>
      </c>
      <c r="AQ22" s="191">
        <f t="shared" si="1"/>
        <v>2</v>
      </c>
      <c r="AS22" s="195">
        <f t="shared" si="2"/>
        <v>0</v>
      </c>
      <c r="AT22" s="196">
        <f t="shared" si="3"/>
        <v>1</v>
      </c>
      <c r="AU22" s="197">
        <f t="shared" si="4"/>
        <v>0</v>
      </c>
      <c r="AW22" s="141">
        <f t="shared" si="5"/>
        <v>0</v>
      </c>
      <c r="AX22" s="189">
        <f t="shared" si="6"/>
        <v>2</v>
      </c>
      <c r="AY22" s="190">
        <f t="shared" si="7"/>
        <v>0</v>
      </c>
    </row>
    <row r="23" spans="1:51">
      <c r="A23" s="164">
        <v>97</v>
      </c>
      <c r="B23" s="164" t="s">
        <v>44</v>
      </c>
      <c r="C23" s="58" t="s">
        <v>349</v>
      </c>
      <c r="D23" s="164" t="s">
        <v>42</v>
      </c>
      <c r="E23" s="198"/>
      <c r="F23" s="199"/>
      <c r="G23" s="199"/>
      <c r="H23" s="199"/>
      <c r="I23" s="199"/>
      <c r="J23" s="199"/>
      <c r="K23" s="199"/>
      <c r="L23" s="200"/>
      <c r="M23" s="198"/>
      <c r="N23" s="199"/>
      <c r="O23" s="199"/>
      <c r="P23" s="199"/>
      <c r="Q23" s="199"/>
      <c r="R23" s="199" t="s">
        <v>400</v>
      </c>
      <c r="S23" s="199" t="s">
        <v>349</v>
      </c>
      <c r="T23" s="200"/>
      <c r="U23" s="198"/>
      <c r="V23" s="199"/>
      <c r="W23" s="199"/>
      <c r="X23" s="199"/>
      <c r="Y23" s="199"/>
      <c r="Z23" s="199"/>
      <c r="AA23" s="199"/>
      <c r="AB23" s="200"/>
      <c r="AC23" s="198"/>
      <c r="AD23" s="199"/>
      <c r="AE23" s="199"/>
      <c r="AF23" s="199"/>
      <c r="AG23" s="199"/>
      <c r="AH23" s="199"/>
      <c r="AI23" s="199"/>
      <c r="AJ23" s="200"/>
      <c r="AK23" s="164">
        <v>97</v>
      </c>
      <c r="AN23" s="141">
        <f t="shared" si="8"/>
        <v>1</v>
      </c>
      <c r="AO23" s="189">
        <f t="shared" si="8"/>
        <v>0</v>
      </c>
      <c r="AP23" s="190">
        <f t="shared" si="8"/>
        <v>5</v>
      </c>
      <c r="AQ23" s="191">
        <f t="shared" si="1"/>
        <v>6</v>
      </c>
      <c r="AS23" s="195">
        <f t="shared" si="2"/>
        <v>0.16666666666666666</v>
      </c>
      <c r="AT23" s="196">
        <f t="shared" si="3"/>
        <v>0</v>
      </c>
      <c r="AU23" s="197">
        <f t="shared" si="4"/>
        <v>0.83333333333333337</v>
      </c>
      <c r="AW23" s="141">
        <f t="shared" si="5"/>
        <v>1</v>
      </c>
      <c r="AX23" s="189">
        <f t="shared" si="6"/>
        <v>0</v>
      </c>
      <c r="AY23" s="190">
        <f t="shared" si="7"/>
        <v>1</v>
      </c>
    </row>
    <row r="24" spans="1:51">
      <c r="A24" s="164">
        <v>98</v>
      </c>
      <c r="B24" s="164" t="s">
        <v>62</v>
      </c>
      <c r="C24" s="58" t="s">
        <v>42</v>
      </c>
      <c r="D24" s="164" t="s">
        <v>42</v>
      </c>
      <c r="E24" s="198"/>
      <c r="F24" s="199"/>
      <c r="G24" s="199"/>
      <c r="H24" s="199"/>
      <c r="I24" s="199"/>
      <c r="J24" s="199"/>
      <c r="K24" s="199"/>
      <c r="L24" s="200"/>
      <c r="M24" s="198"/>
      <c r="N24" s="199"/>
      <c r="O24" s="199"/>
      <c r="P24" s="199"/>
      <c r="Q24" s="199"/>
      <c r="R24" s="199"/>
      <c r="S24" s="199"/>
      <c r="T24" s="200"/>
      <c r="U24" s="198"/>
      <c r="V24" s="199"/>
      <c r="W24" s="199"/>
      <c r="X24" s="199"/>
      <c r="Y24" s="199"/>
      <c r="Z24" s="199"/>
      <c r="AA24" s="199"/>
      <c r="AB24" s="200"/>
      <c r="AC24" s="198"/>
      <c r="AD24" s="199"/>
      <c r="AE24" s="199"/>
      <c r="AF24" s="199"/>
      <c r="AG24" s="199"/>
      <c r="AH24" s="199" t="s">
        <v>349</v>
      </c>
      <c r="AI24" s="199"/>
      <c r="AJ24" s="200" t="s">
        <v>42</v>
      </c>
      <c r="AK24" s="164">
        <v>98</v>
      </c>
      <c r="AN24" s="141">
        <f t="shared" si="8"/>
        <v>1</v>
      </c>
      <c r="AO24" s="189">
        <f t="shared" si="8"/>
        <v>1</v>
      </c>
      <c r="AP24" s="190">
        <f t="shared" si="8"/>
        <v>0</v>
      </c>
      <c r="AQ24" s="191">
        <f t="shared" si="1"/>
        <v>2</v>
      </c>
      <c r="AS24" s="195">
        <f t="shared" si="2"/>
        <v>0.5</v>
      </c>
      <c r="AT24" s="196">
        <f t="shared" si="3"/>
        <v>0.5</v>
      </c>
      <c r="AU24" s="197">
        <f t="shared" si="4"/>
        <v>0</v>
      </c>
      <c r="AW24" s="141">
        <f t="shared" si="5"/>
        <v>1</v>
      </c>
      <c r="AX24" s="189">
        <f t="shared" si="6"/>
        <v>1</v>
      </c>
      <c r="AY24" s="190">
        <f t="shared" si="7"/>
        <v>0</v>
      </c>
    </row>
    <row r="25" spans="1:51">
      <c r="A25" s="164">
        <v>100</v>
      </c>
      <c r="B25" s="164" t="s">
        <v>62</v>
      </c>
      <c r="C25" s="58" t="s">
        <v>42</v>
      </c>
      <c r="D25" s="58" t="s">
        <v>42</v>
      </c>
      <c r="E25" s="198" t="s">
        <v>42</v>
      </c>
      <c r="F25" s="202" t="s">
        <v>42</v>
      </c>
      <c r="G25" s="199"/>
      <c r="H25" s="199"/>
      <c r="I25" s="199"/>
      <c r="J25" s="199"/>
      <c r="K25" s="199"/>
      <c r="L25" s="200"/>
      <c r="M25" s="198"/>
      <c r="N25" s="199"/>
      <c r="O25" s="199"/>
      <c r="P25" s="199"/>
      <c r="Q25" s="199"/>
      <c r="R25" s="199"/>
      <c r="S25" s="199" t="s">
        <v>404</v>
      </c>
      <c r="T25" s="200" t="s">
        <v>400</v>
      </c>
      <c r="U25" s="198"/>
      <c r="V25" s="199"/>
      <c r="W25" s="199" t="s">
        <v>349</v>
      </c>
      <c r="X25" s="199"/>
      <c r="Y25" s="199"/>
      <c r="Z25" s="199"/>
      <c r="AA25" s="199"/>
      <c r="AB25" s="200"/>
      <c r="AC25" s="198"/>
      <c r="AD25" s="199"/>
      <c r="AE25" s="199"/>
      <c r="AF25" s="199"/>
      <c r="AG25" s="199"/>
      <c r="AH25" s="199" t="s">
        <v>349</v>
      </c>
      <c r="AI25" s="199" t="s">
        <v>349</v>
      </c>
      <c r="AJ25" s="200" t="s">
        <v>349</v>
      </c>
      <c r="AK25" s="164">
        <v>100</v>
      </c>
      <c r="AN25" s="141">
        <f t="shared" si="8"/>
        <v>4</v>
      </c>
      <c r="AO25" s="189">
        <f t="shared" si="8"/>
        <v>2</v>
      </c>
      <c r="AP25" s="190">
        <f t="shared" si="8"/>
        <v>7</v>
      </c>
      <c r="AQ25" s="191">
        <f t="shared" si="1"/>
        <v>13</v>
      </c>
      <c r="AS25" s="195">
        <f t="shared" si="2"/>
        <v>0.30769230769230771</v>
      </c>
      <c r="AT25" s="196">
        <f t="shared" si="3"/>
        <v>0.15384615384615385</v>
      </c>
      <c r="AU25" s="197">
        <f t="shared" si="4"/>
        <v>0.53846153846153844</v>
      </c>
      <c r="AW25" s="141">
        <f t="shared" si="5"/>
        <v>4</v>
      </c>
      <c r="AX25" s="189">
        <f t="shared" si="6"/>
        <v>2</v>
      </c>
      <c r="AY25" s="190">
        <f t="shared" si="7"/>
        <v>2</v>
      </c>
    </row>
    <row r="26" spans="1:51">
      <c r="A26" s="164">
        <v>104</v>
      </c>
      <c r="B26" s="164" t="s">
        <v>106</v>
      </c>
      <c r="C26" s="58" t="s">
        <v>349</v>
      </c>
      <c r="D26" s="164" t="s">
        <v>42</v>
      </c>
      <c r="E26" s="198"/>
      <c r="F26" s="199"/>
      <c r="G26" s="199"/>
      <c r="H26" s="199" t="s">
        <v>400</v>
      </c>
      <c r="I26" s="199"/>
      <c r="J26" s="199"/>
      <c r="K26" s="199"/>
      <c r="L26" s="200"/>
      <c r="M26" s="198"/>
      <c r="N26" s="199"/>
      <c r="O26" s="199"/>
      <c r="P26" s="199" t="s">
        <v>400</v>
      </c>
      <c r="Q26" s="199"/>
      <c r="R26" s="199"/>
      <c r="S26" s="199"/>
      <c r="T26" s="200"/>
      <c r="U26" s="198"/>
      <c r="V26" s="199"/>
      <c r="W26" s="199"/>
      <c r="X26" s="199"/>
      <c r="Y26" s="199"/>
      <c r="Z26" s="199"/>
      <c r="AA26" s="199"/>
      <c r="AB26" s="200"/>
      <c r="AC26" s="198"/>
      <c r="AD26" s="199"/>
      <c r="AE26" s="199"/>
      <c r="AF26" s="199"/>
      <c r="AG26" s="199"/>
      <c r="AH26" s="199"/>
      <c r="AI26" s="199"/>
      <c r="AJ26" s="200" t="s">
        <v>400</v>
      </c>
      <c r="AK26" s="164">
        <v>104</v>
      </c>
      <c r="AN26" s="141">
        <f t="shared" si="8"/>
        <v>0</v>
      </c>
      <c r="AO26" s="189">
        <f t="shared" si="8"/>
        <v>0</v>
      </c>
      <c r="AP26" s="190">
        <f t="shared" si="8"/>
        <v>15</v>
      </c>
      <c r="AQ26" s="191">
        <f t="shared" si="1"/>
        <v>15</v>
      </c>
      <c r="AS26" s="195">
        <f t="shared" si="2"/>
        <v>0</v>
      </c>
      <c r="AT26" s="196">
        <f t="shared" si="3"/>
        <v>0</v>
      </c>
      <c r="AU26" s="197">
        <f t="shared" si="4"/>
        <v>1</v>
      </c>
      <c r="AW26" s="141">
        <f t="shared" si="5"/>
        <v>0</v>
      </c>
      <c r="AX26" s="189">
        <f t="shared" si="6"/>
        <v>0</v>
      </c>
      <c r="AY26" s="190">
        <f t="shared" si="7"/>
        <v>3</v>
      </c>
    </row>
    <row r="27" spans="1:51">
      <c r="A27" s="164">
        <v>115</v>
      </c>
      <c r="B27" s="164" t="s">
        <v>68</v>
      </c>
      <c r="C27" s="58" t="s">
        <v>357</v>
      </c>
      <c r="E27" s="198"/>
      <c r="F27" s="199"/>
      <c r="G27" s="199"/>
      <c r="H27" s="199" t="s">
        <v>42</v>
      </c>
      <c r="I27" s="199"/>
      <c r="J27" s="199"/>
      <c r="K27" s="199"/>
      <c r="L27" s="200"/>
      <c r="M27" s="198"/>
      <c r="N27" s="199"/>
      <c r="O27" s="199"/>
      <c r="P27" s="199" t="s">
        <v>349</v>
      </c>
      <c r="Q27" s="199" t="s">
        <v>42</v>
      </c>
      <c r="R27" s="199"/>
      <c r="S27" s="199"/>
      <c r="T27" s="200"/>
      <c r="U27" s="198"/>
      <c r="V27" s="199"/>
      <c r="W27" s="199"/>
      <c r="X27" s="199"/>
      <c r="Y27" s="199"/>
      <c r="Z27" s="199"/>
      <c r="AA27" s="199"/>
      <c r="AB27" s="200"/>
      <c r="AC27" s="198"/>
      <c r="AD27" s="199"/>
      <c r="AE27" s="199"/>
      <c r="AF27" s="199"/>
      <c r="AG27" s="199"/>
      <c r="AH27" s="199"/>
      <c r="AI27" s="199"/>
      <c r="AJ27" s="200"/>
      <c r="AK27" s="164">
        <v>115</v>
      </c>
      <c r="AN27" s="141">
        <f t="shared" si="8"/>
        <v>1</v>
      </c>
      <c r="AO27" s="189">
        <f t="shared" si="8"/>
        <v>2</v>
      </c>
      <c r="AP27" s="190">
        <f t="shared" si="8"/>
        <v>0</v>
      </c>
      <c r="AQ27" s="191">
        <f t="shared" si="1"/>
        <v>3</v>
      </c>
      <c r="AS27" s="195">
        <f t="shared" si="2"/>
        <v>0.33333333333333331</v>
      </c>
      <c r="AT27" s="196">
        <f t="shared" si="3"/>
        <v>0.66666666666666663</v>
      </c>
      <c r="AU27" s="197">
        <f t="shared" si="4"/>
        <v>0</v>
      </c>
      <c r="AW27" s="141">
        <f t="shared" si="5"/>
        <v>1</v>
      </c>
      <c r="AX27" s="189">
        <f t="shared" si="6"/>
        <v>2</v>
      </c>
      <c r="AY27" s="190">
        <f t="shared" si="7"/>
        <v>0</v>
      </c>
    </row>
    <row r="28" spans="1:51">
      <c r="A28" s="164">
        <v>120</v>
      </c>
      <c r="B28" s="164" t="s">
        <v>73</v>
      </c>
      <c r="C28" s="58" t="s">
        <v>165</v>
      </c>
      <c r="D28" s="164" t="s">
        <v>42</v>
      </c>
      <c r="E28" s="198"/>
      <c r="F28" s="199"/>
      <c r="G28" s="199"/>
      <c r="H28" s="199"/>
      <c r="I28" s="199"/>
      <c r="J28" s="199"/>
      <c r="K28" s="199"/>
      <c r="L28" s="200"/>
      <c r="M28" s="198"/>
      <c r="N28" s="199"/>
      <c r="O28" s="199"/>
      <c r="P28" s="199"/>
      <c r="Q28" s="199" t="s">
        <v>400</v>
      </c>
      <c r="R28" s="199"/>
      <c r="S28" s="199" t="s">
        <v>400</v>
      </c>
      <c r="T28" s="200" t="s">
        <v>400</v>
      </c>
      <c r="U28" s="198"/>
      <c r="V28" s="199"/>
      <c r="W28" s="199"/>
      <c r="X28" s="199"/>
      <c r="Y28" s="199"/>
      <c r="Z28" s="199"/>
      <c r="AA28" s="199"/>
      <c r="AB28" s="200"/>
      <c r="AC28" s="198"/>
      <c r="AD28" s="199"/>
      <c r="AE28" s="199"/>
      <c r="AF28" s="199"/>
      <c r="AG28" s="199"/>
      <c r="AH28" s="199"/>
      <c r="AI28" s="199"/>
      <c r="AJ28" s="200" t="s">
        <v>349</v>
      </c>
      <c r="AK28" s="164">
        <v>120</v>
      </c>
      <c r="AN28" s="141">
        <f t="shared" si="8"/>
        <v>1</v>
      </c>
      <c r="AO28" s="189">
        <f t="shared" si="8"/>
        <v>0</v>
      </c>
      <c r="AP28" s="190">
        <f t="shared" si="8"/>
        <v>15</v>
      </c>
      <c r="AQ28" s="191">
        <f t="shared" si="1"/>
        <v>16</v>
      </c>
      <c r="AS28" s="195">
        <f t="shared" si="2"/>
        <v>6.25E-2</v>
      </c>
      <c r="AT28" s="196">
        <f t="shared" si="3"/>
        <v>0</v>
      </c>
      <c r="AU28" s="197">
        <f t="shared" si="4"/>
        <v>0.9375</v>
      </c>
      <c r="AW28" s="141">
        <f t="shared" si="5"/>
        <v>1</v>
      </c>
      <c r="AX28" s="189">
        <f t="shared" si="6"/>
        <v>0</v>
      </c>
      <c r="AY28" s="190">
        <f t="shared" si="7"/>
        <v>3</v>
      </c>
    </row>
    <row r="29" spans="1:51">
      <c r="A29" s="164">
        <v>121</v>
      </c>
      <c r="B29" s="164" t="s">
        <v>113</v>
      </c>
      <c r="C29" s="58" t="s">
        <v>357</v>
      </c>
      <c r="E29" s="198"/>
      <c r="F29" s="199"/>
      <c r="G29" s="199"/>
      <c r="H29" s="199"/>
      <c r="I29" s="199"/>
      <c r="J29" s="199"/>
      <c r="K29" s="199"/>
      <c r="L29" s="200"/>
      <c r="M29" s="198"/>
      <c r="N29" s="199"/>
      <c r="O29" s="199"/>
      <c r="P29" s="199"/>
      <c r="Q29" s="199"/>
      <c r="R29" s="199"/>
      <c r="S29" s="199"/>
      <c r="T29" s="200"/>
      <c r="U29" s="198"/>
      <c r="V29" s="199"/>
      <c r="W29" s="199" t="s">
        <v>349</v>
      </c>
      <c r="X29" s="199"/>
      <c r="Y29" s="199"/>
      <c r="Z29" s="199"/>
      <c r="AA29" s="199"/>
      <c r="AB29" s="200"/>
      <c r="AC29" s="198"/>
      <c r="AD29" s="199"/>
      <c r="AE29" s="199"/>
      <c r="AF29" s="199"/>
      <c r="AG29" s="199"/>
      <c r="AH29" s="199" t="s">
        <v>349</v>
      </c>
      <c r="AI29" s="199"/>
      <c r="AJ29" s="200"/>
      <c r="AK29" s="164">
        <v>121</v>
      </c>
      <c r="AN29" s="141">
        <f t="shared" si="8"/>
        <v>2</v>
      </c>
      <c r="AO29" s="189">
        <f t="shared" si="8"/>
        <v>0</v>
      </c>
      <c r="AP29" s="190">
        <f t="shared" si="8"/>
        <v>0</v>
      </c>
      <c r="AQ29" s="191">
        <f t="shared" si="1"/>
        <v>2</v>
      </c>
      <c r="AS29" s="195">
        <f t="shared" si="2"/>
        <v>1</v>
      </c>
      <c r="AT29" s="196">
        <f t="shared" si="3"/>
        <v>0</v>
      </c>
      <c r="AU29" s="197">
        <f t="shared" si="4"/>
        <v>0</v>
      </c>
      <c r="AW29" s="141">
        <f t="shared" si="5"/>
        <v>2</v>
      </c>
      <c r="AX29" s="189">
        <f t="shared" si="6"/>
        <v>0</v>
      </c>
      <c r="AY29" s="190">
        <f t="shared" si="7"/>
        <v>0</v>
      </c>
    </row>
    <row r="30" spans="1:51">
      <c r="A30" s="164">
        <v>127</v>
      </c>
      <c r="B30" s="164" t="s">
        <v>62</v>
      </c>
      <c r="C30" s="58" t="s">
        <v>42</v>
      </c>
      <c r="D30" s="164" t="s">
        <v>42</v>
      </c>
      <c r="E30" s="198" t="s">
        <v>349</v>
      </c>
      <c r="F30" s="202" t="s">
        <v>401</v>
      </c>
      <c r="G30" s="199"/>
      <c r="H30" s="199"/>
      <c r="I30" s="199"/>
      <c r="J30" s="199"/>
      <c r="K30" s="199"/>
      <c r="L30" s="200"/>
      <c r="M30" s="198"/>
      <c r="N30" s="199"/>
      <c r="O30" s="199"/>
      <c r="P30" s="199"/>
      <c r="Q30" s="199"/>
      <c r="R30" s="199"/>
      <c r="S30" s="199" t="s">
        <v>401</v>
      </c>
      <c r="T30" s="200" t="s">
        <v>349</v>
      </c>
      <c r="U30" s="198"/>
      <c r="V30" s="199"/>
      <c r="W30" s="199"/>
      <c r="X30" s="199"/>
      <c r="Y30" s="199"/>
      <c r="Z30" s="199"/>
      <c r="AA30" s="199"/>
      <c r="AB30" s="200"/>
      <c r="AC30" s="198"/>
      <c r="AD30" s="199"/>
      <c r="AE30" s="199"/>
      <c r="AF30" s="199"/>
      <c r="AG30" s="199"/>
      <c r="AH30" s="199"/>
      <c r="AI30" s="199"/>
      <c r="AJ30" s="200"/>
      <c r="AK30" s="164">
        <v>127</v>
      </c>
      <c r="AN30" s="141">
        <f t="shared" si="8"/>
        <v>6</v>
      </c>
      <c r="AO30" s="189">
        <f t="shared" si="8"/>
        <v>0</v>
      </c>
      <c r="AP30" s="190">
        <f t="shared" si="8"/>
        <v>0</v>
      </c>
      <c r="AQ30" s="191">
        <f t="shared" si="1"/>
        <v>6</v>
      </c>
      <c r="AS30" s="195">
        <f t="shared" si="2"/>
        <v>1</v>
      </c>
      <c r="AT30" s="196">
        <f t="shared" si="3"/>
        <v>0</v>
      </c>
      <c r="AU30" s="197">
        <f t="shared" si="4"/>
        <v>0</v>
      </c>
      <c r="AW30" s="141">
        <f t="shared" si="5"/>
        <v>4</v>
      </c>
      <c r="AX30" s="189">
        <f t="shared" si="6"/>
        <v>0</v>
      </c>
      <c r="AY30" s="190">
        <f t="shared" si="7"/>
        <v>0</v>
      </c>
    </row>
    <row r="31" spans="1:51">
      <c r="A31" s="164">
        <v>133</v>
      </c>
      <c r="B31" s="164" t="s">
        <v>41</v>
      </c>
      <c r="C31" s="58" t="s">
        <v>42</v>
      </c>
      <c r="D31" s="164" t="s">
        <v>6</v>
      </c>
      <c r="E31" s="198"/>
      <c r="F31" s="199"/>
      <c r="G31" s="199"/>
      <c r="H31" s="199"/>
      <c r="I31" s="199"/>
      <c r="J31" s="199"/>
      <c r="K31" s="199"/>
      <c r="L31" s="200"/>
      <c r="M31" s="198"/>
      <c r="N31" s="199"/>
      <c r="O31" s="199"/>
      <c r="P31" s="199"/>
      <c r="Q31" s="199"/>
      <c r="R31" s="199"/>
      <c r="S31" s="199"/>
      <c r="T31" s="200"/>
      <c r="U31" s="198"/>
      <c r="V31" s="199" t="s">
        <v>349</v>
      </c>
      <c r="W31" s="199"/>
      <c r="X31" s="199"/>
      <c r="Y31" s="199"/>
      <c r="Z31" s="199"/>
      <c r="AA31" s="199"/>
      <c r="AB31" s="200"/>
      <c r="AC31" s="198"/>
      <c r="AD31" s="199"/>
      <c r="AE31" s="199"/>
      <c r="AF31" s="199"/>
      <c r="AG31" s="199"/>
      <c r="AH31" s="199" t="s">
        <v>42</v>
      </c>
      <c r="AI31" s="199" t="s">
        <v>401</v>
      </c>
      <c r="AJ31" s="200"/>
      <c r="AK31" s="164">
        <v>133</v>
      </c>
      <c r="AN31" s="141">
        <f t="shared" si="8"/>
        <v>3</v>
      </c>
      <c r="AO31" s="189">
        <f t="shared" si="8"/>
        <v>1</v>
      </c>
      <c r="AP31" s="190">
        <f t="shared" si="8"/>
        <v>0</v>
      </c>
      <c r="AQ31" s="191">
        <f t="shared" si="1"/>
        <v>4</v>
      </c>
      <c r="AS31" s="195">
        <f t="shared" si="2"/>
        <v>0.75</v>
      </c>
      <c r="AT31" s="196">
        <f t="shared" si="3"/>
        <v>0.25</v>
      </c>
      <c r="AU31" s="197">
        <f t="shared" si="4"/>
        <v>0</v>
      </c>
      <c r="AW31" s="141">
        <f t="shared" si="5"/>
        <v>2</v>
      </c>
      <c r="AX31" s="189">
        <f t="shared" si="6"/>
        <v>1</v>
      </c>
      <c r="AY31" s="190">
        <f t="shared" si="7"/>
        <v>0</v>
      </c>
    </row>
    <row r="32" spans="1:51">
      <c r="A32" s="164">
        <v>139</v>
      </c>
      <c r="B32" s="164" t="s">
        <v>123</v>
      </c>
      <c r="C32" s="58" t="s">
        <v>366</v>
      </c>
      <c r="D32" s="164" t="s">
        <v>42</v>
      </c>
      <c r="E32" s="198" t="s">
        <v>42</v>
      </c>
      <c r="F32" s="202" t="s">
        <v>42</v>
      </c>
      <c r="G32" s="202" t="s">
        <v>400</v>
      </c>
      <c r="H32" s="202" t="s">
        <v>400</v>
      </c>
      <c r="I32" s="202" t="s">
        <v>349</v>
      </c>
      <c r="J32" s="199"/>
      <c r="K32" s="199"/>
      <c r="L32" s="200"/>
      <c r="M32" s="198"/>
      <c r="N32" s="199"/>
      <c r="O32" s="199"/>
      <c r="P32" s="199" t="s">
        <v>400</v>
      </c>
      <c r="Q32" s="199"/>
      <c r="R32" s="199"/>
      <c r="S32" s="199" t="s">
        <v>42</v>
      </c>
      <c r="T32" s="200" t="s">
        <v>42</v>
      </c>
      <c r="U32" s="198"/>
      <c r="V32" s="199"/>
      <c r="W32" s="199" t="s">
        <v>400</v>
      </c>
      <c r="X32" s="202" t="s">
        <v>349</v>
      </c>
      <c r="Y32" s="199"/>
      <c r="Z32" s="199"/>
      <c r="AA32" s="199"/>
      <c r="AB32" s="200"/>
      <c r="AC32" s="198"/>
      <c r="AD32" s="199"/>
      <c r="AE32" s="199"/>
      <c r="AF32" s="199"/>
      <c r="AG32" s="199" t="s">
        <v>349</v>
      </c>
      <c r="AH32" s="199" t="s">
        <v>400</v>
      </c>
      <c r="AI32" s="199"/>
      <c r="AJ32" s="200"/>
      <c r="AK32" s="164">
        <v>139</v>
      </c>
      <c r="AN32" s="141">
        <f t="shared" si="8"/>
        <v>3</v>
      </c>
      <c r="AO32" s="189">
        <f t="shared" si="8"/>
        <v>4</v>
      </c>
      <c r="AP32" s="190">
        <f t="shared" si="8"/>
        <v>25</v>
      </c>
      <c r="AQ32" s="191">
        <f t="shared" si="1"/>
        <v>32</v>
      </c>
      <c r="AS32" s="195">
        <f t="shared" si="2"/>
        <v>9.375E-2</v>
      </c>
      <c r="AT32" s="196">
        <f t="shared" si="3"/>
        <v>0.125</v>
      </c>
      <c r="AU32" s="197">
        <f t="shared" si="4"/>
        <v>0.78125</v>
      </c>
      <c r="AW32" s="141">
        <f t="shared" si="5"/>
        <v>3</v>
      </c>
      <c r="AX32" s="189">
        <f t="shared" si="6"/>
        <v>4</v>
      </c>
      <c r="AY32" s="190">
        <f t="shared" si="7"/>
        <v>5</v>
      </c>
    </row>
    <row r="33" spans="1:51">
      <c r="A33" s="164">
        <v>141</v>
      </c>
      <c r="B33" s="58" t="s">
        <v>65</v>
      </c>
      <c r="C33" s="58" t="s">
        <v>12</v>
      </c>
      <c r="D33" s="58" t="s">
        <v>6</v>
      </c>
      <c r="E33" s="198" t="s">
        <v>42</v>
      </c>
      <c r="F33" s="199"/>
      <c r="G33" s="199"/>
      <c r="H33" s="199"/>
      <c r="I33" s="199"/>
      <c r="J33" s="199"/>
      <c r="K33" s="199"/>
      <c r="L33" s="200"/>
      <c r="M33" s="198"/>
      <c r="N33" s="199"/>
      <c r="O33" s="199"/>
      <c r="P33" s="199"/>
      <c r="Q33" s="199"/>
      <c r="R33" s="199"/>
      <c r="S33" s="199"/>
      <c r="T33" s="200"/>
      <c r="U33" s="198"/>
      <c r="V33" s="199"/>
      <c r="W33" s="199"/>
      <c r="X33" s="199"/>
      <c r="Y33" s="199"/>
      <c r="Z33" s="199"/>
      <c r="AA33" s="199"/>
      <c r="AB33" s="200"/>
      <c r="AC33" s="198"/>
      <c r="AD33" s="199"/>
      <c r="AE33" s="199"/>
      <c r="AF33" s="199"/>
      <c r="AG33" s="199"/>
      <c r="AH33" s="199"/>
      <c r="AI33" s="199"/>
      <c r="AJ33" s="200"/>
      <c r="AK33" s="164">
        <v>141</v>
      </c>
      <c r="AN33" s="141">
        <f t="shared" si="8"/>
        <v>0</v>
      </c>
      <c r="AO33" s="189">
        <f t="shared" si="8"/>
        <v>1</v>
      </c>
      <c r="AP33" s="190">
        <f t="shared" si="8"/>
        <v>0</v>
      </c>
      <c r="AQ33" s="191">
        <f t="shared" si="1"/>
        <v>1</v>
      </c>
      <c r="AS33" s="195">
        <f t="shared" si="2"/>
        <v>0</v>
      </c>
      <c r="AT33" s="196">
        <f t="shared" si="3"/>
        <v>1</v>
      </c>
      <c r="AU33" s="197">
        <f t="shared" si="4"/>
        <v>0</v>
      </c>
      <c r="AW33" s="141">
        <f t="shared" si="5"/>
        <v>0</v>
      </c>
      <c r="AX33" s="189">
        <f t="shared" si="6"/>
        <v>1</v>
      </c>
      <c r="AY33" s="190">
        <f t="shared" si="7"/>
        <v>0</v>
      </c>
    </row>
    <row r="34" spans="1:51">
      <c r="A34" s="164">
        <v>142</v>
      </c>
      <c r="B34" s="164" t="s">
        <v>71</v>
      </c>
      <c r="C34" s="58" t="s">
        <v>366</v>
      </c>
      <c r="D34" s="164" t="s">
        <v>42</v>
      </c>
      <c r="E34" s="198"/>
      <c r="F34" s="199"/>
      <c r="G34" s="199"/>
      <c r="H34" s="199"/>
      <c r="I34" s="199" t="s">
        <v>349</v>
      </c>
      <c r="J34" s="199"/>
      <c r="K34" s="199"/>
      <c r="L34" s="200"/>
      <c r="M34" s="198"/>
      <c r="N34" s="199"/>
      <c r="O34" s="199"/>
      <c r="P34" s="199"/>
      <c r="Q34" s="199" t="s">
        <v>402</v>
      </c>
      <c r="R34" s="199" t="s">
        <v>400</v>
      </c>
      <c r="S34" s="199"/>
      <c r="T34" s="200"/>
      <c r="U34" s="198"/>
      <c r="V34" s="199"/>
      <c r="W34" s="199"/>
      <c r="X34" s="199"/>
      <c r="Y34" s="199"/>
      <c r="Z34" s="199"/>
      <c r="AA34" s="199"/>
      <c r="AB34" s="200"/>
      <c r="AC34" s="198"/>
      <c r="AD34" s="199"/>
      <c r="AE34" s="199"/>
      <c r="AF34" s="199"/>
      <c r="AG34" s="199" t="s">
        <v>400</v>
      </c>
      <c r="AH34" s="202" t="s">
        <v>400</v>
      </c>
      <c r="AI34" s="199" t="s">
        <v>42</v>
      </c>
      <c r="AJ34" s="200"/>
      <c r="AK34" s="164">
        <v>142</v>
      </c>
      <c r="AN34" s="141">
        <f t="shared" si="8"/>
        <v>1</v>
      </c>
      <c r="AO34" s="189">
        <f t="shared" si="8"/>
        <v>1</v>
      </c>
      <c r="AP34" s="190">
        <f t="shared" si="8"/>
        <v>19</v>
      </c>
      <c r="AQ34" s="191">
        <f t="shared" si="1"/>
        <v>21</v>
      </c>
      <c r="AS34" s="195">
        <f t="shared" si="2"/>
        <v>4.7619047619047616E-2</v>
      </c>
      <c r="AT34" s="196">
        <f t="shared" si="3"/>
        <v>4.7619047619047616E-2</v>
      </c>
      <c r="AU34" s="197">
        <f t="shared" si="4"/>
        <v>0.90476190476190477</v>
      </c>
      <c r="AW34" s="141">
        <f t="shared" si="5"/>
        <v>1</v>
      </c>
      <c r="AX34" s="189">
        <f t="shared" si="6"/>
        <v>1</v>
      </c>
      <c r="AY34" s="190">
        <f t="shared" si="7"/>
        <v>4</v>
      </c>
    </row>
    <row r="35" spans="1:51">
      <c r="A35" s="164">
        <v>143</v>
      </c>
      <c r="B35" s="164" t="s">
        <v>106</v>
      </c>
      <c r="C35" s="58" t="s">
        <v>349</v>
      </c>
      <c r="D35" s="164" t="s">
        <v>42</v>
      </c>
      <c r="E35" s="198"/>
      <c r="F35" s="199"/>
      <c r="G35" s="199"/>
      <c r="H35" s="199"/>
      <c r="I35" s="199"/>
      <c r="J35" s="199"/>
      <c r="K35" s="199"/>
      <c r="L35" s="200"/>
      <c r="M35" s="198"/>
      <c r="N35" s="199"/>
      <c r="O35" s="199"/>
      <c r="P35" s="199"/>
      <c r="Q35" s="199"/>
      <c r="R35" s="199"/>
      <c r="S35" s="199"/>
      <c r="T35" s="200"/>
      <c r="U35" s="198"/>
      <c r="V35" s="199"/>
      <c r="W35" s="199"/>
      <c r="X35" s="199"/>
      <c r="Y35" s="199"/>
      <c r="Z35" s="199" t="s">
        <v>407</v>
      </c>
      <c r="AA35" s="199" t="s">
        <v>407</v>
      </c>
      <c r="AB35" s="200"/>
      <c r="AC35" s="198"/>
      <c r="AD35" s="199"/>
      <c r="AE35" s="199" t="s">
        <v>42</v>
      </c>
      <c r="AF35" s="199"/>
      <c r="AG35" s="199"/>
      <c r="AH35" s="199"/>
      <c r="AI35" s="199"/>
      <c r="AJ35" s="200"/>
      <c r="AK35" s="164">
        <v>143</v>
      </c>
      <c r="AN35" s="141">
        <f t="shared" si="8"/>
        <v>0</v>
      </c>
      <c r="AO35" s="189">
        <f t="shared" si="8"/>
        <v>5</v>
      </c>
      <c r="AP35" s="190">
        <f t="shared" si="8"/>
        <v>0</v>
      </c>
      <c r="AQ35" s="191">
        <f t="shared" si="1"/>
        <v>5</v>
      </c>
      <c r="AS35" s="195">
        <f t="shared" si="2"/>
        <v>0</v>
      </c>
      <c r="AT35" s="196">
        <f t="shared" si="3"/>
        <v>1</v>
      </c>
      <c r="AU35" s="197">
        <f t="shared" si="4"/>
        <v>0</v>
      </c>
      <c r="AW35" s="141">
        <f t="shared" si="5"/>
        <v>0</v>
      </c>
      <c r="AX35" s="189">
        <f t="shared" si="6"/>
        <v>3</v>
      </c>
      <c r="AY35" s="190">
        <f t="shared" si="7"/>
        <v>0</v>
      </c>
    </row>
    <row r="36" spans="1:51">
      <c r="A36" s="164">
        <v>148</v>
      </c>
      <c r="B36" s="164" t="s">
        <v>68</v>
      </c>
      <c r="C36" s="58" t="s">
        <v>357</v>
      </c>
      <c r="D36" s="164" t="s">
        <v>15</v>
      </c>
      <c r="E36" s="198"/>
      <c r="F36" s="199"/>
      <c r="G36" s="199"/>
      <c r="H36" s="199"/>
      <c r="I36" s="199" t="s">
        <v>42</v>
      </c>
      <c r="J36" s="199"/>
      <c r="K36" s="199"/>
      <c r="L36" s="200"/>
      <c r="M36" s="198"/>
      <c r="N36" s="199"/>
      <c r="O36" s="199"/>
      <c r="P36" s="199" t="s">
        <v>400</v>
      </c>
      <c r="Q36" s="199" t="s">
        <v>407</v>
      </c>
      <c r="R36" s="199"/>
      <c r="S36" s="199"/>
      <c r="T36" s="200"/>
      <c r="U36" s="198"/>
      <c r="V36" s="199"/>
      <c r="W36" s="199"/>
      <c r="X36" s="199"/>
      <c r="Y36" s="199"/>
      <c r="Z36" s="199"/>
      <c r="AA36" s="199"/>
      <c r="AB36" s="200"/>
      <c r="AC36" s="198"/>
      <c r="AD36" s="199"/>
      <c r="AE36" s="199"/>
      <c r="AF36" s="199"/>
      <c r="AG36" s="199"/>
      <c r="AH36" s="199"/>
      <c r="AI36" s="199"/>
      <c r="AJ36" s="200"/>
      <c r="AK36" s="164">
        <v>148</v>
      </c>
      <c r="AN36" s="141">
        <f t="shared" ref="AN36:AP99" si="9">LEN(CONCATENATE($E36,$F36,$G36,$H36,$I36,$J36,$K36,$L36,$M36,$N36,$O36,$P36,$Q36,$R36,$S36,$T36,$U36,$V36,$W36,$X36,$Y36,$Z36,$AA36,$AB36,$AC36,$AD36,$AE36,$AF36,$AG36,$AH36,$AI36,$AJ36))-LEN(SUBSTITUTE(CONCATENATE($E36,$F36,$G36,$H36,$I36,$J36,$K36,$L36,$M36,$N36,$O36,$P36,$Q36,$R36,$S36,$T36,$U36,$V36,$W36,$X36,$Y36,$Z36,$AA36,$AB36,$AC36,$AD36,$AE36,$AF36,$AG36,$AH36,$AI36,$AJ36),AN$3,""))</f>
        <v>0</v>
      </c>
      <c r="AO36" s="189">
        <f t="shared" si="9"/>
        <v>3</v>
      </c>
      <c r="AP36" s="190">
        <f t="shared" si="9"/>
        <v>5</v>
      </c>
      <c r="AQ36" s="191">
        <f t="shared" si="1"/>
        <v>8</v>
      </c>
      <c r="AS36" s="195">
        <f t="shared" si="2"/>
        <v>0</v>
      </c>
      <c r="AT36" s="196">
        <f t="shared" si="3"/>
        <v>0.375</v>
      </c>
      <c r="AU36" s="197">
        <f t="shared" si="4"/>
        <v>0.625</v>
      </c>
      <c r="AW36" s="141">
        <f t="shared" si="5"/>
        <v>0</v>
      </c>
      <c r="AX36" s="189">
        <f t="shared" si="6"/>
        <v>2</v>
      </c>
      <c r="AY36" s="190">
        <f t="shared" si="7"/>
        <v>1</v>
      </c>
    </row>
    <row r="37" spans="1:51">
      <c r="A37" s="164">
        <v>151</v>
      </c>
      <c r="B37" s="164" t="s">
        <v>130</v>
      </c>
      <c r="C37" s="58" t="s">
        <v>357</v>
      </c>
      <c r="E37" s="198"/>
      <c r="F37" s="199"/>
      <c r="G37" s="199"/>
      <c r="H37" s="199"/>
      <c r="I37" s="199"/>
      <c r="J37" s="199"/>
      <c r="K37" s="199"/>
      <c r="L37" s="200"/>
      <c r="M37" s="198"/>
      <c r="N37" s="199"/>
      <c r="O37" s="199"/>
      <c r="P37" s="199"/>
      <c r="Q37" s="199"/>
      <c r="R37" s="199"/>
      <c r="S37" s="199"/>
      <c r="T37" s="200"/>
      <c r="U37" s="198"/>
      <c r="V37" s="199"/>
      <c r="W37" s="199"/>
      <c r="X37" s="199"/>
      <c r="Y37" s="199"/>
      <c r="Z37" s="199"/>
      <c r="AA37" s="199"/>
      <c r="AB37" s="200"/>
      <c r="AC37" s="198"/>
      <c r="AD37" s="199"/>
      <c r="AE37" s="199"/>
      <c r="AF37" s="199"/>
      <c r="AG37" s="199"/>
      <c r="AH37" s="199"/>
      <c r="AI37" s="199" t="s">
        <v>42</v>
      </c>
      <c r="AJ37" s="200"/>
      <c r="AK37" s="164">
        <v>151</v>
      </c>
      <c r="AN37" s="141">
        <f t="shared" si="9"/>
        <v>0</v>
      </c>
      <c r="AO37" s="189">
        <f t="shared" si="9"/>
        <v>1</v>
      </c>
      <c r="AP37" s="190">
        <f t="shared" si="9"/>
        <v>0</v>
      </c>
      <c r="AQ37" s="191">
        <f t="shared" si="1"/>
        <v>1</v>
      </c>
      <c r="AS37" s="195">
        <f t="shared" si="2"/>
        <v>0</v>
      </c>
      <c r="AT37" s="196">
        <f t="shared" si="3"/>
        <v>1</v>
      </c>
      <c r="AU37" s="197">
        <f t="shared" si="4"/>
        <v>0</v>
      </c>
      <c r="AW37" s="141">
        <f t="shared" si="5"/>
        <v>0</v>
      </c>
      <c r="AX37" s="189">
        <f t="shared" si="6"/>
        <v>1</v>
      </c>
      <c r="AY37" s="190">
        <f t="shared" si="7"/>
        <v>0</v>
      </c>
    </row>
    <row r="38" spans="1:51">
      <c r="A38" s="164">
        <v>163</v>
      </c>
      <c r="B38" s="164" t="s">
        <v>62</v>
      </c>
      <c r="C38" s="58" t="s">
        <v>42</v>
      </c>
      <c r="D38" s="164" t="s">
        <v>42</v>
      </c>
      <c r="E38" s="198"/>
      <c r="F38" s="199"/>
      <c r="G38" s="199"/>
      <c r="H38" s="199" t="s">
        <v>349</v>
      </c>
      <c r="I38" s="199"/>
      <c r="J38" s="199"/>
      <c r="K38" s="199"/>
      <c r="L38" s="200"/>
      <c r="M38" s="198"/>
      <c r="N38" s="199"/>
      <c r="O38" s="199"/>
      <c r="P38" s="199"/>
      <c r="Q38" s="199"/>
      <c r="R38" s="199"/>
      <c r="S38" s="199"/>
      <c r="T38" s="200"/>
      <c r="U38" s="198"/>
      <c r="V38" s="199"/>
      <c r="W38" s="199" t="s">
        <v>399</v>
      </c>
      <c r="X38" s="199"/>
      <c r="Y38" s="199"/>
      <c r="Z38" s="199"/>
      <c r="AA38" s="199"/>
      <c r="AB38" s="200"/>
      <c r="AC38" s="198"/>
      <c r="AD38" s="199"/>
      <c r="AE38" s="199"/>
      <c r="AF38" s="199"/>
      <c r="AG38" s="199" t="s">
        <v>349</v>
      </c>
      <c r="AH38" s="199" t="s">
        <v>407</v>
      </c>
      <c r="AI38" s="199"/>
      <c r="AJ38" s="200"/>
      <c r="AK38" s="164">
        <v>163</v>
      </c>
      <c r="AN38" s="141">
        <f t="shared" si="9"/>
        <v>2</v>
      </c>
      <c r="AO38" s="189">
        <f t="shared" si="9"/>
        <v>2</v>
      </c>
      <c r="AP38" s="190">
        <f t="shared" si="9"/>
        <v>1</v>
      </c>
      <c r="AQ38" s="191">
        <f t="shared" si="1"/>
        <v>5</v>
      </c>
      <c r="AS38" s="195">
        <f t="shared" si="2"/>
        <v>0.4</v>
      </c>
      <c r="AT38" s="196">
        <f t="shared" si="3"/>
        <v>0.4</v>
      </c>
      <c r="AU38" s="197">
        <f t="shared" si="4"/>
        <v>0.2</v>
      </c>
      <c r="AW38" s="141">
        <f t="shared" si="5"/>
        <v>2</v>
      </c>
      <c r="AX38" s="189">
        <f t="shared" si="6"/>
        <v>1</v>
      </c>
      <c r="AY38" s="190">
        <f t="shared" si="7"/>
        <v>1</v>
      </c>
    </row>
    <row r="39" spans="1:51">
      <c r="A39" s="164">
        <v>166</v>
      </c>
      <c r="B39" s="164" t="s">
        <v>136</v>
      </c>
      <c r="C39" s="58" t="s">
        <v>12</v>
      </c>
      <c r="D39" s="164" t="s">
        <v>6</v>
      </c>
      <c r="E39" s="198"/>
      <c r="F39" s="199"/>
      <c r="G39" s="199"/>
      <c r="H39" s="199"/>
      <c r="I39" s="199"/>
      <c r="J39" s="199"/>
      <c r="K39" s="199"/>
      <c r="L39" s="200"/>
      <c r="M39" s="198"/>
      <c r="N39" s="199"/>
      <c r="O39" s="199"/>
      <c r="P39" s="199"/>
      <c r="Q39" s="199"/>
      <c r="R39" s="199" t="s">
        <v>349</v>
      </c>
      <c r="S39" s="199"/>
      <c r="T39" s="200"/>
      <c r="U39" s="198"/>
      <c r="V39" s="199"/>
      <c r="W39" s="199"/>
      <c r="X39" s="199"/>
      <c r="Y39" s="199"/>
      <c r="Z39" s="199"/>
      <c r="AA39" s="199"/>
      <c r="AB39" s="200"/>
      <c r="AC39" s="198"/>
      <c r="AD39" s="199"/>
      <c r="AE39" s="199"/>
      <c r="AF39" s="199"/>
      <c r="AG39" s="199"/>
      <c r="AH39" s="199" t="s">
        <v>400</v>
      </c>
      <c r="AI39" s="199" t="s">
        <v>349</v>
      </c>
      <c r="AJ39" s="200"/>
      <c r="AK39" s="164">
        <v>166</v>
      </c>
      <c r="AN39" s="141">
        <f t="shared" si="9"/>
        <v>2</v>
      </c>
      <c r="AO39" s="189">
        <f t="shared" si="9"/>
        <v>0</v>
      </c>
      <c r="AP39" s="190">
        <f t="shared" si="9"/>
        <v>5</v>
      </c>
      <c r="AQ39" s="191">
        <f t="shared" si="1"/>
        <v>7</v>
      </c>
      <c r="AS39" s="195">
        <f t="shared" si="2"/>
        <v>0.2857142857142857</v>
      </c>
      <c r="AT39" s="196">
        <f t="shared" si="3"/>
        <v>0</v>
      </c>
      <c r="AU39" s="197">
        <f t="shared" si="4"/>
        <v>0.7142857142857143</v>
      </c>
      <c r="AW39" s="141">
        <f t="shared" si="5"/>
        <v>2</v>
      </c>
      <c r="AX39" s="189">
        <f t="shared" si="6"/>
        <v>0</v>
      </c>
      <c r="AY39" s="190">
        <f t="shared" si="7"/>
        <v>1</v>
      </c>
    </row>
    <row r="40" spans="1:51">
      <c r="A40" s="164">
        <v>170</v>
      </c>
      <c r="B40" s="164" t="s">
        <v>5</v>
      </c>
      <c r="C40" s="58" t="s">
        <v>42</v>
      </c>
      <c r="D40" s="164" t="s">
        <v>6</v>
      </c>
      <c r="E40" s="198"/>
      <c r="F40" s="202" t="s">
        <v>349</v>
      </c>
      <c r="G40" s="199"/>
      <c r="H40" s="199"/>
      <c r="I40" s="199"/>
      <c r="J40" s="199"/>
      <c r="K40" s="199"/>
      <c r="L40" s="200"/>
      <c r="M40" s="198"/>
      <c r="N40" s="199"/>
      <c r="O40" s="199"/>
      <c r="P40" s="199"/>
      <c r="Q40" s="199"/>
      <c r="R40" s="199"/>
      <c r="S40" s="199" t="s">
        <v>349</v>
      </c>
      <c r="T40" s="200"/>
      <c r="U40" s="198"/>
      <c r="V40" s="199"/>
      <c r="W40" s="199"/>
      <c r="X40" s="199"/>
      <c r="Y40" s="199"/>
      <c r="Z40" s="199"/>
      <c r="AA40" s="199"/>
      <c r="AB40" s="200"/>
      <c r="AC40" s="198"/>
      <c r="AD40" s="199"/>
      <c r="AE40" s="199"/>
      <c r="AF40" s="199"/>
      <c r="AG40" s="199" t="s">
        <v>349</v>
      </c>
      <c r="AH40" s="199"/>
      <c r="AI40" s="199" t="s">
        <v>401</v>
      </c>
      <c r="AJ40" s="200" t="s">
        <v>349</v>
      </c>
      <c r="AK40" s="164">
        <v>170</v>
      </c>
      <c r="AN40" s="141">
        <f t="shared" si="9"/>
        <v>6</v>
      </c>
      <c r="AO40" s="189">
        <f t="shared" si="9"/>
        <v>0</v>
      </c>
      <c r="AP40" s="190">
        <f t="shared" si="9"/>
        <v>0</v>
      </c>
      <c r="AQ40" s="191">
        <f t="shared" si="1"/>
        <v>6</v>
      </c>
      <c r="AS40" s="195">
        <f t="shared" si="2"/>
        <v>1</v>
      </c>
      <c r="AT40" s="196">
        <f t="shared" si="3"/>
        <v>0</v>
      </c>
      <c r="AU40" s="197">
        <f t="shared" si="4"/>
        <v>0</v>
      </c>
      <c r="AW40" s="141">
        <f t="shared" si="5"/>
        <v>5</v>
      </c>
      <c r="AX40" s="189">
        <f t="shared" si="6"/>
        <v>0</v>
      </c>
      <c r="AY40" s="190">
        <f t="shared" si="7"/>
        <v>0</v>
      </c>
    </row>
    <row r="41" spans="1:51">
      <c r="A41" s="58">
        <v>171</v>
      </c>
      <c r="B41" s="58" t="s">
        <v>58</v>
      </c>
      <c r="C41" s="58" t="s">
        <v>358</v>
      </c>
      <c r="D41" s="58" t="s">
        <v>6</v>
      </c>
      <c r="E41" s="198"/>
      <c r="F41" s="199"/>
      <c r="G41" s="199"/>
      <c r="H41" s="199"/>
      <c r="I41" s="199"/>
      <c r="J41" s="199"/>
      <c r="K41" s="199"/>
      <c r="L41" s="200"/>
      <c r="M41" s="198"/>
      <c r="N41" s="199"/>
      <c r="O41" s="199"/>
      <c r="P41" s="199" t="s">
        <v>349</v>
      </c>
      <c r="Q41" s="199"/>
      <c r="R41" s="199"/>
      <c r="S41" s="199" t="s">
        <v>399</v>
      </c>
      <c r="T41" s="200"/>
      <c r="U41" s="198"/>
      <c r="V41" s="199"/>
      <c r="W41" s="199"/>
      <c r="X41" s="199"/>
      <c r="Y41" s="199"/>
      <c r="Z41" s="199"/>
      <c r="AA41" s="199"/>
      <c r="AB41" s="200"/>
      <c r="AC41" s="198"/>
      <c r="AD41" s="199"/>
      <c r="AE41" s="199"/>
      <c r="AF41" s="199"/>
      <c r="AG41" s="199"/>
      <c r="AH41" s="199"/>
      <c r="AI41" s="199"/>
      <c r="AJ41" s="200"/>
      <c r="AK41" s="58">
        <v>171</v>
      </c>
      <c r="AN41" s="141">
        <f t="shared" si="9"/>
        <v>1</v>
      </c>
      <c r="AO41" s="189">
        <f t="shared" si="9"/>
        <v>0</v>
      </c>
      <c r="AP41" s="190">
        <f t="shared" si="9"/>
        <v>1</v>
      </c>
      <c r="AQ41" s="191">
        <f t="shared" si="1"/>
        <v>2</v>
      </c>
      <c r="AS41" s="195">
        <f t="shared" si="2"/>
        <v>0.5</v>
      </c>
      <c r="AT41" s="196">
        <f t="shared" si="3"/>
        <v>0</v>
      </c>
      <c r="AU41" s="197">
        <f t="shared" si="4"/>
        <v>0.5</v>
      </c>
      <c r="AW41" s="141">
        <f t="shared" si="5"/>
        <v>1</v>
      </c>
      <c r="AX41" s="189">
        <f t="shared" si="6"/>
        <v>0</v>
      </c>
      <c r="AY41" s="190">
        <f t="shared" si="7"/>
        <v>1</v>
      </c>
    </row>
    <row r="42" spans="1:51">
      <c r="A42" s="164">
        <v>176</v>
      </c>
      <c r="B42" s="164" t="s">
        <v>44</v>
      </c>
      <c r="C42" s="58" t="s">
        <v>349</v>
      </c>
      <c r="D42" s="164" t="s">
        <v>42</v>
      </c>
      <c r="E42" s="198"/>
      <c r="F42" s="199"/>
      <c r="G42" s="199"/>
      <c r="H42" s="199"/>
      <c r="I42" s="199"/>
      <c r="J42" s="199"/>
      <c r="K42" s="199"/>
      <c r="L42" s="200"/>
      <c r="M42" s="198"/>
      <c r="N42" s="199"/>
      <c r="O42" s="199"/>
      <c r="P42" s="199"/>
      <c r="Q42" s="199"/>
      <c r="R42" s="199"/>
      <c r="S42" s="199"/>
      <c r="T42" s="200"/>
      <c r="U42" s="198" t="s">
        <v>400</v>
      </c>
      <c r="V42" s="199"/>
      <c r="W42" s="199"/>
      <c r="X42" s="199"/>
      <c r="Y42" s="199" t="s">
        <v>349</v>
      </c>
      <c r="Z42" s="199"/>
      <c r="AA42" s="199"/>
      <c r="AB42" s="200"/>
      <c r="AC42" s="198"/>
      <c r="AD42" s="199"/>
      <c r="AE42" s="199"/>
      <c r="AF42" s="199"/>
      <c r="AG42" s="199"/>
      <c r="AH42" s="199"/>
      <c r="AI42" s="199"/>
      <c r="AJ42" s="200"/>
      <c r="AK42" s="164">
        <v>176</v>
      </c>
      <c r="AN42" s="141">
        <f t="shared" si="9"/>
        <v>1</v>
      </c>
      <c r="AO42" s="189">
        <f t="shared" si="9"/>
        <v>0</v>
      </c>
      <c r="AP42" s="190">
        <f t="shared" si="9"/>
        <v>5</v>
      </c>
      <c r="AQ42" s="191">
        <f t="shared" si="1"/>
        <v>6</v>
      </c>
      <c r="AS42" s="195">
        <f t="shared" si="2"/>
        <v>0.16666666666666666</v>
      </c>
      <c r="AT42" s="196">
        <f t="shared" si="3"/>
        <v>0</v>
      </c>
      <c r="AU42" s="197">
        <f t="shared" si="4"/>
        <v>0.83333333333333337</v>
      </c>
      <c r="AW42" s="141">
        <f t="shared" si="5"/>
        <v>1</v>
      </c>
      <c r="AX42" s="189">
        <f t="shared" si="6"/>
        <v>0</v>
      </c>
      <c r="AY42" s="190">
        <f t="shared" si="7"/>
        <v>1</v>
      </c>
    </row>
    <row r="43" spans="1:51">
      <c r="A43" s="164">
        <v>178</v>
      </c>
      <c r="B43" s="164" t="s">
        <v>5</v>
      </c>
      <c r="C43" s="58" t="s">
        <v>42</v>
      </c>
      <c r="D43" s="164" t="s">
        <v>6</v>
      </c>
      <c r="E43" s="198"/>
      <c r="F43" s="202" t="s">
        <v>349</v>
      </c>
      <c r="G43" s="199"/>
      <c r="H43" s="199"/>
      <c r="I43" s="199"/>
      <c r="J43" s="199"/>
      <c r="K43" s="199"/>
      <c r="L43" s="200"/>
      <c r="M43" s="198"/>
      <c r="N43" s="199"/>
      <c r="O43" s="199"/>
      <c r="P43" s="199"/>
      <c r="Q43" s="199" t="s">
        <v>400</v>
      </c>
      <c r="R43" s="199"/>
      <c r="S43" s="199"/>
      <c r="T43" s="200"/>
      <c r="U43" s="198"/>
      <c r="V43" s="199"/>
      <c r="W43" s="199" t="s">
        <v>400</v>
      </c>
      <c r="X43" s="199"/>
      <c r="Y43" s="199"/>
      <c r="Z43" s="199"/>
      <c r="AA43" s="199"/>
      <c r="AB43" s="200"/>
      <c r="AC43" s="198"/>
      <c r="AD43" s="199"/>
      <c r="AE43" s="199"/>
      <c r="AF43" s="199"/>
      <c r="AG43" s="199"/>
      <c r="AH43" s="199"/>
      <c r="AI43" s="199"/>
      <c r="AJ43" s="200"/>
      <c r="AK43" s="164">
        <v>178</v>
      </c>
      <c r="AN43" s="141">
        <f t="shared" si="9"/>
        <v>1</v>
      </c>
      <c r="AO43" s="189">
        <f t="shared" si="9"/>
        <v>0</v>
      </c>
      <c r="AP43" s="190">
        <f t="shared" si="9"/>
        <v>10</v>
      </c>
      <c r="AQ43" s="191">
        <f t="shared" si="1"/>
        <v>11</v>
      </c>
      <c r="AS43" s="195">
        <f t="shared" si="2"/>
        <v>9.0909090909090912E-2</v>
      </c>
      <c r="AT43" s="196">
        <f t="shared" si="3"/>
        <v>0</v>
      </c>
      <c r="AU43" s="197">
        <f t="shared" si="4"/>
        <v>0.90909090909090906</v>
      </c>
      <c r="AW43" s="141">
        <f t="shared" si="5"/>
        <v>1</v>
      </c>
      <c r="AX43" s="189">
        <f t="shared" si="6"/>
        <v>0</v>
      </c>
      <c r="AY43" s="190">
        <f t="shared" si="7"/>
        <v>2</v>
      </c>
    </row>
    <row r="44" spans="1:51">
      <c r="A44" s="58">
        <v>179</v>
      </c>
      <c r="B44" s="58" t="s">
        <v>48</v>
      </c>
      <c r="C44" s="58" t="s">
        <v>357</v>
      </c>
      <c r="D44" s="58"/>
      <c r="E44" s="198"/>
      <c r="F44" s="199"/>
      <c r="G44" s="199"/>
      <c r="H44" s="199"/>
      <c r="I44" s="199"/>
      <c r="J44" s="199"/>
      <c r="K44" s="199"/>
      <c r="L44" s="200"/>
      <c r="M44" s="198"/>
      <c r="N44" s="199"/>
      <c r="O44" s="199"/>
      <c r="P44" s="199"/>
      <c r="Q44" s="199" t="s">
        <v>42</v>
      </c>
      <c r="R44" s="199"/>
      <c r="S44" s="199"/>
      <c r="T44" s="200"/>
      <c r="U44" s="198"/>
      <c r="V44" s="199"/>
      <c r="W44" s="199"/>
      <c r="X44" s="199"/>
      <c r="Y44" s="199"/>
      <c r="Z44" s="199"/>
      <c r="AA44" s="199"/>
      <c r="AB44" s="200"/>
      <c r="AC44" s="198"/>
      <c r="AD44" s="199"/>
      <c r="AE44" s="199"/>
      <c r="AF44" s="199"/>
      <c r="AG44" s="199" t="s">
        <v>407</v>
      </c>
      <c r="AH44" s="199"/>
      <c r="AI44" s="199"/>
      <c r="AJ44" s="200"/>
      <c r="AK44" s="58">
        <v>179</v>
      </c>
      <c r="AN44" s="141">
        <f t="shared" si="9"/>
        <v>0</v>
      </c>
      <c r="AO44" s="189">
        <f t="shared" si="9"/>
        <v>3</v>
      </c>
      <c r="AP44" s="190">
        <f t="shared" si="9"/>
        <v>0</v>
      </c>
      <c r="AQ44" s="191">
        <f t="shared" si="1"/>
        <v>3</v>
      </c>
      <c r="AS44" s="195">
        <f t="shared" si="2"/>
        <v>0</v>
      </c>
      <c r="AT44" s="196">
        <f t="shared" si="3"/>
        <v>1</v>
      </c>
      <c r="AU44" s="197">
        <f t="shared" si="4"/>
        <v>0</v>
      </c>
      <c r="AW44" s="141">
        <f t="shared" si="5"/>
        <v>0</v>
      </c>
      <c r="AX44" s="189">
        <f t="shared" si="6"/>
        <v>2</v>
      </c>
      <c r="AY44" s="190">
        <f t="shared" si="7"/>
        <v>0</v>
      </c>
    </row>
    <row r="45" spans="1:51">
      <c r="A45" s="164">
        <v>181</v>
      </c>
      <c r="B45" s="164" t="s">
        <v>145</v>
      </c>
      <c r="C45" s="58" t="s">
        <v>357</v>
      </c>
      <c r="D45" s="164" t="s">
        <v>15</v>
      </c>
      <c r="E45" s="198"/>
      <c r="F45" s="199"/>
      <c r="G45" s="202" t="s">
        <v>400</v>
      </c>
      <c r="H45" s="199"/>
      <c r="I45" s="199"/>
      <c r="J45" s="199"/>
      <c r="K45" s="199"/>
      <c r="L45" s="200"/>
      <c r="M45" s="198"/>
      <c r="N45" s="199"/>
      <c r="O45" s="199"/>
      <c r="P45" s="199"/>
      <c r="Q45" s="199"/>
      <c r="R45" s="199"/>
      <c r="S45" s="199"/>
      <c r="T45" s="200"/>
      <c r="U45" s="198"/>
      <c r="V45" s="199"/>
      <c r="W45" s="199" t="s">
        <v>400</v>
      </c>
      <c r="X45" s="199"/>
      <c r="Y45" s="199"/>
      <c r="Z45" s="199"/>
      <c r="AA45" s="199"/>
      <c r="AB45" s="200"/>
      <c r="AC45" s="198"/>
      <c r="AD45" s="199"/>
      <c r="AE45" s="199"/>
      <c r="AF45" s="199"/>
      <c r="AG45" s="199"/>
      <c r="AH45" s="199"/>
      <c r="AI45" s="199" t="s">
        <v>349</v>
      </c>
      <c r="AJ45" s="200"/>
      <c r="AK45" s="164">
        <v>181</v>
      </c>
      <c r="AN45" s="141">
        <f t="shared" si="9"/>
        <v>1</v>
      </c>
      <c r="AO45" s="189">
        <f t="shared" si="9"/>
        <v>0</v>
      </c>
      <c r="AP45" s="190">
        <f t="shared" si="9"/>
        <v>10</v>
      </c>
      <c r="AQ45" s="191">
        <f t="shared" si="1"/>
        <v>11</v>
      </c>
      <c r="AS45" s="195">
        <f t="shared" si="2"/>
        <v>9.0909090909090912E-2</v>
      </c>
      <c r="AT45" s="196">
        <f t="shared" si="3"/>
        <v>0</v>
      </c>
      <c r="AU45" s="197">
        <f t="shared" si="4"/>
        <v>0.90909090909090906</v>
      </c>
      <c r="AW45" s="141">
        <f t="shared" si="5"/>
        <v>1</v>
      </c>
      <c r="AX45" s="189">
        <f t="shared" si="6"/>
        <v>0</v>
      </c>
      <c r="AY45" s="190">
        <f t="shared" si="7"/>
        <v>2</v>
      </c>
    </row>
    <row r="46" spans="1:51">
      <c r="A46" s="164">
        <v>185</v>
      </c>
      <c r="B46" s="164" t="s">
        <v>5</v>
      </c>
      <c r="C46" s="58" t="s">
        <v>42</v>
      </c>
      <c r="D46" s="164" t="s">
        <v>42</v>
      </c>
      <c r="E46" s="198"/>
      <c r="F46" s="199"/>
      <c r="G46" s="199"/>
      <c r="H46" s="199"/>
      <c r="I46" s="199"/>
      <c r="J46" s="199"/>
      <c r="K46" s="199"/>
      <c r="L46" s="200"/>
      <c r="M46" s="198"/>
      <c r="N46" s="199"/>
      <c r="O46" s="199"/>
      <c r="P46" s="199"/>
      <c r="Q46" s="199"/>
      <c r="R46" s="199" t="s">
        <v>400</v>
      </c>
      <c r="S46" s="199"/>
      <c r="T46" s="200" t="s">
        <v>349</v>
      </c>
      <c r="U46" s="198"/>
      <c r="V46" s="199"/>
      <c r="W46" s="199"/>
      <c r="X46" s="199"/>
      <c r="Y46" s="199"/>
      <c r="Z46" s="199"/>
      <c r="AA46" s="199"/>
      <c r="AB46" s="200"/>
      <c r="AC46" s="198"/>
      <c r="AD46" s="199"/>
      <c r="AE46" s="199"/>
      <c r="AF46" s="199"/>
      <c r="AG46" s="199"/>
      <c r="AH46" s="199"/>
      <c r="AI46" s="199"/>
      <c r="AJ46" s="200"/>
      <c r="AK46" s="164">
        <v>185</v>
      </c>
      <c r="AN46" s="141">
        <f t="shared" si="9"/>
        <v>1</v>
      </c>
      <c r="AO46" s="189">
        <f t="shared" si="9"/>
        <v>0</v>
      </c>
      <c r="AP46" s="190">
        <f t="shared" si="9"/>
        <v>5</v>
      </c>
      <c r="AQ46" s="191">
        <f t="shared" si="1"/>
        <v>6</v>
      </c>
      <c r="AS46" s="195">
        <f t="shared" si="2"/>
        <v>0.16666666666666666</v>
      </c>
      <c r="AT46" s="196">
        <f t="shared" si="3"/>
        <v>0</v>
      </c>
      <c r="AU46" s="197">
        <f t="shared" si="4"/>
        <v>0.83333333333333337</v>
      </c>
      <c r="AW46" s="141">
        <f t="shared" si="5"/>
        <v>1</v>
      </c>
      <c r="AX46" s="189">
        <f t="shared" si="6"/>
        <v>0</v>
      </c>
      <c r="AY46" s="190">
        <f t="shared" si="7"/>
        <v>1</v>
      </c>
    </row>
    <row r="47" spans="1:51">
      <c r="A47" s="164">
        <v>187</v>
      </c>
      <c r="B47" s="164" t="s">
        <v>44</v>
      </c>
      <c r="C47" s="58" t="s">
        <v>349</v>
      </c>
      <c r="D47" s="164" t="s">
        <v>6</v>
      </c>
      <c r="E47" s="198" t="s">
        <v>349</v>
      </c>
      <c r="F47" s="202" t="s">
        <v>400</v>
      </c>
      <c r="G47" s="199"/>
      <c r="H47" s="199"/>
      <c r="I47" s="199"/>
      <c r="J47" s="199"/>
      <c r="K47" s="199"/>
      <c r="L47" s="200"/>
      <c r="M47" s="198"/>
      <c r="N47" s="199"/>
      <c r="O47" s="199"/>
      <c r="P47" s="199"/>
      <c r="Q47" s="199" t="s">
        <v>400</v>
      </c>
      <c r="R47" s="199" t="s">
        <v>42</v>
      </c>
      <c r="S47" s="199" t="s">
        <v>349</v>
      </c>
      <c r="T47" s="200" t="s">
        <v>349</v>
      </c>
      <c r="U47" s="198"/>
      <c r="V47" s="199"/>
      <c r="W47" s="199"/>
      <c r="X47" s="199"/>
      <c r="Y47" s="199"/>
      <c r="Z47" s="199" t="s">
        <v>349</v>
      </c>
      <c r="AA47" s="199"/>
      <c r="AB47" s="200"/>
      <c r="AC47" s="198"/>
      <c r="AD47" s="199"/>
      <c r="AE47" s="199"/>
      <c r="AF47" s="199" t="s">
        <v>349</v>
      </c>
      <c r="AG47" s="199" t="s">
        <v>349</v>
      </c>
      <c r="AH47" s="199"/>
      <c r="AI47" s="199"/>
      <c r="AJ47" s="200"/>
      <c r="AK47" s="164">
        <v>187</v>
      </c>
      <c r="AN47" s="141">
        <f t="shared" si="9"/>
        <v>6</v>
      </c>
      <c r="AO47" s="189">
        <f t="shared" si="9"/>
        <v>1</v>
      </c>
      <c r="AP47" s="190">
        <f t="shared" si="9"/>
        <v>10</v>
      </c>
      <c r="AQ47" s="191">
        <f t="shared" si="1"/>
        <v>17</v>
      </c>
      <c r="AS47" s="195">
        <f t="shared" si="2"/>
        <v>0.35294117647058826</v>
      </c>
      <c r="AT47" s="196">
        <f t="shared" si="3"/>
        <v>5.8823529411764705E-2</v>
      </c>
      <c r="AU47" s="197">
        <f t="shared" si="4"/>
        <v>0.58823529411764708</v>
      </c>
      <c r="AW47" s="141">
        <f t="shared" si="5"/>
        <v>6</v>
      </c>
      <c r="AX47" s="189">
        <f t="shared" si="6"/>
        <v>1</v>
      </c>
      <c r="AY47" s="190">
        <f t="shared" si="7"/>
        <v>2</v>
      </c>
    </row>
    <row r="48" spans="1:51">
      <c r="A48" s="164">
        <v>193</v>
      </c>
      <c r="B48" s="164" t="s">
        <v>123</v>
      </c>
      <c r="C48" s="58" t="s">
        <v>366</v>
      </c>
      <c r="D48" s="164" t="s">
        <v>6</v>
      </c>
      <c r="E48" s="198" t="s">
        <v>349</v>
      </c>
      <c r="F48" s="202" t="s">
        <v>400</v>
      </c>
      <c r="G48" s="202" t="s">
        <v>400</v>
      </c>
      <c r="H48" s="202" t="s">
        <v>400</v>
      </c>
      <c r="I48" s="199"/>
      <c r="J48" s="199"/>
      <c r="K48" s="199"/>
      <c r="L48" s="200"/>
      <c r="M48" s="198"/>
      <c r="N48" s="199"/>
      <c r="O48" s="199"/>
      <c r="P48" s="199" t="s">
        <v>400</v>
      </c>
      <c r="Q48" s="202" t="s">
        <v>401</v>
      </c>
      <c r="R48" s="199" t="s">
        <v>400</v>
      </c>
      <c r="S48" s="202" t="s">
        <v>405</v>
      </c>
      <c r="T48" s="200" t="s">
        <v>405</v>
      </c>
      <c r="U48" s="198" t="s">
        <v>400</v>
      </c>
      <c r="V48" s="202" t="s">
        <v>400</v>
      </c>
      <c r="W48" s="199"/>
      <c r="X48" s="202" t="s">
        <v>400</v>
      </c>
      <c r="Y48" s="202" t="s">
        <v>400</v>
      </c>
      <c r="Z48" s="199"/>
      <c r="AA48" s="199"/>
      <c r="AB48" s="200"/>
      <c r="AC48" s="198"/>
      <c r="AD48" s="199"/>
      <c r="AE48" s="199"/>
      <c r="AF48" s="199" t="s">
        <v>400</v>
      </c>
      <c r="AG48" s="199"/>
      <c r="AH48" s="199"/>
      <c r="AI48" s="199" t="s">
        <v>408</v>
      </c>
      <c r="AJ48" s="200"/>
      <c r="AK48" s="164">
        <v>193</v>
      </c>
      <c r="AN48" s="141">
        <f t="shared" si="9"/>
        <v>5</v>
      </c>
      <c r="AO48" s="189">
        <f t="shared" si="9"/>
        <v>2</v>
      </c>
      <c r="AP48" s="190">
        <f t="shared" si="9"/>
        <v>53</v>
      </c>
      <c r="AQ48" s="191">
        <f t="shared" si="1"/>
        <v>60</v>
      </c>
      <c r="AS48" s="195">
        <f t="shared" si="2"/>
        <v>8.3333333333333329E-2</v>
      </c>
      <c r="AT48" s="196">
        <f t="shared" si="3"/>
        <v>3.3333333333333333E-2</v>
      </c>
      <c r="AU48" s="197">
        <f t="shared" si="4"/>
        <v>0.8833333333333333</v>
      </c>
      <c r="AW48" s="141">
        <f t="shared" si="5"/>
        <v>4</v>
      </c>
      <c r="AX48" s="189">
        <f t="shared" si="6"/>
        <v>2</v>
      </c>
      <c r="AY48" s="190">
        <f t="shared" si="7"/>
        <v>11</v>
      </c>
    </row>
    <row r="49" spans="1:51">
      <c r="A49" s="164">
        <v>194</v>
      </c>
      <c r="B49" s="164" t="s">
        <v>62</v>
      </c>
      <c r="C49" s="58" t="s">
        <v>42</v>
      </c>
      <c r="D49" s="164" t="s">
        <v>42</v>
      </c>
      <c r="E49" s="198"/>
      <c r="F49" s="202" t="s">
        <v>349</v>
      </c>
      <c r="G49" s="202" t="s">
        <v>401</v>
      </c>
      <c r="H49" s="199"/>
      <c r="I49" s="199"/>
      <c r="J49" s="199"/>
      <c r="K49" s="199"/>
      <c r="L49" s="200"/>
      <c r="M49" s="198"/>
      <c r="N49" s="199"/>
      <c r="O49" s="199"/>
      <c r="P49" s="199"/>
      <c r="Q49" s="199"/>
      <c r="R49" s="202" t="s">
        <v>349</v>
      </c>
      <c r="S49" s="199" t="s">
        <v>409</v>
      </c>
      <c r="T49" s="200" t="s">
        <v>349</v>
      </c>
      <c r="U49" s="198" t="s">
        <v>42</v>
      </c>
      <c r="V49" s="202" t="s">
        <v>400</v>
      </c>
      <c r="W49" s="199"/>
      <c r="X49" s="199"/>
      <c r="Y49" s="199"/>
      <c r="Z49" s="199"/>
      <c r="AA49" s="199"/>
      <c r="AB49" s="200"/>
      <c r="AC49" s="198"/>
      <c r="AD49" s="199"/>
      <c r="AE49" s="199"/>
      <c r="AF49" s="199"/>
      <c r="AG49" s="199"/>
      <c r="AH49" s="199" t="s">
        <v>349</v>
      </c>
      <c r="AI49" s="199"/>
      <c r="AJ49" s="200"/>
      <c r="AK49" s="164">
        <v>194</v>
      </c>
      <c r="AN49" s="141">
        <f t="shared" si="9"/>
        <v>6</v>
      </c>
      <c r="AO49" s="189">
        <f t="shared" si="9"/>
        <v>4</v>
      </c>
      <c r="AP49" s="190">
        <f t="shared" si="9"/>
        <v>5</v>
      </c>
      <c r="AQ49" s="191">
        <f t="shared" si="1"/>
        <v>15</v>
      </c>
      <c r="AS49" s="195">
        <f t="shared" si="2"/>
        <v>0.4</v>
      </c>
      <c r="AT49" s="196">
        <f t="shared" si="3"/>
        <v>0.26666666666666666</v>
      </c>
      <c r="AU49" s="197">
        <f t="shared" si="4"/>
        <v>0.33333333333333331</v>
      </c>
      <c r="AW49" s="141">
        <f t="shared" si="5"/>
        <v>5</v>
      </c>
      <c r="AX49" s="189">
        <f t="shared" si="6"/>
        <v>2</v>
      </c>
      <c r="AY49" s="190">
        <f t="shared" si="7"/>
        <v>1</v>
      </c>
    </row>
    <row r="50" spans="1:51">
      <c r="A50" s="58">
        <v>213</v>
      </c>
      <c r="B50" s="58" t="s">
        <v>62</v>
      </c>
      <c r="C50" s="58" t="s">
        <v>42</v>
      </c>
      <c r="D50" s="58" t="s">
        <v>42</v>
      </c>
      <c r="E50" s="201" t="s">
        <v>404</v>
      </c>
      <c r="F50" s="202" t="s">
        <v>401</v>
      </c>
      <c r="G50" s="202" t="s">
        <v>42</v>
      </c>
      <c r="H50" s="202"/>
      <c r="I50" s="202"/>
      <c r="J50" s="202" t="s">
        <v>401</v>
      </c>
      <c r="K50" s="202" t="s">
        <v>401</v>
      </c>
      <c r="L50" s="203" t="s">
        <v>349</v>
      </c>
      <c r="M50" s="201"/>
      <c r="N50" s="202" t="s">
        <v>349</v>
      </c>
      <c r="O50" s="202" t="s">
        <v>401</v>
      </c>
      <c r="P50" s="202" t="s">
        <v>400</v>
      </c>
      <c r="Q50" s="202" t="s">
        <v>349</v>
      </c>
      <c r="R50" s="202" t="s">
        <v>400</v>
      </c>
      <c r="S50" s="202" t="s">
        <v>42</v>
      </c>
      <c r="T50" s="203" t="s">
        <v>349</v>
      </c>
      <c r="U50" s="201" t="s">
        <v>349</v>
      </c>
      <c r="V50" s="202"/>
      <c r="W50" s="202" t="s">
        <v>407</v>
      </c>
      <c r="X50" s="202"/>
      <c r="Y50" s="202"/>
      <c r="Z50" s="202" t="s">
        <v>349</v>
      </c>
      <c r="AA50" s="202"/>
      <c r="AB50" s="203"/>
      <c r="AC50" s="201"/>
      <c r="AD50" s="202"/>
      <c r="AE50" s="202"/>
      <c r="AF50" s="202"/>
      <c r="AG50" s="202" t="s">
        <v>349</v>
      </c>
      <c r="AH50" s="202" t="s">
        <v>349</v>
      </c>
      <c r="AI50" s="202" t="s">
        <v>349</v>
      </c>
      <c r="AJ50" s="203" t="s">
        <v>400</v>
      </c>
      <c r="AK50" s="58">
        <v>213</v>
      </c>
      <c r="AL50" s="58"/>
      <c r="AM50" s="58"/>
      <c r="AN50" s="141">
        <f t="shared" si="9"/>
        <v>17</v>
      </c>
      <c r="AO50" s="189">
        <f t="shared" si="9"/>
        <v>4</v>
      </c>
      <c r="AP50" s="190">
        <f t="shared" si="9"/>
        <v>17</v>
      </c>
      <c r="AQ50" s="191">
        <f t="shared" si="1"/>
        <v>38</v>
      </c>
      <c r="AS50" s="195">
        <f t="shared" si="2"/>
        <v>0.44736842105263158</v>
      </c>
      <c r="AT50" s="196">
        <f t="shared" si="3"/>
        <v>0.10526315789473684</v>
      </c>
      <c r="AU50" s="197">
        <f t="shared" si="4"/>
        <v>0.44736842105263158</v>
      </c>
      <c r="AW50" s="141">
        <f t="shared" si="5"/>
        <v>13</v>
      </c>
      <c r="AX50" s="189">
        <f t="shared" si="6"/>
        <v>3</v>
      </c>
      <c r="AY50" s="190">
        <f t="shared" si="7"/>
        <v>4</v>
      </c>
    </row>
    <row r="51" spans="1:51">
      <c r="A51" s="164">
        <v>216</v>
      </c>
      <c r="B51" s="204" t="s">
        <v>71</v>
      </c>
      <c r="C51" s="58" t="s">
        <v>366</v>
      </c>
      <c r="D51" s="204" t="s">
        <v>42</v>
      </c>
      <c r="E51" s="198"/>
      <c r="F51" s="199"/>
      <c r="G51" s="199"/>
      <c r="H51" s="199"/>
      <c r="I51" s="199"/>
      <c r="J51" s="199"/>
      <c r="K51" s="199"/>
      <c r="L51" s="200"/>
      <c r="M51" s="198"/>
      <c r="N51" s="199"/>
      <c r="O51" s="199"/>
      <c r="P51" s="199"/>
      <c r="Q51" s="199"/>
      <c r="R51" s="199"/>
      <c r="S51" s="199"/>
      <c r="T51" s="200"/>
      <c r="U51" s="198" t="s">
        <v>349</v>
      </c>
      <c r="V51" s="199" t="s">
        <v>401</v>
      </c>
      <c r="W51" s="199" t="s">
        <v>349</v>
      </c>
      <c r="X51" s="199"/>
      <c r="Y51" s="199"/>
      <c r="Z51" s="199"/>
      <c r="AA51" s="199" t="s">
        <v>349</v>
      </c>
      <c r="AB51" s="200" t="s">
        <v>349</v>
      </c>
      <c r="AC51" s="198"/>
      <c r="AD51" s="199"/>
      <c r="AE51" s="199"/>
      <c r="AF51" s="199"/>
      <c r="AG51" s="199"/>
      <c r="AH51" s="199"/>
      <c r="AI51" s="199"/>
      <c r="AJ51" s="200"/>
      <c r="AK51" s="164">
        <v>216</v>
      </c>
      <c r="AN51" s="141">
        <f t="shared" si="9"/>
        <v>6</v>
      </c>
      <c r="AO51" s="189">
        <f t="shared" si="9"/>
        <v>0</v>
      </c>
      <c r="AP51" s="190">
        <f t="shared" si="9"/>
        <v>0</v>
      </c>
      <c r="AQ51" s="191">
        <f t="shared" si="1"/>
        <v>6</v>
      </c>
      <c r="AS51" s="195">
        <f t="shared" si="2"/>
        <v>1</v>
      </c>
      <c r="AT51" s="196">
        <f t="shared" si="3"/>
        <v>0</v>
      </c>
      <c r="AU51" s="197">
        <f t="shared" si="4"/>
        <v>0</v>
      </c>
      <c r="AW51" s="141">
        <f t="shared" si="5"/>
        <v>5</v>
      </c>
      <c r="AX51" s="189">
        <f t="shared" si="6"/>
        <v>0</v>
      </c>
      <c r="AY51" s="190">
        <f t="shared" si="7"/>
        <v>0</v>
      </c>
    </row>
    <row r="52" spans="1:51">
      <c r="A52" s="164">
        <v>219</v>
      </c>
      <c r="B52" s="204" t="s">
        <v>106</v>
      </c>
      <c r="C52" s="58" t="s">
        <v>349</v>
      </c>
      <c r="D52" s="204" t="s">
        <v>6</v>
      </c>
      <c r="E52" s="198"/>
      <c r="F52" s="199"/>
      <c r="G52" s="199"/>
      <c r="H52" s="199"/>
      <c r="I52" s="199"/>
      <c r="J52" s="199"/>
      <c r="K52" s="199"/>
      <c r="L52" s="200"/>
      <c r="M52" s="198"/>
      <c r="N52" s="199"/>
      <c r="O52" s="199"/>
      <c r="P52" s="199"/>
      <c r="Q52" s="199"/>
      <c r="R52" s="199"/>
      <c r="S52" s="199"/>
      <c r="T52" s="200"/>
      <c r="U52" s="198"/>
      <c r="V52" s="199"/>
      <c r="W52" s="199"/>
      <c r="X52" s="199"/>
      <c r="Y52" s="199"/>
      <c r="Z52" s="199"/>
      <c r="AA52" s="199"/>
      <c r="AB52" s="200"/>
      <c r="AC52" s="198"/>
      <c r="AD52" s="199"/>
      <c r="AE52" s="199" t="s">
        <v>401</v>
      </c>
      <c r="AF52" s="199" t="s">
        <v>401</v>
      </c>
      <c r="AG52" s="199"/>
      <c r="AH52" s="199"/>
      <c r="AI52" s="199"/>
      <c r="AJ52" s="200"/>
      <c r="AK52" s="164">
        <v>219</v>
      </c>
      <c r="AN52" s="141">
        <f t="shared" si="9"/>
        <v>4</v>
      </c>
      <c r="AO52" s="189">
        <f t="shared" si="9"/>
        <v>0</v>
      </c>
      <c r="AP52" s="190">
        <f t="shared" si="9"/>
        <v>0</v>
      </c>
      <c r="AQ52" s="191">
        <f t="shared" si="1"/>
        <v>4</v>
      </c>
      <c r="AS52" s="195">
        <f t="shared" si="2"/>
        <v>1</v>
      </c>
      <c r="AT52" s="196">
        <f t="shared" si="3"/>
        <v>0</v>
      </c>
      <c r="AU52" s="197">
        <f t="shared" si="4"/>
        <v>0</v>
      </c>
      <c r="AW52" s="141">
        <f t="shared" si="5"/>
        <v>2</v>
      </c>
      <c r="AX52" s="189">
        <f t="shared" si="6"/>
        <v>0</v>
      </c>
      <c r="AY52" s="190">
        <f t="shared" si="7"/>
        <v>0</v>
      </c>
    </row>
    <row r="53" spans="1:51">
      <c r="A53" s="164">
        <v>220</v>
      </c>
      <c r="B53" s="204" t="s">
        <v>71</v>
      </c>
      <c r="C53" s="58" t="s">
        <v>366</v>
      </c>
      <c r="D53" s="204" t="s">
        <v>6</v>
      </c>
      <c r="E53" s="198"/>
      <c r="F53" s="202" t="s">
        <v>349</v>
      </c>
      <c r="G53" s="199"/>
      <c r="H53" s="202" t="s">
        <v>400</v>
      </c>
      <c r="I53" s="199"/>
      <c r="J53" s="199"/>
      <c r="K53" s="199"/>
      <c r="L53" s="200"/>
      <c r="M53" s="198"/>
      <c r="N53" s="199"/>
      <c r="O53" s="199"/>
      <c r="P53" s="199"/>
      <c r="Q53" s="199"/>
      <c r="R53" s="199"/>
      <c r="S53" s="199"/>
      <c r="T53" s="200"/>
      <c r="U53" s="198" t="s">
        <v>405</v>
      </c>
      <c r="V53" s="202" t="s">
        <v>400</v>
      </c>
      <c r="W53" s="199"/>
      <c r="X53" s="199" t="s">
        <v>349</v>
      </c>
      <c r="Y53" s="199"/>
      <c r="Z53" s="199"/>
      <c r="AA53" s="199"/>
      <c r="AB53" s="200"/>
      <c r="AC53" s="198"/>
      <c r="AD53" s="199"/>
      <c r="AE53" s="199"/>
      <c r="AF53" s="199" t="s">
        <v>349</v>
      </c>
      <c r="AG53" s="199" t="s">
        <v>407</v>
      </c>
      <c r="AH53" s="199" t="s">
        <v>410</v>
      </c>
      <c r="AI53" s="199"/>
      <c r="AJ53" s="200"/>
      <c r="AK53" s="164">
        <v>220</v>
      </c>
      <c r="AN53" s="141">
        <f t="shared" si="9"/>
        <v>7</v>
      </c>
      <c r="AO53" s="189">
        <f t="shared" si="9"/>
        <v>3</v>
      </c>
      <c r="AP53" s="190">
        <f t="shared" si="9"/>
        <v>10</v>
      </c>
      <c r="AQ53" s="191">
        <f t="shared" si="1"/>
        <v>20</v>
      </c>
      <c r="AS53" s="195">
        <f t="shared" si="2"/>
        <v>0.35</v>
      </c>
      <c r="AT53" s="196">
        <f t="shared" si="3"/>
        <v>0.15</v>
      </c>
      <c r="AU53" s="197">
        <f t="shared" si="4"/>
        <v>0.5</v>
      </c>
      <c r="AW53" s="141">
        <f t="shared" si="5"/>
        <v>5</v>
      </c>
      <c r="AX53" s="189">
        <f t="shared" si="6"/>
        <v>2</v>
      </c>
      <c r="AY53" s="190">
        <f t="shared" si="7"/>
        <v>2</v>
      </c>
    </row>
    <row r="54" spans="1:51">
      <c r="A54" s="164">
        <v>227</v>
      </c>
      <c r="B54" s="58" t="s">
        <v>123</v>
      </c>
      <c r="C54" s="58" t="s">
        <v>366</v>
      </c>
      <c r="D54" s="58" t="s">
        <v>6</v>
      </c>
      <c r="E54" s="198"/>
      <c r="F54" s="202" t="s">
        <v>42</v>
      </c>
      <c r="G54" s="202" t="s">
        <v>401</v>
      </c>
      <c r="H54" s="199"/>
      <c r="I54" s="199"/>
      <c r="J54" s="199"/>
      <c r="K54" s="199"/>
      <c r="L54" s="200"/>
      <c r="M54" s="198"/>
      <c r="N54" s="199"/>
      <c r="O54" s="199"/>
      <c r="P54" s="199"/>
      <c r="Q54" s="199"/>
      <c r="R54" s="199" t="s">
        <v>349</v>
      </c>
      <c r="S54" s="199" t="s">
        <v>349</v>
      </c>
      <c r="T54" s="200"/>
      <c r="U54" s="198"/>
      <c r="V54" s="199"/>
      <c r="W54" s="199"/>
      <c r="X54" s="199"/>
      <c r="Y54" s="199"/>
      <c r="Z54" s="199"/>
      <c r="AA54" s="199"/>
      <c r="AB54" s="200"/>
      <c r="AC54" s="198"/>
      <c r="AD54" s="199"/>
      <c r="AE54" s="199"/>
      <c r="AF54" s="199"/>
      <c r="AG54" s="199"/>
      <c r="AH54" s="199"/>
      <c r="AI54" s="199"/>
      <c r="AJ54" s="200"/>
      <c r="AK54" s="164">
        <v>227</v>
      </c>
      <c r="AN54" s="141">
        <f t="shared" si="9"/>
        <v>4</v>
      </c>
      <c r="AO54" s="189">
        <f t="shared" si="9"/>
        <v>1</v>
      </c>
      <c r="AP54" s="190">
        <f t="shared" si="9"/>
        <v>0</v>
      </c>
      <c r="AQ54" s="191">
        <f t="shared" si="1"/>
        <v>5</v>
      </c>
      <c r="AS54" s="195">
        <f t="shared" si="2"/>
        <v>0.8</v>
      </c>
      <c r="AT54" s="196">
        <f t="shared" si="3"/>
        <v>0.2</v>
      </c>
      <c r="AU54" s="197">
        <f t="shared" si="4"/>
        <v>0</v>
      </c>
      <c r="AW54" s="141">
        <f t="shared" si="5"/>
        <v>3</v>
      </c>
      <c r="AX54" s="189">
        <f t="shared" si="6"/>
        <v>1</v>
      </c>
      <c r="AY54" s="190">
        <f t="shared" si="7"/>
        <v>0</v>
      </c>
    </row>
    <row r="55" spans="1:51">
      <c r="A55" s="164">
        <v>241</v>
      </c>
      <c r="B55" s="58" t="s">
        <v>78</v>
      </c>
      <c r="C55" s="58" t="s">
        <v>359</v>
      </c>
      <c r="E55" s="198"/>
      <c r="F55" s="199"/>
      <c r="G55" s="199"/>
      <c r="H55" s="199" t="s">
        <v>349</v>
      </c>
      <c r="I55" s="199"/>
      <c r="J55" s="199"/>
      <c r="K55" s="199"/>
      <c r="L55" s="200"/>
      <c r="M55" s="198"/>
      <c r="N55" s="199"/>
      <c r="O55" s="199"/>
      <c r="P55" s="199" t="s">
        <v>42</v>
      </c>
      <c r="Q55" s="199" t="s">
        <v>349</v>
      </c>
      <c r="R55" s="199"/>
      <c r="S55" s="199"/>
      <c r="T55" s="200"/>
      <c r="U55" s="198"/>
      <c r="V55" s="199"/>
      <c r="W55" s="199"/>
      <c r="X55" s="199"/>
      <c r="Y55" s="199"/>
      <c r="Z55" s="199"/>
      <c r="AA55" s="199"/>
      <c r="AB55" s="200"/>
      <c r="AC55" s="198"/>
      <c r="AD55" s="199"/>
      <c r="AE55" s="199"/>
      <c r="AF55" s="199"/>
      <c r="AG55" s="199"/>
      <c r="AH55" s="199"/>
      <c r="AI55" s="199"/>
      <c r="AJ55" s="200"/>
      <c r="AK55" s="164">
        <v>241</v>
      </c>
      <c r="AN55" s="141">
        <f t="shared" si="9"/>
        <v>2</v>
      </c>
      <c r="AO55" s="189">
        <f t="shared" si="9"/>
        <v>1</v>
      </c>
      <c r="AP55" s="190">
        <f t="shared" si="9"/>
        <v>0</v>
      </c>
      <c r="AQ55" s="191">
        <f t="shared" si="1"/>
        <v>3</v>
      </c>
      <c r="AS55" s="195">
        <f t="shared" si="2"/>
        <v>0.66666666666666663</v>
      </c>
      <c r="AT55" s="196">
        <f t="shared" si="3"/>
        <v>0.33333333333333331</v>
      </c>
      <c r="AU55" s="197">
        <f t="shared" si="4"/>
        <v>0</v>
      </c>
      <c r="AW55" s="141">
        <f t="shared" si="5"/>
        <v>2</v>
      </c>
      <c r="AX55" s="189">
        <f t="shared" si="6"/>
        <v>1</v>
      </c>
      <c r="AY55" s="190">
        <f t="shared" si="7"/>
        <v>0</v>
      </c>
    </row>
    <row r="56" spans="1:51">
      <c r="A56" s="164">
        <v>246</v>
      </c>
      <c r="B56" s="58" t="s">
        <v>59</v>
      </c>
      <c r="C56" s="58" t="s">
        <v>346</v>
      </c>
      <c r="E56" s="198"/>
      <c r="F56" s="199"/>
      <c r="G56" s="199"/>
      <c r="H56" s="199"/>
      <c r="I56" s="199"/>
      <c r="J56" s="199"/>
      <c r="K56" s="199"/>
      <c r="L56" s="200"/>
      <c r="M56" s="198"/>
      <c r="N56" s="199"/>
      <c r="O56" s="199"/>
      <c r="P56" s="199"/>
      <c r="Q56" s="199"/>
      <c r="R56" s="199"/>
      <c r="S56" s="199"/>
      <c r="T56" s="200"/>
      <c r="U56" s="198"/>
      <c r="V56" s="199"/>
      <c r="W56" s="199"/>
      <c r="X56" s="199"/>
      <c r="Y56" s="199" t="s">
        <v>42</v>
      </c>
      <c r="Z56" s="199"/>
      <c r="AA56" s="199"/>
      <c r="AB56" s="200"/>
      <c r="AC56" s="198"/>
      <c r="AD56" s="199"/>
      <c r="AE56" s="199"/>
      <c r="AF56" s="199"/>
      <c r="AG56" s="199"/>
      <c r="AH56" s="199"/>
      <c r="AI56" s="199"/>
      <c r="AJ56" s="200"/>
      <c r="AK56" s="164">
        <v>246</v>
      </c>
      <c r="AN56" s="141">
        <f t="shared" si="9"/>
        <v>0</v>
      </c>
      <c r="AO56" s="189">
        <f t="shared" si="9"/>
        <v>1</v>
      </c>
      <c r="AP56" s="190">
        <f t="shared" si="9"/>
        <v>0</v>
      </c>
      <c r="AQ56" s="191">
        <f t="shared" si="1"/>
        <v>1</v>
      </c>
      <c r="AS56" s="195">
        <f t="shared" si="2"/>
        <v>0</v>
      </c>
      <c r="AT56" s="196">
        <f t="shared" si="3"/>
        <v>1</v>
      </c>
      <c r="AU56" s="197">
        <f t="shared" si="4"/>
        <v>0</v>
      </c>
      <c r="AW56" s="141">
        <f t="shared" si="5"/>
        <v>0</v>
      </c>
      <c r="AX56" s="189">
        <f t="shared" si="6"/>
        <v>1</v>
      </c>
      <c r="AY56" s="190">
        <f t="shared" si="7"/>
        <v>0</v>
      </c>
    </row>
    <row r="57" spans="1:51">
      <c r="A57" s="58">
        <v>251</v>
      </c>
      <c r="B57" s="205" t="s">
        <v>161</v>
      </c>
      <c r="C57" s="58" t="s">
        <v>357</v>
      </c>
      <c r="D57" s="58"/>
      <c r="E57" s="198"/>
      <c r="F57" s="199"/>
      <c r="G57" s="199"/>
      <c r="H57" s="199"/>
      <c r="I57" s="199"/>
      <c r="J57" s="199"/>
      <c r="K57" s="199"/>
      <c r="L57" s="200"/>
      <c r="M57" s="198"/>
      <c r="N57" s="199"/>
      <c r="O57" s="199"/>
      <c r="P57" s="199"/>
      <c r="Q57" s="199"/>
      <c r="R57" s="199"/>
      <c r="S57" s="199"/>
      <c r="T57" s="200"/>
      <c r="U57" s="198"/>
      <c r="V57" s="199"/>
      <c r="W57" s="199"/>
      <c r="X57" s="199"/>
      <c r="Y57" s="199"/>
      <c r="Z57" s="199"/>
      <c r="AA57" s="199"/>
      <c r="AB57" s="200"/>
      <c r="AC57" s="198"/>
      <c r="AD57" s="199"/>
      <c r="AE57" s="199"/>
      <c r="AF57" s="199"/>
      <c r="AG57" s="199"/>
      <c r="AH57" s="199" t="s">
        <v>349</v>
      </c>
      <c r="AI57" s="199"/>
      <c r="AJ57" s="200"/>
      <c r="AK57" s="58">
        <v>251</v>
      </c>
      <c r="AL57" s="58"/>
      <c r="AN57" s="141">
        <f t="shared" si="9"/>
        <v>1</v>
      </c>
      <c r="AO57" s="189">
        <f t="shared" si="9"/>
        <v>0</v>
      </c>
      <c r="AP57" s="190">
        <f t="shared" si="9"/>
        <v>0</v>
      </c>
      <c r="AQ57" s="191">
        <f t="shared" si="1"/>
        <v>1</v>
      </c>
      <c r="AS57" s="195">
        <f t="shared" si="2"/>
        <v>1</v>
      </c>
      <c r="AT57" s="196">
        <f t="shared" si="3"/>
        <v>0</v>
      </c>
      <c r="AU57" s="197">
        <f t="shared" si="4"/>
        <v>0</v>
      </c>
      <c r="AW57" s="141">
        <f t="shared" si="5"/>
        <v>1</v>
      </c>
      <c r="AX57" s="189">
        <f t="shared" si="6"/>
        <v>0</v>
      </c>
      <c r="AY57" s="190">
        <f t="shared" si="7"/>
        <v>0</v>
      </c>
    </row>
    <row r="58" spans="1:51">
      <c r="A58" s="58">
        <v>254</v>
      </c>
      <c r="B58" s="58" t="s">
        <v>162</v>
      </c>
      <c r="C58" s="58" t="s">
        <v>12</v>
      </c>
      <c r="D58" s="58" t="s">
        <v>42</v>
      </c>
      <c r="E58" s="201"/>
      <c r="F58" s="202"/>
      <c r="G58" s="202"/>
      <c r="H58" s="202"/>
      <c r="I58" s="202"/>
      <c r="J58" s="202"/>
      <c r="K58" s="202"/>
      <c r="L58" s="203"/>
      <c r="M58" s="201"/>
      <c r="N58" s="202"/>
      <c r="O58" s="202"/>
      <c r="P58" s="202"/>
      <c r="Q58" s="202"/>
      <c r="R58" s="202" t="s">
        <v>401</v>
      </c>
      <c r="S58" s="202"/>
      <c r="T58" s="203"/>
      <c r="U58" s="201"/>
      <c r="V58" s="202" t="s">
        <v>349</v>
      </c>
      <c r="W58" s="202"/>
      <c r="X58" s="202"/>
      <c r="Y58" s="202"/>
      <c r="Z58" s="202"/>
      <c r="AA58" s="202"/>
      <c r="AB58" s="203"/>
      <c r="AC58" s="201"/>
      <c r="AD58" s="202"/>
      <c r="AE58" s="202"/>
      <c r="AF58" s="202"/>
      <c r="AG58" s="202"/>
      <c r="AH58" s="202" t="s">
        <v>400</v>
      </c>
      <c r="AI58" s="202"/>
      <c r="AJ58" s="203"/>
      <c r="AK58" s="58">
        <v>254</v>
      </c>
      <c r="AL58" s="58"/>
      <c r="AM58" s="58"/>
      <c r="AN58" s="141">
        <f t="shared" si="9"/>
        <v>3</v>
      </c>
      <c r="AO58" s="189">
        <f t="shared" si="9"/>
        <v>0</v>
      </c>
      <c r="AP58" s="190">
        <f t="shared" si="9"/>
        <v>5</v>
      </c>
      <c r="AQ58" s="191">
        <f t="shared" si="1"/>
        <v>8</v>
      </c>
      <c r="AS58" s="195">
        <f t="shared" si="2"/>
        <v>0.375</v>
      </c>
      <c r="AT58" s="196">
        <f t="shared" si="3"/>
        <v>0</v>
      </c>
      <c r="AU58" s="197">
        <f t="shared" si="4"/>
        <v>0.625</v>
      </c>
      <c r="AW58" s="141">
        <f t="shared" si="5"/>
        <v>2</v>
      </c>
      <c r="AX58" s="189">
        <f t="shared" si="6"/>
        <v>0</v>
      </c>
      <c r="AY58" s="190">
        <f t="shared" si="7"/>
        <v>1</v>
      </c>
    </row>
    <row r="59" spans="1:51">
      <c r="A59" s="164">
        <v>256</v>
      </c>
      <c r="B59" s="58" t="s">
        <v>44</v>
      </c>
      <c r="C59" s="58" t="s">
        <v>349</v>
      </c>
      <c r="D59" s="58" t="s">
        <v>42</v>
      </c>
      <c r="E59" s="198"/>
      <c r="F59" s="199"/>
      <c r="G59" s="199"/>
      <c r="H59" s="199"/>
      <c r="I59" s="199"/>
      <c r="J59" s="199"/>
      <c r="K59" s="199"/>
      <c r="L59" s="200"/>
      <c r="M59" s="198"/>
      <c r="N59" s="199"/>
      <c r="O59" s="199"/>
      <c r="P59" s="199"/>
      <c r="Q59" s="199"/>
      <c r="R59" s="199"/>
      <c r="S59" s="199"/>
      <c r="T59" s="200"/>
      <c r="U59" s="198"/>
      <c r="V59" s="199"/>
      <c r="W59" s="199"/>
      <c r="X59" s="199"/>
      <c r="Y59" s="199"/>
      <c r="Z59" s="199" t="s">
        <v>349</v>
      </c>
      <c r="AA59" s="199"/>
      <c r="AB59" s="200"/>
      <c r="AC59" s="198"/>
      <c r="AD59" s="199"/>
      <c r="AE59" s="199"/>
      <c r="AF59" s="199"/>
      <c r="AG59" s="199"/>
      <c r="AH59" s="199"/>
      <c r="AI59" s="199"/>
      <c r="AJ59" s="200"/>
      <c r="AK59" s="164">
        <v>256</v>
      </c>
      <c r="AN59" s="141">
        <f t="shared" si="9"/>
        <v>1</v>
      </c>
      <c r="AO59" s="189">
        <f t="shared" si="9"/>
        <v>0</v>
      </c>
      <c r="AP59" s="190">
        <f t="shared" si="9"/>
        <v>0</v>
      </c>
      <c r="AQ59" s="191">
        <f t="shared" si="1"/>
        <v>1</v>
      </c>
      <c r="AS59" s="195">
        <f t="shared" si="2"/>
        <v>1</v>
      </c>
      <c r="AT59" s="196">
        <f t="shared" si="3"/>
        <v>0</v>
      </c>
      <c r="AU59" s="197">
        <f t="shared" si="4"/>
        <v>0</v>
      </c>
      <c r="AW59" s="141">
        <f t="shared" si="5"/>
        <v>1</v>
      </c>
      <c r="AX59" s="189">
        <f t="shared" si="6"/>
        <v>0</v>
      </c>
      <c r="AY59" s="190">
        <f t="shared" si="7"/>
        <v>0</v>
      </c>
    </row>
    <row r="60" spans="1:51">
      <c r="A60" s="164">
        <v>266</v>
      </c>
      <c r="B60" s="58" t="s">
        <v>197</v>
      </c>
      <c r="C60" s="58" t="s">
        <v>357</v>
      </c>
      <c r="E60" s="198"/>
      <c r="F60" s="199"/>
      <c r="G60" s="199"/>
      <c r="H60" s="199"/>
      <c r="I60" s="199"/>
      <c r="J60" s="199"/>
      <c r="K60" s="199"/>
      <c r="L60" s="200"/>
      <c r="M60" s="198"/>
      <c r="N60" s="199"/>
      <c r="O60" s="199"/>
      <c r="P60" s="199"/>
      <c r="Q60" s="199"/>
      <c r="R60" s="199"/>
      <c r="S60" s="199"/>
      <c r="T60" s="200"/>
      <c r="U60" s="198"/>
      <c r="V60" s="199"/>
      <c r="W60" s="199"/>
      <c r="X60" s="199"/>
      <c r="Y60" s="199"/>
      <c r="Z60" s="199"/>
      <c r="AA60" s="199" t="s">
        <v>400</v>
      </c>
      <c r="AB60" s="200"/>
      <c r="AC60" s="198"/>
      <c r="AD60" s="199"/>
      <c r="AE60" s="199"/>
      <c r="AF60" s="199"/>
      <c r="AG60" s="199"/>
      <c r="AH60" s="199"/>
      <c r="AI60" s="199"/>
      <c r="AJ60" s="200"/>
      <c r="AK60" s="164">
        <v>266</v>
      </c>
      <c r="AN60" s="141">
        <f t="shared" si="9"/>
        <v>0</v>
      </c>
      <c r="AO60" s="189">
        <f t="shared" si="9"/>
        <v>0</v>
      </c>
      <c r="AP60" s="190">
        <f t="shared" si="9"/>
        <v>5</v>
      </c>
      <c r="AQ60" s="191">
        <f t="shared" si="1"/>
        <v>5</v>
      </c>
      <c r="AS60" s="195">
        <f t="shared" si="2"/>
        <v>0</v>
      </c>
      <c r="AT60" s="196">
        <f t="shared" si="3"/>
        <v>0</v>
      </c>
      <c r="AU60" s="197">
        <f t="shared" si="4"/>
        <v>1</v>
      </c>
      <c r="AW60" s="141">
        <f t="shared" si="5"/>
        <v>0</v>
      </c>
      <c r="AX60" s="189">
        <f t="shared" si="6"/>
        <v>0</v>
      </c>
      <c r="AY60" s="190">
        <f t="shared" si="7"/>
        <v>1</v>
      </c>
    </row>
    <row r="61" spans="1:51">
      <c r="A61" s="58">
        <v>267</v>
      </c>
      <c r="B61" s="58" t="s">
        <v>73</v>
      </c>
      <c r="C61" s="58" t="s">
        <v>165</v>
      </c>
      <c r="D61" s="58" t="s">
        <v>6</v>
      </c>
      <c r="E61" s="201"/>
      <c r="F61" s="202"/>
      <c r="G61" s="202"/>
      <c r="H61" s="202"/>
      <c r="I61" s="202"/>
      <c r="J61" s="202"/>
      <c r="K61" s="202"/>
      <c r="L61" s="203"/>
      <c r="M61" s="201"/>
      <c r="N61" s="202"/>
      <c r="O61" s="202"/>
      <c r="P61" s="202" t="s">
        <v>349</v>
      </c>
      <c r="Q61" s="202"/>
      <c r="R61" s="202"/>
      <c r="S61" s="202"/>
      <c r="T61" s="203"/>
      <c r="U61" s="201"/>
      <c r="V61" s="202" t="s">
        <v>42</v>
      </c>
      <c r="W61" s="202"/>
      <c r="X61" s="202"/>
      <c r="Y61" s="202"/>
      <c r="Z61" s="202"/>
      <c r="AA61" s="202"/>
      <c r="AB61" s="203"/>
      <c r="AC61" s="201"/>
      <c r="AD61" s="202"/>
      <c r="AE61" s="202"/>
      <c r="AF61" s="202"/>
      <c r="AG61" s="202"/>
      <c r="AH61" s="202"/>
      <c r="AI61" s="202"/>
      <c r="AJ61" s="203"/>
      <c r="AK61" s="58">
        <v>267</v>
      </c>
      <c r="AL61" s="58"/>
      <c r="AM61" s="58"/>
      <c r="AN61" s="141">
        <f t="shared" si="9"/>
        <v>1</v>
      </c>
      <c r="AO61" s="189">
        <f t="shared" si="9"/>
        <v>1</v>
      </c>
      <c r="AP61" s="190">
        <f t="shared" si="9"/>
        <v>0</v>
      </c>
      <c r="AQ61" s="191">
        <f t="shared" si="1"/>
        <v>2</v>
      </c>
      <c r="AS61" s="195">
        <f t="shared" si="2"/>
        <v>0.5</v>
      </c>
      <c r="AT61" s="196">
        <f t="shared" si="3"/>
        <v>0.5</v>
      </c>
      <c r="AU61" s="197">
        <f t="shared" si="4"/>
        <v>0</v>
      </c>
      <c r="AW61" s="141">
        <f t="shared" si="5"/>
        <v>1</v>
      </c>
      <c r="AX61" s="189">
        <f t="shared" si="6"/>
        <v>1</v>
      </c>
      <c r="AY61" s="190">
        <f t="shared" si="7"/>
        <v>0</v>
      </c>
    </row>
    <row r="62" spans="1:51">
      <c r="A62" s="164">
        <v>271</v>
      </c>
      <c r="B62" s="58" t="s">
        <v>62</v>
      </c>
      <c r="C62" s="58" t="s">
        <v>42</v>
      </c>
      <c r="D62" s="58" t="s">
        <v>6</v>
      </c>
      <c r="E62" s="198"/>
      <c r="F62" s="199"/>
      <c r="G62" s="202" t="s">
        <v>349</v>
      </c>
      <c r="H62" s="199"/>
      <c r="I62" s="199"/>
      <c r="J62" s="199" t="s">
        <v>349</v>
      </c>
      <c r="K62" s="199" t="s">
        <v>400</v>
      </c>
      <c r="L62" s="200"/>
      <c r="M62" s="198"/>
      <c r="N62" s="199" t="s">
        <v>349</v>
      </c>
      <c r="O62" s="199"/>
      <c r="P62" s="199"/>
      <c r="Q62" s="199" t="s">
        <v>401</v>
      </c>
      <c r="R62" s="199"/>
      <c r="S62" s="199"/>
      <c r="T62" s="200"/>
      <c r="U62" s="198"/>
      <c r="V62" s="199"/>
      <c r="W62" s="199"/>
      <c r="X62" s="199"/>
      <c r="Y62" s="199" t="s">
        <v>349</v>
      </c>
      <c r="Z62" s="199" t="s">
        <v>349</v>
      </c>
      <c r="AA62" s="199"/>
      <c r="AB62" s="200"/>
      <c r="AC62" s="198"/>
      <c r="AD62" s="199"/>
      <c r="AE62" s="199"/>
      <c r="AF62" s="199"/>
      <c r="AG62" s="199"/>
      <c r="AH62" s="199"/>
      <c r="AI62" s="199"/>
      <c r="AJ62" s="200"/>
      <c r="AK62" s="164">
        <v>271</v>
      </c>
      <c r="AN62" s="141">
        <f t="shared" si="9"/>
        <v>7</v>
      </c>
      <c r="AO62" s="189">
        <f t="shared" si="9"/>
        <v>0</v>
      </c>
      <c r="AP62" s="190">
        <f t="shared" si="9"/>
        <v>5</v>
      </c>
      <c r="AQ62" s="191">
        <f t="shared" si="1"/>
        <v>12</v>
      </c>
      <c r="AS62" s="195">
        <f t="shared" si="2"/>
        <v>0.58333333333333337</v>
      </c>
      <c r="AT62" s="196">
        <f t="shared" si="3"/>
        <v>0</v>
      </c>
      <c r="AU62" s="197">
        <f t="shared" si="4"/>
        <v>0.41666666666666669</v>
      </c>
      <c r="AW62" s="141">
        <f t="shared" si="5"/>
        <v>6</v>
      </c>
      <c r="AX62" s="189">
        <f t="shared" si="6"/>
        <v>0</v>
      </c>
      <c r="AY62" s="190">
        <f t="shared" si="7"/>
        <v>1</v>
      </c>
    </row>
    <row r="63" spans="1:51">
      <c r="A63" s="164">
        <v>272</v>
      </c>
      <c r="B63" s="58" t="s">
        <v>41</v>
      </c>
      <c r="C63" s="58" t="s">
        <v>42</v>
      </c>
      <c r="D63" s="58" t="s">
        <v>6</v>
      </c>
      <c r="E63" s="198"/>
      <c r="F63" s="199"/>
      <c r="G63" s="199"/>
      <c r="H63" s="199" t="s">
        <v>349</v>
      </c>
      <c r="I63" s="199"/>
      <c r="J63" s="199"/>
      <c r="K63" s="199"/>
      <c r="L63" s="200"/>
      <c r="M63" s="198"/>
      <c r="N63" s="199"/>
      <c r="O63" s="199"/>
      <c r="P63" s="199"/>
      <c r="Q63" s="199"/>
      <c r="R63" s="199"/>
      <c r="S63" s="199"/>
      <c r="T63" s="200"/>
      <c r="U63" s="198"/>
      <c r="V63" s="199"/>
      <c r="W63" s="199"/>
      <c r="X63" s="199" t="s">
        <v>401</v>
      </c>
      <c r="Y63" s="199"/>
      <c r="Z63" s="199"/>
      <c r="AA63" s="199"/>
      <c r="AB63" s="200"/>
      <c r="AC63" s="198"/>
      <c r="AD63" s="199"/>
      <c r="AE63" s="199"/>
      <c r="AF63" s="199"/>
      <c r="AG63" s="199" t="s">
        <v>349</v>
      </c>
      <c r="AH63" s="199"/>
      <c r="AI63" s="199"/>
      <c r="AJ63" s="200"/>
      <c r="AK63" s="164">
        <v>272</v>
      </c>
      <c r="AN63" s="141">
        <f t="shared" si="9"/>
        <v>4</v>
      </c>
      <c r="AO63" s="189">
        <f t="shared" si="9"/>
        <v>0</v>
      </c>
      <c r="AP63" s="190">
        <f t="shared" si="9"/>
        <v>0</v>
      </c>
      <c r="AQ63" s="191">
        <f t="shared" si="1"/>
        <v>4</v>
      </c>
      <c r="AS63" s="195">
        <f t="shared" si="2"/>
        <v>1</v>
      </c>
      <c r="AT63" s="196">
        <f t="shared" si="3"/>
        <v>0</v>
      </c>
      <c r="AU63" s="197">
        <f t="shared" si="4"/>
        <v>0</v>
      </c>
      <c r="AW63" s="141">
        <f t="shared" si="5"/>
        <v>3</v>
      </c>
      <c r="AX63" s="189">
        <f t="shared" si="6"/>
        <v>0</v>
      </c>
      <c r="AY63" s="190">
        <f t="shared" si="7"/>
        <v>0</v>
      </c>
    </row>
    <row r="64" spans="1:51">
      <c r="A64" s="164">
        <v>273</v>
      </c>
      <c r="B64" s="164" t="s">
        <v>5</v>
      </c>
      <c r="C64" s="58" t="s">
        <v>42</v>
      </c>
      <c r="D64" s="164" t="s">
        <v>42</v>
      </c>
      <c r="E64" s="198"/>
      <c r="F64" s="202" t="s">
        <v>407</v>
      </c>
      <c r="G64" s="199"/>
      <c r="H64" s="199"/>
      <c r="I64" s="199" t="s">
        <v>42</v>
      </c>
      <c r="J64" s="199" t="s">
        <v>400</v>
      </c>
      <c r="K64" s="199"/>
      <c r="L64" s="200"/>
      <c r="M64" s="198"/>
      <c r="N64" s="199"/>
      <c r="O64" s="199"/>
      <c r="P64" s="199"/>
      <c r="Q64" s="199" t="s">
        <v>349</v>
      </c>
      <c r="R64" s="199"/>
      <c r="S64" s="199"/>
      <c r="T64" s="200"/>
      <c r="U64" s="198" t="s">
        <v>349</v>
      </c>
      <c r="V64" s="199"/>
      <c r="W64" s="199" t="s">
        <v>400</v>
      </c>
      <c r="X64" s="199"/>
      <c r="Y64" s="199"/>
      <c r="Z64" s="199"/>
      <c r="AA64" s="199"/>
      <c r="AB64" s="200"/>
      <c r="AC64" s="198"/>
      <c r="AD64" s="199"/>
      <c r="AE64" s="199"/>
      <c r="AF64" s="199"/>
      <c r="AG64" s="199" t="s">
        <v>349</v>
      </c>
      <c r="AH64" s="199" t="s">
        <v>400</v>
      </c>
      <c r="AI64" s="199"/>
      <c r="AJ64" s="200" t="s">
        <v>400</v>
      </c>
      <c r="AK64" s="164">
        <v>273</v>
      </c>
      <c r="AN64" s="141">
        <f t="shared" si="9"/>
        <v>3</v>
      </c>
      <c r="AO64" s="189">
        <f t="shared" si="9"/>
        <v>3</v>
      </c>
      <c r="AP64" s="190">
        <f t="shared" si="9"/>
        <v>20</v>
      </c>
      <c r="AQ64" s="191">
        <f t="shared" si="1"/>
        <v>26</v>
      </c>
      <c r="AS64" s="195">
        <f t="shared" si="2"/>
        <v>0.11538461538461539</v>
      </c>
      <c r="AT64" s="196">
        <f t="shared" si="3"/>
        <v>0.11538461538461539</v>
      </c>
      <c r="AU64" s="197">
        <f t="shared" si="4"/>
        <v>0.76923076923076927</v>
      </c>
      <c r="AW64" s="141">
        <f t="shared" si="5"/>
        <v>3</v>
      </c>
      <c r="AX64" s="189">
        <f t="shared" si="6"/>
        <v>2</v>
      </c>
      <c r="AY64" s="190">
        <f t="shared" si="7"/>
        <v>4</v>
      </c>
    </row>
    <row r="65" spans="1:51">
      <c r="A65" s="164">
        <v>280</v>
      </c>
      <c r="B65" s="58" t="s">
        <v>123</v>
      </c>
      <c r="C65" s="58" t="s">
        <v>366</v>
      </c>
      <c r="D65" s="58" t="s">
        <v>42</v>
      </c>
      <c r="E65" s="198" t="s">
        <v>349</v>
      </c>
      <c r="F65" s="202" t="s">
        <v>400</v>
      </c>
      <c r="G65" s="199"/>
      <c r="H65" s="199"/>
      <c r="I65" s="199"/>
      <c r="J65" s="199"/>
      <c r="K65" s="199"/>
      <c r="L65" s="200"/>
      <c r="M65" s="198"/>
      <c r="N65" s="199" t="s">
        <v>349</v>
      </c>
      <c r="O65" s="199"/>
      <c r="P65" s="199"/>
      <c r="Q65" s="199"/>
      <c r="R65" s="199"/>
      <c r="S65" s="199" t="s">
        <v>400</v>
      </c>
      <c r="T65" s="200"/>
      <c r="U65" s="198" t="s">
        <v>401</v>
      </c>
      <c r="V65" s="199"/>
      <c r="W65" s="199" t="s">
        <v>400</v>
      </c>
      <c r="X65" s="199"/>
      <c r="Y65" s="199"/>
      <c r="Z65" s="199"/>
      <c r="AA65" s="199"/>
      <c r="AB65" s="200"/>
      <c r="AC65" s="198"/>
      <c r="AD65" s="199"/>
      <c r="AE65" s="199"/>
      <c r="AF65" s="199"/>
      <c r="AG65" s="199"/>
      <c r="AH65" s="199"/>
      <c r="AI65" s="199"/>
      <c r="AJ65" s="200" t="s">
        <v>349</v>
      </c>
      <c r="AK65" s="164">
        <v>280</v>
      </c>
      <c r="AN65" s="141">
        <f t="shared" si="9"/>
        <v>5</v>
      </c>
      <c r="AO65" s="189">
        <f t="shared" si="9"/>
        <v>0</v>
      </c>
      <c r="AP65" s="190">
        <f t="shared" si="9"/>
        <v>15</v>
      </c>
      <c r="AQ65" s="191">
        <f t="shared" si="1"/>
        <v>20</v>
      </c>
      <c r="AS65" s="195">
        <f t="shared" si="2"/>
        <v>0.25</v>
      </c>
      <c r="AT65" s="196">
        <f t="shared" si="3"/>
        <v>0</v>
      </c>
      <c r="AU65" s="197">
        <f t="shared" si="4"/>
        <v>0.75</v>
      </c>
      <c r="AW65" s="141">
        <f t="shared" si="5"/>
        <v>4</v>
      </c>
      <c r="AX65" s="189">
        <f t="shared" si="6"/>
        <v>0</v>
      </c>
      <c r="AY65" s="190">
        <f t="shared" si="7"/>
        <v>3</v>
      </c>
    </row>
    <row r="66" spans="1:51">
      <c r="A66" s="164">
        <v>288</v>
      </c>
      <c r="B66" s="164" t="s">
        <v>71</v>
      </c>
      <c r="C66" s="58" t="s">
        <v>366</v>
      </c>
      <c r="D66" s="164" t="s">
        <v>42</v>
      </c>
      <c r="E66" s="198"/>
      <c r="F66" s="199"/>
      <c r="G66" s="199"/>
      <c r="H66" s="199"/>
      <c r="I66" s="199" t="s">
        <v>401</v>
      </c>
      <c r="J66" s="199"/>
      <c r="K66" s="199"/>
      <c r="L66" s="200"/>
      <c r="M66" s="198"/>
      <c r="N66" s="199"/>
      <c r="O66" s="199"/>
      <c r="P66" s="199" t="s">
        <v>407</v>
      </c>
      <c r="Q66" s="199"/>
      <c r="R66" s="199"/>
      <c r="S66" s="199"/>
      <c r="T66" s="200"/>
      <c r="U66" s="198"/>
      <c r="V66" s="199"/>
      <c r="W66" s="199"/>
      <c r="X66" s="199"/>
      <c r="Y66" s="199"/>
      <c r="Z66" s="199" t="s">
        <v>349</v>
      </c>
      <c r="AA66" s="199"/>
      <c r="AB66" s="200"/>
      <c r="AC66" s="198"/>
      <c r="AD66" s="199"/>
      <c r="AE66" s="199"/>
      <c r="AF66" s="199"/>
      <c r="AG66" s="199"/>
      <c r="AH66" s="199"/>
      <c r="AI66" s="199"/>
      <c r="AJ66" s="200"/>
      <c r="AK66" s="164">
        <v>288</v>
      </c>
      <c r="AN66" s="141">
        <f t="shared" si="9"/>
        <v>3</v>
      </c>
      <c r="AO66" s="189">
        <f t="shared" si="9"/>
        <v>2</v>
      </c>
      <c r="AP66" s="190">
        <f t="shared" si="9"/>
        <v>0</v>
      </c>
      <c r="AQ66" s="191">
        <f t="shared" si="1"/>
        <v>5</v>
      </c>
      <c r="AS66" s="195">
        <f t="shared" si="2"/>
        <v>0.6</v>
      </c>
      <c r="AT66" s="196">
        <f t="shared" si="3"/>
        <v>0.4</v>
      </c>
      <c r="AU66" s="197">
        <f t="shared" si="4"/>
        <v>0</v>
      </c>
      <c r="AW66" s="141">
        <f t="shared" si="5"/>
        <v>2</v>
      </c>
      <c r="AX66" s="189">
        <f t="shared" si="6"/>
        <v>1</v>
      </c>
      <c r="AY66" s="190">
        <f t="shared" si="7"/>
        <v>0</v>
      </c>
    </row>
    <row r="67" spans="1:51">
      <c r="A67" s="164">
        <v>301</v>
      </c>
      <c r="B67" s="164" t="s">
        <v>123</v>
      </c>
      <c r="C67" s="58" t="s">
        <v>366</v>
      </c>
      <c r="D67" s="164" t="s">
        <v>42</v>
      </c>
      <c r="E67" s="198"/>
      <c r="F67" s="199"/>
      <c r="G67" s="202" t="s">
        <v>349</v>
      </c>
      <c r="H67" s="202" t="s">
        <v>401</v>
      </c>
      <c r="I67" s="202" t="s">
        <v>400</v>
      </c>
      <c r="J67" s="202" t="s">
        <v>349</v>
      </c>
      <c r="K67" s="199"/>
      <c r="L67" s="200"/>
      <c r="M67" s="198"/>
      <c r="N67" s="199"/>
      <c r="O67" s="199" t="s">
        <v>349</v>
      </c>
      <c r="P67" s="199" t="s">
        <v>349</v>
      </c>
      <c r="Q67" s="199"/>
      <c r="R67" s="199"/>
      <c r="S67" s="199"/>
      <c r="T67" s="200"/>
      <c r="U67" s="198"/>
      <c r="V67" s="199" t="s">
        <v>405</v>
      </c>
      <c r="W67" s="199" t="s">
        <v>401</v>
      </c>
      <c r="X67" s="199"/>
      <c r="Y67" s="199"/>
      <c r="Z67" s="199"/>
      <c r="AA67" s="199"/>
      <c r="AB67" s="200"/>
      <c r="AC67" s="198"/>
      <c r="AD67" s="199"/>
      <c r="AE67" s="199"/>
      <c r="AF67" s="199"/>
      <c r="AG67" s="199"/>
      <c r="AH67" s="199"/>
      <c r="AI67" s="199"/>
      <c r="AJ67" s="200"/>
      <c r="AK67" s="164">
        <v>301</v>
      </c>
      <c r="AN67" s="141">
        <f t="shared" si="9"/>
        <v>9</v>
      </c>
      <c r="AO67" s="189">
        <f t="shared" si="9"/>
        <v>1</v>
      </c>
      <c r="AP67" s="190">
        <f t="shared" si="9"/>
        <v>5</v>
      </c>
      <c r="AQ67" s="191">
        <f t="shared" si="1"/>
        <v>15</v>
      </c>
      <c r="AS67" s="195">
        <f t="shared" si="2"/>
        <v>0.6</v>
      </c>
      <c r="AT67" s="196">
        <f t="shared" si="3"/>
        <v>6.6666666666666666E-2</v>
      </c>
      <c r="AU67" s="197">
        <f t="shared" si="4"/>
        <v>0.33333333333333331</v>
      </c>
      <c r="AW67" s="141">
        <f t="shared" si="5"/>
        <v>7</v>
      </c>
      <c r="AX67" s="189">
        <f t="shared" si="6"/>
        <v>1</v>
      </c>
      <c r="AY67" s="190">
        <f t="shared" si="7"/>
        <v>1</v>
      </c>
    </row>
    <row r="68" spans="1:51">
      <c r="A68" s="164">
        <v>302</v>
      </c>
      <c r="B68" s="164" t="s">
        <v>41</v>
      </c>
      <c r="C68" s="58" t="s">
        <v>42</v>
      </c>
      <c r="D68" s="164" t="s">
        <v>42</v>
      </c>
      <c r="E68" s="198"/>
      <c r="F68" s="202" t="s">
        <v>349</v>
      </c>
      <c r="G68" s="199"/>
      <c r="H68" s="199"/>
      <c r="I68" s="199"/>
      <c r="J68" s="199"/>
      <c r="K68" s="199"/>
      <c r="L68" s="200"/>
      <c r="M68" s="198"/>
      <c r="N68" s="199"/>
      <c r="O68" s="199"/>
      <c r="P68" s="199"/>
      <c r="Q68" s="199"/>
      <c r="R68" s="199" t="s">
        <v>349</v>
      </c>
      <c r="S68" s="199"/>
      <c r="T68" s="200"/>
      <c r="U68" s="198"/>
      <c r="V68" s="199"/>
      <c r="W68" s="199"/>
      <c r="X68" s="199"/>
      <c r="Y68" s="199"/>
      <c r="Z68" s="199"/>
      <c r="AA68" s="199"/>
      <c r="AB68" s="200"/>
      <c r="AC68" s="198"/>
      <c r="AD68" s="199"/>
      <c r="AE68" s="199"/>
      <c r="AF68" s="199"/>
      <c r="AG68" s="199"/>
      <c r="AH68" s="199" t="s">
        <v>349</v>
      </c>
      <c r="AI68" s="199" t="s">
        <v>349</v>
      </c>
      <c r="AJ68" s="200"/>
      <c r="AK68" s="164">
        <v>302</v>
      </c>
      <c r="AN68" s="141">
        <f t="shared" si="9"/>
        <v>4</v>
      </c>
      <c r="AO68" s="189">
        <f t="shared" si="9"/>
        <v>0</v>
      </c>
      <c r="AP68" s="190">
        <f t="shared" si="9"/>
        <v>0</v>
      </c>
      <c r="AQ68" s="191">
        <f t="shared" ref="AQ68:AQ129" si="10">SUM(AN68:AP68)</f>
        <v>4</v>
      </c>
      <c r="AS68" s="195">
        <f t="shared" si="2"/>
        <v>1</v>
      </c>
      <c r="AT68" s="196">
        <f t="shared" si="3"/>
        <v>0</v>
      </c>
      <c r="AU68" s="197">
        <f t="shared" si="4"/>
        <v>0</v>
      </c>
      <c r="AW68" s="141">
        <f t="shared" si="5"/>
        <v>4</v>
      </c>
      <c r="AX68" s="189">
        <f t="shared" si="6"/>
        <v>0</v>
      </c>
      <c r="AY68" s="190">
        <f t="shared" si="7"/>
        <v>0</v>
      </c>
    </row>
    <row r="69" spans="1:51">
      <c r="A69" s="164">
        <v>308</v>
      </c>
      <c r="B69" s="164" t="s">
        <v>123</v>
      </c>
      <c r="C69" s="58" t="s">
        <v>366</v>
      </c>
      <c r="D69" s="164" t="s">
        <v>6</v>
      </c>
      <c r="E69" s="198"/>
      <c r="F69" s="202" t="s">
        <v>42</v>
      </c>
      <c r="G69" s="199"/>
      <c r="H69" s="199"/>
      <c r="I69" s="199"/>
      <c r="J69" s="199"/>
      <c r="K69" s="199" t="s">
        <v>42</v>
      </c>
      <c r="L69" s="200"/>
      <c r="M69" s="198"/>
      <c r="N69" s="199"/>
      <c r="O69" s="199"/>
      <c r="P69" s="199"/>
      <c r="Q69" s="199" t="s">
        <v>349</v>
      </c>
      <c r="R69" s="199"/>
      <c r="S69" s="199"/>
      <c r="T69" s="200" t="s">
        <v>349</v>
      </c>
      <c r="U69" s="198" t="s">
        <v>349</v>
      </c>
      <c r="V69" s="199"/>
      <c r="W69" s="199" t="s">
        <v>400</v>
      </c>
      <c r="X69" s="199"/>
      <c r="Y69" s="199"/>
      <c r="Z69" s="199"/>
      <c r="AA69" s="199"/>
      <c r="AB69" s="200" t="s">
        <v>349</v>
      </c>
      <c r="AC69" s="198"/>
      <c r="AD69" s="199" t="s">
        <v>349</v>
      </c>
      <c r="AE69" s="199" t="s">
        <v>349</v>
      </c>
      <c r="AF69" s="202" t="s">
        <v>349</v>
      </c>
      <c r="AG69" s="199"/>
      <c r="AH69" s="199"/>
      <c r="AI69" s="199"/>
      <c r="AJ69" s="200"/>
      <c r="AK69" s="164">
        <v>308</v>
      </c>
      <c r="AN69" s="141">
        <f t="shared" si="9"/>
        <v>7</v>
      </c>
      <c r="AO69" s="189">
        <f t="shared" si="9"/>
        <v>2</v>
      </c>
      <c r="AP69" s="190">
        <f t="shared" si="9"/>
        <v>5</v>
      </c>
      <c r="AQ69" s="191">
        <f t="shared" si="10"/>
        <v>14</v>
      </c>
      <c r="AS69" s="195">
        <f t="shared" ref="AS69:AS130" si="11">AN69/AQ69</f>
        <v>0.5</v>
      </c>
      <c r="AT69" s="196">
        <f t="shared" ref="AT69:AT130" si="12">AO69/AQ69</f>
        <v>0.14285714285714285</v>
      </c>
      <c r="AU69" s="197">
        <f t="shared" ref="AU69:AU130" si="13">AP69/AQ69</f>
        <v>0.35714285714285715</v>
      </c>
      <c r="AW69" s="141">
        <f t="shared" ref="AW69:AW129" si="14">COUNTIF(E69:AJ69,"*s*")</f>
        <v>7</v>
      </c>
      <c r="AX69" s="189">
        <f t="shared" ref="AX69:AX129" si="15">COUNTIF(E69:AJ69,"*m*")</f>
        <v>2</v>
      </c>
      <c r="AY69" s="190">
        <f t="shared" ref="AY69:AY129" si="16">COUNTIF(E69:AJ69,"*l*")</f>
        <v>1</v>
      </c>
    </row>
    <row r="70" spans="1:51">
      <c r="A70" s="164">
        <v>315</v>
      </c>
      <c r="B70" s="58" t="s">
        <v>71</v>
      </c>
      <c r="C70" s="58" t="s">
        <v>366</v>
      </c>
      <c r="D70" s="164" t="s">
        <v>42</v>
      </c>
      <c r="E70" s="198" t="s">
        <v>349</v>
      </c>
      <c r="F70" s="202" t="s">
        <v>407</v>
      </c>
      <c r="G70" s="199"/>
      <c r="H70" s="199"/>
      <c r="I70" s="199"/>
      <c r="J70" s="199"/>
      <c r="K70" s="199"/>
      <c r="L70" s="200"/>
      <c r="M70" s="198"/>
      <c r="N70" s="199" t="s">
        <v>349</v>
      </c>
      <c r="O70" s="199"/>
      <c r="P70" s="199" t="s">
        <v>401</v>
      </c>
      <c r="Q70" s="199" t="s">
        <v>400</v>
      </c>
      <c r="R70" s="202" t="s">
        <v>400</v>
      </c>
      <c r="S70" s="202" t="s">
        <v>411</v>
      </c>
      <c r="T70" s="200" t="s">
        <v>405</v>
      </c>
      <c r="U70" s="198" t="s">
        <v>400</v>
      </c>
      <c r="V70" s="202" t="s">
        <v>410</v>
      </c>
      <c r="W70" s="202" t="s">
        <v>185</v>
      </c>
      <c r="X70" s="202" t="s">
        <v>349</v>
      </c>
      <c r="Y70" s="202" t="s">
        <v>349</v>
      </c>
      <c r="Z70" s="199"/>
      <c r="AA70" s="199"/>
      <c r="AB70" s="200"/>
      <c r="AC70" s="198"/>
      <c r="AD70" s="199"/>
      <c r="AE70" s="199"/>
      <c r="AF70" s="199"/>
      <c r="AG70" s="199"/>
      <c r="AH70" s="199"/>
      <c r="AI70" s="199" t="s">
        <v>42</v>
      </c>
      <c r="AJ70" s="200"/>
      <c r="AK70" s="164">
        <v>315</v>
      </c>
      <c r="AN70" s="141">
        <f t="shared" si="9"/>
        <v>12</v>
      </c>
      <c r="AO70" s="189">
        <f t="shared" si="9"/>
        <v>6</v>
      </c>
      <c r="AP70" s="190">
        <f t="shared" si="9"/>
        <v>16</v>
      </c>
      <c r="AQ70" s="191">
        <f t="shared" si="10"/>
        <v>34</v>
      </c>
      <c r="AS70" s="195">
        <f t="shared" si="11"/>
        <v>0.35294117647058826</v>
      </c>
      <c r="AT70" s="196">
        <f t="shared" si="12"/>
        <v>0.17647058823529413</v>
      </c>
      <c r="AU70" s="197">
        <f t="shared" si="13"/>
        <v>0.47058823529411764</v>
      </c>
      <c r="AW70" s="141">
        <f t="shared" si="14"/>
        <v>9</v>
      </c>
      <c r="AX70" s="189">
        <f t="shared" si="15"/>
        <v>4</v>
      </c>
      <c r="AY70" s="190">
        <f t="shared" si="16"/>
        <v>4</v>
      </c>
    </row>
    <row r="71" spans="1:51">
      <c r="A71" s="164">
        <v>331</v>
      </c>
      <c r="B71" s="58" t="s">
        <v>240</v>
      </c>
      <c r="C71" s="58" t="s">
        <v>42</v>
      </c>
      <c r="D71" s="164" t="s">
        <v>42</v>
      </c>
      <c r="E71" s="198"/>
      <c r="F71" s="199"/>
      <c r="G71" s="199"/>
      <c r="H71" s="199"/>
      <c r="I71" s="199" t="s">
        <v>411</v>
      </c>
      <c r="J71" s="199"/>
      <c r="K71" s="199"/>
      <c r="L71" s="200"/>
      <c r="M71" s="198"/>
      <c r="N71" s="199"/>
      <c r="O71" s="199"/>
      <c r="P71" s="199"/>
      <c r="Q71" s="199"/>
      <c r="R71" s="199"/>
      <c r="S71" s="199"/>
      <c r="T71" s="200" t="s">
        <v>405</v>
      </c>
      <c r="U71" s="198" t="s">
        <v>349</v>
      </c>
      <c r="V71" s="199" t="s">
        <v>349</v>
      </c>
      <c r="W71" s="199"/>
      <c r="X71" s="199"/>
      <c r="Y71" s="199"/>
      <c r="Z71" s="199"/>
      <c r="AA71" s="199"/>
      <c r="AB71" s="200"/>
      <c r="AC71" s="198"/>
      <c r="AD71" s="199"/>
      <c r="AE71" s="199"/>
      <c r="AF71" s="199"/>
      <c r="AG71" s="199"/>
      <c r="AH71" s="199"/>
      <c r="AI71" s="199" t="s">
        <v>349</v>
      </c>
      <c r="AJ71" s="200" t="s">
        <v>349</v>
      </c>
      <c r="AK71" s="164">
        <v>331</v>
      </c>
      <c r="AN71" s="141">
        <f t="shared" si="9"/>
        <v>6</v>
      </c>
      <c r="AO71" s="189">
        <f t="shared" si="9"/>
        <v>3</v>
      </c>
      <c r="AP71" s="190">
        <f t="shared" si="9"/>
        <v>0</v>
      </c>
      <c r="AQ71" s="191">
        <f t="shared" si="10"/>
        <v>9</v>
      </c>
      <c r="AS71" s="195">
        <f t="shared" si="11"/>
        <v>0.66666666666666663</v>
      </c>
      <c r="AT71" s="196">
        <f t="shared" si="12"/>
        <v>0.33333333333333331</v>
      </c>
      <c r="AU71" s="197">
        <f t="shared" si="13"/>
        <v>0</v>
      </c>
      <c r="AW71" s="141">
        <f t="shared" si="14"/>
        <v>6</v>
      </c>
      <c r="AX71" s="189">
        <f t="shared" si="15"/>
        <v>2</v>
      </c>
      <c r="AY71" s="190">
        <f t="shared" si="16"/>
        <v>0</v>
      </c>
    </row>
    <row r="72" spans="1:51">
      <c r="A72" s="58">
        <v>334</v>
      </c>
      <c r="B72" s="58" t="s">
        <v>5</v>
      </c>
      <c r="C72" s="58" t="s">
        <v>42</v>
      </c>
      <c r="D72" s="58" t="s">
        <v>6</v>
      </c>
      <c r="E72" s="198"/>
      <c r="F72" s="199"/>
      <c r="G72" s="202" t="s">
        <v>400</v>
      </c>
      <c r="H72" s="199"/>
      <c r="I72" s="199"/>
      <c r="J72" s="199"/>
      <c r="K72" s="199" t="s">
        <v>349</v>
      </c>
      <c r="L72" s="200"/>
      <c r="M72" s="198"/>
      <c r="N72" s="199"/>
      <c r="O72" s="199"/>
      <c r="P72" s="199"/>
      <c r="Q72" s="199"/>
      <c r="R72" s="199"/>
      <c r="S72" s="199" t="s">
        <v>349</v>
      </c>
      <c r="T72" s="200"/>
      <c r="U72" s="198"/>
      <c r="V72" s="199"/>
      <c r="W72" s="199"/>
      <c r="X72" s="199"/>
      <c r="Y72" s="199"/>
      <c r="Z72" s="199"/>
      <c r="AA72" s="199"/>
      <c r="AB72" s="200"/>
      <c r="AC72" s="198"/>
      <c r="AD72" s="199"/>
      <c r="AE72" s="199"/>
      <c r="AF72" s="199"/>
      <c r="AG72" s="199"/>
      <c r="AH72" s="199"/>
      <c r="AI72" s="199"/>
      <c r="AJ72" s="200"/>
      <c r="AK72" s="58">
        <v>334</v>
      </c>
      <c r="AL72" s="58"/>
      <c r="AN72" s="141">
        <f t="shared" si="9"/>
        <v>2</v>
      </c>
      <c r="AO72" s="189">
        <f t="shared" si="9"/>
        <v>0</v>
      </c>
      <c r="AP72" s="190">
        <f t="shared" si="9"/>
        <v>5</v>
      </c>
      <c r="AQ72" s="191">
        <f t="shared" si="10"/>
        <v>7</v>
      </c>
      <c r="AS72" s="195">
        <f t="shared" si="11"/>
        <v>0.2857142857142857</v>
      </c>
      <c r="AT72" s="196">
        <f t="shared" si="12"/>
        <v>0</v>
      </c>
      <c r="AU72" s="197">
        <f t="shared" si="13"/>
        <v>0.7142857142857143</v>
      </c>
      <c r="AW72" s="141">
        <f t="shared" si="14"/>
        <v>2</v>
      </c>
      <c r="AX72" s="189">
        <f t="shared" si="15"/>
        <v>0</v>
      </c>
      <c r="AY72" s="190">
        <f t="shared" si="16"/>
        <v>1</v>
      </c>
    </row>
    <row r="73" spans="1:51">
      <c r="A73" s="164">
        <v>340</v>
      </c>
      <c r="B73" s="58" t="s">
        <v>44</v>
      </c>
      <c r="C73" s="58" t="s">
        <v>349</v>
      </c>
      <c r="D73" s="58" t="s">
        <v>6</v>
      </c>
      <c r="E73" s="198"/>
      <c r="F73" s="199"/>
      <c r="G73" s="199"/>
      <c r="H73" s="199"/>
      <c r="I73" s="199"/>
      <c r="J73" s="199"/>
      <c r="K73" s="199"/>
      <c r="L73" s="200"/>
      <c r="M73" s="198"/>
      <c r="N73" s="199"/>
      <c r="O73" s="199" t="s">
        <v>400</v>
      </c>
      <c r="P73" s="199" t="s">
        <v>400</v>
      </c>
      <c r="Q73" s="199"/>
      <c r="R73" s="199"/>
      <c r="S73" s="199"/>
      <c r="T73" s="200"/>
      <c r="U73" s="198"/>
      <c r="V73" s="199"/>
      <c r="W73" s="199"/>
      <c r="X73" s="199"/>
      <c r="Y73" s="199"/>
      <c r="Z73" s="199"/>
      <c r="AA73" s="199"/>
      <c r="AB73" s="200"/>
      <c r="AC73" s="198"/>
      <c r="AD73" s="199"/>
      <c r="AE73" s="199"/>
      <c r="AF73" s="199"/>
      <c r="AG73" s="199"/>
      <c r="AH73" s="199"/>
      <c r="AI73" s="199"/>
      <c r="AJ73" s="200"/>
      <c r="AK73" s="164">
        <v>340</v>
      </c>
      <c r="AN73" s="141">
        <f t="shared" si="9"/>
        <v>0</v>
      </c>
      <c r="AO73" s="189">
        <f t="shared" si="9"/>
        <v>0</v>
      </c>
      <c r="AP73" s="190">
        <f t="shared" si="9"/>
        <v>10</v>
      </c>
      <c r="AQ73" s="191">
        <f t="shared" si="10"/>
        <v>10</v>
      </c>
      <c r="AS73" s="195">
        <f t="shared" si="11"/>
        <v>0</v>
      </c>
      <c r="AT73" s="196">
        <f t="shared" si="12"/>
        <v>0</v>
      </c>
      <c r="AU73" s="197">
        <f t="shared" si="13"/>
        <v>1</v>
      </c>
      <c r="AW73" s="141">
        <f t="shared" si="14"/>
        <v>0</v>
      </c>
      <c r="AX73" s="189">
        <f t="shared" si="15"/>
        <v>0</v>
      </c>
      <c r="AY73" s="190">
        <f t="shared" si="16"/>
        <v>2</v>
      </c>
    </row>
    <row r="74" spans="1:51">
      <c r="A74" s="164">
        <v>343</v>
      </c>
      <c r="B74" s="58" t="s">
        <v>216</v>
      </c>
      <c r="C74" s="58" t="s">
        <v>42</v>
      </c>
      <c r="D74" s="58" t="s">
        <v>6</v>
      </c>
      <c r="E74" s="198"/>
      <c r="F74" s="199"/>
      <c r="G74" s="199"/>
      <c r="H74" s="199"/>
      <c r="I74" s="199"/>
      <c r="J74" s="199"/>
      <c r="K74" s="199"/>
      <c r="L74" s="200"/>
      <c r="M74" s="198"/>
      <c r="N74" s="199"/>
      <c r="O74" s="199"/>
      <c r="P74" s="199"/>
      <c r="Q74" s="199"/>
      <c r="R74" s="199"/>
      <c r="S74" s="199" t="s">
        <v>349</v>
      </c>
      <c r="T74" s="200"/>
      <c r="U74" s="198"/>
      <c r="V74" s="199"/>
      <c r="W74" s="199"/>
      <c r="X74" s="199"/>
      <c r="Y74" s="199"/>
      <c r="Z74" s="199"/>
      <c r="AA74" s="199"/>
      <c r="AB74" s="200"/>
      <c r="AC74" s="198"/>
      <c r="AD74" s="199"/>
      <c r="AE74" s="199"/>
      <c r="AF74" s="199"/>
      <c r="AG74" s="199"/>
      <c r="AH74" s="199" t="s">
        <v>349</v>
      </c>
      <c r="AI74" s="199"/>
      <c r="AJ74" s="200"/>
      <c r="AK74" s="164">
        <v>343</v>
      </c>
      <c r="AN74" s="141">
        <f t="shared" si="9"/>
        <v>2</v>
      </c>
      <c r="AO74" s="189">
        <f t="shared" si="9"/>
        <v>0</v>
      </c>
      <c r="AP74" s="190">
        <f t="shared" si="9"/>
        <v>0</v>
      </c>
      <c r="AQ74" s="191">
        <f t="shared" si="10"/>
        <v>2</v>
      </c>
      <c r="AS74" s="195">
        <f t="shared" si="11"/>
        <v>1</v>
      </c>
      <c r="AT74" s="196">
        <f t="shared" si="12"/>
        <v>0</v>
      </c>
      <c r="AU74" s="197">
        <f t="shared" si="13"/>
        <v>0</v>
      </c>
      <c r="AW74" s="141">
        <f t="shared" si="14"/>
        <v>2</v>
      </c>
      <c r="AX74" s="189">
        <f t="shared" si="15"/>
        <v>0</v>
      </c>
      <c r="AY74" s="190">
        <f t="shared" si="16"/>
        <v>0</v>
      </c>
    </row>
    <row r="75" spans="1:51">
      <c r="A75" s="164">
        <v>345</v>
      </c>
      <c r="B75" s="58" t="s">
        <v>59</v>
      </c>
      <c r="C75" s="58" t="s">
        <v>346</v>
      </c>
      <c r="E75" s="198"/>
      <c r="F75" s="199"/>
      <c r="G75" s="199"/>
      <c r="H75" s="199"/>
      <c r="I75" s="199"/>
      <c r="J75" s="199"/>
      <c r="K75" s="199"/>
      <c r="L75" s="200"/>
      <c r="M75" s="198"/>
      <c r="N75" s="199"/>
      <c r="O75" s="199"/>
      <c r="P75" s="199"/>
      <c r="Q75" s="199"/>
      <c r="R75" s="199"/>
      <c r="S75" s="199"/>
      <c r="T75" s="200"/>
      <c r="U75" s="198"/>
      <c r="V75" s="199"/>
      <c r="W75" s="199"/>
      <c r="X75" s="199"/>
      <c r="Y75" s="199"/>
      <c r="Z75" s="199"/>
      <c r="AA75" s="199"/>
      <c r="AB75" s="200"/>
      <c r="AC75" s="198"/>
      <c r="AD75" s="199"/>
      <c r="AE75" s="199"/>
      <c r="AF75" s="199" t="s">
        <v>42</v>
      </c>
      <c r="AG75" s="199"/>
      <c r="AH75" s="199"/>
      <c r="AI75" s="199"/>
      <c r="AJ75" s="200"/>
      <c r="AK75" s="164">
        <v>345</v>
      </c>
      <c r="AN75" s="141">
        <f t="shared" si="9"/>
        <v>0</v>
      </c>
      <c r="AO75" s="189">
        <f t="shared" si="9"/>
        <v>1</v>
      </c>
      <c r="AP75" s="190">
        <f t="shared" si="9"/>
        <v>0</v>
      </c>
      <c r="AQ75" s="191">
        <f t="shared" si="10"/>
        <v>1</v>
      </c>
      <c r="AS75" s="195">
        <f t="shared" si="11"/>
        <v>0</v>
      </c>
      <c r="AT75" s="196">
        <f t="shared" si="12"/>
        <v>1</v>
      </c>
      <c r="AU75" s="197">
        <f t="shared" si="13"/>
        <v>0</v>
      </c>
      <c r="AW75" s="141">
        <f t="shared" si="14"/>
        <v>0</v>
      </c>
      <c r="AX75" s="189">
        <f t="shared" si="15"/>
        <v>1</v>
      </c>
      <c r="AY75" s="190">
        <f t="shared" si="16"/>
        <v>0</v>
      </c>
    </row>
    <row r="76" spans="1:51">
      <c r="A76" s="164">
        <v>346</v>
      </c>
      <c r="B76" s="58" t="s">
        <v>5</v>
      </c>
      <c r="C76" s="58" t="s">
        <v>42</v>
      </c>
      <c r="D76" s="58" t="s">
        <v>6</v>
      </c>
      <c r="E76" s="198" t="s">
        <v>349</v>
      </c>
      <c r="F76" s="199"/>
      <c r="G76" s="199"/>
      <c r="H76" s="199"/>
      <c r="I76" s="199" t="s">
        <v>401</v>
      </c>
      <c r="J76" s="199"/>
      <c r="K76" s="199"/>
      <c r="L76" s="200"/>
      <c r="M76" s="198"/>
      <c r="N76" s="199"/>
      <c r="O76" s="199"/>
      <c r="P76" s="199"/>
      <c r="Q76" s="199" t="s">
        <v>400</v>
      </c>
      <c r="R76" s="199" t="s">
        <v>349</v>
      </c>
      <c r="S76" s="199" t="s">
        <v>349</v>
      </c>
      <c r="T76" s="200"/>
      <c r="U76" s="198"/>
      <c r="V76" s="202" t="s">
        <v>349</v>
      </c>
      <c r="W76" s="199"/>
      <c r="X76" s="199"/>
      <c r="Y76" s="199"/>
      <c r="Z76" s="199"/>
      <c r="AA76" s="199"/>
      <c r="AB76" s="200"/>
      <c r="AC76" s="198"/>
      <c r="AD76" s="199"/>
      <c r="AE76" s="199"/>
      <c r="AF76" s="199"/>
      <c r="AG76" s="199"/>
      <c r="AH76" s="199" t="s">
        <v>349</v>
      </c>
      <c r="AI76" s="199"/>
      <c r="AJ76" s="200"/>
      <c r="AK76" s="164">
        <v>346</v>
      </c>
      <c r="AN76" s="141">
        <f t="shared" si="9"/>
        <v>7</v>
      </c>
      <c r="AO76" s="189">
        <f t="shared" si="9"/>
        <v>0</v>
      </c>
      <c r="AP76" s="190">
        <f t="shared" si="9"/>
        <v>5</v>
      </c>
      <c r="AQ76" s="191">
        <f t="shared" si="10"/>
        <v>12</v>
      </c>
      <c r="AS76" s="195">
        <f t="shared" si="11"/>
        <v>0.58333333333333337</v>
      </c>
      <c r="AT76" s="196">
        <f t="shared" si="12"/>
        <v>0</v>
      </c>
      <c r="AU76" s="197">
        <f t="shared" si="13"/>
        <v>0.41666666666666669</v>
      </c>
      <c r="AW76" s="141">
        <f t="shared" si="14"/>
        <v>6</v>
      </c>
      <c r="AX76" s="189">
        <f t="shared" si="15"/>
        <v>0</v>
      </c>
      <c r="AY76" s="190">
        <f t="shared" si="16"/>
        <v>1</v>
      </c>
    </row>
    <row r="77" spans="1:51">
      <c r="A77" s="164">
        <v>348</v>
      </c>
      <c r="B77" s="58" t="s">
        <v>106</v>
      </c>
      <c r="C77" s="58" t="s">
        <v>349</v>
      </c>
      <c r="D77" s="58" t="s">
        <v>6</v>
      </c>
      <c r="E77" s="198"/>
      <c r="F77" s="199"/>
      <c r="G77" s="199"/>
      <c r="H77" s="199"/>
      <c r="I77" s="199"/>
      <c r="J77" s="199"/>
      <c r="K77" s="199"/>
      <c r="L77" s="200"/>
      <c r="M77" s="198"/>
      <c r="N77" s="199"/>
      <c r="O77" s="199" t="s">
        <v>400</v>
      </c>
      <c r="P77" s="199"/>
      <c r="Q77" s="199" t="s">
        <v>401</v>
      </c>
      <c r="R77" s="199" t="s">
        <v>412</v>
      </c>
      <c r="S77" s="199"/>
      <c r="T77" s="200"/>
      <c r="U77" s="198"/>
      <c r="V77" s="199"/>
      <c r="W77" s="199"/>
      <c r="X77" s="199"/>
      <c r="Y77" s="199" t="s">
        <v>401</v>
      </c>
      <c r="Z77" s="199" t="s">
        <v>349</v>
      </c>
      <c r="AA77" s="199"/>
      <c r="AB77" s="200"/>
      <c r="AC77" s="198"/>
      <c r="AD77" s="199"/>
      <c r="AE77" s="199" t="s">
        <v>349</v>
      </c>
      <c r="AF77" s="199" t="s">
        <v>411</v>
      </c>
      <c r="AG77" s="199"/>
      <c r="AH77" s="199"/>
      <c r="AI77" s="199"/>
      <c r="AJ77" s="200"/>
      <c r="AK77" s="164">
        <v>348</v>
      </c>
      <c r="AN77" s="141">
        <f t="shared" si="9"/>
        <v>9</v>
      </c>
      <c r="AO77" s="189">
        <f t="shared" si="9"/>
        <v>3</v>
      </c>
      <c r="AP77" s="190">
        <f t="shared" si="9"/>
        <v>5</v>
      </c>
      <c r="AQ77" s="191">
        <f t="shared" si="10"/>
        <v>17</v>
      </c>
      <c r="AS77" s="195">
        <f t="shared" si="11"/>
        <v>0.52941176470588236</v>
      </c>
      <c r="AT77" s="196">
        <f t="shared" si="12"/>
        <v>0.17647058823529413</v>
      </c>
      <c r="AU77" s="197">
        <f t="shared" si="13"/>
        <v>0.29411764705882354</v>
      </c>
      <c r="AW77" s="141">
        <f t="shared" si="14"/>
        <v>6</v>
      </c>
      <c r="AX77" s="189">
        <f t="shared" si="15"/>
        <v>2</v>
      </c>
      <c r="AY77" s="190">
        <f t="shared" si="16"/>
        <v>1</v>
      </c>
    </row>
    <row r="78" spans="1:51">
      <c r="A78" s="164">
        <v>354</v>
      </c>
      <c r="B78" s="58" t="s">
        <v>136</v>
      </c>
      <c r="C78" s="58" t="s">
        <v>12</v>
      </c>
      <c r="D78" s="58" t="s">
        <v>42</v>
      </c>
      <c r="E78" s="198"/>
      <c r="F78" s="199"/>
      <c r="G78" s="199"/>
      <c r="H78" s="199"/>
      <c r="I78" s="199"/>
      <c r="J78" s="199"/>
      <c r="K78" s="199"/>
      <c r="L78" s="200"/>
      <c r="M78" s="198"/>
      <c r="N78" s="199"/>
      <c r="O78" s="199"/>
      <c r="P78" s="199"/>
      <c r="Q78" s="199"/>
      <c r="R78" s="199"/>
      <c r="S78" s="199"/>
      <c r="T78" s="200"/>
      <c r="U78" s="198"/>
      <c r="V78" s="199"/>
      <c r="W78" s="199"/>
      <c r="X78" s="199"/>
      <c r="Y78" s="199"/>
      <c r="Z78" s="199"/>
      <c r="AA78" s="199"/>
      <c r="AB78" s="200"/>
      <c r="AC78" s="198"/>
      <c r="AD78" s="199"/>
      <c r="AE78" s="199"/>
      <c r="AF78" s="199" t="s">
        <v>349</v>
      </c>
      <c r="AG78" s="199"/>
      <c r="AH78" s="199"/>
      <c r="AI78" s="199"/>
      <c r="AJ78" s="200"/>
      <c r="AK78" s="164">
        <v>354</v>
      </c>
      <c r="AN78" s="141">
        <f t="shared" si="9"/>
        <v>1</v>
      </c>
      <c r="AO78" s="189">
        <f t="shared" si="9"/>
        <v>0</v>
      </c>
      <c r="AP78" s="190">
        <f t="shared" si="9"/>
        <v>0</v>
      </c>
      <c r="AQ78" s="191">
        <f t="shared" si="10"/>
        <v>1</v>
      </c>
      <c r="AS78" s="195">
        <f t="shared" si="11"/>
        <v>1</v>
      </c>
      <c r="AT78" s="196">
        <f t="shared" si="12"/>
        <v>0</v>
      </c>
      <c r="AU78" s="197">
        <f t="shared" si="13"/>
        <v>0</v>
      </c>
      <c r="AW78" s="141">
        <f t="shared" si="14"/>
        <v>1</v>
      </c>
      <c r="AX78" s="189">
        <f t="shared" si="15"/>
        <v>0</v>
      </c>
      <c r="AY78" s="190">
        <f t="shared" si="16"/>
        <v>0</v>
      </c>
    </row>
    <row r="79" spans="1:51">
      <c r="A79" s="164">
        <v>360</v>
      </c>
      <c r="B79" s="58" t="s">
        <v>71</v>
      </c>
      <c r="C79" s="58" t="s">
        <v>366</v>
      </c>
      <c r="D79" s="58" t="s">
        <v>42</v>
      </c>
      <c r="E79" s="198"/>
      <c r="F79" s="202" t="s">
        <v>400</v>
      </c>
      <c r="G79" s="199"/>
      <c r="H79" s="199"/>
      <c r="I79" s="199" t="s">
        <v>400</v>
      </c>
      <c r="J79" s="199" t="s">
        <v>349</v>
      </c>
      <c r="K79" s="199"/>
      <c r="L79" s="200"/>
      <c r="M79" s="198"/>
      <c r="N79" s="199"/>
      <c r="O79" s="199"/>
      <c r="P79" s="199"/>
      <c r="Q79" s="199"/>
      <c r="R79" s="199" t="s">
        <v>401</v>
      </c>
      <c r="S79" s="199"/>
      <c r="T79" s="200"/>
      <c r="U79" s="198"/>
      <c r="V79" s="199"/>
      <c r="W79" s="199"/>
      <c r="X79" s="199"/>
      <c r="Y79" s="199"/>
      <c r="Z79" s="199"/>
      <c r="AA79" s="199"/>
      <c r="AB79" s="200"/>
      <c r="AC79" s="198"/>
      <c r="AD79" s="199"/>
      <c r="AE79" s="199"/>
      <c r="AF79" s="199" t="s">
        <v>349</v>
      </c>
      <c r="AG79" s="199"/>
      <c r="AH79" s="199" t="s">
        <v>400</v>
      </c>
      <c r="AI79" s="199" t="s">
        <v>409</v>
      </c>
      <c r="AJ79" s="200"/>
      <c r="AK79" s="164">
        <v>360</v>
      </c>
      <c r="AN79" s="141">
        <f t="shared" si="9"/>
        <v>4</v>
      </c>
      <c r="AO79" s="189">
        <f t="shared" si="9"/>
        <v>3</v>
      </c>
      <c r="AP79" s="190">
        <f t="shared" si="9"/>
        <v>15</v>
      </c>
      <c r="AQ79" s="191">
        <f t="shared" si="10"/>
        <v>22</v>
      </c>
      <c r="AS79" s="195">
        <f t="shared" si="11"/>
        <v>0.18181818181818182</v>
      </c>
      <c r="AT79" s="196">
        <f t="shared" si="12"/>
        <v>0.13636363636363635</v>
      </c>
      <c r="AU79" s="197">
        <f t="shared" si="13"/>
        <v>0.68181818181818177</v>
      </c>
      <c r="AW79" s="141">
        <f t="shared" si="14"/>
        <v>3</v>
      </c>
      <c r="AX79" s="189">
        <f t="shared" si="15"/>
        <v>1</v>
      </c>
      <c r="AY79" s="190">
        <f t="shared" si="16"/>
        <v>3</v>
      </c>
    </row>
    <row r="80" spans="1:51">
      <c r="A80" s="164">
        <v>363</v>
      </c>
      <c r="B80" s="58" t="s">
        <v>216</v>
      </c>
      <c r="C80" s="58" t="s">
        <v>42</v>
      </c>
      <c r="D80" s="58" t="s">
        <v>6</v>
      </c>
      <c r="E80" s="198"/>
      <c r="F80" s="199"/>
      <c r="G80" s="202" t="s">
        <v>349</v>
      </c>
      <c r="H80" s="199"/>
      <c r="I80" s="199"/>
      <c r="J80" s="199"/>
      <c r="K80" s="199"/>
      <c r="L80" s="200"/>
      <c r="M80" s="198" t="s">
        <v>349</v>
      </c>
      <c r="N80" s="199" t="s">
        <v>349</v>
      </c>
      <c r="O80" s="199"/>
      <c r="P80" s="199"/>
      <c r="Q80" s="199"/>
      <c r="R80" s="199"/>
      <c r="S80" s="199" t="s">
        <v>405</v>
      </c>
      <c r="T80" s="200" t="s">
        <v>408</v>
      </c>
      <c r="U80" s="198"/>
      <c r="V80" s="199"/>
      <c r="W80" s="199"/>
      <c r="X80" s="199"/>
      <c r="Y80" s="199"/>
      <c r="Z80" s="199"/>
      <c r="AA80" s="199"/>
      <c r="AB80" s="200"/>
      <c r="AC80" s="198"/>
      <c r="AD80" s="199"/>
      <c r="AE80" s="199"/>
      <c r="AF80" s="199"/>
      <c r="AG80" s="199"/>
      <c r="AH80" s="199"/>
      <c r="AI80" s="199" t="s">
        <v>42</v>
      </c>
      <c r="AJ80" s="200"/>
      <c r="AK80" s="164">
        <v>363</v>
      </c>
      <c r="AN80" s="141">
        <f t="shared" si="9"/>
        <v>4</v>
      </c>
      <c r="AO80" s="189">
        <f t="shared" si="9"/>
        <v>2</v>
      </c>
      <c r="AP80" s="190">
        <f t="shared" si="9"/>
        <v>3</v>
      </c>
      <c r="AQ80" s="191">
        <f t="shared" si="10"/>
        <v>9</v>
      </c>
      <c r="AS80" s="195">
        <f t="shared" si="11"/>
        <v>0.44444444444444442</v>
      </c>
      <c r="AT80" s="196">
        <f t="shared" si="12"/>
        <v>0.22222222222222221</v>
      </c>
      <c r="AU80" s="197">
        <f t="shared" si="13"/>
        <v>0.33333333333333331</v>
      </c>
      <c r="AW80" s="141">
        <f t="shared" si="14"/>
        <v>4</v>
      </c>
      <c r="AX80" s="189">
        <f t="shared" si="15"/>
        <v>2</v>
      </c>
      <c r="AY80" s="190">
        <f t="shared" si="16"/>
        <v>1</v>
      </c>
    </row>
    <row r="81" spans="1:51">
      <c r="A81" s="164">
        <v>371</v>
      </c>
      <c r="B81" s="58" t="s">
        <v>73</v>
      </c>
      <c r="C81" s="58" t="s">
        <v>165</v>
      </c>
      <c r="D81" s="58" t="s">
        <v>42</v>
      </c>
      <c r="E81" s="198"/>
      <c r="F81" s="199"/>
      <c r="G81" s="199"/>
      <c r="H81" s="199"/>
      <c r="I81" s="199"/>
      <c r="J81" s="199"/>
      <c r="K81" s="199"/>
      <c r="L81" s="200"/>
      <c r="M81" s="198"/>
      <c r="N81" s="199"/>
      <c r="O81" s="199"/>
      <c r="P81" s="199"/>
      <c r="Q81" s="199"/>
      <c r="R81" s="202" t="s">
        <v>404</v>
      </c>
      <c r="S81" s="199"/>
      <c r="T81" s="200"/>
      <c r="U81" s="198"/>
      <c r="V81" s="199"/>
      <c r="W81" s="199"/>
      <c r="X81" s="199"/>
      <c r="Y81" s="199"/>
      <c r="Z81" s="199"/>
      <c r="AA81" s="199"/>
      <c r="AB81" s="200"/>
      <c r="AC81" s="198"/>
      <c r="AD81" s="199"/>
      <c r="AE81" s="199"/>
      <c r="AF81" s="199"/>
      <c r="AG81" s="199"/>
      <c r="AH81" s="199"/>
      <c r="AI81" s="199"/>
      <c r="AJ81" s="200"/>
      <c r="AK81" s="164">
        <v>371</v>
      </c>
      <c r="AN81" s="141">
        <f t="shared" si="9"/>
        <v>0</v>
      </c>
      <c r="AO81" s="189">
        <f t="shared" si="9"/>
        <v>0</v>
      </c>
      <c r="AP81" s="190">
        <f t="shared" si="9"/>
        <v>2</v>
      </c>
      <c r="AQ81" s="191">
        <f t="shared" si="10"/>
        <v>2</v>
      </c>
      <c r="AS81" s="195">
        <f t="shared" si="11"/>
        <v>0</v>
      </c>
      <c r="AT81" s="196">
        <f t="shared" si="12"/>
        <v>0</v>
      </c>
      <c r="AU81" s="197">
        <f t="shared" si="13"/>
        <v>1</v>
      </c>
      <c r="AW81" s="141">
        <f t="shared" si="14"/>
        <v>0</v>
      </c>
      <c r="AX81" s="189">
        <f t="shared" si="15"/>
        <v>0</v>
      </c>
      <c r="AY81" s="190">
        <f t="shared" si="16"/>
        <v>1</v>
      </c>
    </row>
    <row r="82" spans="1:51">
      <c r="A82" s="164">
        <v>376</v>
      </c>
      <c r="B82" s="58" t="s">
        <v>106</v>
      </c>
      <c r="C82" s="58" t="s">
        <v>349</v>
      </c>
      <c r="D82" s="58" t="s">
        <v>6</v>
      </c>
      <c r="E82" s="198"/>
      <c r="F82" s="199"/>
      <c r="G82" s="202" t="s">
        <v>400</v>
      </c>
      <c r="H82" s="199"/>
      <c r="I82" s="199"/>
      <c r="J82" s="199"/>
      <c r="K82" s="199"/>
      <c r="L82" s="200"/>
      <c r="M82" s="198"/>
      <c r="N82" s="199"/>
      <c r="O82" s="199"/>
      <c r="P82" s="199"/>
      <c r="Q82" s="199"/>
      <c r="R82" s="199"/>
      <c r="S82" s="199"/>
      <c r="T82" s="200"/>
      <c r="U82" s="198"/>
      <c r="V82" s="199"/>
      <c r="W82" s="199"/>
      <c r="X82" s="199"/>
      <c r="Y82" s="199"/>
      <c r="Z82" s="199"/>
      <c r="AA82" s="199"/>
      <c r="AB82" s="200"/>
      <c r="AC82" s="198"/>
      <c r="AD82" s="199"/>
      <c r="AE82" s="199"/>
      <c r="AF82" s="199"/>
      <c r="AG82" s="199" t="s">
        <v>401</v>
      </c>
      <c r="AH82" s="199"/>
      <c r="AI82" s="199"/>
      <c r="AJ82" s="200"/>
      <c r="AK82" s="164">
        <v>376</v>
      </c>
      <c r="AN82" s="141">
        <f t="shared" si="9"/>
        <v>2</v>
      </c>
      <c r="AO82" s="189">
        <f t="shared" si="9"/>
        <v>0</v>
      </c>
      <c r="AP82" s="190">
        <f t="shared" si="9"/>
        <v>5</v>
      </c>
      <c r="AQ82" s="191">
        <f t="shared" si="10"/>
        <v>7</v>
      </c>
      <c r="AS82" s="195">
        <f t="shared" si="11"/>
        <v>0.2857142857142857</v>
      </c>
      <c r="AT82" s="196">
        <f t="shared" si="12"/>
        <v>0</v>
      </c>
      <c r="AU82" s="197">
        <f t="shared" si="13"/>
        <v>0.7142857142857143</v>
      </c>
      <c r="AW82" s="141">
        <f t="shared" si="14"/>
        <v>1</v>
      </c>
      <c r="AX82" s="189">
        <f t="shared" si="15"/>
        <v>0</v>
      </c>
      <c r="AY82" s="190">
        <f t="shared" si="16"/>
        <v>1</v>
      </c>
    </row>
    <row r="83" spans="1:51">
      <c r="A83" s="164">
        <v>377</v>
      </c>
      <c r="B83" s="58" t="s">
        <v>62</v>
      </c>
      <c r="C83" s="58" t="s">
        <v>42</v>
      </c>
      <c r="D83" s="58" t="s">
        <v>6</v>
      </c>
      <c r="E83" s="198" t="s">
        <v>349</v>
      </c>
      <c r="F83" s="202" t="s">
        <v>349</v>
      </c>
      <c r="G83" s="199"/>
      <c r="H83" s="199"/>
      <c r="I83" s="202" t="s">
        <v>349</v>
      </c>
      <c r="J83" s="199"/>
      <c r="K83" s="199"/>
      <c r="L83" s="200"/>
      <c r="M83" s="198"/>
      <c r="N83" s="199"/>
      <c r="O83" s="199"/>
      <c r="P83" s="199"/>
      <c r="Q83" s="199"/>
      <c r="R83" s="199"/>
      <c r="S83" s="199" t="s">
        <v>349</v>
      </c>
      <c r="T83" s="200" t="s">
        <v>42</v>
      </c>
      <c r="U83" s="198"/>
      <c r="V83" s="199"/>
      <c r="W83" s="199"/>
      <c r="X83" s="199"/>
      <c r="Y83" s="199"/>
      <c r="Z83" s="199"/>
      <c r="AA83" s="199"/>
      <c r="AB83" s="200"/>
      <c r="AC83" s="198"/>
      <c r="AD83" s="199"/>
      <c r="AE83" s="199"/>
      <c r="AF83" s="199"/>
      <c r="AG83" s="199"/>
      <c r="AH83" s="199" t="s">
        <v>400</v>
      </c>
      <c r="AI83" s="199" t="s">
        <v>407</v>
      </c>
      <c r="AJ83" s="200"/>
      <c r="AK83" s="164">
        <v>377</v>
      </c>
      <c r="AN83" s="141">
        <f t="shared" si="9"/>
        <v>4</v>
      </c>
      <c r="AO83" s="189">
        <f t="shared" si="9"/>
        <v>3</v>
      </c>
      <c r="AP83" s="190">
        <f t="shared" si="9"/>
        <v>5</v>
      </c>
      <c r="AQ83" s="191">
        <f t="shared" si="10"/>
        <v>12</v>
      </c>
      <c r="AS83" s="195">
        <f t="shared" si="11"/>
        <v>0.33333333333333331</v>
      </c>
      <c r="AT83" s="196">
        <f t="shared" si="12"/>
        <v>0.25</v>
      </c>
      <c r="AU83" s="197">
        <f t="shared" si="13"/>
        <v>0.41666666666666669</v>
      </c>
      <c r="AW83" s="141">
        <f t="shared" si="14"/>
        <v>4</v>
      </c>
      <c r="AX83" s="189">
        <f t="shared" si="15"/>
        <v>2</v>
      </c>
      <c r="AY83" s="190">
        <f t="shared" si="16"/>
        <v>1</v>
      </c>
    </row>
    <row r="84" spans="1:51">
      <c r="A84" s="58">
        <v>401</v>
      </c>
      <c r="B84" s="58" t="s">
        <v>123</v>
      </c>
      <c r="C84" s="58" t="s">
        <v>366</v>
      </c>
      <c r="D84" s="58" t="s">
        <v>42</v>
      </c>
      <c r="E84" s="198"/>
      <c r="F84" s="199"/>
      <c r="G84" s="199"/>
      <c r="H84" s="199"/>
      <c r="I84" s="199" t="s">
        <v>400</v>
      </c>
      <c r="J84" s="199" t="s">
        <v>400</v>
      </c>
      <c r="K84" s="199"/>
      <c r="L84" s="200"/>
      <c r="M84" s="198"/>
      <c r="N84" s="199"/>
      <c r="O84" s="199" t="s">
        <v>401</v>
      </c>
      <c r="P84" s="199"/>
      <c r="Q84" s="199"/>
      <c r="R84" s="199" t="s">
        <v>400</v>
      </c>
      <c r="S84" s="199"/>
      <c r="T84" s="200"/>
      <c r="U84" s="198"/>
      <c r="V84" s="199"/>
      <c r="W84" s="199"/>
      <c r="X84" s="199" t="s">
        <v>349</v>
      </c>
      <c r="Y84" s="199"/>
      <c r="Z84" s="199"/>
      <c r="AA84" s="199"/>
      <c r="AB84" s="200"/>
      <c r="AC84" s="198"/>
      <c r="AD84" s="199"/>
      <c r="AE84" s="199"/>
      <c r="AF84" s="199" t="s">
        <v>400</v>
      </c>
      <c r="AG84" s="199"/>
      <c r="AH84" s="199"/>
      <c r="AI84" s="199"/>
      <c r="AJ84" s="200"/>
      <c r="AK84" s="58">
        <v>401</v>
      </c>
      <c r="AL84" s="58"/>
      <c r="AN84" s="141">
        <f t="shared" si="9"/>
        <v>3</v>
      </c>
      <c r="AO84" s="189">
        <f t="shared" si="9"/>
        <v>0</v>
      </c>
      <c r="AP84" s="190">
        <f t="shared" si="9"/>
        <v>20</v>
      </c>
      <c r="AQ84" s="191">
        <f t="shared" si="10"/>
        <v>23</v>
      </c>
      <c r="AS84" s="195">
        <f t="shared" si="11"/>
        <v>0.13043478260869565</v>
      </c>
      <c r="AT84" s="196">
        <f t="shared" si="12"/>
        <v>0</v>
      </c>
      <c r="AU84" s="197">
        <f t="shared" si="13"/>
        <v>0.86956521739130432</v>
      </c>
      <c r="AW84" s="141">
        <f t="shared" si="14"/>
        <v>2</v>
      </c>
      <c r="AX84" s="189">
        <f t="shared" si="15"/>
        <v>0</v>
      </c>
      <c r="AY84" s="190">
        <f t="shared" si="16"/>
        <v>4</v>
      </c>
    </row>
    <row r="85" spans="1:51">
      <c r="A85" s="164">
        <v>402</v>
      </c>
      <c r="B85" s="58" t="s">
        <v>88</v>
      </c>
      <c r="C85" s="58" t="s">
        <v>12</v>
      </c>
      <c r="D85" s="58" t="s">
        <v>6</v>
      </c>
      <c r="E85" s="198"/>
      <c r="F85" s="199"/>
      <c r="G85" s="199"/>
      <c r="H85" s="199"/>
      <c r="I85" s="199"/>
      <c r="J85" s="199"/>
      <c r="K85" s="199"/>
      <c r="L85" s="200"/>
      <c r="M85" s="198"/>
      <c r="N85" s="199"/>
      <c r="O85" s="199"/>
      <c r="P85" s="199"/>
      <c r="Q85" s="199"/>
      <c r="R85" s="199" t="s">
        <v>349</v>
      </c>
      <c r="S85" s="199"/>
      <c r="T85" s="200"/>
      <c r="U85" s="198"/>
      <c r="V85" s="199"/>
      <c r="W85" s="199"/>
      <c r="X85" s="199"/>
      <c r="Y85" s="199"/>
      <c r="Z85" s="199"/>
      <c r="AA85" s="199"/>
      <c r="AB85" s="200"/>
      <c r="AC85" s="198"/>
      <c r="AD85" s="199"/>
      <c r="AE85" s="199"/>
      <c r="AF85" s="199"/>
      <c r="AG85" s="199"/>
      <c r="AH85" s="199"/>
      <c r="AI85" s="199"/>
      <c r="AJ85" s="200"/>
      <c r="AK85" s="164">
        <v>402</v>
      </c>
      <c r="AN85" s="141">
        <f t="shared" si="9"/>
        <v>1</v>
      </c>
      <c r="AO85" s="189">
        <f t="shared" si="9"/>
        <v>0</v>
      </c>
      <c r="AP85" s="190">
        <f t="shared" si="9"/>
        <v>0</v>
      </c>
      <c r="AQ85" s="191">
        <f t="shared" si="10"/>
        <v>1</v>
      </c>
      <c r="AS85" s="195">
        <f t="shared" si="11"/>
        <v>1</v>
      </c>
      <c r="AT85" s="196">
        <f t="shared" si="12"/>
        <v>0</v>
      </c>
      <c r="AU85" s="197">
        <f t="shared" si="13"/>
        <v>0</v>
      </c>
      <c r="AW85" s="141">
        <f t="shared" si="14"/>
        <v>1</v>
      </c>
      <c r="AX85" s="189">
        <f t="shared" si="15"/>
        <v>0</v>
      </c>
      <c r="AY85" s="190">
        <f t="shared" si="16"/>
        <v>0</v>
      </c>
    </row>
    <row r="86" spans="1:51">
      <c r="A86" s="164">
        <v>412</v>
      </c>
      <c r="B86" s="58" t="s">
        <v>41</v>
      </c>
      <c r="C86" s="58" t="s">
        <v>42</v>
      </c>
      <c r="D86" s="58" t="s">
        <v>42</v>
      </c>
      <c r="E86" s="198"/>
      <c r="F86" s="199"/>
      <c r="G86" s="199"/>
      <c r="H86" s="199"/>
      <c r="I86" s="199"/>
      <c r="J86" s="199"/>
      <c r="K86" s="199"/>
      <c r="L86" s="200"/>
      <c r="M86" s="198"/>
      <c r="N86" s="199"/>
      <c r="O86" s="199"/>
      <c r="P86" s="199"/>
      <c r="Q86" s="199"/>
      <c r="R86" s="199"/>
      <c r="S86" s="199"/>
      <c r="T86" s="200"/>
      <c r="U86" s="198"/>
      <c r="V86" s="199" t="s">
        <v>42</v>
      </c>
      <c r="W86" s="199"/>
      <c r="X86" s="199"/>
      <c r="Y86" s="199"/>
      <c r="Z86" s="199"/>
      <c r="AA86" s="199"/>
      <c r="AB86" s="200"/>
      <c r="AC86" s="198"/>
      <c r="AD86" s="199"/>
      <c r="AE86" s="199"/>
      <c r="AF86" s="199"/>
      <c r="AG86" s="199"/>
      <c r="AH86" s="199" t="s">
        <v>349</v>
      </c>
      <c r="AI86" s="199"/>
      <c r="AJ86" s="200"/>
      <c r="AK86" s="164">
        <v>412</v>
      </c>
      <c r="AN86" s="141">
        <f t="shared" si="9"/>
        <v>1</v>
      </c>
      <c r="AO86" s="189">
        <f t="shared" si="9"/>
        <v>1</v>
      </c>
      <c r="AP86" s="190">
        <f t="shared" si="9"/>
        <v>0</v>
      </c>
      <c r="AQ86" s="191">
        <f t="shared" si="10"/>
        <v>2</v>
      </c>
      <c r="AS86" s="195">
        <f t="shared" si="11"/>
        <v>0.5</v>
      </c>
      <c r="AT86" s="196">
        <f t="shared" si="12"/>
        <v>0.5</v>
      </c>
      <c r="AU86" s="197">
        <f t="shared" si="13"/>
        <v>0</v>
      </c>
      <c r="AW86" s="141">
        <f t="shared" si="14"/>
        <v>1</v>
      </c>
      <c r="AX86" s="189">
        <f t="shared" si="15"/>
        <v>1</v>
      </c>
      <c r="AY86" s="190">
        <f t="shared" si="16"/>
        <v>0</v>
      </c>
    </row>
    <row r="87" spans="1:51">
      <c r="A87" s="164">
        <v>414</v>
      </c>
      <c r="B87" s="58" t="s">
        <v>62</v>
      </c>
      <c r="C87" s="58" t="s">
        <v>42</v>
      </c>
      <c r="D87" s="58" t="s">
        <v>42</v>
      </c>
      <c r="E87" s="198"/>
      <c r="F87" s="199"/>
      <c r="G87" s="202" t="s">
        <v>349</v>
      </c>
      <c r="H87" s="202" t="s">
        <v>349</v>
      </c>
      <c r="I87" s="199"/>
      <c r="J87" s="199"/>
      <c r="K87" s="199"/>
      <c r="L87" s="200"/>
      <c r="M87" s="198"/>
      <c r="N87" s="199"/>
      <c r="O87" s="199"/>
      <c r="P87" s="199"/>
      <c r="Q87" s="199"/>
      <c r="R87" s="199"/>
      <c r="S87" s="199"/>
      <c r="T87" s="200"/>
      <c r="U87" s="198"/>
      <c r="V87" s="199"/>
      <c r="W87" s="199" t="s">
        <v>349</v>
      </c>
      <c r="X87" s="199" t="s">
        <v>349</v>
      </c>
      <c r="Y87" s="199"/>
      <c r="Z87" s="199"/>
      <c r="AA87" s="199"/>
      <c r="AB87" s="200"/>
      <c r="AC87" s="198"/>
      <c r="AD87" s="199"/>
      <c r="AE87" s="199"/>
      <c r="AF87" s="199"/>
      <c r="AG87" s="199"/>
      <c r="AH87" s="199" t="s">
        <v>349</v>
      </c>
      <c r="AI87" s="199"/>
      <c r="AJ87" s="200"/>
      <c r="AK87" s="164">
        <v>414</v>
      </c>
      <c r="AN87" s="141">
        <f t="shared" si="9"/>
        <v>5</v>
      </c>
      <c r="AO87" s="189">
        <f t="shared" si="9"/>
        <v>0</v>
      </c>
      <c r="AP87" s="190">
        <f t="shared" si="9"/>
        <v>0</v>
      </c>
      <c r="AQ87" s="191">
        <f t="shared" si="10"/>
        <v>5</v>
      </c>
      <c r="AS87" s="195">
        <f t="shared" si="11"/>
        <v>1</v>
      </c>
      <c r="AT87" s="196">
        <f t="shared" si="12"/>
        <v>0</v>
      </c>
      <c r="AU87" s="197">
        <f t="shared" si="13"/>
        <v>0</v>
      </c>
      <c r="AW87" s="141">
        <f t="shared" si="14"/>
        <v>5</v>
      </c>
      <c r="AX87" s="189">
        <f t="shared" si="15"/>
        <v>0</v>
      </c>
      <c r="AY87" s="190">
        <f t="shared" si="16"/>
        <v>0</v>
      </c>
    </row>
    <row r="88" spans="1:51">
      <c r="A88" s="164">
        <v>418</v>
      </c>
      <c r="B88" s="58" t="s">
        <v>80</v>
      </c>
      <c r="C88" s="58" t="s">
        <v>346</v>
      </c>
      <c r="E88" s="198"/>
      <c r="F88" s="199"/>
      <c r="G88" s="199"/>
      <c r="H88" s="199"/>
      <c r="I88" s="199" t="s">
        <v>349</v>
      </c>
      <c r="J88" s="199"/>
      <c r="K88" s="199"/>
      <c r="L88" s="200"/>
      <c r="M88" s="198"/>
      <c r="N88" s="199"/>
      <c r="O88" s="199"/>
      <c r="P88" s="199" t="s">
        <v>349</v>
      </c>
      <c r="Q88" s="199"/>
      <c r="R88" s="199"/>
      <c r="S88" s="199"/>
      <c r="T88" s="200"/>
      <c r="U88" s="198"/>
      <c r="V88" s="199"/>
      <c r="W88" s="199"/>
      <c r="X88" s="199"/>
      <c r="Y88" s="199"/>
      <c r="Z88" s="199"/>
      <c r="AA88" s="199"/>
      <c r="AB88" s="200"/>
      <c r="AC88" s="198"/>
      <c r="AD88" s="199"/>
      <c r="AE88" s="199"/>
      <c r="AF88" s="199"/>
      <c r="AG88" s="199"/>
      <c r="AH88" s="199"/>
      <c r="AI88" s="199"/>
      <c r="AJ88" s="200"/>
      <c r="AK88" s="164">
        <v>418</v>
      </c>
      <c r="AN88" s="141">
        <f t="shared" si="9"/>
        <v>2</v>
      </c>
      <c r="AO88" s="189">
        <f t="shared" si="9"/>
        <v>0</v>
      </c>
      <c r="AP88" s="190">
        <f t="shared" si="9"/>
        <v>0</v>
      </c>
      <c r="AQ88" s="191">
        <f t="shared" si="10"/>
        <v>2</v>
      </c>
      <c r="AS88" s="195">
        <f t="shared" si="11"/>
        <v>1</v>
      </c>
      <c r="AT88" s="196">
        <f t="shared" si="12"/>
        <v>0</v>
      </c>
      <c r="AU88" s="197">
        <f t="shared" si="13"/>
        <v>0</v>
      </c>
      <c r="AW88" s="141">
        <f t="shared" si="14"/>
        <v>2</v>
      </c>
      <c r="AX88" s="189">
        <f t="shared" si="15"/>
        <v>0</v>
      </c>
      <c r="AY88" s="190">
        <f t="shared" si="16"/>
        <v>0</v>
      </c>
    </row>
    <row r="89" spans="1:51">
      <c r="A89" s="164">
        <v>419</v>
      </c>
      <c r="B89" s="58" t="s">
        <v>123</v>
      </c>
      <c r="C89" s="58" t="s">
        <v>366</v>
      </c>
      <c r="D89" s="58" t="s">
        <v>6</v>
      </c>
      <c r="E89" s="198"/>
      <c r="F89" s="199"/>
      <c r="G89" s="199"/>
      <c r="H89" s="199"/>
      <c r="I89" s="199"/>
      <c r="J89" s="199"/>
      <c r="K89" s="199"/>
      <c r="L89" s="200"/>
      <c r="M89" s="198"/>
      <c r="N89" s="199"/>
      <c r="O89" s="199"/>
      <c r="P89" s="199"/>
      <c r="Q89" s="199"/>
      <c r="R89" s="199"/>
      <c r="S89" s="199" t="s">
        <v>349</v>
      </c>
      <c r="T89" s="200"/>
      <c r="U89" s="198"/>
      <c r="V89" s="199"/>
      <c r="W89" s="199"/>
      <c r="X89" s="199"/>
      <c r="Y89" s="199"/>
      <c r="Z89" s="199"/>
      <c r="AA89" s="199"/>
      <c r="AB89" s="200"/>
      <c r="AC89" s="198"/>
      <c r="AD89" s="199"/>
      <c r="AE89" s="199"/>
      <c r="AF89" s="199"/>
      <c r="AG89" s="199"/>
      <c r="AH89" s="202" t="s">
        <v>349</v>
      </c>
      <c r="AI89" s="199"/>
      <c r="AJ89" s="200"/>
      <c r="AK89" s="164">
        <v>419</v>
      </c>
      <c r="AN89" s="141">
        <f t="shared" si="9"/>
        <v>2</v>
      </c>
      <c r="AO89" s="189">
        <f t="shared" si="9"/>
        <v>0</v>
      </c>
      <c r="AP89" s="190">
        <f t="shared" si="9"/>
        <v>0</v>
      </c>
      <c r="AQ89" s="191">
        <f t="shared" si="10"/>
        <v>2</v>
      </c>
      <c r="AS89" s="195">
        <f t="shared" si="11"/>
        <v>1</v>
      </c>
      <c r="AT89" s="196">
        <f t="shared" si="12"/>
        <v>0</v>
      </c>
      <c r="AU89" s="197">
        <f t="shared" si="13"/>
        <v>0</v>
      </c>
      <c r="AW89" s="141">
        <f t="shared" si="14"/>
        <v>2</v>
      </c>
      <c r="AX89" s="189">
        <f t="shared" si="15"/>
        <v>0</v>
      </c>
      <c r="AY89" s="190">
        <f t="shared" si="16"/>
        <v>0</v>
      </c>
    </row>
    <row r="90" spans="1:51">
      <c r="A90" s="164">
        <v>426</v>
      </c>
      <c r="B90" s="58" t="s">
        <v>44</v>
      </c>
      <c r="C90" s="58" t="s">
        <v>349</v>
      </c>
      <c r="D90" s="58" t="s">
        <v>6</v>
      </c>
      <c r="E90" s="198"/>
      <c r="F90" s="199"/>
      <c r="G90" s="199"/>
      <c r="H90" s="199"/>
      <c r="I90" s="199"/>
      <c r="J90" s="199"/>
      <c r="K90" s="199"/>
      <c r="L90" s="200"/>
      <c r="M90" s="198"/>
      <c r="N90" s="199" t="s">
        <v>349</v>
      </c>
      <c r="O90" s="199"/>
      <c r="P90" s="199"/>
      <c r="Q90" s="199"/>
      <c r="R90" s="199"/>
      <c r="S90" s="199"/>
      <c r="T90" s="200" t="s">
        <v>400</v>
      </c>
      <c r="U90" s="198"/>
      <c r="V90" s="199"/>
      <c r="W90" s="199"/>
      <c r="X90" s="199" t="s">
        <v>349</v>
      </c>
      <c r="Y90" s="199"/>
      <c r="Z90" s="199"/>
      <c r="AA90" s="199"/>
      <c r="AB90" s="200"/>
      <c r="AC90" s="198"/>
      <c r="AD90" s="199"/>
      <c r="AE90" s="199"/>
      <c r="AF90" s="199"/>
      <c r="AG90" s="199"/>
      <c r="AH90" s="199"/>
      <c r="AI90" s="199" t="s">
        <v>401</v>
      </c>
      <c r="AJ90" s="200" t="s">
        <v>349</v>
      </c>
      <c r="AK90" s="164">
        <v>426</v>
      </c>
      <c r="AN90" s="141">
        <f t="shared" si="9"/>
        <v>5</v>
      </c>
      <c r="AO90" s="189">
        <f t="shared" si="9"/>
        <v>0</v>
      </c>
      <c r="AP90" s="190">
        <f t="shared" si="9"/>
        <v>5</v>
      </c>
      <c r="AQ90" s="191">
        <f t="shared" si="10"/>
        <v>10</v>
      </c>
      <c r="AS90" s="195">
        <f t="shared" si="11"/>
        <v>0.5</v>
      </c>
      <c r="AT90" s="196">
        <f t="shared" si="12"/>
        <v>0</v>
      </c>
      <c r="AU90" s="197">
        <f t="shared" si="13"/>
        <v>0.5</v>
      </c>
      <c r="AW90" s="141">
        <f t="shared" si="14"/>
        <v>4</v>
      </c>
      <c r="AX90" s="189">
        <f t="shared" si="15"/>
        <v>0</v>
      </c>
      <c r="AY90" s="190">
        <f t="shared" si="16"/>
        <v>1</v>
      </c>
    </row>
    <row r="91" spans="1:51">
      <c r="A91" s="164">
        <v>435</v>
      </c>
      <c r="B91" s="58" t="s">
        <v>201</v>
      </c>
      <c r="C91" s="58" t="s">
        <v>357</v>
      </c>
      <c r="D91" s="58" t="s">
        <v>15</v>
      </c>
      <c r="E91" s="198"/>
      <c r="F91" s="199"/>
      <c r="G91" s="199"/>
      <c r="H91" s="199"/>
      <c r="I91" s="199"/>
      <c r="J91" s="199"/>
      <c r="K91" s="199"/>
      <c r="L91" s="200"/>
      <c r="M91" s="198"/>
      <c r="N91" s="199"/>
      <c r="O91" s="199"/>
      <c r="P91" s="199"/>
      <c r="Q91" s="199"/>
      <c r="R91" s="199" t="s">
        <v>349</v>
      </c>
      <c r="S91" s="199"/>
      <c r="T91" s="200"/>
      <c r="U91" s="198"/>
      <c r="V91" s="199"/>
      <c r="W91" s="199" t="s">
        <v>410</v>
      </c>
      <c r="X91" s="199"/>
      <c r="Y91" s="199"/>
      <c r="Z91" s="199"/>
      <c r="AA91" s="199"/>
      <c r="AB91" s="200"/>
      <c r="AC91" s="198"/>
      <c r="AD91" s="199"/>
      <c r="AE91" s="199"/>
      <c r="AF91" s="199"/>
      <c r="AG91" s="199"/>
      <c r="AH91" s="202" t="s">
        <v>349</v>
      </c>
      <c r="AI91" s="199"/>
      <c r="AJ91" s="200"/>
      <c r="AK91" s="164">
        <v>435</v>
      </c>
      <c r="AN91" s="141">
        <f t="shared" si="9"/>
        <v>5</v>
      </c>
      <c r="AO91" s="189">
        <f t="shared" si="9"/>
        <v>0</v>
      </c>
      <c r="AP91" s="190">
        <f t="shared" si="9"/>
        <v>0</v>
      </c>
      <c r="AQ91" s="191">
        <f t="shared" si="10"/>
        <v>5</v>
      </c>
      <c r="AS91" s="195">
        <f t="shared" si="11"/>
        <v>1</v>
      </c>
      <c r="AT91" s="196">
        <f t="shared" si="12"/>
        <v>0</v>
      </c>
      <c r="AU91" s="197">
        <f t="shared" si="13"/>
        <v>0</v>
      </c>
      <c r="AW91" s="141">
        <f t="shared" si="14"/>
        <v>3</v>
      </c>
      <c r="AX91" s="189">
        <f t="shared" si="15"/>
        <v>0</v>
      </c>
      <c r="AY91" s="190">
        <f t="shared" si="16"/>
        <v>0</v>
      </c>
    </row>
    <row r="92" spans="1:51">
      <c r="A92" s="164">
        <v>436</v>
      </c>
      <c r="B92" s="58" t="s">
        <v>44</v>
      </c>
      <c r="C92" s="58" t="s">
        <v>349</v>
      </c>
      <c r="D92" s="58" t="s">
        <v>6</v>
      </c>
      <c r="E92" s="198"/>
      <c r="F92" s="199"/>
      <c r="G92" s="202" t="s">
        <v>349</v>
      </c>
      <c r="H92" s="199"/>
      <c r="I92" s="199" t="s">
        <v>349</v>
      </c>
      <c r="J92" s="199"/>
      <c r="K92" s="199"/>
      <c r="L92" s="200"/>
      <c r="M92" s="198"/>
      <c r="N92" s="199"/>
      <c r="O92" s="199"/>
      <c r="P92" s="199"/>
      <c r="Q92" s="199"/>
      <c r="R92" s="199"/>
      <c r="S92" s="199"/>
      <c r="T92" s="200"/>
      <c r="U92" s="198"/>
      <c r="V92" s="199"/>
      <c r="W92" s="199"/>
      <c r="X92" s="199" t="s">
        <v>400</v>
      </c>
      <c r="Y92" s="199"/>
      <c r="Z92" s="199"/>
      <c r="AA92" s="199"/>
      <c r="AB92" s="200"/>
      <c r="AC92" s="198"/>
      <c r="AD92" s="199"/>
      <c r="AE92" s="199"/>
      <c r="AF92" s="199"/>
      <c r="AG92" s="199"/>
      <c r="AH92" s="199"/>
      <c r="AI92" s="199" t="s">
        <v>402</v>
      </c>
      <c r="AJ92" s="200"/>
      <c r="AK92" s="164">
        <v>436</v>
      </c>
      <c r="AN92" s="141">
        <f t="shared" si="9"/>
        <v>2</v>
      </c>
      <c r="AO92" s="189">
        <f t="shared" si="9"/>
        <v>0</v>
      </c>
      <c r="AP92" s="190">
        <f t="shared" si="9"/>
        <v>9</v>
      </c>
      <c r="AQ92" s="191">
        <f t="shared" si="10"/>
        <v>11</v>
      </c>
      <c r="AS92" s="195">
        <f t="shared" si="11"/>
        <v>0.18181818181818182</v>
      </c>
      <c r="AT92" s="196">
        <f t="shared" si="12"/>
        <v>0</v>
      </c>
      <c r="AU92" s="197">
        <f t="shared" si="13"/>
        <v>0.81818181818181823</v>
      </c>
      <c r="AW92" s="141">
        <f t="shared" si="14"/>
        <v>2</v>
      </c>
      <c r="AX92" s="189">
        <f t="shared" si="15"/>
        <v>0</v>
      </c>
      <c r="AY92" s="190">
        <f t="shared" si="16"/>
        <v>2</v>
      </c>
    </row>
    <row r="93" spans="1:51">
      <c r="A93" s="164">
        <v>437</v>
      </c>
      <c r="B93" s="58" t="s">
        <v>68</v>
      </c>
      <c r="C93" s="58" t="s">
        <v>357</v>
      </c>
      <c r="E93" s="198"/>
      <c r="F93" s="199"/>
      <c r="G93" s="199"/>
      <c r="H93" s="199" t="s">
        <v>42</v>
      </c>
      <c r="I93" s="199" t="s">
        <v>42</v>
      </c>
      <c r="J93" s="199"/>
      <c r="K93" s="199"/>
      <c r="L93" s="200"/>
      <c r="M93" s="198"/>
      <c r="N93" s="199"/>
      <c r="O93" s="199"/>
      <c r="P93" s="199" t="s">
        <v>42</v>
      </c>
      <c r="Q93" s="199" t="s">
        <v>42</v>
      </c>
      <c r="R93" s="199"/>
      <c r="S93" s="199"/>
      <c r="T93" s="200"/>
      <c r="U93" s="198"/>
      <c r="V93" s="199"/>
      <c r="W93" s="199"/>
      <c r="X93" s="199"/>
      <c r="Y93" s="199"/>
      <c r="Z93" s="199"/>
      <c r="AA93" s="199"/>
      <c r="AB93" s="200"/>
      <c r="AC93" s="198"/>
      <c r="AD93" s="199"/>
      <c r="AE93" s="199"/>
      <c r="AF93" s="199"/>
      <c r="AG93" s="199"/>
      <c r="AH93" s="199"/>
      <c r="AI93" s="199"/>
      <c r="AJ93" s="200"/>
      <c r="AK93" s="164">
        <v>437</v>
      </c>
      <c r="AN93" s="141">
        <f t="shared" si="9"/>
        <v>0</v>
      </c>
      <c r="AO93" s="189">
        <f t="shared" si="9"/>
        <v>4</v>
      </c>
      <c r="AP93" s="190">
        <f t="shared" si="9"/>
        <v>0</v>
      </c>
      <c r="AQ93" s="191">
        <f t="shared" si="10"/>
        <v>4</v>
      </c>
      <c r="AS93" s="195">
        <f t="shared" si="11"/>
        <v>0</v>
      </c>
      <c r="AT93" s="196">
        <f t="shared" si="12"/>
        <v>1</v>
      </c>
      <c r="AU93" s="197">
        <f t="shared" si="13"/>
        <v>0</v>
      </c>
      <c r="AW93" s="141">
        <f t="shared" si="14"/>
        <v>0</v>
      </c>
      <c r="AX93" s="189">
        <f t="shared" si="15"/>
        <v>4</v>
      </c>
      <c r="AY93" s="190">
        <f t="shared" si="16"/>
        <v>0</v>
      </c>
    </row>
    <row r="94" spans="1:51">
      <c r="A94" s="164">
        <v>440</v>
      </c>
      <c r="B94" s="58" t="s">
        <v>5</v>
      </c>
      <c r="C94" s="58" t="s">
        <v>42</v>
      </c>
      <c r="D94" s="58" t="s">
        <v>42</v>
      </c>
      <c r="E94" s="198"/>
      <c r="F94" s="199"/>
      <c r="G94" s="199"/>
      <c r="H94" s="199"/>
      <c r="I94" s="199"/>
      <c r="J94" s="199"/>
      <c r="K94" s="199"/>
      <c r="L94" s="200"/>
      <c r="M94" s="198"/>
      <c r="N94" s="199"/>
      <c r="O94" s="199" t="s">
        <v>349</v>
      </c>
      <c r="P94" s="199" t="s">
        <v>349</v>
      </c>
      <c r="Q94" s="199"/>
      <c r="R94" s="199" t="s">
        <v>400</v>
      </c>
      <c r="S94" s="199"/>
      <c r="T94" s="200"/>
      <c r="U94" s="198"/>
      <c r="V94" s="199"/>
      <c r="W94" s="199"/>
      <c r="X94" s="199"/>
      <c r="Y94" s="199"/>
      <c r="Z94" s="199"/>
      <c r="AA94" s="199"/>
      <c r="AB94" s="200"/>
      <c r="AC94" s="198"/>
      <c r="AD94" s="199"/>
      <c r="AE94" s="199"/>
      <c r="AF94" s="199"/>
      <c r="AG94" s="199"/>
      <c r="AH94" s="199"/>
      <c r="AI94" s="199"/>
      <c r="AJ94" s="200"/>
      <c r="AK94" s="164">
        <v>440</v>
      </c>
      <c r="AN94" s="141">
        <f t="shared" si="9"/>
        <v>2</v>
      </c>
      <c r="AO94" s="189">
        <f t="shared" si="9"/>
        <v>0</v>
      </c>
      <c r="AP94" s="190">
        <f t="shared" si="9"/>
        <v>5</v>
      </c>
      <c r="AQ94" s="191">
        <f t="shared" si="10"/>
        <v>7</v>
      </c>
      <c r="AS94" s="195">
        <f t="shared" si="11"/>
        <v>0.2857142857142857</v>
      </c>
      <c r="AT94" s="196">
        <f t="shared" si="12"/>
        <v>0</v>
      </c>
      <c r="AU94" s="197">
        <f t="shared" si="13"/>
        <v>0.7142857142857143</v>
      </c>
      <c r="AW94" s="141">
        <f t="shared" si="14"/>
        <v>2</v>
      </c>
      <c r="AX94" s="189">
        <f t="shared" si="15"/>
        <v>0</v>
      </c>
      <c r="AY94" s="190">
        <f t="shared" si="16"/>
        <v>1</v>
      </c>
    </row>
    <row r="95" spans="1:51">
      <c r="A95" s="164" t="s">
        <v>271</v>
      </c>
      <c r="B95" s="58" t="s">
        <v>55</v>
      </c>
      <c r="C95" s="58" t="s">
        <v>346</v>
      </c>
      <c r="E95" s="198"/>
      <c r="F95" s="199"/>
      <c r="G95" s="199"/>
      <c r="H95" s="199"/>
      <c r="I95" s="199"/>
      <c r="J95" s="199"/>
      <c r="K95" s="199"/>
      <c r="L95" s="200"/>
      <c r="M95" s="198"/>
      <c r="N95" s="199"/>
      <c r="O95" s="199"/>
      <c r="P95" s="199"/>
      <c r="Q95" s="199"/>
      <c r="R95" s="199"/>
      <c r="S95" s="199"/>
      <c r="T95" s="200"/>
      <c r="U95" s="198"/>
      <c r="V95" s="199"/>
      <c r="W95" s="199"/>
      <c r="X95" s="199" t="s">
        <v>349</v>
      </c>
      <c r="Y95" s="199"/>
      <c r="Z95" s="199"/>
      <c r="AA95" s="199"/>
      <c r="AB95" s="200"/>
      <c r="AC95" s="198"/>
      <c r="AD95" s="199"/>
      <c r="AE95" s="199"/>
      <c r="AF95" s="199"/>
      <c r="AG95" s="199"/>
      <c r="AH95" s="199"/>
      <c r="AI95" s="199"/>
      <c r="AJ95" s="200"/>
      <c r="AK95" s="164" t="s">
        <v>271</v>
      </c>
      <c r="AN95" s="141">
        <f t="shared" si="9"/>
        <v>1</v>
      </c>
      <c r="AO95" s="189">
        <f t="shared" si="9"/>
        <v>0</v>
      </c>
      <c r="AP95" s="190">
        <f t="shared" si="9"/>
        <v>0</v>
      </c>
      <c r="AQ95" s="191">
        <f t="shared" si="10"/>
        <v>1</v>
      </c>
      <c r="AS95" s="195">
        <f t="shared" si="11"/>
        <v>1</v>
      </c>
      <c r="AT95" s="196">
        <f t="shared" si="12"/>
        <v>0</v>
      </c>
      <c r="AU95" s="197">
        <f t="shared" si="13"/>
        <v>0</v>
      </c>
      <c r="AW95" s="141">
        <f t="shared" si="14"/>
        <v>1</v>
      </c>
      <c r="AX95" s="189">
        <f t="shared" si="15"/>
        <v>0</v>
      </c>
      <c r="AY95" s="190">
        <f t="shared" si="16"/>
        <v>0</v>
      </c>
    </row>
    <row r="96" spans="1:51">
      <c r="A96" s="164">
        <v>444</v>
      </c>
      <c r="B96" s="58" t="s">
        <v>44</v>
      </c>
      <c r="C96" s="58" t="s">
        <v>349</v>
      </c>
      <c r="D96" s="58" t="s">
        <v>6</v>
      </c>
      <c r="E96" s="198"/>
      <c r="F96" s="202" t="s">
        <v>349</v>
      </c>
      <c r="G96" s="202" t="s">
        <v>349</v>
      </c>
      <c r="H96" s="199"/>
      <c r="I96" s="202" t="s">
        <v>349</v>
      </c>
      <c r="J96" s="199"/>
      <c r="K96" s="199"/>
      <c r="L96" s="200"/>
      <c r="M96" s="198"/>
      <c r="N96" s="199"/>
      <c r="O96" s="199"/>
      <c r="P96" s="199"/>
      <c r="Q96" s="199"/>
      <c r="R96" s="199"/>
      <c r="S96" s="199"/>
      <c r="T96" s="200"/>
      <c r="U96" s="198"/>
      <c r="V96" s="199"/>
      <c r="W96" s="199"/>
      <c r="X96" s="199"/>
      <c r="Y96" s="199"/>
      <c r="Z96" s="199"/>
      <c r="AA96" s="199"/>
      <c r="AB96" s="200"/>
      <c r="AC96" s="198"/>
      <c r="AD96" s="199"/>
      <c r="AE96" s="199"/>
      <c r="AF96" s="199" t="s">
        <v>349</v>
      </c>
      <c r="AG96" s="199"/>
      <c r="AH96" s="199"/>
      <c r="AI96" s="199"/>
      <c r="AJ96" s="200"/>
      <c r="AK96" s="164">
        <v>444</v>
      </c>
      <c r="AN96" s="141">
        <f t="shared" si="9"/>
        <v>4</v>
      </c>
      <c r="AO96" s="189">
        <f t="shared" si="9"/>
        <v>0</v>
      </c>
      <c r="AP96" s="190">
        <f t="shared" si="9"/>
        <v>0</v>
      </c>
      <c r="AQ96" s="191">
        <f t="shared" si="10"/>
        <v>4</v>
      </c>
      <c r="AS96" s="195">
        <f t="shared" si="11"/>
        <v>1</v>
      </c>
      <c r="AT96" s="196">
        <f t="shared" si="12"/>
        <v>0</v>
      </c>
      <c r="AU96" s="197">
        <f t="shared" si="13"/>
        <v>0</v>
      </c>
      <c r="AW96" s="141">
        <f t="shared" si="14"/>
        <v>4</v>
      </c>
      <c r="AX96" s="189">
        <f t="shared" si="15"/>
        <v>0</v>
      </c>
      <c r="AY96" s="190">
        <f t="shared" si="16"/>
        <v>0</v>
      </c>
    </row>
    <row r="97" spans="1:51">
      <c r="A97" s="164">
        <v>445</v>
      </c>
      <c r="B97" s="58" t="s">
        <v>106</v>
      </c>
      <c r="C97" s="58" t="s">
        <v>349</v>
      </c>
      <c r="D97" s="58" t="s">
        <v>6</v>
      </c>
      <c r="E97" s="198"/>
      <c r="F97" s="199"/>
      <c r="G97" s="199"/>
      <c r="H97" s="199"/>
      <c r="I97" s="199"/>
      <c r="J97" s="199"/>
      <c r="K97" s="199"/>
      <c r="L97" s="200"/>
      <c r="M97" s="198"/>
      <c r="N97" s="199"/>
      <c r="O97" s="199"/>
      <c r="P97" s="199"/>
      <c r="Q97" s="199"/>
      <c r="R97" s="199"/>
      <c r="S97" s="199"/>
      <c r="T97" s="200"/>
      <c r="U97" s="198"/>
      <c r="V97" s="199"/>
      <c r="W97" s="199"/>
      <c r="X97" s="199"/>
      <c r="Y97" s="199"/>
      <c r="Z97" s="199"/>
      <c r="AA97" s="199"/>
      <c r="AB97" s="200"/>
      <c r="AC97" s="198"/>
      <c r="AD97" s="199"/>
      <c r="AE97" s="199" t="s">
        <v>407</v>
      </c>
      <c r="AF97" s="199"/>
      <c r="AG97" s="199"/>
      <c r="AH97" s="199"/>
      <c r="AI97" s="199"/>
      <c r="AJ97" s="200"/>
      <c r="AK97" s="164">
        <v>445</v>
      </c>
      <c r="AN97" s="141">
        <f t="shared" si="9"/>
        <v>0</v>
      </c>
      <c r="AO97" s="189">
        <f t="shared" si="9"/>
        <v>2</v>
      </c>
      <c r="AP97" s="190">
        <f t="shared" si="9"/>
        <v>0</v>
      </c>
      <c r="AQ97" s="191">
        <f t="shared" si="10"/>
        <v>2</v>
      </c>
      <c r="AS97" s="195">
        <f t="shared" si="11"/>
        <v>0</v>
      </c>
      <c r="AT97" s="196">
        <f t="shared" si="12"/>
        <v>1</v>
      </c>
      <c r="AU97" s="197">
        <f t="shared" si="13"/>
        <v>0</v>
      </c>
      <c r="AW97" s="141">
        <f t="shared" si="14"/>
        <v>0</v>
      </c>
      <c r="AX97" s="189">
        <f t="shared" si="15"/>
        <v>1</v>
      </c>
      <c r="AY97" s="190">
        <f t="shared" si="16"/>
        <v>0</v>
      </c>
    </row>
    <row r="98" spans="1:51">
      <c r="A98" s="164">
        <v>449</v>
      </c>
      <c r="B98" s="58" t="s">
        <v>62</v>
      </c>
      <c r="C98" s="58" t="s">
        <v>42</v>
      </c>
      <c r="D98" s="58" t="s">
        <v>42</v>
      </c>
      <c r="E98" s="198"/>
      <c r="F98" s="202" t="s">
        <v>349</v>
      </c>
      <c r="G98" s="202" t="s">
        <v>400</v>
      </c>
      <c r="H98" s="199"/>
      <c r="I98" s="199"/>
      <c r="J98" s="199"/>
      <c r="K98" s="199"/>
      <c r="L98" s="200"/>
      <c r="M98" s="198"/>
      <c r="N98" s="199"/>
      <c r="O98" s="199"/>
      <c r="P98" s="199"/>
      <c r="Q98" s="199"/>
      <c r="R98" s="199" t="s">
        <v>400</v>
      </c>
      <c r="S98" s="199" t="s">
        <v>349</v>
      </c>
      <c r="T98" s="200"/>
      <c r="U98" s="198"/>
      <c r="V98" s="199" t="s">
        <v>349</v>
      </c>
      <c r="W98" s="199"/>
      <c r="X98" s="199"/>
      <c r="Y98" s="199"/>
      <c r="Z98" s="199"/>
      <c r="AA98" s="199"/>
      <c r="AB98" s="200"/>
      <c r="AC98" s="198"/>
      <c r="AD98" s="199"/>
      <c r="AE98" s="199"/>
      <c r="AF98" s="199"/>
      <c r="AG98" s="199"/>
      <c r="AH98" s="199"/>
      <c r="AI98" s="199"/>
      <c r="AJ98" s="200"/>
      <c r="AK98" s="164">
        <v>449</v>
      </c>
      <c r="AN98" s="141">
        <f t="shared" si="9"/>
        <v>3</v>
      </c>
      <c r="AO98" s="189">
        <f t="shared" si="9"/>
        <v>0</v>
      </c>
      <c r="AP98" s="190">
        <f t="shared" si="9"/>
        <v>10</v>
      </c>
      <c r="AQ98" s="191">
        <f t="shared" si="10"/>
        <v>13</v>
      </c>
      <c r="AS98" s="195">
        <f t="shared" si="11"/>
        <v>0.23076923076923078</v>
      </c>
      <c r="AT98" s="196">
        <f t="shared" si="12"/>
        <v>0</v>
      </c>
      <c r="AU98" s="197">
        <f t="shared" si="13"/>
        <v>0.76923076923076927</v>
      </c>
      <c r="AW98" s="141">
        <f t="shared" si="14"/>
        <v>3</v>
      </c>
      <c r="AX98" s="189">
        <f t="shared" si="15"/>
        <v>0</v>
      </c>
      <c r="AY98" s="190">
        <f t="shared" si="16"/>
        <v>2</v>
      </c>
    </row>
    <row r="99" spans="1:51">
      <c r="A99" s="164">
        <v>450</v>
      </c>
      <c r="B99" s="58" t="s">
        <v>73</v>
      </c>
      <c r="C99" s="58" t="s">
        <v>165</v>
      </c>
      <c r="D99" s="58" t="s">
        <v>6</v>
      </c>
      <c r="E99" s="198"/>
      <c r="F99" s="199"/>
      <c r="G99" s="199"/>
      <c r="H99" s="199"/>
      <c r="I99" s="199"/>
      <c r="J99" s="199"/>
      <c r="K99" s="199"/>
      <c r="L99" s="200"/>
      <c r="M99" s="198"/>
      <c r="N99" s="199"/>
      <c r="O99" s="199"/>
      <c r="P99" s="199"/>
      <c r="Q99" s="199"/>
      <c r="R99" s="199"/>
      <c r="S99" s="199"/>
      <c r="T99" s="200"/>
      <c r="U99" s="198"/>
      <c r="V99" s="199"/>
      <c r="W99" s="199"/>
      <c r="X99" s="199"/>
      <c r="Y99" s="199"/>
      <c r="Z99" s="199"/>
      <c r="AA99" s="199"/>
      <c r="AB99" s="200"/>
      <c r="AC99" s="198"/>
      <c r="AD99" s="199"/>
      <c r="AE99" s="199"/>
      <c r="AF99" s="199"/>
      <c r="AG99" s="199"/>
      <c r="AH99" s="199"/>
      <c r="AI99" s="199" t="s">
        <v>349</v>
      </c>
      <c r="AJ99" s="200"/>
      <c r="AK99" s="164">
        <v>450</v>
      </c>
      <c r="AN99" s="141">
        <f t="shared" si="9"/>
        <v>1</v>
      </c>
      <c r="AO99" s="189">
        <f t="shared" si="9"/>
        <v>0</v>
      </c>
      <c r="AP99" s="190">
        <f t="shared" si="9"/>
        <v>0</v>
      </c>
      <c r="AQ99" s="191">
        <f t="shared" si="10"/>
        <v>1</v>
      </c>
      <c r="AS99" s="195">
        <f t="shared" si="11"/>
        <v>1</v>
      </c>
      <c r="AT99" s="196">
        <f t="shared" si="12"/>
        <v>0</v>
      </c>
      <c r="AU99" s="197">
        <f t="shared" si="13"/>
        <v>0</v>
      </c>
      <c r="AW99" s="141">
        <f t="shared" si="14"/>
        <v>1</v>
      </c>
      <c r="AX99" s="189">
        <f t="shared" si="15"/>
        <v>0</v>
      </c>
      <c r="AY99" s="190">
        <f t="shared" si="16"/>
        <v>0</v>
      </c>
    </row>
    <row r="100" spans="1:51">
      <c r="A100" s="164">
        <v>454</v>
      </c>
      <c r="B100" s="58" t="s">
        <v>88</v>
      </c>
      <c r="C100" s="58" t="s">
        <v>12</v>
      </c>
      <c r="D100" s="164" t="s">
        <v>42</v>
      </c>
      <c r="E100" s="198"/>
      <c r="F100" s="199"/>
      <c r="G100" s="199"/>
      <c r="H100" s="199"/>
      <c r="I100" s="199"/>
      <c r="J100" s="199"/>
      <c r="K100" s="199"/>
      <c r="L100" s="200"/>
      <c r="M100" s="198"/>
      <c r="N100" s="199"/>
      <c r="O100" s="199"/>
      <c r="P100" s="199"/>
      <c r="Q100" s="199" t="s">
        <v>349</v>
      </c>
      <c r="R100" s="199" t="s">
        <v>349</v>
      </c>
      <c r="S100" s="199"/>
      <c r="T100" s="200"/>
      <c r="U100" s="198"/>
      <c r="V100" s="199"/>
      <c r="W100" s="199" t="s">
        <v>401</v>
      </c>
      <c r="X100" s="199"/>
      <c r="Y100" s="199"/>
      <c r="Z100" s="199"/>
      <c r="AA100" s="199"/>
      <c r="AB100" s="200"/>
      <c r="AC100" s="198"/>
      <c r="AD100" s="199"/>
      <c r="AE100" s="199"/>
      <c r="AF100" s="199"/>
      <c r="AG100" s="199"/>
      <c r="AH100" s="199"/>
      <c r="AI100" s="199"/>
      <c r="AJ100" s="200"/>
      <c r="AK100" s="164">
        <v>454</v>
      </c>
      <c r="AN100" s="141">
        <f t="shared" ref="AN100:AP129" si="17">LEN(CONCATENATE($E100,$F100,$G100,$H100,$I100,$J100,$K100,$L100,$M100,$N100,$O100,$P100,$Q100,$R100,$S100,$T100,$U100,$V100,$W100,$X100,$Y100,$Z100,$AA100,$AB100,$AC100,$AD100,$AE100,$AF100,$AG100,$AH100,$AI100,$AJ100))-LEN(SUBSTITUTE(CONCATENATE($E100,$F100,$G100,$H100,$I100,$J100,$K100,$L100,$M100,$N100,$O100,$P100,$Q100,$R100,$S100,$T100,$U100,$V100,$W100,$X100,$Y100,$Z100,$AA100,$AB100,$AC100,$AD100,$AE100,$AF100,$AG100,$AH100,$AI100,$AJ100),AN$3,""))</f>
        <v>4</v>
      </c>
      <c r="AO100" s="189">
        <f t="shared" si="17"/>
        <v>0</v>
      </c>
      <c r="AP100" s="190">
        <f t="shared" si="17"/>
        <v>0</v>
      </c>
      <c r="AQ100" s="191">
        <f t="shared" si="10"/>
        <v>4</v>
      </c>
      <c r="AS100" s="195">
        <f t="shared" si="11"/>
        <v>1</v>
      </c>
      <c r="AT100" s="196">
        <f t="shared" si="12"/>
        <v>0</v>
      </c>
      <c r="AU100" s="197">
        <f t="shared" si="13"/>
        <v>0</v>
      </c>
      <c r="AW100" s="141">
        <f t="shared" si="14"/>
        <v>3</v>
      </c>
      <c r="AX100" s="189">
        <f t="shared" si="15"/>
        <v>0</v>
      </c>
      <c r="AY100" s="190">
        <f t="shared" si="16"/>
        <v>0</v>
      </c>
    </row>
    <row r="101" spans="1:51">
      <c r="A101" s="164">
        <v>464</v>
      </c>
      <c r="B101" s="58" t="s">
        <v>99</v>
      </c>
      <c r="C101" s="58" t="s">
        <v>346</v>
      </c>
      <c r="E101" s="198"/>
      <c r="F101" s="199"/>
      <c r="G101" s="199"/>
      <c r="H101" s="199"/>
      <c r="I101" s="199" t="s">
        <v>349</v>
      </c>
      <c r="J101" s="199"/>
      <c r="K101" s="199"/>
      <c r="L101" s="200"/>
      <c r="M101" s="198"/>
      <c r="N101" s="199"/>
      <c r="O101" s="199"/>
      <c r="P101" s="199"/>
      <c r="Q101" s="199"/>
      <c r="R101" s="199"/>
      <c r="S101" s="199"/>
      <c r="T101" s="200"/>
      <c r="U101" s="198"/>
      <c r="V101" s="199"/>
      <c r="W101" s="199"/>
      <c r="X101" s="199"/>
      <c r="Y101" s="199"/>
      <c r="Z101" s="199"/>
      <c r="AA101" s="199"/>
      <c r="AB101" s="200"/>
      <c r="AC101" s="198"/>
      <c r="AD101" s="199"/>
      <c r="AE101" s="199"/>
      <c r="AF101" s="199" t="s">
        <v>42</v>
      </c>
      <c r="AG101" s="199"/>
      <c r="AH101" s="199"/>
      <c r="AI101" s="199"/>
      <c r="AJ101" s="200"/>
      <c r="AK101" s="164">
        <v>464</v>
      </c>
      <c r="AN101" s="141">
        <f t="shared" si="17"/>
        <v>1</v>
      </c>
      <c r="AO101" s="189">
        <f t="shared" si="17"/>
        <v>1</v>
      </c>
      <c r="AP101" s="190">
        <f t="shared" si="17"/>
        <v>0</v>
      </c>
      <c r="AQ101" s="191">
        <f t="shared" si="10"/>
        <v>2</v>
      </c>
      <c r="AS101" s="195">
        <f t="shared" si="11"/>
        <v>0.5</v>
      </c>
      <c r="AT101" s="196">
        <f t="shared" si="12"/>
        <v>0.5</v>
      </c>
      <c r="AU101" s="197">
        <f t="shared" si="13"/>
        <v>0</v>
      </c>
      <c r="AW101" s="141">
        <f t="shared" si="14"/>
        <v>1</v>
      </c>
      <c r="AX101" s="189">
        <f t="shared" si="15"/>
        <v>1</v>
      </c>
      <c r="AY101" s="190">
        <f t="shared" si="16"/>
        <v>0</v>
      </c>
    </row>
    <row r="102" spans="1:51">
      <c r="A102" s="164">
        <v>466</v>
      </c>
      <c r="B102" s="58" t="s">
        <v>41</v>
      </c>
      <c r="C102" s="58" t="s">
        <v>42</v>
      </c>
      <c r="D102" s="58" t="s">
        <v>6</v>
      </c>
      <c r="E102" s="198" t="s">
        <v>349</v>
      </c>
      <c r="F102" s="199"/>
      <c r="G102" s="199"/>
      <c r="H102" s="199"/>
      <c r="I102" s="199"/>
      <c r="J102" s="199"/>
      <c r="K102" s="199"/>
      <c r="L102" s="200"/>
      <c r="M102" s="198"/>
      <c r="N102" s="199"/>
      <c r="O102" s="199"/>
      <c r="P102" s="199"/>
      <c r="Q102" s="199"/>
      <c r="R102" s="199"/>
      <c r="S102" s="199" t="s">
        <v>349</v>
      </c>
      <c r="T102" s="200"/>
      <c r="U102" s="198"/>
      <c r="V102" s="199" t="s">
        <v>349</v>
      </c>
      <c r="W102" s="199" t="s">
        <v>401</v>
      </c>
      <c r="X102" s="199"/>
      <c r="Y102" s="199"/>
      <c r="Z102" s="199"/>
      <c r="AA102" s="199"/>
      <c r="AB102" s="200"/>
      <c r="AC102" s="198"/>
      <c r="AD102" s="199"/>
      <c r="AE102" s="199"/>
      <c r="AF102" s="199"/>
      <c r="AG102" s="199" t="s">
        <v>349</v>
      </c>
      <c r="AH102" s="199" t="s">
        <v>401</v>
      </c>
      <c r="AI102" s="199"/>
      <c r="AJ102" s="200"/>
      <c r="AK102" s="164">
        <v>466</v>
      </c>
      <c r="AN102" s="141">
        <f t="shared" si="17"/>
        <v>8</v>
      </c>
      <c r="AO102" s="189">
        <f t="shared" si="17"/>
        <v>0</v>
      </c>
      <c r="AP102" s="190">
        <f t="shared" si="17"/>
        <v>0</v>
      </c>
      <c r="AQ102" s="191">
        <f t="shared" si="10"/>
        <v>8</v>
      </c>
      <c r="AS102" s="195">
        <f t="shared" si="11"/>
        <v>1</v>
      </c>
      <c r="AT102" s="196">
        <f t="shared" si="12"/>
        <v>0</v>
      </c>
      <c r="AU102" s="197">
        <f t="shared" si="13"/>
        <v>0</v>
      </c>
      <c r="AW102" s="141">
        <f t="shared" si="14"/>
        <v>6</v>
      </c>
      <c r="AX102" s="189">
        <f t="shared" si="15"/>
        <v>0</v>
      </c>
      <c r="AY102" s="190">
        <f t="shared" si="16"/>
        <v>0</v>
      </c>
    </row>
    <row r="103" spans="1:51">
      <c r="A103" s="164">
        <v>467</v>
      </c>
      <c r="B103" s="58" t="s">
        <v>41</v>
      </c>
      <c r="C103" s="58" t="s">
        <v>42</v>
      </c>
      <c r="D103" s="58" t="s">
        <v>6</v>
      </c>
      <c r="E103" s="198"/>
      <c r="F103" s="199"/>
      <c r="G103" s="199"/>
      <c r="H103" s="199" t="s">
        <v>349</v>
      </c>
      <c r="I103" s="199"/>
      <c r="J103" s="199"/>
      <c r="K103" s="199"/>
      <c r="L103" s="200"/>
      <c r="M103" s="198"/>
      <c r="N103" s="199"/>
      <c r="O103" s="199"/>
      <c r="P103" s="199"/>
      <c r="Q103" s="199" t="s">
        <v>349</v>
      </c>
      <c r="R103" s="199"/>
      <c r="S103" s="199" t="s">
        <v>349</v>
      </c>
      <c r="T103" s="200" t="s">
        <v>349</v>
      </c>
      <c r="U103" s="198" t="s">
        <v>349</v>
      </c>
      <c r="V103" s="202" t="s">
        <v>401</v>
      </c>
      <c r="W103" s="202" t="s">
        <v>400</v>
      </c>
      <c r="X103" s="199"/>
      <c r="Y103" s="199"/>
      <c r="Z103" s="199"/>
      <c r="AA103" s="199"/>
      <c r="AB103" s="200"/>
      <c r="AC103" s="198"/>
      <c r="AD103" s="199"/>
      <c r="AE103" s="199"/>
      <c r="AF103" s="199"/>
      <c r="AG103" s="199"/>
      <c r="AH103" s="199"/>
      <c r="AI103" s="199"/>
      <c r="AJ103" s="200" t="s">
        <v>401</v>
      </c>
      <c r="AK103" s="164">
        <v>467</v>
      </c>
      <c r="AN103" s="141">
        <f t="shared" si="17"/>
        <v>9</v>
      </c>
      <c r="AO103" s="189">
        <f t="shared" si="17"/>
        <v>0</v>
      </c>
      <c r="AP103" s="190">
        <f t="shared" si="17"/>
        <v>5</v>
      </c>
      <c r="AQ103" s="191">
        <f t="shared" si="10"/>
        <v>14</v>
      </c>
      <c r="AS103" s="195">
        <f t="shared" si="11"/>
        <v>0.6428571428571429</v>
      </c>
      <c r="AT103" s="196">
        <f t="shared" si="12"/>
        <v>0</v>
      </c>
      <c r="AU103" s="197">
        <f t="shared" si="13"/>
        <v>0.35714285714285715</v>
      </c>
      <c r="AW103" s="141">
        <f t="shared" si="14"/>
        <v>7</v>
      </c>
      <c r="AX103" s="189">
        <f t="shared" si="15"/>
        <v>0</v>
      </c>
      <c r="AY103" s="190">
        <f t="shared" si="16"/>
        <v>1</v>
      </c>
    </row>
    <row r="104" spans="1:51">
      <c r="A104" s="164">
        <v>469</v>
      </c>
      <c r="B104" s="58" t="s">
        <v>44</v>
      </c>
      <c r="C104" s="58" t="s">
        <v>349</v>
      </c>
      <c r="D104" s="58" t="s">
        <v>42</v>
      </c>
      <c r="E104" s="198"/>
      <c r="F104" s="199"/>
      <c r="G104" s="199"/>
      <c r="H104" s="199"/>
      <c r="I104" s="199"/>
      <c r="J104" s="199" t="s">
        <v>400</v>
      </c>
      <c r="K104" s="199"/>
      <c r="L104" s="200"/>
      <c r="M104" s="198" t="s">
        <v>400</v>
      </c>
      <c r="N104" s="199"/>
      <c r="O104" s="199" t="s">
        <v>42</v>
      </c>
      <c r="P104" s="199" t="s">
        <v>349</v>
      </c>
      <c r="Q104" s="202" t="s">
        <v>400</v>
      </c>
      <c r="R104" s="199"/>
      <c r="S104" s="199"/>
      <c r="T104" s="200"/>
      <c r="U104" s="198"/>
      <c r="V104" s="199"/>
      <c r="W104" s="199"/>
      <c r="X104" s="199"/>
      <c r="Y104" s="199"/>
      <c r="Z104" s="199"/>
      <c r="AA104" s="199"/>
      <c r="AB104" s="200"/>
      <c r="AC104" s="198"/>
      <c r="AD104" s="199"/>
      <c r="AE104" s="199"/>
      <c r="AF104" s="199"/>
      <c r="AG104" s="199"/>
      <c r="AH104" s="199"/>
      <c r="AI104" s="199"/>
      <c r="AJ104" s="200"/>
      <c r="AK104" s="164">
        <v>469</v>
      </c>
      <c r="AN104" s="141">
        <f t="shared" si="17"/>
        <v>1</v>
      </c>
      <c r="AO104" s="189">
        <f t="shared" si="17"/>
        <v>1</v>
      </c>
      <c r="AP104" s="190">
        <f t="shared" si="17"/>
        <v>15</v>
      </c>
      <c r="AQ104" s="191">
        <f t="shared" si="10"/>
        <v>17</v>
      </c>
      <c r="AS104" s="195">
        <f t="shared" si="11"/>
        <v>5.8823529411764705E-2</v>
      </c>
      <c r="AT104" s="196">
        <f t="shared" si="12"/>
        <v>5.8823529411764705E-2</v>
      </c>
      <c r="AU104" s="197">
        <f t="shared" si="13"/>
        <v>0.88235294117647056</v>
      </c>
      <c r="AW104" s="141">
        <f t="shared" si="14"/>
        <v>1</v>
      </c>
      <c r="AX104" s="189">
        <f t="shared" si="15"/>
        <v>1</v>
      </c>
      <c r="AY104" s="190">
        <f t="shared" si="16"/>
        <v>3</v>
      </c>
    </row>
    <row r="105" spans="1:51">
      <c r="A105" s="164">
        <v>471</v>
      </c>
      <c r="B105" s="58" t="s">
        <v>71</v>
      </c>
      <c r="C105" s="58" t="s">
        <v>366</v>
      </c>
      <c r="D105" s="58" t="s">
        <v>6</v>
      </c>
      <c r="E105" s="198"/>
      <c r="F105" s="199"/>
      <c r="G105" s="199"/>
      <c r="H105" s="199"/>
      <c r="I105" s="199"/>
      <c r="J105" s="199"/>
      <c r="K105" s="199"/>
      <c r="L105" s="200"/>
      <c r="M105" s="198"/>
      <c r="N105" s="199"/>
      <c r="O105" s="199"/>
      <c r="P105" s="199" t="s">
        <v>349</v>
      </c>
      <c r="Q105" s="199"/>
      <c r="R105" s="199"/>
      <c r="S105" s="199"/>
      <c r="T105" s="200" t="s">
        <v>349</v>
      </c>
      <c r="U105" s="198"/>
      <c r="V105" s="199"/>
      <c r="W105" s="202" t="s">
        <v>349</v>
      </c>
      <c r="X105" s="199"/>
      <c r="Y105" s="199"/>
      <c r="Z105" s="199"/>
      <c r="AA105" s="199"/>
      <c r="AB105" s="200"/>
      <c r="AC105" s="198"/>
      <c r="AD105" s="199"/>
      <c r="AE105" s="199"/>
      <c r="AF105" s="199"/>
      <c r="AG105" s="199" t="s">
        <v>349</v>
      </c>
      <c r="AH105" s="199" t="s">
        <v>407</v>
      </c>
      <c r="AI105" s="199"/>
      <c r="AJ105" s="200"/>
      <c r="AK105" s="164">
        <v>471</v>
      </c>
      <c r="AN105" s="141">
        <f t="shared" si="17"/>
        <v>4</v>
      </c>
      <c r="AO105" s="189">
        <f t="shared" si="17"/>
        <v>2</v>
      </c>
      <c r="AP105" s="190">
        <f t="shared" si="17"/>
        <v>0</v>
      </c>
      <c r="AQ105" s="191">
        <f t="shared" si="10"/>
        <v>6</v>
      </c>
      <c r="AS105" s="195">
        <f t="shared" si="11"/>
        <v>0.66666666666666663</v>
      </c>
      <c r="AT105" s="196">
        <f t="shared" si="12"/>
        <v>0.33333333333333331</v>
      </c>
      <c r="AU105" s="197">
        <f t="shared" si="13"/>
        <v>0</v>
      </c>
      <c r="AW105" s="141">
        <f t="shared" si="14"/>
        <v>4</v>
      </c>
      <c r="AX105" s="189">
        <f t="shared" si="15"/>
        <v>1</v>
      </c>
      <c r="AY105" s="190">
        <f t="shared" si="16"/>
        <v>0</v>
      </c>
    </row>
    <row r="106" spans="1:51">
      <c r="A106" s="164">
        <v>474</v>
      </c>
      <c r="B106" s="58" t="s">
        <v>106</v>
      </c>
      <c r="C106" s="58" t="s">
        <v>349</v>
      </c>
      <c r="D106" s="58" t="s">
        <v>6</v>
      </c>
      <c r="E106" s="198"/>
      <c r="F106" s="199"/>
      <c r="G106" s="199"/>
      <c r="H106" s="199"/>
      <c r="I106" s="199"/>
      <c r="J106" s="199"/>
      <c r="K106" s="199"/>
      <c r="L106" s="200"/>
      <c r="M106" s="198"/>
      <c r="N106" s="199"/>
      <c r="O106" s="199"/>
      <c r="P106" s="199"/>
      <c r="Q106" s="199"/>
      <c r="R106" s="199"/>
      <c r="S106" s="199"/>
      <c r="T106" s="200"/>
      <c r="U106" s="198"/>
      <c r="V106" s="199"/>
      <c r="W106" s="199"/>
      <c r="X106" s="199"/>
      <c r="Y106" s="199" t="s">
        <v>349</v>
      </c>
      <c r="Z106" s="199"/>
      <c r="AA106" s="199"/>
      <c r="AB106" s="200"/>
      <c r="AC106" s="198"/>
      <c r="AD106" s="199"/>
      <c r="AE106" s="199"/>
      <c r="AF106" s="199" t="s">
        <v>401</v>
      </c>
      <c r="AG106" s="199"/>
      <c r="AH106" s="199"/>
      <c r="AI106" s="199"/>
      <c r="AJ106" s="200"/>
      <c r="AK106" s="164">
        <v>474</v>
      </c>
      <c r="AN106" s="141">
        <f t="shared" si="17"/>
        <v>3</v>
      </c>
      <c r="AO106" s="189">
        <f t="shared" si="17"/>
        <v>0</v>
      </c>
      <c r="AP106" s="190">
        <f t="shared" si="17"/>
        <v>0</v>
      </c>
      <c r="AQ106" s="191">
        <f t="shared" si="10"/>
        <v>3</v>
      </c>
      <c r="AS106" s="195">
        <f t="shared" si="11"/>
        <v>1</v>
      </c>
      <c r="AT106" s="196">
        <f t="shared" si="12"/>
        <v>0</v>
      </c>
      <c r="AU106" s="197">
        <f t="shared" si="13"/>
        <v>0</v>
      </c>
      <c r="AW106" s="141">
        <f t="shared" si="14"/>
        <v>2</v>
      </c>
      <c r="AX106" s="189">
        <f t="shared" si="15"/>
        <v>0</v>
      </c>
      <c r="AY106" s="190">
        <f t="shared" si="16"/>
        <v>0</v>
      </c>
    </row>
    <row r="107" spans="1:51">
      <c r="A107" s="164">
        <v>478</v>
      </c>
      <c r="B107" s="58" t="s">
        <v>62</v>
      </c>
      <c r="C107" s="58" t="s">
        <v>42</v>
      </c>
      <c r="D107" s="58" t="s">
        <v>42</v>
      </c>
      <c r="E107" s="198"/>
      <c r="F107" s="199"/>
      <c r="G107" s="199"/>
      <c r="H107" s="199"/>
      <c r="I107" s="199"/>
      <c r="J107" s="199"/>
      <c r="K107" s="199"/>
      <c r="L107" s="200"/>
      <c r="M107" s="198"/>
      <c r="N107" s="199"/>
      <c r="O107" s="199"/>
      <c r="P107" s="199" t="s">
        <v>349</v>
      </c>
      <c r="Q107" s="199"/>
      <c r="R107" s="199"/>
      <c r="S107" s="199"/>
      <c r="T107" s="200"/>
      <c r="U107" s="198" t="s">
        <v>349</v>
      </c>
      <c r="V107" s="199"/>
      <c r="W107" s="202" t="s">
        <v>413</v>
      </c>
      <c r="X107" s="202" t="s">
        <v>349</v>
      </c>
      <c r="Y107" s="202" t="s">
        <v>401</v>
      </c>
      <c r="Z107" s="199" t="s">
        <v>349</v>
      </c>
      <c r="AA107" s="199"/>
      <c r="AB107" s="200"/>
      <c r="AC107" s="198"/>
      <c r="AD107" s="199"/>
      <c r="AE107" s="199"/>
      <c r="AF107" s="199"/>
      <c r="AG107" s="199"/>
      <c r="AH107" s="199" t="s">
        <v>400</v>
      </c>
      <c r="AI107" s="199" t="s">
        <v>411</v>
      </c>
      <c r="AJ107" s="200" t="s">
        <v>349</v>
      </c>
      <c r="AK107" s="164">
        <v>478</v>
      </c>
      <c r="AN107" s="141">
        <f t="shared" si="17"/>
        <v>8</v>
      </c>
      <c r="AO107" s="189">
        <f t="shared" si="17"/>
        <v>6</v>
      </c>
      <c r="AP107" s="190">
        <f t="shared" si="17"/>
        <v>5</v>
      </c>
      <c r="AQ107" s="191">
        <f t="shared" si="10"/>
        <v>19</v>
      </c>
      <c r="AS107" s="195">
        <f t="shared" si="11"/>
        <v>0.42105263157894735</v>
      </c>
      <c r="AT107" s="196">
        <f t="shared" si="12"/>
        <v>0.31578947368421051</v>
      </c>
      <c r="AU107" s="197">
        <f t="shared" si="13"/>
        <v>0.26315789473684209</v>
      </c>
      <c r="AW107" s="141">
        <f t="shared" si="14"/>
        <v>7</v>
      </c>
      <c r="AX107" s="189">
        <f t="shared" si="15"/>
        <v>2</v>
      </c>
      <c r="AY107" s="190">
        <f t="shared" si="16"/>
        <v>1</v>
      </c>
    </row>
    <row r="108" spans="1:51">
      <c r="A108" s="164" t="s">
        <v>287</v>
      </c>
      <c r="B108" s="58" t="s">
        <v>41</v>
      </c>
      <c r="C108" s="58" t="s">
        <v>42</v>
      </c>
      <c r="D108" s="58" t="s">
        <v>6</v>
      </c>
      <c r="E108" s="198"/>
      <c r="F108" s="199"/>
      <c r="G108" s="199"/>
      <c r="H108" s="199"/>
      <c r="I108" s="199"/>
      <c r="J108" s="199"/>
      <c r="K108" s="199"/>
      <c r="L108" s="200"/>
      <c r="M108" s="198"/>
      <c r="N108" s="199"/>
      <c r="O108" s="199"/>
      <c r="P108" s="199"/>
      <c r="Q108" s="199"/>
      <c r="R108" s="199"/>
      <c r="S108" s="199"/>
      <c r="T108" s="200"/>
      <c r="U108" s="198"/>
      <c r="V108" s="199"/>
      <c r="W108" s="199"/>
      <c r="X108" s="199"/>
      <c r="Y108" s="199"/>
      <c r="Z108" s="199"/>
      <c r="AA108" s="199"/>
      <c r="AB108" s="200"/>
      <c r="AC108" s="198"/>
      <c r="AD108" s="199"/>
      <c r="AE108" s="199"/>
      <c r="AF108" s="199"/>
      <c r="AG108" s="199"/>
      <c r="AH108" s="199" t="s">
        <v>42</v>
      </c>
      <c r="AI108" s="199"/>
      <c r="AJ108" s="200"/>
      <c r="AK108" s="164" t="s">
        <v>287</v>
      </c>
      <c r="AN108" s="141">
        <f t="shared" si="17"/>
        <v>0</v>
      </c>
      <c r="AO108" s="189">
        <f t="shared" si="17"/>
        <v>1</v>
      </c>
      <c r="AP108" s="190">
        <f t="shared" si="17"/>
        <v>0</v>
      </c>
      <c r="AQ108" s="191">
        <f t="shared" si="10"/>
        <v>1</v>
      </c>
      <c r="AS108" s="195">
        <f t="shared" si="11"/>
        <v>0</v>
      </c>
      <c r="AT108" s="196">
        <f t="shared" si="12"/>
        <v>1</v>
      </c>
      <c r="AU108" s="197">
        <f t="shared" si="13"/>
        <v>0</v>
      </c>
      <c r="AW108" s="141">
        <f t="shared" si="14"/>
        <v>0</v>
      </c>
      <c r="AX108" s="189">
        <f t="shared" si="15"/>
        <v>1</v>
      </c>
      <c r="AY108" s="190">
        <f t="shared" si="16"/>
        <v>0</v>
      </c>
    </row>
    <row r="109" spans="1:51">
      <c r="A109" s="164" t="s">
        <v>290</v>
      </c>
      <c r="B109" s="58" t="s">
        <v>5</v>
      </c>
      <c r="C109" s="58" t="s">
        <v>42</v>
      </c>
      <c r="D109" s="58" t="s">
        <v>42</v>
      </c>
      <c r="E109" s="198" t="s">
        <v>400</v>
      </c>
      <c r="F109" s="199"/>
      <c r="G109" s="199"/>
      <c r="H109" s="199"/>
      <c r="I109" s="199"/>
      <c r="J109" s="199"/>
      <c r="K109" s="199"/>
      <c r="L109" s="200"/>
      <c r="M109" s="198"/>
      <c r="N109" s="199"/>
      <c r="O109" s="199"/>
      <c r="P109" s="199"/>
      <c r="Q109" s="199"/>
      <c r="R109" s="199"/>
      <c r="S109" s="199"/>
      <c r="T109" s="200" t="s">
        <v>349</v>
      </c>
      <c r="U109" s="198"/>
      <c r="V109" s="199"/>
      <c r="W109" s="199" t="s">
        <v>400</v>
      </c>
      <c r="X109" s="199"/>
      <c r="Y109" s="199"/>
      <c r="Z109" s="199"/>
      <c r="AA109" s="199"/>
      <c r="AB109" s="200"/>
      <c r="AC109" s="198"/>
      <c r="AD109" s="199"/>
      <c r="AE109" s="199"/>
      <c r="AF109" s="199"/>
      <c r="AG109" s="199"/>
      <c r="AH109" s="199"/>
      <c r="AI109" s="199"/>
      <c r="AJ109" s="200"/>
      <c r="AK109" s="164" t="s">
        <v>290</v>
      </c>
      <c r="AN109" s="141">
        <f t="shared" si="17"/>
        <v>1</v>
      </c>
      <c r="AO109" s="189">
        <f t="shared" si="17"/>
        <v>0</v>
      </c>
      <c r="AP109" s="190">
        <f t="shared" si="17"/>
        <v>10</v>
      </c>
      <c r="AQ109" s="191">
        <f t="shared" si="10"/>
        <v>11</v>
      </c>
      <c r="AS109" s="195">
        <f t="shared" si="11"/>
        <v>9.0909090909090912E-2</v>
      </c>
      <c r="AT109" s="196">
        <f t="shared" si="12"/>
        <v>0</v>
      </c>
      <c r="AU109" s="197">
        <f t="shared" si="13"/>
        <v>0.90909090909090906</v>
      </c>
      <c r="AW109" s="141">
        <f t="shared" si="14"/>
        <v>1</v>
      </c>
      <c r="AX109" s="189">
        <f t="shared" si="15"/>
        <v>0</v>
      </c>
      <c r="AY109" s="190">
        <f t="shared" si="16"/>
        <v>2</v>
      </c>
    </row>
    <row r="110" spans="1:51">
      <c r="A110" s="164">
        <v>489</v>
      </c>
      <c r="B110" s="58" t="s">
        <v>99</v>
      </c>
      <c r="C110" s="58" t="s">
        <v>346</v>
      </c>
      <c r="D110" s="58"/>
      <c r="E110" s="198"/>
      <c r="F110" s="199"/>
      <c r="G110" s="199"/>
      <c r="H110" s="199"/>
      <c r="I110" s="199"/>
      <c r="J110" s="199"/>
      <c r="K110" s="199"/>
      <c r="L110" s="200"/>
      <c r="M110" s="198"/>
      <c r="N110" s="199"/>
      <c r="O110" s="199"/>
      <c r="P110" s="199" t="s">
        <v>349</v>
      </c>
      <c r="Q110" s="199"/>
      <c r="R110" s="199"/>
      <c r="S110" s="199"/>
      <c r="T110" s="200"/>
      <c r="U110" s="198"/>
      <c r="V110" s="199"/>
      <c r="W110" s="199"/>
      <c r="X110" s="199"/>
      <c r="Y110" s="199"/>
      <c r="Z110" s="199"/>
      <c r="AA110" s="199"/>
      <c r="AB110" s="200"/>
      <c r="AC110" s="198"/>
      <c r="AD110" s="199"/>
      <c r="AE110" s="199"/>
      <c r="AF110" s="199"/>
      <c r="AG110" s="199"/>
      <c r="AH110" s="199"/>
      <c r="AI110" s="199"/>
      <c r="AJ110" s="200"/>
      <c r="AK110" s="164">
        <v>489</v>
      </c>
      <c r="AN110" s="141">
        <f t="shared" si="17"/>
        <v>1</v>
      </c>
      <c r="AO110" s="189">
        <f t="shared" si="17"/>
        <v>0</v>
      </c>
      <c r="AP110" s="190">
        <f t="shared" si="17"/>
        <v>0</v>
      </c>
      <c r="AQ110" s="191">
        <f t="shared" si="10"/>
        <v>1</v>
      </c>
      <c r="AS110" s="195">
        <f t="shared" si="11"/>
        <v>1</v>
      </c>
      <c r="AT110" s="196">
        <f t="shared" si="12"/>
        <v>0</v>
      </c>
      <c r="AU110" s="197">
        <f t="shared" si="13"/>
        <v>0</v>
      </c>
      <c r="AW110" s="141">
        <f t="shared" si="14"/>
        <v>1</v>
      </c>
      <c r="AX110" s="189">
        <f t="shared" si="15"/>
        <v>0</v>
      </c>
      <c r="AY110" s="190">
        <f t="shared" si="16"/>
        <v>0</v>
      </c>
    </row>
    <row r="111" spans="1:51">
      <c r="A111" s="164">
        <v>498</v>
      </c>
      <c r="B111" s="164" t="s">
        <v>62</v>
      </c>
      <c r="C111" s="58" t="s">
        <v>42</v>
      </c>
      <c r="D111" s="164" t="s">
        <v>42</v>
      </c>
      <c r="E111" s="198"/>
      <c r="F111" s="202" t="s">
        <v>400</v>
      </c>
      <c r="G111" s="199"/>
      <c r="H111" s="199"/>
      <c r="I111" s="199"/>
      <c r="J111" s="199"/>
      <c r="K111" s="199"/>
      <c r="L111" s="200"/>
      <c r="M111" s="198"/>
      <c r="N111" s="199"/>
      <c r="O111" s="199"/>
      <c r="P111" s="199"/>
      <c r="Q111" s="199"/>
      <c r="R111" s="199"/>
      <c r="S111" s="199"/>
      <c r="T111" s="200"/>
      <c r="U111" s="198"/>
      <c r="V111" s="199"/>
      <c r="W111" s="199"/>
      <c r="X111" s="199"/>
      <c r="Y111" s="199"/>
      <c r="Z111" s="199"/>
      <c r="AA111" s="199"/>
      <c r="AB111" s="200"/>
      <c r="AC111" s="198"/>
      <c r="AD111" s="199"/>
      <c r="AE111" s="199"/>
      <c r="AF111" s="199"/>
      <c r="AG111" s="199"/>
      <c r="AH111" s="199"/>
      <c r="AI111" s="199"/>
      <c r="AJ111" s="200"/>
      <c r="AK111" s="164">
        <v>498</v>
      </c>
      <c r="AN111" s="141">
        <f t="shared" si="17"/>
        <v>0</v>
      </c>
      <c r="AO111" s="189">
        <f t="shared" si="17"/>
        <v>0</v>
      </c>
      <c r="AP111" s="190">
        <f t="shared" si="17"/>
        <v>5</v>
      </c>
      <c r="AQ111" s="191">
        <f t="shared" si="10"/>
        <v>5</v>
      </c>
      <c r="AS111" s="195">
        <f t="shared" si="11"/>
        <v>0</v>
      </c>
      <c r="AT111" s="196">
        <f t="shared" si="12"/>
        <v>0</v>
      </c>
      <c r="AU111" s="197">
        <f t="shared" si="13"/>
        <v>1</v>
      </c>
      <c r="AW111" s="141">
        <f t="shared" si="14"/>
        <v>0</v>
      </c>
      <c r="AX111" s="189">
        <f t="shared" si="15"/>
        <v>0</v>
      </c>
      <c r="AY111" s="190">
        <f t="shared" si="16"/>
        <v>1</v>
      </c>
    </row>
    <row r="112" spans="1:51">
      <c r="A112" s="164">
        <v>499</v>
      </c>
      <c r="B112" s="164" t="s">
        <v>123</v>
      </c>
      <c r="C112" s="58" t="s">
        <v>366</v>
      </c>
      <c r="D112" s="164" t="s">
        <v>6</v>
      </c>
      <c r="E112" s="198"/>
      <c r="F112" s="199"/>
      <c r="G112" s="199"/>
      <c r="H112" s="199"/>
      <c r="I112" s="199" t="s">
        <v>400</v>
      </c>
      <c r="J112" s="199" t="s">
        <v>349</v>
      </c>
      <c r="K112" s="199" t="s">
        <v>349</v>
      </c>
      <c r="L112" s="200" t="s">
        <v>349</v>
      </c>
      <c r="M112" s="198"/>
      <c r="N112" s="202" t="s">
        <v>349</v>
      </c>
      <c r="O112" s="202" t="s">
        <v>400</v>
      </c>
      <c r="P112" s="202" t="s">
        <v>400</v>
      </c>
      <c r="Q112" s="199"/>
      <c r="R112" s="199"/>
      <c r="S112" s="199"/>
      <c r="T112" s="200"/>
      <c r="U112" s="198" t="s">
        <v>400</v>
      </c>
      <c r="V112" s="199" t="s">
        <v>410</v>
      </c>
      <c r="W112" s="199"/>
      <c r="X112" s="199"/>
      <c r="Y112" s="199" t="s">
        <v>349</v>
      </c>
      <c r="Z112" s="199"/>
      <c r="AA112" s="199"/>
      <c r="AB112" s="200"/>
      <c r="AC112" s="198" t="s">
        <v>349</v>
      </c>
      <c r="AD112" s="199" t="s">
        <v>349</v>
      </c>
      <c r="AE112" s="199" t="s">
        <v>349</v>
      </c>
      <c r="AF112" s="202" t="s">
        <v>349</v>
      </c>
      <c r="AG112" s="202" t="s">
        <v>401</v>
      </c>
      <c r="AH112" s="199"/>
      <c r="AI112" s="199"/>
      <c r="AJ112" s="200" t="s">
        <v>349</v>
      </c>
      <c r="AK112" s="164">
        <v>499</v>
      </c>
      <c r="AN112" s="141">
        <f t="shared" si="17"/>
        <v>15</v>
      </c>
      <c r="AO112" s="189">
        <f t="shared" si="17"/>
        <v>0</v>
      </c>
      <c r="AP112" s="190">
        <f t="shared" si="17"/>
        <v>20</v>
      </c>
      <c r="AQ112" s="191">
        <f t="shared" si="10"/>
        <v>35</v>
      </c>
      <c r="AS112" s="195">
        <f t="shared" si="11"/>
        <v>0.42857142857142855</v>
      </c>
      <c r="AT112" s="196">
        <f t="shared" si="12"/>
        <v>0</v>
      </c>
      <c r="AU112" s="197">
        <f t="shared" si="13"/>
        <v>0.5714285714285714</v>
      </c>
      <c r="AW112" s="141">
        <f t="shared" si="14"/>
        <v>12</v>
      </c>
      <c r="AX112" s="189">
        <f t="shared" si="15"/>
        <v>0</v>
      </c>
      <c r="AY112" s="190">
        <f t="shared" si="16"/>
        <v>4</v>
      </c>
    </row>
    <row r="113" spans="1:51">
      <c r="A113" s="164">
        <v>505</v>
      </c>
      <c r="B113" s="164" t="s">
        <v>73</v>
      </c>
      <c r="C113" s="58" t="s">
        <v>165</v>
      </c>
      <c r="D113" s="164" t="s">
        <v>42</v>
      </c>
      <c r="E113" s="198"/>
      <c r="F113" s="199"/>
      <c r="G113" s="199"/>
      <c r="H113" s="199"/>
      <c r="I113" s="199"/>
      <c r="J113" s="199"/>
      <c r="K113" s="199"/>
      <c r="L113" s="200"/>
      <c r="M113" s="198"/>
      <c r="N113" s="199"/>
      <c r="O113" s="199"/>
      <c r="P113" s="199"/>
      <c r="Q113" s="199" t="s">
        <v>400</v>
      </c>
      <c r="R113" s="199"/>
      <c r="S113" s="199"/>
      <c r="T113" s="200"/>
      <c r="U113" s="198"/>
      <c r="V113" s="199"/>
      <c r="W113" s="199"/>
      <c r="X113" s="199"/>
      <c r="Y113" s="199"/>
      <c r="Z113" s="199"/>
      <c r="AA113" s="199"/>
      <c r="AB113" s="200"/>
      <c r="AC113" s="198"/>
      <c r="AD113" s="199"/>
      <c r="AE113" s="199"/>
      <c r="AF113" s="199"/>
      <c r="AG113" s="199"/>
      <c r="AH113" s="199"/>
      <c r="AI113" s="199"/>
      <c r="AJ113" s="200"/>
      <c r="AK113" s="164">
        <v>505</v>
      </c>
      <c r="AN113" s="141">
        <f t="shared" si="17"/>
        <v>0</v>
      </c>
      <c r="AO113" s="189">
        <f t="shared" si="17"/>
        <v>0</v>
      </c>
      <c r="AP113" s="190">
        <f t="shared" si="17"/>
        <v>5</v>
      </c>
      <c r="AQ113" s="191">
        <f t="shared" si="10"/>
        <v>5</v>
      </c>
      <c r="AS113" s="195">
        <f t="shared" si="11"/>
        <v>0</v>
      </c>
      <c r="AT113" s="196">
        <f t="shared" si="12"/>
        <v>0</v>
      </c>
      <c r="AU113" s="197">
        <f t="shared" si="13"/>
        <v>1</v>
      </c>
      <c r="AW113" s="141">
        <f t="shared" si="14"/>
        <v>0</v>
      </c>
      <c r="AX113" s="189">
        <f t="shared" si="15"/>
        <v>0</v>
      </c>
      <c r="AY113" s="190">
        <f t="shared" si="16"/>
        <v>1</v>
      </c>
    </row>
    <row r="114" spans="1:51">
      <c r="A114" s="164">
        <v>506</v>
      </c>
      <c r="B114" s="164" t="s">
        <v>240</v>
      </c>
      <c r="C114" s="58" t="s">
        <v>42</v>
      </c>
      <c r="D114" s="164" t="s">
        <v>6</v>
      </c>
      <c r="E114" s="198"/>
      <c r="F114" s="199"/>
      <c r="G114" s="199"/>
      <c r="H114" s="199"/>
      <c r="I114" s="199"/>
      <c r="J114" s="199"/>
      <c r="K114" s="199"/>
      <c r="L114" s="200"/>
      <c r="M114" s="198"/>
      <c r="N114" s="199"/>
      <c r="O114" s="199"/>
      <c r="P114" s="199"/>
      <c r="Q114" s="199" t="s">
        <v>349</v>
      </c>
      <c r="R114" s="199" t="s">
        <v>400</v>
      </c>
      <c r="S114" s="199" t="s">
        <v>414</v>
      </c>
      <c r="T114" s="200" t="s">
        <v>349</v>
      </c>
      <c r="U114" s="198"/>
      <c r="V114" s="199"/>
      <c r="W114" s="199"/>
      <c r="X114" s="199"/>
      <c r="Y114" s="199"/>
      <c r="Z114" s="199"/>
      <c r="AA114" s="199"/>
      <c r="AB114" s="200"/>
      <c r="AC114" s="198"/>
      <c r="AD114" s="199"/>
      <c r="AE114" s="199" t="s">
        <v>400</v>
      </c>
      <c r="AF114" s="199" t="s">
        <v>400</v>
      </c>
      <c r="AG114" s="199" t="s">
        <v>400</v>
      </c>
      <c r="AH114" s="199"/>
      <c r="AI114" s="199"/>
      <c r="AJ114" s="200" t="s">
        <v>42</v>
      </c>
      <c r="AK114" s="164">
        <v>506</v>
      </c>
      <c r="AN114" s="141">
        <f t="shared" si="17"/>
        <v>3</v>
      </c>
      <c r="AO114" s="189">
        <f t="shared" si="17"/>
        <v>1</v>
      </c>
      <c r="AP114" s="190">
        <f t="shared" si="17"/>
        <v>22</v>
      </c>
      <c r="AQ114" s="191">
        <f t="shared" si="10"/>
        <v>26</v>
      </c>
      <c r="AS114" s="195">
        <f t="shared" si="11"/>
        <v>0.11538461538461539</v>
      </c>
      <c r="AT114" s="196">
        <f t="shared" si="12"/>
        <v>3.8461538461538464E-2</v>
      </c>
      <c r="AU114" s="197">
        <f t="shared" si="13"/>
        <v>0.84615384615384615</v>
      </c>
      <c r="AW114" s="141">
        <f t="shared" si="14"/>
        <v>3</v>
      </c>
      <c r="AX114" s="189">
        <f t="shared" si="15"/>
        <v>1</v>
      </c>
      <c r="AY114" s="190">
        <f t="shared" si="16"/>
        <v>5</v>
      </c>
    </row>
    <row r="115" spans="1:51">
      <c r="A115" s="164">
        <v>513</v>
      </c>
      <c r="B115" s="164" t="s">
        <v>73</v>
      </c>
      <c r="C115" s="58" t="s">
        <v>165</v>
      </c>
      <c r="D115" s="164" t="s">
        <v>6</v>
      </c>
      <c r="E115" s="198"/>
      <c r="F115" s="199"/>
      <c r="G115" s="202" t="s">
        <v>400</v>
      </c>
      <c r="H115" s="199"/>
      <c r="I115" s="199"/>
      <c r="J115" s="199"/>
      <c r="K115" s="199"/>
      <c r="L115" s="200"/>
      <c r="M115" s="198"/>
      <c r="N115" s="199"/>
      <c r="O115" s="199"/>
      <c r="P115" s="199"/>
      <c r="Q115" s="199"/>
      <c r="R115" s="199"/>
      <c r="S115" s="199" t="s">
        <v>42</v>
      </c>
      <c r="T115" s="200"/>
      <c r="U115" s="198"/>
      <c r="V115" s="199"/>
      <c r="W115" s="199" t="s">
        <v>408</v>
      </c>
      <c r="X115" s="199"/>
      <c r="Y115" s="199"/>
      <c r="Z115" s="199"/>
      <c r="AA115" s="199"/>
      <c r="AB115" s="200"/>
      <c r="AC115" s="198"/>
      <c r="AD115" s="199"/>
      <c r="AE115" s="199"/>
      <c r="AF115" s="199"/>
      <c r="AG115" s="199"/>
      <c r="AH115" s="199"/>
      <c r="AI115" s="199" t="s">
        <v>400</v>
      </c>
      <c r="AJ115" s="200"/>
      <c r="AK115" s="164">
        <v>513</v>
      </c>
      <c r="AN115" s="141">
        <f t="shared" si="17"/>
        <v>0</v>
      </c>
      <c r="AO115" s="189">
        <f t="shared" si="17"/>
        <v>1</v>
      </c>
      <c r="AP115" s="190">
        <f t="shared" si="17"/>
        <v>13</v>
      </c>
      <c r="AQ115" s="191">
        <f t="shared" si="10"/>
        <v>14</v>
      </c>
      <c r="AS115" s="195">
        <f t="shared" si="11"/>
        <v>0</v>
      </c>
      <c r="AT115" s="196">
        <f t="shared" si="12"/>
        <v>7.1428571428571425E-2</v>
      </c>
      <c r="AU115" s="197">
        <f t="shared" si="13"/>
        <v>0.9285714285714286</v>
      </c>
      <c r="AW115" s="141">
        <f t="shared" si="14"/>
        <v>0</v>
      </c>
      <c r="AX115" s="189">
        <f t="shared" si="15"/>
        <v>1</v>
      </c>
      <c r="AY115" s="190">
        <f t="shared" si="16"/>
        <v>3</v>
      </c>
    </row>
    <row r="116" spans="1:51">
      <c r="A116" s="164">
        <v>519</v>
      </c>
      <c r="B116" s="164" t="s">
        <v>62</v>
      </c>
      <c r="C116" s="58" t="s">
        <v>42</v>
      </c>
      <c r="D116" s="164" t="s">
        <v>42</v>
      </c>
      <c r="E116" s="198" t="s">
        <v>400</v>
      </c>
      <c r="F116" s="202" t="s">
        <v>415</v>
      </c>
      <c r="G116" s="199" t="s">
        <v>401</v>
      </c>
      <c r="H116" s="202"/>
      <c r="I116" s="199"/>
      <c r="J116" s="199"/>
      <c r="K116" s="199"/>
      <c r="L116" s="200"/>
      <c r="M116" s="198"/>
      <c r="N116" s="199"/>
      <c r="O116" s="199"/>
      <c r="P116" s="199"/>
      <c r="Q116" s="199"/>
      <c r="R116" s="199"/>
      <c r="S116" s="199" t="s">
        <v>349</v>
      </c>
      <c r="T116" s="200" t="s">
        <v>349</v>
      </c>
      <c r="U116" s="198" t="s">
        <v>410</v>
      </c>
      <c r="V116" s="202" t="s">
        <v>410</v>
      </c>
      <c r="W116" s="202" t="s">
        <v>349</v>
      </c>
      <c r="X116" s="202" t="s">
        <v>349</v>
      </c>
      <c r="Y116" s="199"/>
      <c r="Z116" s="199"/>
      <c r="AA116" s="199"/>
      <c r="AB116" s="200"/>
      <c r="AC116" s="198"/>
      <c r="AD116" s="199"/>
      <c r="AE116" s="199"/>
      <c r="AF116" s="199"/>
      <c r="AG116" s="199"/>
      <c r="AH116" s="199" t="s">
        <v>400</v>
      </c>
      <c r="AI116" s="199" t="s">
        <v>349</v>
      </c>
      <c r="AJ116" s="200"/>
      <c r="AK116" s="164">
        <v>519</v>
      </c>
      <c r="AN116" s="141">
        <f t="shared" si="17"/>
        <v>14</v>
      </c>
      <c r="AO116" s="189">
        <f t="shared" si="17"/>
        <v>0</v>
      </c>
      <c r="AP116" s="190">
        <f t="shared" si="17"/>
        <v>11</v>
      </c>
      <c r="AQ116" s="191">
        <f t="shared" si="10"/>
        <v>25</v>
      </c>
      <c r="AS116" s="195">
        <f t="shared" si="11"/>
        <v>0.56000000000000005</v>
      </c>
      <c r="AT116" s="196">
        <f t="shared" si="12"/>
        <v>0</v>
      </c>
      <c r="AU116" s="197">
        <f t="shared" si="13"/>
        <v>0.44</v>
      </c>
      <c r="AW116" s="141">
        <f t="shared" si="14"/>
        <v>9</v>
      </c>
      <c r="AX116" s="189">
        <f t="shared" si="15"/>
        <v>0</v>
      </c>
      <c r="AY116" s="190">
        <f t="shared" si="16"/>
        <v>3</v>
      </c>
    </row>
    <row r="117" spans="1:51">
      <c r="A117" s="164">
        <v>521</v>
      </c>
      <c r="B117" s="164" t="s">
        <v>41</v>
      </c>
      <c r="C117" s="58" t="s">
        <v>42</v>
      </c>
      <c r="D117" s="164" t="s">
        <v>42</v>
      </c>
      <c r="E117" s="198"/>
      <c r="F117" s="199"/>
      <c r="G117" s="202" t="s">
        <v>400</v>
      </c>
      <c r="H117" s="199"/>
      <c r="I117" s="199"/>
      <c r="J117" s="199"/>
      <c r="K117" s="199"/>
      <c r="L117" s="200"/>
      <c r="M117" s="198"/>
      <c r="N117" s="199"/>
      <c r="O117" s="199"/>
      <c r="P117" s="199" t="s">
        <v>349</v>
      </c>
      <c r="Q117" s="199"/>
      <c r="R117" s="199"/>
      <c r="S117" s="202" t="s">
        <v>401</v>
      </c>
      <c r="T117" s="200" t="s">
        <v>349</v>
      </c>
      <c r="U117" s="198"/>
      <c r="V117" s="199"/>
      <c r="W117" s="199" t="s">
        <v>400</v>
      </c>
      <c r="X117" s="202" t="s">
        <v>349</v>
      </c>
      <c r="Y117" s="199"/>
      <c r="Z117" s="199"/>
      <c r="AA117" s="199"/>
      <c r="AB117" s="200"/>
      <c r="AC117" s="198"/>
      <c r="AD117" s="199"/>
      <c r="AE117" s="199"/>
      <c r="AF117" s="199"/>
      <c r="AG117" s="199" t="s">
        <v>349</v>
      </c>
      <c r="AH117" s="199"/>
      <c r="AI117" s="199" t="s">
        <v>349</v>
      </c>
      <c r="AJ117" s="200"/>
      <c r="AK117" s="164">
        <v>521</v>
      </c>
      <c r="AN117" s="141">
        <f t="shared" si="17"/>
        <v>7</v>
      </c>
      <c r="AO117" s="189">
        <f t="shared" si="17"/>
        <v>0</v>
      </c>
      <c r="AP117" s="190">
        <f t="shared" si="17"/>
        <v>10</v>
      </c>
      <c r="AQ117" s="191">
        <f t="shared" si="10"/>
        <v>17</v>
      </c>
      <c r="AS117" s="195">
        <f t="shared" si="11"/>
        <v>0.41176470588235292</v>
      </c>
      <c r="AT117" s="196">
        <f t="shared" si="12"/>
        <v>0</v>
      </c>
      <c r="AU117" s="197">
        <f t="shared" si="13"/>
        <v>0.58823529411764708</v>
      </c>
      <c r="AW117" s="141">
        <f t="shared" si="14"/>
        <v>6</v>
      </c>
      <c r="AX117" s="189">
        <f t="shared" si="15"/>
        <v>0</v>
      </c>
      <c r="AY117" s="190">
        <f t="shared" si="16"/>
        <v>2</v>
      </c>
    </row>
    <row r="118" spans="1:51">
      <c r="A118" s="164">
        <v>524</v>
      </c>
      <c r="B118" s="164" t="s">
        <v>41</v>
      </c>
      <c r="C118" s="58" t="s">
        <v>42</v>
      </c>
      <c r="D118" s="164" t="s">
        <v>6</v>
      </c>
      <c r="E118" s="198" t="s">
        <v>402</v>
      </c>
      <c r="F118" s="202" t="s">
        <v>349</v>
      </c>
      <c r="G118" s="199" t="s">
        <v>42</v>
      </c>
      <c r="H118" s="199"/>
      <c r="I118" s="199"/>
      <c r="J118" s="199"/>
      <c r="K118" s="199"/>
      <c r="L118" s="200"/>
      <c r="M118" s="198"/>
      <c r="N118" s="199"/>
      <c r="O118" s="199"/>
      <c r="P118" s="199"/>
      <c r="Q118" s="199"/>
      <c r="R118" s="199"/>
      <c r="S118" s="199"/>
      <c r="T118" s="200" t="s">
        <v>409</v>
      </c>
      <c r="U118" s="198" t="s">
        <v>349</v>
      </c>
      <c r="V118" s="199"/>
      <c r="W118" s="199"/>
      <c r="X118" s="199"/>
      <c r="Y118" s="199"/>
      <c r="Z118" s="199"/>
      <c r="AA118" s="199"/>
      <c r="AB118" s="200"/>
      <c r="AC118" s="198"/>
      <c r="AD118" s="199"/>
      <c r="AE118" s="199"/>
      <c r="AF118" s="199"/>
      <c r="AG118" s="199"/>
      <c r="AH118" s="199"/>
      <c r="AI118" s="199"/>
      <c r="AJ118" s="200"/>
      <c r="AK118" s="164">
        <v>524</v>
      </c>
      <c r="AN118" s="141">
        <f t="shared" si="17"/>
        <v>2</v>
      </c>
      <c r="AO118" s="189">
        <f t="shared" si="17"/>
        <v>4</v>
      </c>
      <c r="AP118" s="190">
        <f t="shared" si="17"/>
        <v>4</v>
      </c>
      <c r="AQ118" s="191">
        <f t="shared" si="10"/>
        <v>10</v>
      </c>
      <c r="AS118" s="195">
        <f t="shared" si="11"/>
        <v>0.2</v>
      </c>
      <c r="AT118" s="196">
        <f t="shared" si="12"/>
        <v>0.4</v>
      </c>
      <c r="AU118" s="197">
        <f t="shared" si="13"/>
        <v>0.4</v>
      </c>
      <c r="AW118" s="141">
        <f t="shared" si="14"/>
        <v>2</v>
      </c>
      <c r="AX118" s="189">
        <f t="shared" si="15"/>
        <v>2</v>
      </c>
      <c r="AY118" s="190">
        <f t="shared" si="16"/>
        <v>1</v>
      </c>
    </row>
    <row r="119" spans="1:51">
      <c r="A119" s="164">
        <v>525</v>
      </c>
      <c r="B119" s="164" t="s">
        <v>93</v>
      </c>
      <c r="C119" s="58" t="s">
        <v>12</v>
      </c>
      <c r="D119" s="164" t="s">
        <v>6</v>
      </c>
      <c r="E119" s="198"/>
      <c r="F119" s="199"/>
      <c r="G119" s="199"/>
      <c r="H119" s="199"/>
      <c r="I119" s="199"/>
      <c r="J119" s="199"/>
      <c r="K119" s="199"/>
      <c r="L119" s="200"/>
      <c r="M119" s="198"/>
      <c r="N119" s="199"/>
      <c r="O119" s="199"/>
      <c r="P119" s="199"/>
      <c r="Q119" s="199"/>
      <c r="R119" s="199"/>
      <c r="S119" s="199"/>
      <c r="T119" s="200"/>
      <c r="U119" s="198"/>
      <c r="V119" s="199"/>
      <c r="W119" s="199"/>
      <c r="X119" s="199"/>
      <c r="Y119" s="199"/>
      <c r="Z119" s="199"/>
      <c r="AA119" s="199"/>
      <c r="AB119" s="200"/>
      <c r="AC119" s="198"/>
      <c r="AD119" s="199"/>
      <c r="AE119" s="199"/>
      <c r="AF119" s="199"/>
      <c r="AG119" s="199"/>
      <c r="AH119" s="199"/>
      <c r="AI119" s="202" t="s">
        <v>401</v>
      </c>
      <c r="AJ119" s="200"/>
      <c r="AK119" s="164">
        <v>525</v>
      </c>
      <c r="AN119" s="141">
        <f t="shared" si="17"/>
        <v>2</v>
      </c>
      <c r="AO119" s="189">
        <f t="shared" si="17"/>
        <v>0</v>
      </c>
      <c r="AP119" s="190">
        <f t="shared" si="17"/>
        <v>0</v>
      </c>
      <c r="AQ119" s="191">
        <f t="shared" si="10"/>
        <v>2</v>
      </c>
      <c r="AS119" s="195">
        <f t="shared" si="11"/>
        <v>1</v>
      </c>
      <c r="AT119" s="196">
        <f t="shared" si="12"/>
        <v>0</v>
      </c>
      <c r="AU119" s="197">
        <f t="shared" si="13"/>
        <v>0</v>
      </c>
      <c r="AW119" s="141">
        <f t="shared" si="14"/>
        <v>1</v>
      </c>
      <c r="AX119" s="189">
        <f t="shared" si="15"/>
        <v>0</v>
      </c>
      <c r="AY119" s="190">
        <f t="shared" si="16"/>
        <v>0</v>
      </c>
    </row>
    <row r="120" spans="1:51">
      <c r="A120" s="164">
        <v>526</v>
      </c>
      <c r="B120" s="164" t="s">
        <v>240</v>
      </c>
      <c r="C120" s="58" t="s">
        <v>42</v>
      </c>
      <c r="D120" s="164" t="s">
        <v>42</v>
      </c>
      <c r="E120" s="198"/>
      <c r="F120" s="202" t="s">
        <v>349</v>
      </c>
      <c r="G120" s="202" t="s">
        <v>349</v>
      </c>
      <c r="H120" s="199"/>
      <c r="I120" s="199"/>
      <c r="J120" s="199"/>
      <c r="K120" s="199"/>
      <c r="L120" s="200"/>
      <c r="M120" s="198"/>
      <c r="N120" s="199"/>
      <c r="O120" s="199"/>
      <c r="P120" s="199"/>
      <c r="Q120" s="199"/>
      <c r="R120" s="199" t="s">
        <v>401</v>
      </c>
      <c r="S120" s="202" t="s">
        <v>349</v>
      </c>
      <c r="T120" s="200"/>
      <c r="U120" s="198"/>
      <c r="V120" s="199"/>
      <c r="W120" s="202" t="s">
        <v>400</v>
      </c>
      <c r="X120" s="199" t="s">
        <v>349</v>
      </c>
      <c r="Y120" s="199"/>
      <c r="Z120" s="199"/>
      <c r="AA120" s="199"/>
      <c r="AB120" s="200"/>
      <c r="AC120" s="198"/>
      <c r="AD120" s="199"/>
      <c r="AE120" s="199"/>
      <c r="AF120" s="199"/>
      <c r="AG120" s="199"/>
      <c r="AH120" s="199" t="s">
        <v>401</v>
      </c>
      <c r="AI120" s="202" t="s">
        <v>42</v>
      </c>
      <c r="AJ120" s="200"/>
      <c r="AK120" s="164">
        <v>526</v>
      </c>
      <c r="AN120" s="141">
        <f t="shared" si="17"/>
        <v>8</v>
      </c>
      <c r="AO120" s="189">
        <f t="shared" si="17"/>
        <v>1</v>
      </c>
      <c r="AP120" s="190">
        <f t="shared" si="17"/>
        <v>5</v>
      </c>
      <c r="AQ120" s="191">
        <f t="shared" si="10"/>
        <v>14</v>
      </c>
      <c r="AS120" s="195">
        <f t="shared" si="11"/>
        <v>0.5714285714285714</v>
      </c>
      <c r="AT120" s="196">
        <f t="shared" si="12"/>
        <v>7.1428571428571425E-2</v>
      </c>
      <c r="AU120" s="197">
        <f t="shared" si="13"/>
        <v>0.35714285714285715</v>
      </c>
      <c r="AW120" s="141">
        <f t="shared" si="14"/>
        <v>6</v>
      </c>
      <c r="AX120" s="189">
        <f t="shared" si="15"/>
        <v>1</v>
      </c>
      <c r="AY120" s="190">
        <f t="shared" si="16"/>
        <v>1</v>
      </c>
    </row>
    <row r="121" spans="1:51">
      <c r="A121" s="164">
        <v>527</v>
      </c>
      <c r="B121" s="164" t="s">
        <v>65</v>
      </c>
      <c r="C121" s="58" t="s">
        <v>12</v>
      </c>
      <c r="D121" s="164" t="s">
        <v>6</v>
      </c>
      <c r="E121" s="198"/>
      <c r="F121" s="199"/>
      <c r="G121" s="199"/>
      <c r="H121" s="199"/>
      <c r="I121" s="199"/>
      <c r="J121" s="199"/>
      <c r="K121" s="199"/>
      <c r="L121" s="200"/>
      <c r="M121" s="198"/>
      <c r="N121" s="199"/>
      <c r="O121" s="199"/>
      <c r="P121" s="199"/>
      <c r="Q121" s="199"/>
      <c r="R121" s="199"/>
      <c r="S121" s="199"/>
      <c r="T121" s="200"/>
      <c r="U121" s="198"/>
      <c r="V121" s="199"/>
      <c r="W121" s="202" t="s">
        <v>349</v>
      </c>
      <c r="X121" s="199"/>
      <c r="Y121" s="199"/>
      <c r="Z121" s="199"/>
      <c r="AA121" s="199"/>
      <c r="AB121" s="200"/>
      <c r="AC121" s="198"/>
      <c r="AD121" s="199"/>
      <c r="AE121" s="199"/>
      <c r="AF121" s="199"/>
      <c r="AG121" s="199"/>
      <c r="AH121" s="199"/>
      <c r="AI121" s="199"/>
      <c r="AJ121" s="200"/>
      <c r="AK121" s="164">
        <v>527</v>
      </c>
      <c r="AN121" s="141">
        <f t="shared" si="17"/>
        <v>1</v>
      </c>
      <c r="AO121" s="189">
        <f t="shared" si="17"/>
        <v>0</v>
      </c>
      <c r="AP121" s="190">
        <f t="shared" si="17"/>
        <v>0</v>
      </c>
      <c r="AQ121" s="191">
        <f t="shared" si="10"/>
        <v>1</v>
      </c>
      <c r="AS121" s="195">
        <f t="shared" si="11"/>
        <v>1</v>
      </c>
      <c r="AT121" s="196">
        <f t="shared" si="12"/>
        <v>0</v>
      </c>
      <c r="AU121" s="197">
        <f t="shared" si="13"/>
        <v>0</v>
      </c>
      <c r="AW121" s="141">
        <f t="shared" si="14"/>
        <v>1</v>
      </c>
      <c r="AX121" s="189">
        <f t="shared" si="15"/>
        <v>0</v>
      </c>
      <c r="AY121" s="190">
        <f t="shared" si="16"/>
        <v>0</v>
      </c>
    </row>
    <row r="122" spans="1:51">
      <c r="A122" s="164">
        <v>528</v>
      </c>
      <c r="B122" s="164" t="s">
        <v>75</v>
      </c>
      <c r="C122" s="58" t="s">
        <v>12</v>
      </c>
      <c r="D122" s="164" t="s">
        <v>6</v>
      </c>
      <c r="E122" s="198"/>
      <c r="F122" s="199"/>
      <c r="G122" s="199"/>
      <c r="H122" s="199"/>
      <c r="I122" s="199"/>
      <c r="J122" s="199"/>
      <c r="K122" s="199"/>
      <c r="L122" s="200"/>
      <c r="M122" s="198"/>
      <c r="N122" s="199"/>
      <c r="O122" s="199" t="s">
        <v>349</v>
      </c>
      <c r="P122" s="199" t="s">
        <v>401</v>
      </c>
      <c r="Q122" s="199" t="s">
        <v>349</v>
      </c>
      <c r="R122" s="202" t="s">
        <v>42</v>
      </c>
      <c r="S122" s="202" t="s">
        <v>401</v>
      </c>
      <c r="T122" s="200"/>
      <c r="U122" s="198"/>
      <c r="V122" s="202" t="s">
        <v>410</v>
      </c>
      <c r="W122" s="199"/>
      <c r="X122" s="199"/>
      <c r="Y122" s="199"/>
      <c r="Z122" s="199"/>
      <c r="AA122" s="199"/>
      <c r="AB122" s="200" t="s">
        <v>349</v>
      </c>
      <c r="AC122" s="198"/>
      <c r="AD122" s="199"/>
      <c r="AE122" s="199"/>
      <c r="AF122" s="199" t="s">
        <v>349</v>
      </c>
      <c r="AG122" s="199" t="s">
        <v>349</v>
      </c>
      <c r="AH122" s="199"/>
      <c r="AI122" s="202" t="s">
        <v>349</v>
      </c>
      <c r="AJ122" s="200"/>
      <c r="AK122" s="164">
        <v>528</v>
      </c>
      <c r="AN122" s="141">
        <f t="shared" si="17"/>
        <v>13</v>
      </c>
      <c r="AO122" s="189">
        <f t="shared" si="17"/>
        <v>1</v>
      </c>
      <c r="AP122" s="190">
        <f t="shared" si="17"/>
        <v>0</v>
      </c>
      <c r="AQ122" s="191">
        <f t="shared" si="10"/>
        <v>14</v>
      </c>
      <c r="AS122" s="195">
        <f t="shared" si="11"/>
        <v>0.9285714285714286</v>
      </c>
      <c r="AT122" s="196">
        <f t="shared" si="12"/>
        <v>7.1428571428571425E-2</v>
      </c>
      <c r="AU122" s="197">
        <f t="shared" si="13"/>
        <v>0</v>
      </c>
      <c r="AW122" s="141">
        <f t="shared" si="14"/>
        <v>9</v>
      </c>
      <c r="AX122" s="189">
        <f t="shared" si="15"/>
        <v>1</v>
      </c>
      <c r="AY122" s="190">
        <f t="shared" si="16"/>
        <v>0</v>
      </c>
    </row>
    <row r="123" spans="1:51">
      <c r="A123" s="164">
        <v>539</v>
      </c>
      <c r="B123" s="164" t="s">
        <v>240</v>
      </c>
      <c r="C123" s="58" t="s">
        <v>42</v>
      </c>
      <c r="D123" s="164" t="s">
        <v>42</v>
      </c>
      <c r="E123" s="198" t="s">
        <v>410</v>
      </c>
      <c r="F123" s="199"/>
      <c r="G123" s="199"/>
      <c r="H123" s="199"/>
      <c r="I123" s="199"/>
      <c r="J123" s="199"/>
      <c r="K123" s="199"/>
      <c r="L123" s="200"/>
      <c r="M123" s="198"/>
      <c r="N123" s="199"/>
      <c r="O123" s="199"/>
      <c r="P123" s="199"/>
      <c r="Q123" s="199"/>
      <c r="R123" s="199"/>
      <c r="S123" s="199" t="s">
        <v>399</v>
      </c>
      <c r="T123" s="200" t="s">
        <v>42</v>
      </c>
      <c r="U123" s="198" t="s">
        <v>349</v>
      </c>
      <c r="V123" s="199"/>
      <c r="W123" s="199"/>
      <c r="X123" s="199"/>
      <c r="Y123" s="199"/>
      <c r="Z123" s="199"/>
      <c r="AA123" s="199"/>
      <c r="AB123" s="200"/>
      <c r="AC123" s="198"/>
      <c r="AD123" s="199"/>
      <c r="AE123" s="199"/>
      <c r="AF123" s="199"/>
      <c r="AG123" s="199"/>
      <c r="AH123" s="199" t="s">
        <v>400</v>
      </c>
      <c r="AI123" s="202" t="s">
        <v>401</v>
      </c>
      <c r="AJ123" s="200"/>
      <c r="AK123" s="164">
        <v>539</v>
      </c>
      <c r="AN123" s="141">
        <f t="shared" si="17"/>
        <v>6</v>
      </c>
      <c r="AO123" s="189">
        <f t="shared" si="17"/>
        <v>1</v>
      </c>
      <c r="AP123" s="190">
        <f t="shared" si="17"/>
        <v>6</v>
      </c>
      <c r="AQ123" s="191">
        <f t="shared" si="10"/>
        <v>13</v>
      </c>
      <c r="AS123" s="195">
        <f t="shared" si="11"/>
        <v>0.46153846153846156</v>
      </c>
      <c r="AT123" s="196">
        <f t="shared" si="12"/>
        <v>7.6923076923076927E-2</v>
      </c>
      <c r="AU123" s="197">
        <f t="shared" si="13"/>
        <v>0.46153846153846156</v>
      </c>
      <c r="AW123" s="141">
        <f t="shared" si="14"/>
        <v>3</v>
      </c>
      <c r="AX123" s="189">
        <f t="shared" si="15"/>
        <v>1</v>
      </c>
      <c r="AY123" s="190">
        <f t="shared" si="16"/>
        <v>2</v>
      </c>
    </row>
    <row r="124" spans="1:51">
      <c r="A124" s="164">
        <v>540</v>
      </c>
      <c r="B124" s="164" t="s">
        <v>240</v>
      </c>
      <c r="C124" s="58" t="s">
        <v>42</v>
      </c>
      <c r="D124" s="164" t="s">
        <v>42</v>
      </c>
      <c r="E124" s="198" t="s">
        <v>42</v>
      </c>
      <c r="F124" s="202" t="s">
        <v>401</v>
      </c>
      <c r="G124" s="202" t="s">
        <v>414</v>
      </c>
      <c r="H124" s="202" t="s">
        <v>349</v>
      </c>
      <c r="I124" s="199"/>
      <c r="J124" s="199"/>
      <c r="K124" s="199"/>
      <c r="L124" s="200"/>
      <c r="M124" s="198"/>
      <c r="N124" s="199"/>
      <c r="O124" s="199"/>
      <c r="P124" s="199"/>
      <c r="Q124" s="199"/>
      <c r="R124" s="199"/>
      <c r="S124" s="202" t="s">
        <v>407</v>
      </c>
      <c r="T124" s="200" t="s">
        <v>401</v>
      </c>
      <c r="U124" s="198"/>
      <c r="V124" s="199" t="s">
        <v>349</v>
      </c>
      <c r="W124" s="202" t="s">
        <v>349</v>
      </c>
      <c r="X124" s="202" t="s">
        <v>349</v>
      </c>
      <c r="Y124" s="199"/>
      <c r="Z124" s="199"/>
      <c r="AA124" s="199"/>
      <c r="AB124" s="200"/>
      <c r="AC124" s="198"/>
      <c r="AD124" s="199"/>
      <c r="AE124" s="199"/>
      <c r="AF124" s="199"/>
      <c r="AG124" s="199"/>
      <c r="AH124" s="199" t="s">
        <v>349</v>
      </c>
      <c r="AI124" s="199"/>
      <c r="AJ124" s="200" t="s">
        <v>349</v>
      </c>
      <c r="AK124" s="164">
        <v>540</v>
      </c>
      <c r="AN124" s="141">
        <f t="shared" si="17"/>
        <v>11</v>
      </c>
      <c r="AO124" s="189">
        <f t="shared" si="17"/>
        <v>3</v>
      </c>
      <c r="AP124" s="190">
        <f t="shared" si="17"/>
        <v>2</v>
      </c>
      <c r="AQ124" s="191">
        <f t="shared" si="10"/>
        <v>16</v>
      </c>
      <c r="AS124" s="195">
        <f t="shared" si="11"/>
        <v>0.6875</v>
      </c>
      <c r="AT124" s="196">
        <f t="shared" si="12"/>
        <v>0.1875</v>
      </c>
      <c r="AU124" s="197">
        <f t="shared" si="13"/>
        <v>0.125</v>
      </c>
      <c r="AW124" s="141">
        <f t="shared" si="14"/>
        <v>9</v>
      </c>
      <c r="AX124" s="189">
        <f t="shared" si="15"/>
        <v>2</v>
      </c>
      <c r="AY124" s="190">
        <f t="shared" si="16"/>
        <v>1</v>
      </c>
    </row>
    <row r="125" spans="1:51">
      <c r="A125" s="164">
        <v>551</v>
      </c>
      <c r="B125" s="164" t="s">
        <v>78</v>
      </c>
      <c r="C125" s="58" t="s">
        <v>359</v>
      </c>
      <c r="E125" s="198"/>
      <c r="F125" s="199"/>
      <c r="G125" s="199"/>
      <c r="H125" s="199"/>
      <c r="I125" s="199"/>
      <c r="J125" s="199"/>
      <c r="K125" s="199"/>
      <c r="L125" s="200"/>
      <c r="M125" s="198"/>
      <c r="N125" s="199"/>
      <c r="O125" s="199" t="s">
        <v>349</v>
      </c>
      <c r="P125" s="199" t="s">
        <v>349</v>
      </c>
      <c r="Q125" s="199"/>
      <c r="R125" s="199"/>
      <c r="S125" s="199"/>
      <c r="T125" s="200"/>
      <c r="U125" s="198"/>
      <c r="V125" s="199"/>
      <c r="W125" s="199"/>
      <c r="X125" s="199"/>
      <c r="Y125" s="199"/>
      <c r="Z125" s="199"/>
      <c r="AA125" s="199"/>
      <c r="AB125" s="200"/>
      <c r="AC125" s="198"/>
      <c r="AD125" s="199"/>
      <c r="AE125" s="199"/>
      <c r="AF125" s="199"/>
      <c r="AG125" s="199"/>
      <c r="AH125" s="199"/>
      <c r="AI125" s="199"/>
      <c r="AJ125" s="200"/>
      <c r="AK125" s="164">
        <v>551</v>
      </c>
      <c r="AN125" s="141">
        <f t="shared" si="17"/>
        <v>2</v>
      </c>
      <c r="AO125" s="189">
        <f t="shared" si="17"/>
        <v>0</v>
      </c>
      <c r="AP125" s="190">
        <f t="shared" si="17"/>
        <v>0</v>
      </c>
      <c r="AQ125" s="191">
        <f t="shared" si="10"/>
        <v>2</v>
      </c>
      <c r="AS125" s="195">
        <f t="shared" si="11"/>
        <v>1</v>
      </c>
      <c r="AT125" s="196">
        <f t="shared" si="12"/>
        <v>0</v>
      </c>
      <c r="AU125" s="197">
        <f t="shared" si="13"/>
        <v>0</v>
      </c>
      <c r="AW125" s="141">
        <f t="shared" si="14"/>
        <v>2</v>
      </c>
      <c r="AX125" s="189">
        <f t="shared" si="15"/>
        <v>0</v>
      </c>
      <c r="AY125" s="190">
        <f t="shared" si="16"/>
        <v>0</v>
      </c>
    </row>
    <row r="126" spans="1:51">
      <c r="A126" s="58">
        <v>555</v>
      </c>
      <c r="B126" s="58" t="s">
        <v>73</v>
      </c>
      <c r="C126" s="58" t="s">
        <v>165</v>
      </c>
      <c r="D126" s="58" t="s">
        <v>42</v>
      </c>
      <c r="E126" s="201"/>
      <c r="F126" s="202" t="s">
        <v>349</v>
      </c>
      <c r="G126" s="202" t="s">
        <v>349</v>
      </c>
      <c r="H126" s="202"/>
      <c r="I126" s="202"/>
      <c r="J126" s="202"/>
      <c r="K126" s="202"/>
      <c r="L126" s="203"/>
      <c r="M126" s="201"/>
      <c r="N126" s="202"/>
      <c r="O126" s="202"/>
      <c r="P126" s="202"/>
      <c r="Q126" s="202"/>
      <c r="R126" s="202"/>
      <c r="S126" s="202"/>
      <c r="T126" s="203"/>
      <c r="U126" s="201"/>
      <c r="V126" s="202"/>
      <c r="W126" s="202"/>
      <c r="X126" s="202"/>
      <c r="Y126" s="202"/>
      <c r="Z126" s="202"/>
      <c r="AA126" s="202"/>
      <c r="AB126" s="203"/>
      <c r="AC126" s="201"/>
      <c r="AD126" s="202"/>
      <c r="AE126" s="202"/>
      <c r="AF126" s="202"/>
      <c r="AG126" s="202"/>
      <c r="AH126" s="202"/>
      <c r="AI126" s="202"/>
      <c r="AJ126" s="203"/>
      <c r="AK126" s="58">
        <v>555</v>
      </c>
      <c r="AL126" s="58"/>
      <c r="AM126" s="58"/>
      <c r="AN126" s="141">
        <f t="shared" si="17"/>
        <v>2</v>
      </c>
      <c r="AO126" s="189">
        <f t="shared" si="17"/>
        <v>0</v>
      </c>
      <c r="AP126" s="190">
        <f t="shared" si="17"/>
        <v>0</v>
      </c>
      <c r="AQ126" s="191">
        <f t="shared" si="10"/>
        <v>2</v>
      </c>
      <c r="AS126" s="195">
        <f t="shared" si="11"/>
        <v>1</v>
      </c>
      <c r="AT126" s="196">
        <f t="shared" si="12"/>
        <v>0</v>
      </c>
      <c r="AU126" s="197">
        <f t="shared" si="13"/>
        <v>0</v>
      </c>
      <c r="AW126" s="141">
        <f t="shared" si="14"/>
        <v>2</v>
      </c>
      <c r="AX126" s="189">
        <f t="shared" si="15"/>
        <v>0</v>
      </c>
      <c r="AY126" s="190">
        <f t="shared" si="16"/>
        <v>0</v>
      </c>
    </row>
    <row r="127" spans="1:51">
      <c r="A127" s="164">
        <v>564</v>
      </c>
      <c r="B127" s="164" t="s">
        <v>62</v>
      </c>
      <c r="C127" s="58" t="s">
        <v>42</v>
      </c>
      <c r="D127" s="164" t="s">
        <v>6</v>
      </c>
      <c r="E127" s="198"/>
      <c r="F127" s="199"/>
      <c r="G127" s="199"/>
      <c r="H127" s="199"/>
      <c r="I127" s="199"/>
      <c r="J127" s="199" t="s">
        <v>42</v>
      </c>
      <c r="K127" s="199" t="s">
        <v>400</v>
      </c>
      <c r="L127" s="200"/>
      <c r="M127" s="198"/>
      <c r="N127" s="199"/>
      <c r="O127" s="199" t="s">
        <v>349</v>
      </c>
      <c r="P127" s="199" t="s">
        <v>400</v>
      </c>
      <c r="Q127" s="199" t="s">
        <v>349</v>
      </c>
      <c r="R127" s="202" t="s">
        <v>400</v>
      </c>
      <c r="S127" s="199"/>
      <c r="T127" s="200"/>
      <c r="U127" s="198"/>
      <c r="V127" s="199"/>
      <c r="W127" s="199"/>
      <c r="X127" s="199"/>
      <c r="Y127" s="199"/>
      <c r="Z127" s="199"/>
      <c r="AA127" s="199"/>
      <c r="AB127" s="200" t="s">
        <v>401</v>
      </c>
      <c r="AC127" s="198"/>
      <c r="AD127" s="199"/>
      <c r="AE127" s="199"/>
      <c r="AF127" s="199"/>
      <c r="AG127" s="199" t="s">
        <v>42</v>
      </c>
      <c r="AH127" s="199" t="s">
        <v>400</v>
      </c>
      <c r="AI127" s="199"/>
      <c r="AJ127" s="200"/>
      <c r="AK127" s="164">
        <v>564</v>
      </c>
      <c r="AN127" s="141">
        <f t="shared" si="17"/>
        <v>4</v>
      </c>
      <c r="AO127" s="189">
        <f t="shared" si="17"/>
        <v>2</v>
      </c>
      <c r="AP127" s="190">
        <f t="shared" si="17"/>
        <v>20</v>
      </c>
      <c r="AQ127" s="191">
        <f t="shared" si="10"/>
        <v>26</v>
      </c>
      <c r="AS127" s="195">
        <f t="shared" si="11"/>
        <v>0.15384615384615385</v>
      </c>
      <c r="AT127" s="196">
        <f t="shared" si="12"/>
        <v>7.6923076923076927E-2</v>
      </c>
      <c r="AU127" s="197">
        <f t="shared" si="13"/>
        <v>0.76923076923076927</v>
      </c>
      <c r="AW127" s="141">
        <f t="shared" si="14"/>
        <v>3</v>
      </c>
      <c r="AX127" s="189">
        <f t="shared" si="15"/>
        <v>2</v>
      </c>
      <c r="AY127" s="190">
        <f t="shared" si="16"/>
        <v>4</v>
      </c>
    </row>
    <row r="128" spans="1:51">
      <c r="A128" s="164">
        <v>570</v>
      </c>
      <c r="B128" s="164" t="s">
        <v>73</v>
      </c>
      <c r="C128" s="58" t="s">
        <v>165</v>
      </c>
      <c r="D128" s="164" t="s">
        <v>6</v>
      </c>
      <c r="E128" s="198"/>
      <c r="F128" s="199"/>
      <c r="G128" s="199"/>
      <c r="H128" s="199"/>
      <c r="I128" s="199"/>
      <c r="J128" s="199"/>
      <c r="K128" s="199"/>
      <c r="L128" s="200"/>
      <c r="M128" s="198"/>
      <c r="N128" s="199"/>
      <c r="O128" s="199"/>
      <c r="P128" s="199"/>
      <c r="Q128" s="199"/>
      <c r="R128" s="199" t="s">
        <v>400</v>
      </c>
      <c r="S128" s="199"/>
      <c r="T128" s="200"/>
      <c r="U128" s="198"/>
      <c r="V128" s="199" t="s">
        <v>349</v>
      </c>
      <c r="W128" s="199"/>
      <c r="X128" s="199"/>
      <c r="Y128" s="199"/>
      <c r="Z128" s="199"/>
      <c r="AA128" s="199"/>
      <c r="AB128" s="200"/>
      <c r="AC128" s="198"/>
      <c r="AD128" s="199"/>
      <c r="AE128" s="199"/>
      <c r="AF128" s="199"/>
      <c r="AG128" s="199"/>
      <c r="AH128" s="199"/>
      <c r="AI128" s="199" t="s">
        <v>349</v>
      </c>
      <c r="AJ128" s="200"/>
      <c r="AK128" s="164">
        <v>570</v>
      </c>
      <c r="AN128" s="141">
        <f t="shared" si="17"/>
        <v>2</v>
      </c>
      <c r="AO128" s="189">
        <f t="shared" si="17"/>
        <v>0</v>
      </c>
      <c r="AP128" s="190">
        <f t="shared" si="17"/>
        <v>5</v>
      </c>
      <c r="AQ128" s="191">
        <f t="shared" si="10"/>
        <v>7</v>
      </c>
      <c r="AS128" s="195">
        <f t="shared" si="11"/>
        <v>0.2857142857142857</v>
      </c>
      <c r="AT128" s="196">
        <f t="shared" si="12"/>
        <v>0</v>
      </c>
      <c r="AU128" s="197">
        <f t="shared" si="13"/>
        <v>0.7142857142857143</v>
      </c>
      <c r="AW128" s="141">
        <f t="shared" si="14"/>
        <v>2</v>
      </c>
      <c r="AX128" s="189">
        <f t="shared" si="15"/>
        <v>0</v>
      </c>
      <c r="AY128" s="190">
        <f t="shared" si="16"/>
        <v>1</v>
      </c>
    </row>
    <row r="129" spans="1:52">
      <c r="A129" s="164">
        <v>571</v>
      </c>
      <c r="B129" s="164" t="s">
        <v>62</v>
      </c>
      <c r="C129" s="58" t="s">
        <v>42</v>
      </c>
      <c r="D129" s="164" t="s">
        <v>6</v>
      </c>
      <c r="E129" s="198"/>
      <c r="F129" s="199"/>
      <c r="G129" s="199"/>
      <c r="H129" s="199"/>
      <c r="I129" s="199"/>
      <c r="J129" s="199"/>
      <c r="K129" s="199"/>
      <c r="L129" s="200"/>
      <c r="M129" s="198"/>
      <c r="N129" s="199"/>
      <c r="O129" s="199"/>
      <c r="P129" s="199"/>
      <c r="Q129" s="199"/>
      <c r="R129" s="199"/>
      <c r="S129" s="199"/>
      <c r="T129" s="200"/>
      <c r="U129" s="198"/>
      <c r="V129" s="199"/>
      <c r="W129" s="199"/>
      <c r="X129" s="199"/>
      <c r="Y129" s="199"/>
      <c r="Z129" s="199"/>
      <c r="AA129" s="199"/>
      <c r="AB129" s="200"/>
      <c r="AC129" s="198"/>
      <c r="AD129" s="199"/>
      <c r="AE129" s="199"/>
      <c r="AF129" s="199"/>
      <c r="AG129" s="199"/>
      <c r="AH129" s="199" t="s">
        <v>400</v>
      </c>
      <c r="AI129" s="199"/>
      <c r="AJ129" s="200" t="s">
        <v>349</v>
      </c>
      <c r="AK129" s="164">
        <v>571</v>
      </c>
      <c r="AN129" s="141">
        <f t="shared" si="17"/>
        <v>1</v>
      </c>
      <c r="AO129" s="189">
        <f t="shared" si="17"/>
        <v>0</v>
      </c>
      <c r="AP129" s="190">
        <f t="shared" si="17"/>
        <v>5</v>
      </c>
      <c r="AQ129" s="191">
        <f t="shared" si="10"/>
        <v>6</v>
      </c>
      <c r="AS129" s="195">
        <f t="shared" si="11"/>
        <v>0.16666666666666666</v>
      </c>
      <c r="AT129" s="196">
        <f t="shared" si="12"/>
        <v>0</v>
      </c>
      <c r="AU129" s="197">
        <f t="shared" si="13"/>
        <v>0.83333333333333337</v>
      </c>
      <c r="AW129" s="141">
        <f t="shared" si="14"/>
        <v>1</v>
      </c>
      <c r="AX129" s="189">
        <f t="shared" si="15"/>
        <v>0</v>
      </c>
      <c r="AY129" s="190">
        <f t="shared" si="16"/>
        <v>1</v>
      </c>
    </row>
    <row r="130" spans="1:52">
      <c r="A130" s="191"/>
      <c r="B130" s="191"/>
      <c r="C130" s="191"/>
      <c r="D130" s="191"/>
      <c r="E130" s="191"/>
      <c r="F130" s="191"/>
      <c r="G130" s="191"/>
      <c r="H130" s="191"/>
      <c r="I130" s="191"/>
      <c r="J130" s="191"/>
      <c r="K130" s="191"/>
      <c r="L130" s="191"/>
      <c r="M130" s="191"/>
      <c r="N130" s="191"/>
      <c r="O130" s="191"/>
      <c r="P130" s="191"/>
      <c r="Q130" s="191"/>
      <c r="R130" s="191"/>
      <c r="S130" s="191"/>
      <c r="T130" s="191"/>
      <c r="U130" s="191"/>
      <c r="V130" s="191"/>
      <c r="W130" s="191"/>
      <c r="X130" s="191"/>
      <c r="Y130" s="191"/>
      <c r="Z130" s="191"/>
      <c r="AA130" s="191"/>
      <c r="AB130" s="191"/>
      <c r="AC130" s="191"/>
      <c r="AD130" s="191"/>
      <c r="AE130" s="191"/>
      <c r="AF130" s="191"/>
      <c r="AG130" s="191"/>
      <c r="AH130" s="191"/>
      <c r="AI130" s="191"/>
      <c r="AJ130" s="191"/>
      <c r="AK130" s="206" t="s">
        <v>342</v>
      </c>
      <c r="AL130" s="206"/>
      <c r="AM130" s="206"/>
      <c r="AN130" s="207">
        <f>SUM(AN4:AN129)</f>
        <v>427</v>
      </c>
      <c r="AO130" s="208">
        <f>SUM(AO4:AO129)</f>
        <v>122</v>
      </c>
      <c r="AP130" s="209">
        <f>SUM(AP4:AP129)</f>
        <v>640</v>
      </c>
      <c r="AQ130" s="206">
        <f>SUM(AQ4:AQ129)</f>
        <v>1189</v>
      </c>
      <c r="AR130" s="210" t="s">
        <v>342</v>
      </c>
      <c r="AS130" s="211">
        <f t="shared" si="11"/>
        <v>0.35912531539108494</v>
      </c>
      <c r="AT130" s="212">
        <f t="shared" si="12"/>
        <v>0.10260723296888141</v>
      </c>
      <c r="AU130" s="213">
        <f t="shared" si="13"/>
        <v>0.53826745164003365</v>
      </c>
      <c r="AW130" s="207">
        <f>SUM(AW4:AW129)</f>
        <v>348</v>
      </c>
      <c r="AX130" s="208">
        <f>SUM(AX4:AX129)</f>
        <v>94</v>
      </c>
      <c r="AY130" s="209">
        <f>SUM(AY4:AY129)</f>
        <v>139</v>
      </c>
      <c r="AZ130" s="210"/>
    </row>
    <row r="131" spans="1:52">
      <c r="A131" s="472" t="s">
        <v>416</v>
      </c>
      <c r="B131" s="472"/>
      <c r="C131" s="472"/>
      <c r="D131" s="472"/>
      <c r="AK131" s="191"/>
      <c r="AN131" s="214"/>
      <c r="AO131" s="214"/>
      <c r="AP131" s="214"/>
    </row>
    <row r="132" spans="1:52">
      <c r="A132" s="141" t="s">
        <v>349</v>
      </c>
      <c r="B132" s="141"/>
      <c r="C132" s="141"/>
      <c r="D132" s="141"/>
      <c r="E132" s="141">
        <f>SUMPRODUCT(LEN(E$4:E$129)-LEN(SUBSTITUTE(E$4:E$129,"S","")))</f>
        <v>12</v>
      </c>
      <c r="F132" s="141">
        <f>SUMPRODUCT(LEN(F$4:F$129)-LEN(SUBSTITUTE(F$4:F$129,"S","")))</f>
        <v>20</v>
      </c>
      <c r="G132" s="141">
        <f t="shared" ref="G132:AJ132" si="18">SUMPRODUCT(LEN(G$4:G$129)-LEN(SUBSTITUTE(G$4:G$129,"S","")))</f>
        <v>17</v>
      </c>
      <c r="H132" s="141">
        <f t="shared" si="18"/>
        <v>10</v>
      </c>
      <c r="I132" s="141">
        <f t="shared" si="18"/>
        <v>14</v>
      </c>
      <c r="J132" s="141">
        <f t="shared" si="18"/>
        <v>8</v>
      </c>
      <c r="K132" s="141">
        <f t="shared" si="18"/>
        <v>6</v>
      </c>
      <c r="L132" s="141">
        <f t="shared" si="18"/>
        <v>4</v>
      </c>
      <c r="M132" s="141">
        <f t="shared" si="18"/>
        <v>1</v>
      </c>
      <c r="N132" s="141">
        <f t="shared" si="18"/>
        <v>11</v>
      </c>
      <c r="O132" s="141">
        <f t="shared" si="18"/>
        <v>11</v>
      </c>
      <c r="P132" s="141">
        <f t="shared" si="18"/>
        <v>18</v>
      </c>
      <c r="Q132" s="141">
        <f t="shared" si="18"/>
        <v>15</v>
      </c>
      <c r="R132" s="141">
        <f t="shared" si="18"/>
        <v>19</v>
      </c>
      <c r="S132" s="141">
        <f t="shared" si="18"/>
        <v>27</v>
      </c>
      <c r="T132" s="141">
        <f t="shared" si="18"/>
        <v>19</v>
      </c>
      <c r="U132" s="141">
        <f t="shared" si="18"/>
        <v>20</v>
      </c>
      <c r="V132" s="141">
        <f t="shared" si="18"/>
        <v>34</v>
      </c>
      <c r="W132" s="141">
        <f t="shared" si="18"/>
        <v>19</v>
      </c>
      <c r="X132" s="141">
        <f t="shared" si="18"/>
        <v>14</v>
      </c>
      <c r="Y132" s="141">
        <f t="shared" si="18"/>
        <v>9</v>
      </c>
      <c r="Z132" s="141">
        <f t="shared" si="18"/>
        <v>8</v>
      </c>
      <c r="AA132" s="141">
        <f t="shared" si="18"/>
        <v>1</v>
      </c>
      <c r="AB132" s="141">
        <f t="shared" si="18"/>
        <v>5</v>
      </c>
      <c r="AC132" s="141">
        <f t="shared" si="18"/>
        <v>1</v>
      </c>
      <c r="AD132" s="141">
        <f t="shared" si="18"/>
        <v>7</v>
      </c>
      <c r="AE132" s="141">
        <f t="shared" si="18"/>
        <v>5</v>
      </c>
      <c r="AF132" s="141">
        <f t="shared" si="18"/>
        <v>14</v>
      </c>
      <c r="AG132" s="141">
        <f t="shared" si="18"/>
        <v>17</v>
      </c>
      <c r="AH132" s="141">
        <f t="shared" si="18"/>
        <v>22</v>
      </c>
      <c r="AI132" s="141">
        <f t="shared" si="18"/>
        <v>25</v>
      </c>
      <c r="AJ132" s="141">
        <f t="shared" si="18"/>
        <v>14</v>
      </c>
      <c r="AK132" s="473">
        <f>SUM(E132:AJ134)</f>
        <v>1189</v>
      </c>
    </row>
    <row r="133" spans="1:52">
      <c r="A133" s="189" t="s">
        <v>42</v>
      </c>
      <c r="B133" s="189"/>
      <c r="C133" s="189"/>
      <c r="D133" s="189"/>
      <c r="E133" s="189">
        <f>SUMPRODUCT(LEN(E$4:E$129)-LEN(SUBSTITUTE(E$4:E$129,"M","")))</f>
        <v>5</v>
      </c>
      <c r="F133" s="189">
        <f t="shared" ref="F133:AJ133" si="19">SUMPRODUCT(LEN(F$4:F$129)-LEN(SUBSTITUTE(F$4:F$129,"M","")))</f>
        <v>10</v>
      </c>
      <c r="G133" s="189">
        <f t="shared" si="19"/>
        <v>2</v>
      </c>
      <c r="H133" s="189">
        <f t="shared" si="19"/>
        <v>2</v>
      </c>
      <c r="I133" s="189">
        <f t="shared" si="19"/>
        <v>9</v>
      </c>
      <c r="J133" s="189">
        <f t="shared" si="19"/>
        <v>1</v>
      </c>
      <c r="K133" s="189">
        <f t="shared" si="19"/>
        <v>1</v>
      </c>
      <c r="L133" s="189">
        <f t="shared" si="19"/>
        <v>1</v>
      </c>
      <c r="M133" s="189">
        <f t="shared" si="19"/>
        <v>0</v>
      </c>
      <c r="N133" s="189">
        <f t="shared" si="19"/>
        <v>0</v>
      </c>
      <c r="O133" s="189">
        <f t="shared" si="19"/>
        <v>2</v>
      </c>
      <c r="P133" s="189">
        <f t="shared" si="19"/>
        <v>5</v>
      </c>
      <c r="Q133" s="189">
        <f t="shared" si="19"/>
        <v>6</v>
      </c>
      <c r="R133" s="189">
        <f t="shared" si="19"/>
        <v>4</v>
      </c>
      <c r="S133" s="189">
        <f t="shared" si="19"/>
        <v>13</v>
      </c>
      <c r="T133" s="189">
        <f t="shared" si="19"/>
        <v>9</v>
      </c>
      <c r="U133" s="189">
        <f t="shared" si="19"/>
        <v>2</v>
      </c>
      <c r="V133" s="189">
        <f t="shared" si="19"/>
        <v>4</v>
      </c>
      <c r="W133" s="189">
        <f t="shared" si="19"/>
        <v>7</v>
      </c>
      <c r="X133" s="189">
        <f t="shared" si="19"/>
        <v>0</v>
      </c>
      <c r="Y133" s="189">
        <f t="shared" si="19"/>
        <v>1</v>
      </c>
      <c r="Z133" s="189">
        <f t="shared" si="19"/>
        <v>2</v>
      </c>
      <c r="AA133" s="189">
        <f t="shared" si="19"/>
        <v>2</v>
      </c>
      <c r="AB133" s="189">
        <f t="shared" si="19"/>
        <v>0</v>
      </c>
      <c r="AC133" s="189">
        <f t="shared" si="19"/>
        <v>0</v>
      </c>
      <c r="AD133" s="189">
        <f t="shared" si="19"/>
        <v>0</v>
      </c>
      <c r="AE133" s="189">
        <f t="shared" si="19"/>
        <v>4</v>
      </c>
      <c r="AF133" s="189">
        <f t="shared" si="19"/>
        <v>5</v>
      </c>
      <c r="AG133" s="189">
        <f t="shared" si="19"/>
        <v>5</v>
      </c>
      <c r="AH133" s="189">
        <f t="shared" si="19"/>
        <v>6</v>
      </c>
      <c r="AI133" s="189">
        <f t="shared" si="19"/>
        <v>12</v>
      </c>
      <c r="AJ133" s="189">
        <f t="shared" si="19"/>
        <v>2</v>
      </c>
      <c r="AK133" s="473"/>
    </row>
    <row r="134" spans="1:52">
      <c r="A134" s="190" t="s">
        <v>399</v>
      </c>
      <c r="B134" s="190"/>
      <c r="C134" s="190"/>
      <c r="D134" s="190"/>
      <c r="E134" s="190">
        <f>SUMPRODUCT(LEN(E$4:E$129)-LEN(SUBSTITUTE(E$4:E$129,"L","")))</f>
        <v>16</v>
      </c>
      <c r="F134" s="190">
        <f t="shared" ref="F134:AJ134" si="20">SUMPRODUCT(LEN(F$4:F$129)-LEN(SUBSTITUTE(F$4:F$129,"L","")))</f>
        <v>26</v>
      </c>
      <c r="G134" s="190">
        <f t="shared" si="20"/>
        <v>47</v>
      </c>
      <c r="H134" s="190">
        <f t="shared" si="20"/>
        <v>25</v>
      </c>
      <c r="I134" s="190">
        <f t="shared" si="20"/>
        <v>30</v>
      </c>
      <c r="J134" s="190">
        <f t="shared" si="20"/>
        <v>22</v>
      </c>
      <c r="K134" s="190">
        <f t="shared" si="20"/>
        <v>12</v>
      </c>
      <c r="L134" s="190">
        <f t="shared" si="20"/>
        <v>0</v>
      </c>
      <c r="M134" s="190">
        <f t="shared" si="20"/>
        <v>5</v>
      </c>
      <c r="N134" s="190">
        <f t="shared" si="20"/>
        <v>0</v>
      </c>
      <c r="O134" s="190">
        <f t="shared" si="20"/>
        <v>15</v>
      </c>
      <c r="P134" s="190">
        <f t="shared" si="20"/>
        <v>45</v>
      </c>
      <c r="Q134" s="190">
        <f t="shared" si="20"/>
        <v>39</v>
      </c>
      <c r="R134" s="190">
        <f t="shared" si="20"/>
        <v>67</v>
      </c>
      <c r="S134" s="190">
        <f t="shared" si="20"/>
        <v>16</v>
      </c>
      <c r="T134" s="190">
        <f t="shared" si="20"/>
        <v>18</v>
      </c>
      <c r="U134" s="190">
        <f t="shared" si="20"/>
        <v>20</v>
      </c>
      <c r="V134" s="190">
        <f t="shared" si="20"/>
        <v>15</v>
      </c>
      <c r="W134" s="190">
        <f t="shared" si="20"/>
        <v>64</v>
      </c>
      <c r="X134" s="190">
        <f t="shared" si="20"/>
        <v>15</v>
      </c>
      <c r="Y134" s="190">
        <f t="shared" si="20"/>
        <v>5</v>
      </c>
      <c r="Z134" s="190">
        <f t="shared" si="20"/>
        <v>0</v>
      </c>
      <c r="AA134" s="190">
        <f t="shared" si="20"/>
        <v>5</v>
      </c>
      <c r="AB134" s="190">
        <f t="shared" si="20"/>
        <v>0</v>
      </c>
      <c r="AC134" s="190">
        <f t="shared" si="20"/>
        <v>0</v>
      </c>
      <c r="AD134" s="190">
        <f t="shared" si="20"/>
        <v>0</v>
      </c>
      <c r="AE134" s="190">
        <f t="shared" si="20"/>
        <v>5</v>
      </c>
      <c r="AF134" s="190">
        <f t="shared" si="20"/>
        <v>15</v>
      </c>
      <c r="AG134" s="190">
        <f t="shared" si="20"/>
        <v>15</v>
      </c>
      <c r="AH134" s="190">
        <f t="shared" si="20"/>
        <v>70</v>
      </c>
      <c r="AI134" s="190">
        <f t="shared" si="20"/>
        <v>13</v>
      </c>
      <c r="AJ134" s="190">
        <f t="shared" si="20"/>
        <v>15</v>
      </c>
      <c r="AK134" s="473"/>
    </row>
    <row r="135" spans="1:52" ht="15.75" thickBot="1"/>
    <row r="136" spans="1:52" ht="15.75" thickBot="1">
      <c r="E136" s="393" t="s">
        <v>417</v>
      </c>
      <c r="F136" s="394"/>
      <c r="G136" s="394"/>
      <c r="H136" s="394"/>
      <c r="I136" s="394"/>
      <c r="J136" s="394"/>
      <c r="K136" s="394"/>
      <c r="L136" s="394"/>
      <c r="M136" s="394"/>
      <c r="N136" s="394"/>
      <c r="O136" s="394"/>
      <c r="P136" s="394"/>
      <c r="Q136" s="394"/>
      <c r="R136" s="394"/>
      <c r="S136" s="394"/>
      <c r="T136" s="395"/>
      <c r="U136" s="393" t="s">
        <v>418</v>
      </c>
      <c r="V136" s="394"/>
      <c r="W136" s="394"/>
      <c r="X136" s="394"/>
      <c r="Y136" s="394"/>
      <c r="Z136" s="394"/>
      <c r="AA136" s="394"/>
      <c r="AB136" s="394"/>
      <c r="AC136" s="394"/>
      <c r="AD136" s="394"/>
      <c r="AE136" s="394"/>
      <c r="AF136" s="394"/>
      <c r="AG136" s="394"/>
      <c r="AH136" s="394"/>
      <c r="AI136" s="394"/>
      <c r="AJ136" s="395"/>
    </row>
    <row r="137" spans="1:52">
      <c r="A137" s="141" t="s">
        <v>349</v>
      </c>
      <c r="B137" s="141"/>
      <c r="C137" s="141"/>
      <c r="D137" s="141"/>
      <c r="E137" s="474">
        <f>SUM(E132:T132)</f>
        <v>212</v>
      </c>
      <c r="F137" s="475"/>
      <c r="G137" s="475"/>
      <c r="H137" s="475"/>
      <c r="I137" s="475"/>
      <c r="J137" s="475"/>
      <c r="K137" s="475"/>
      <c r="L137" s="475"/>
      <c r="M137" s="475"/>
      <c r="N137" s="475"/>
      <c r="O137" s="475"/>
      <c r="P137" s="475"/>
      <c r="Q137" s="475"/>
      <c r="R137" s="475"/>
      <c r="S137" s="475"/>
      <c r="T137" s="476"/>
      <c r="U137" s="474">
        <f>SUM(U132:AJ132)</f>
        <v>215</v>
      </c>
      <c r="V137" s="475"/>
      <c r="W137" s="475"/>
      <c r="X137" s="475"/>
      <c r="Y137" s="475"/>
      <c r="Z137" s="475"/>
      <c r="AA137" s="475"/>
      <c r="AB137" s="475"/>
      <c r="AC137" s="475"/>
      <c r="AD137" s="475"/>
      <c r="AE137" s="475"/>
      <c r="AF137" s="475"/>
      <c r="AG137" s="475"/>
      <c r="AH137" s="475"/>
      <c r="AI137" s="475"/>
      <c r="AJ137" s="476"/>
    </row>
    <row r="138" spans="1:52">
      <c r="A138" s="189" t="s">
        <v>42</v>
      </c>
      <c r="B138" s="189"/>
      <c r="C138" s="189"/>
      <c r="D138" s="189"/>
      <c r="E138" s="477">
        <f>SUM(E133:T133)</f>
        <v>70</v>
      </c>
      <c r="F138" s="478"/>
      <c r="G138" s="478"/>
      <c r="H138" s="478"/>
      <c r="I138" s="478"/>
      <c r="J138" s="478"/>
      <c r="K138" s="478"/>
      <c r="L138" s="478"/>
      <c r="M138" s="478"/>
      <c r="N138" s="478"/>
      <c r="O138" s="478"/>
      <c r="P138" s="478"/>
      <c r="Q138" s="478"/>
      <c r="R138" s="478"/>
      <c r="S138" s="478"/>
      <c r="T138" s="479"/>
      <c r="U138" s="477">
        <f>SUM(U133:AJ133)</f>
        <v>52</v>
      </c>
      <c r="V138" s="478"/>
      <c r="W138" s="478"/>
      <c r="X138" s="478"/>
      <c r="Y138" s="478"/>
      <c r="Z138" s="478"/>
      <c r="AA138" s="478"/>
      <c r="AB138" s="478"/>
      <c r="AC138" s="478"/>
      <c r="AD138" s="478"/>
      <c r="AE138" s="478"/>
      <c r="AF138" s="478"/>
      <c r="AG138" s="478"/>
      <c r="AH138" s="478"/>
      <c r="AI138" s="478"/>
      <c r="AJ138" s="479"/>
    </row>
    <row r="139" spans="1:52" ht="15.75" thickBot="1">
      <c r="A139" s="190" t="s">
        <v>399</v>
      </c>
      <c r="B139" s="190"/>
      <c r="C139" s="190"/>
      <c r="D139" s="190"/>
      <c r="E139" s="480">
        <f>SUM(E134:T134)</f>
        <v>383</v>
      </c>
      <c r="F139" s="481"/>
      <c r="G139" s="481"/>
      <c r="H139" s="481"/>
      <c r="I139" s="481"/>
      <c r="J139" s="481"/>
      <c r="K139" s="481"/>
      <c r="L139" s="481"/>
      <c r="M139" s="481"/>
      <c r="N139" s="481"/>
      <c r="O139" s="481"/>
      <c r="P139" s="481"/>
      <c r="Q139" s="481"/>
      <c r="R139" s="481"/>
      <c r="S139" s="481"/>
      <c r="T139" s="482"/>
      <c r="U139" s="480">
        <f>SUM(U134:AJ134)</f>
        <v>257</v>
      </c>
      <c r="V139" s="481"/>
      <c r="W139" s="481"/>
      <c r="X139" s="481"/>
      <c r="Y139" s="481"/>
      <c r="Z139" s="481"/>
      <c r="AA139" s="481"/>
      <c r="AB139" s="481"/>
      <c r="AC139" s="481"/>
      <c r="AD139" s="481"/>
      <c r="AE139" s="481"/>
      <c r="AF139" s="481"/>
      <c r="AG139" s="481"/>
      <c r="AH139" s="481"/>
      <c r="AI139" s="481"/>
      <c r="AJ139" s="482"/>
    </row>
  </sheetData>
  <mergeCells count="17">
    <mergeCell ref="E138:T138"/>
    <mergeCell ref="U138:AJ138"/>
    <mergeCell ref="E139:T139"/>
    <mergeCell ref="U139:AJ139"/>
    <mergeCell ref="AW2:AY2"/>
    <mergeCell ref="AS2:AU2"/>
    <mergeCell ref="A131:D131"/>
    <mergeCell ref="AK132:AK134"/>
    <mergeCell ref="E136:T136"/>
    <mergeCell ref="U136:AJ136"/>
    <mergeCell ref="E137:T137"/>
    <mergeCell ref="U137:AJ137"/>
    <mergeCell ref="E1:L1"/>
    <mergeCell ref="M1:T1"/>
    <mergeCell ref="U1:AB1"/>
    <mergeCell ref="AC1:AJ1"/>
    <mergeCell ref="AN2:A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292"/>
  <sheetViews>
    <sheetView workbookViewId="0">
      <selection activeCell="BD9" sqref="BD9"/>
    </sheetView>
  </sheetViews>
  <sheetFormatPr defaultRowHeight="15"/>
  <cols>
    <col min="1" max="4" width="5.28515625" style="67" customWidth="1"/>
    <col min="5" max="36" width="4" style="67" customWidth="1"/>
    <col min="37" max="37" width="5.85546875" style="67" bestFit="1" customWidth="1"/>
    <col min="38" max="38" width="8.5703125" style="67" customWidth="1"/>
    <col min="39" max="39" width="9.42578125" style="67" bestFit="1" customWidth="1"/>
    <col min="40" max="40" width="9.140625" style="67"/>
    <col min="41" max="42" width="4.42578125" style="67" bestFit="1" customWidth="1"/>
    <col min="43" max="43" width="3.28515625" style="67" bestFit="1" customWidth="1"/>
    <col min="44" max="46" width="4.42578125" style="67" bestFit="1" customWidth="1"/>
    <col min="47" max="47" width="7.140625" style="67" bestFit="1" customWidth="1"/>
    <col min="48" max="48" width="4.85546875" style="67" customWidth="1"/>
    <col min="49" max="16384" width="9.140625" style="67"/>
  </cols>
  <sheetData>
    <row r="1" spans="1:56">
      <c r="E1" s="396" t="s">
        <v>336</v>
      </c>
      <c r="F1" s="397"/>
      <c r="G1" s="397"/>
      <c r="H1" s="397"/>
      <c r="I1" s="397"/>
      <c r="J1" s="397"/>
      <c r="K1" s="397"/>
      <c r="L1" s="397"/>
      <c r="M1" s="399" t="s">
        <v>337</v>
      </c>
      <c r="N1" s="400"/>
      <c r="O1" s="400"/>
      <c r="P1" s="400"/>
      <c r="Q1" s="400"/>
      <c r="R1" s="400"/>
      <c r="S1" s="400"/>
      <c r="T1" s="401"/>
      <c r="U1" s="402" t="s">
        <v>339</v>
      </c>
      <c r="V1" s="403"/>
      <c r="W1" s="403"/>
      <c r="X1" s="403"/>
      <c r="Y1" s="403"/>
      <c r="Z1" s="403"/>
      <c r="AA1" s="403"/>
      <c r="AB1" s="404"/>
      <c r="AC1" s="406" t="s">
        <v>338</v>
      </c>
      <c r="AD1" s="406"/>
      <c r="AE1" s="406"/>
      <c r="AF1" s="406"/>
      <c r="AG1" s="406"/>
      <c r="AH1" s="406"/>
      <c r="AI1" s="406"/>
      <c r="AJ1" s="407"/>
    </row>
    <row r="2" spans="1:56">
      <c r="E2" s="26" t="s">
        <v>42</v>
      </c>
      <c r="F2" s="27" t="s">
        <v>42</v>
      </c>
      <c r="G2" s="27" t="s">
        <v>42</v>
      </c>
      <c r="H2" s="27" t="s">
        <v>340</v>
      </c>
      <c r="I2" s="27" t="s">
        <v>341</v>
      </c>
      <c r="J2" s="27" t="s">
        <v>334</v>
      </c>
      <c r="K2" s="27" t="s">
        <v>335</v>
      </c>
      <c r="L2" s="28" t="s">
        <v>335</v>
      </c>
      <c r="M2" s="32" t="s">
        <v>335</v>
      </c>
      <c r="N2" s="33" t="s">
        <v>335</v>
      </c>
      <c r="O2" s="33" t="s">
        <v>334</v>
      </c>
      <c r="P2" s="33" t="s">
        <v>341</v>
      </c>
      <c r="Q2" s="33" t="s">
        <v>341</v>
      </c>
      <c r="R2" s="33" t="s">
        <v>42</v>
      </c>
      <c r="S2" s="33" t="s">
        <v>42</v>
      </c>
      <c r="T2" s="34" t="s">
        <v>42</v>
      </c>
      <c r="U2" s="38" t="s">
        <v>42</v>
      </c>
      <c r="V2" s="39" t="s">
        <v>42</v>
      </c>
      <c r="W2" s="39" t="s">
        <v>42</v>
      </c>
      <c r="X2" s="39" t="s">
        <v>341</v>
      </c>
      <c r="Y2" s="39" t="s">
        <v>341</v>
      </c>
      <c r="Z2" s="39" t="s">
        <v>334</v>
      </c>
      <c r="AA2" s="39" t="s">
        <v>335</v>
      </c>
      <c r="AB2" s="40" t="s">
        <v>335</v>
      </c>
      <c r="AC2" s="44" t="s">
        <v>335</v>
      </c>
      <c r="AD2" s="45" t="s">
        <v>335</v>
      </c>
      <c r="AE2" s="45" t="s">
        <v>334</v>
      </c>
      <c r="AF2" s="45" t="s">
        <v>341</v>
      </c>
      <c r="AG2" s="45" t="s">
        <v>341</v>
      </c>
      <c r="AH2" s="45" t="s">
        <v>42</v>
      </c>
      <c r="AI2" s="45" t="s">
        <v>42</v>
      </c>
      <c r="AJ2" s="46" t="s">
        <v>42</v>
      </c>
    </row>
    <row r="3" spans="1:56" ht="15.75" thickBot="1">
      <c r="A3" s="67" t="s">
        <v>0</v>
      </c>
      <c r="B3" s="67" t="s">
        <v>1</v>
      </c>
      <c r="C3" s="67" t="s">
        <v>363</v>
      </c>
      <c r="D3" s="67" t="s">
        <v>2</v>
      </c>
      <c r="E3" s="29">
        <v>8</v>
      </c>
      <c r="F3" s="30">
        <v>7</v>
      </c>
      <c r="G3" s="30">
        <v>6</v>
      </c>
      <c r="H3" s="30">
        <v>5</v>
      </c>
      <c r="I3" s="30">
        <v>4</v>
      </c>
      <c r="J3" s="30">
        <v>3</v>
      </c>
      <c r="K3" s="30">
        <v>2</v>
      </c>
      <c r="L3" s="31">
        <v>1</v>
      </c>
      <c r="M3" s="35">
        <v>1</v>
      </c>
      <c r="N3" s="36">
        <v>2</v>
      </c>
      <c r="O3" s="36">
        <v>3</v>
      </c>
      <c r="P3" s="36">
        <v>4</v>
      </c>
      <c r="Q3" s="36">
        <v>5</v>
      </c>
      <c r="R3" s="36">
        <v>6</v>
      </c>
      <c r="S3" s="36">
        <v>7</v>
      </c>
      <c r="T3" s="37">
        <v>8</v>
      </c>
      <c r="U3" s="41">
        <v>8</v>
      </c>
      <c r="V3" s="42">
        <v>7</v>
      </c>
      <c r="W3" s="42">
        <v>6</v>
      </c>
      <c r="X3" s="42">
        <v>5</v>
      </c>
      <c r="Y3" s="42">
        <v>4</v>
      </c>
      <c r="Z3" s="42">
        <v>3</v>
      </c>
      <c r="AA3" s="42">
        <v>2</v>
      </c>
      <c r="AB3" s="43">
        <v>1</v>
      </c>
      <c r="AC3" s="47">
        <v>1</v>
      </c>
      <c r="AD3" s="48">
        <v>2</v>
      </c>
      <c r="AE3" s="48">
        <v>3</v>
      </c>
      <c r="AF3" s="48">
        <v>4</v>
      </c>
      <c r="AG3" s="48">
        <v>5</v>
      </c>
      <c r="AH3" s="48">
        <v>6</v>
      </c>
      <c r="AI3" s="48">
        <v>7</v>
      </c>
      <c r="AJ3" s="49">
        <v>8</v>
      </c>
      <c r="AK3" s="67" t="s">
        <v>0</v>
      </c>
      <c r="AL3" s="67" t="s">
        <v>343</v>
      </c>
      <c r="AM3" s="67" t="s">
        <v>7</v>
      </c>
      <c r="AN3" s="67" t="s">
        <v>203</v>
      </c>
      <c r="AO3" s="67" t="s">
        <v>431</v>
      </c>
      <c r="AP3" s="67" t="s">
        <v>432</v>
      </c>
      <c r="AQ3" s="67" t="s">
        <v>433</v>
      </c>
      <c r="AR3" s="67" t="s">
        <v>434</v>
      </c>
      <c r="AS3" s="67" t="s">
        <v>435</v>
      </c>
      <c r="AT3" s="67" t="s">
        <v>436</v>
      </c>
      <c r="AU3" s="67" t="s">
        <v>375</v>
      </c>
      <c r="AW3" s="67" t="s">
        <v>437</v>
      </c>
      <c r="AX3" s="67" t="s">
        <v>438</v>
      </c>
      <c r="AY3" s="67" t="s">
        <v>374</v>
      </c>
      <c r="AZ3" s="67" t="s">
        <v>488</v>
      </c>
      <c r="BA3" s="67" t="s">
        <v>374</v>
      </c>
      <c r="BC3" s="67" t="s">
        <v>489</v>
      </c>
      <c r="BD3" s="67" t="s">
        <v>490</v>
      </c>
    </row>
    <row r="4" spans="1:56">
      <c r="A4" s="67">
        <v>1</v>
      </c>
      <c r="B4" s="67" t="s">
        <v>5</v>
      </c>
      <c r="C4" s="8" t="s">
        <v>42</v>
      </c>
      <c r="D4" s="67" t="s">
        <v>6</v>
      </c>
      <c r="E4" s="266" t="s">
        <v>436</v>
      </c>
      <c r="F4" s="267" t="s">
        <v>435</v>
      </c>
      <c r="G4" s="267" t="s">
        <v>440</v>
      </c>
      <c r="H4" s="267"/>
      <c r="I4" s="267" t="s">
        <v>434</v>
      </c>
      <c r="J4" s="267"/>
      <c r="K4" s="267"/>
      <c r="L4" s="268"/>
      <c r="M4" s="266"/>
      <c r="N4" s="267"/>
      <c r="O4" s="267"/>
      <c r="P4" s="267"/>
      <c r="Q4" s="267"/>
      <c r="R4" s="267" t="s">
        <v>436</v>
      </c>
      <c r="S4" s="267"/>
      <c r="T4" s="268"/>
      <c r="U4" s="266"/>
      <c r="V4" s="267"/>
      <c r="W4" s="267"/>
      <c r="X4" s="267"/>
      <c r="Y4" s="267"/>
      <c r="Z4" s="267"/>
      <c r="AA4" s="267"/>
      <c r="AB4" s="268"/>
      <c r="AC4" s="266"/>
      <c r="AD4" s="267"/>
      <c r="AE4" s="267"/>
      <c r="AF4" s="267"/>
      <c r="AG4" s="267"/>
      <c r="AH4" s="267"/>
      <c r="AI4" s="267" t="s">
        <v>435</v>
      </c>
      <c r="AJ4" s="268" t="s">
        <v>436</v>
      </c>
      <c r="AK4" s="67">
        <v>1</v>
      </c>
      <c r="AM4" s="67">
        <v>1</v>
      </c>
      <c r="AO4" s="67">
        <f t="shared" ref="AO4:AO67" si="0">COUNTIF(E4:AJ4,"*b*")</f>
        <v>1</v>
      </c>
      <c r="AP4" s="67">
        <f t="shared" ref="AP4:AP67" si="1">COUNTIF(E4:AJ4,"*l*")</f>
        <v>1</v>
      </c>
      <c r="AQ4" s="67">
        <f t="shared" ref="AQ4:AQ67" si="2">COUNTIF(E4:AJ4,"*h*")</f>
        <v>0</v>
      </c>
      <c r="AR4" s="67">
        <f t="shared" ref="AR4:AR67" si="3">COUNTIF(E4:AJ4,"*m*")</f>
        <v>2</v>
      </c>
      <c r="AS4" s="67">
        <f t="shared" ref="AS4:AS67" si="4">COUNTIF(E4:AJ4,"*d*")</f>
        <v>3</v>
      </c>
      <c r="AT4" s="67">
        <f t="shared" ref="AT4:AT67" si="5">COUNTIF(E4:AJ4,"*o*")</f>
        <v>4</v>
      </c>
      <c r="AU4" s="67">
        <f t="shared" ref="AU4:AU67" si="6">SUM(AO4:AT4)</f>
        <v>11</v>
      </c>
      <c r="AW4" s="256">
        <v>26</v>
      </c>
      <c r="AX4" s="67">
        <f t="shared" ref="AX4:AX33" si="7">5*AW4</f>
        <v>130</v>
      </c>
      <c r="AY4" s="76">
        <f t="shared" ref="AY4:AY33" si="8">AU4/AX4</f>
        <v>8.461538461538462E-2</v>
      </c>
      <c r="AZ4" s="67">
        <f t="shared" ref="AZ4:AZ67" si="9">COUNTA(E4:AJ4)</f>
        <v>7</v>
      </c>
      <c r="BA4" s="76">
        <f>AZ4/AW4</f>
        <v>0.26923076923076922</v>
      </c>
      <c r="BC4" s="67">
        <f t="shared" ref="BC4:BC67" si="10">COUNTA(E4:T4)</f>
        <v>5</v>
      </c>
      <c r="BD4" s="67">
        <f t="shared" ref="BD4:BD67" si="11">COUNTA(U4:AJ4)</f>
        <v>2</v>
      </c>
    </row>
    <row r="5" spans="1:56">
      <c r="A5" s="8">
        <v>30</v>
      </c>
      <c r="B5" s="8" t="s">
        <v>41</v>
      </c>
      <c r="C5" s="8" t="s">
        <v>42</v>
      </c>
      <c r="D5" s="8" t="s">
        <v>42</v>
      </c>
      <c r="E5" s="269"/>
      <c r="F5" s="20"/>
      <c r="G5" s="20"/>
      <c r="H5" s="20"/>
      <c r="I5" s="20"/>
      <c r="J5" s="20"/>
      <c r="K5" s="20"/>
      <c r="L5" s="270"/>
      <c r="M5" s="269"/>
      <c r="N5" s="20"/>
      <c r="O5" s="20"/>
      <c r="P5" s="20"/>
      <c r="Q5" s="20"/>
      <c r="R5" s="20"/>
      <c r="S5" s="20" t="s">
        <v>436</v>
      </c>
      <c r="T5" s="270"/>
      <c r="U5" s="269"/>
      <c r="V5" s="20" t="s">
        <v>436</v>
      </c>
      <c r="W5" s="20"/>
      <c r="X5" s="20"/>
      <c r="Y5" s="20"/>
      <c r="Z5" s="20"/>
      <c r="AA5" s="20"/>
      <c r="AB5" s="270"/>
      <c r="AC5" s="269"/>
      <c r="AD5" s="20"/>
      <c r="AE5" s="20"/>
      <c r="AF5" s="20"/>
      <c r="AG5" s="20"/>
      <c r="AH5" s="20"/>
      <c r="AI5" s="20"/>
      <c r="AJ5" s="270"/>
      <c r="AK5" s="8">
        <v>30</v>
      </c>
      <c r="AM5" s="67">
        <v>1</v>
      </c>
      <c r="AO5" s="67">
        <f t="shared" si="0"/>
        <v>0</v>
      </c>
      <c r="AP5" s="67">
        <f t="shared" si="1"/>
        <v>0</v>
      </c>
      <c r="AQ5" s="67">
        <f t="shared" si="2"/>
        <v>0</v>
      </c>
      <c r="AR5" s="67">
        <f t="shared" si="3"/>
        <v>0</v>
      </c>
      <c r="AS5" s="67">
        <f t="shared" si="4"/>
        <v>0</v>
      </c>
      <c r="AT5" s="67">
        <f t="shared" si="5"/>
        <v>2</v>
      </c>
      <c r="AU5" s="67">
        <f t="shared" si="6"/>
        <v>2</v>
      </c>
      <c r="AW5" s="256">
        <v>26</v>
      </c>
      <c r="AX5" s="67">
        <f t="shared" si="7"/>
        <v>130</v>
      </c>
      <c r="AY5" s="76">
        <f t="shared" si="8"/>
        <v>1.5384615384615385E-2</v>
      </c>
      <c r="AZ5" s="67">
        <f t="shared" si="9"/>
        <v>2</v>
      </c>
      <c r="BA5" s="76">
        <f t="shared" ref="BA5:BA68" si="12">AZ5/AW5</f>
        <v>7.6923076923076927E-2</v>
      </c>
      <c r="BC5" s="67">
        <f t="shared" si="10"/>
        <v>1</v>
      </c>
      <c r="BD5" s="67">
        <f t="shared" si="11"/>
        <v>1</v>
      </c>
    </row>
    <row r="6" spans="1:56">
      <c r="A6" s="67">
        <v>34</v>
      </c>
      <c r="B6" s="67" t="s">
        <v>44</v>
      </c>
      <c r="C6" s="8" t="s">
        <v>349</v>
      </c>
      <c r="D6" s="67" t="s">
        <v>6</v>
      </c>
      <c r="E6" s="269"/>
      <c r="F6" s="20"/>
      <c r="G6" s="20"/>
      <c r="H6" s="20"/>
      <c r="I6" s="20"/>
      <c r="J6" s="20"/>
      <c r="K6" s="20"/>
      <c r="L6" s="270"/>
      <c r="M6" s="269"/>
      <c r="N6" s="20"/>
      <c r="O6" s="20"/>
      <c r="P6" s="20"/>
      <c r="Q6" s="20"/>
      <c r="R6" s="20"/>
      <c r="S6" s="20"/>
      <c r="T6" s="270"/>
      <c r="U6" s="269" t="s">
        <v>441</v>
      </c>
      <c r="V6" s="20"/>
      <c r="W6" s="20" t="s">
        <v>442</v>
      </c>
      <c r="X6" s="20"/>
      <c r="Y6" s="20"/>
      <c r="Z6" s="20"/>
      <c r="AA6" s="20"/>
      <c r="AB6" s="270"/>
      <c r="AC6" s="269"/>
      <c r="AD6" s="20"/>
      <c r="AE6" s="20"/>
      <c r="AF6" s="20"/>
      <c r="AG6" s="20"/>
      <c r="AH6" s="20"/>
      <c r="AI6" s="20"/>
      <c r="AJ6" s="270"/>
      <c r="AK6" s="67">
        <v>34</v>
      </c>
      <c r="AM6" s="67">
        <v>1</v>
      </c>
      <c r="AO6" s="67">
        <f t="shared" si="0"/>
        <v>1</v>
      </c>
      <c r="AP6" s="67">
        <f t="shared" si="1"/>
        <v>2</v>
      </c>
      <c r="AQ6" s="67">
        <f t="shared" si="2"/>
        <v>0</v>
      </c>
      <c r="AR6" s="67">
        <f t="shared" si="3"/>
        <v>1</v>
      </c>
      <c r="AS6" s="67">
        <f t="shared" si="4"/>
        <v>1</v>
      </c>
      <c r="AT6" s="67">
        <f t="shared" si="5"/>
        <v>2</v>
      </c>
      <c r="AU6" s="67">
        <f t="shared" si="6"/>
        <v>7</v>
      </c>
      <c r="AW6" s="256">
        <v>2</v>
      </c>
      <c r="AX6" s="67">
        <f t="shared" si="7"/>
        <v>10</v>
      </c>
      <c r="AY6" s="76">
        <f t="shared" si="8"/>
        <v>0.7</v>
      </c>
      <c r="AZ6" s="67">
        <f t="shared" si="9"/>
        <v>2</v>
      </c>
      <c r="BA6" s="76">
        <f t="shared" si="12"/>
        <v>1</v>
      </c>
      <c r="BC6" s="67">
        <f t="shared" si="10"/>
        <v>0</v>
      </c>
      <c r="BD6" s="67">
        <f t="shared" si="11"/>
        <v>2</v>
      </c>
    </row>
    <row r="7" spans="1:56">
      <c r="A7" s="67">
        <v>38</v>
      </c>
      <c r="B7" s="67" t="s">
        <v>48</v>
      </c>
      <c r="C7" s="8" t="s">
        <v>357</v>
      </c>
      <c r="E7" s="269"/>
      <c r="F7" s="20"/>
      <c r="G7" s="20"/>
      <c r="H7" s="20"/>
      <c r="I7" s="20"/>
      <c r="J7" s="20"/>
      <c r="K7" s="20"/>
      <c r="L7" s="270"/>
      <c r="M7" s="269"/>
      <c r="N7" s="20"/>
      <c r="O7" s="20"/>
      <c r="P7" s="20"/>
      <c r="Q7" s="20"/>
      <c r="R7" s="20"/>
      <c r="S7" s="20"/>
      <c r="T7" s="270"/>
      <c r="U7" s="269"/>
      <c r="V7" s="20"/>
      <c r="W7" s="20"/>
      <c r="X7" s="20"/>
      <c r="Y7" s="20"/>
      <c r="Z7" s="20"/>
      <c r="AA7" s="20"/>
      <c r="AB7" s="270"/>
      <c r="AC7" s="269"/>
      <c r="AD7" s="20"/>
      <c r="AE7" s="20"/>
      <c r="AF7" s="20"/>
      <c r="AG7" s="20"/>
      <c r="AH7" s="20"/>
      <c r="AI7" s="20"/>
      <c r="AJ7" s="270"/>
      <c r="AK7" s="67">
        <v>38</v>
      </c>
      <c r="AL7" s="67">
        <v>1</v>
      </c>
      <c r="AO7" s="67">
        <f t="shared" si="0"/>
        <v>0</v>
      </c>
      <c r="AP7" s="67">
        <f t="shared" si="1"/>
        <v>0</v>
      </c>
      <c r="AQ7" s="67">
        <f t="shared" si="2"/>
        <v>0</v>
      </c>
      <c r="AR7" s="67">
        <f t="shared" si="3"/>
        <v>0</v>
      </c>
      <c r="AS7" s="67">
        <f t="shared" si="4"/>
        <v>0</v>
      </c>
      <c r="AT7" s="67">
        <f t="shared" si="5"/>
        <v>0</v>
      </c>
      <c r="AU7" s="67">
        <f t="shared" si="6"/>
        <v>0</v>
      </c>
      <c r="AW7" s="256">
        <v>10</v>
      </c>
      <c r="AX7" s="67">
        <f t="shared" si="7"/>
        <v>50</v>
      </c>
      <c r="AY7" s="76">
        <f t="shared" si="8"/>
        <v>0</v>
      </c>
      <c r="AZ7" s="67">
        <f t="shared" si="9"/>
        <v>0</v>
      </c>
      <c r="BA7" s="76">
        <f t="shared" si="12"/>
        <v>0</v>
      </c>
      <c r="BC7" s="67">
        <f t="shared" si="10"/>
        <v>0</v>
      </c>
      <c r="BD7" s="67">
        <f t="shared" si="11"/>
        <v>0</v>
      </c>
    </row>
    <row r="8" spans="1:56">
      <c r="A8" s="67">
        <v>41</v>
      </c>
      <c r="B8" s="67" t="s">
        <v>5</v>
      </c>
      <c r="C8" s="8" t="s">
        <v>42</v>
      </c>
      <c r="D8" s="67" t="s">
        <v>6</v>
      </c>
      <c r="E8" s="269"/>
      <c r="F8" s="20"/>
      <c r="G8" s="20"/>
      <c r="H8" s="20"/>
      <c r="I8" s="20" t="s">
        <v>431</v>
      </c>
      <c r="J8" s="20"/>
      <c r="K8" s="20" t="s">
        <v>443</v>
      </c>
      <c r="L8" s="270"/>
      <c r="M8" s="269"/>
      <c r="N8" s="20" t="s">
        <v>443</v>
      </c>
      <c r="O8" s="20"/>
      <c r="P8" s="20"/>
      <c r="Q8" s="20"/>
      <c r="R8" s="20" t="s">
        <v>434</v>
      </c>
      <c r="S8" s="20"/>
      <c r="T8" s="270" t="s">
        <v>436</v>
      </c>
      <c r="U8" s="269"/>
      <c r="V8" s="20"/>
      <c r="W8" s="20"/>
      <c r="X8" s="20"/>
      <c r="Y8" s="20"/>
      <c r="Z8" s="20"/>
      <c r="AA8" s="20"/>
      <c r="AB8" s="270"/>
      <c r="AC8" s="269"/>
      <c r="AD8" s="20"/>
      <c r="AE8" s="20"/>
      <c r="AF8" s="20"/>
      <c r="AG8" s="20"/>
      <c r="AH8" s="20"/>
      <c r="AI8" s="20" t="s">
        <v>431</v>
      </c>
      <c r="AJ8" s="270"/>
      <c r="AK8" s="67">
        <v>41</v>
      </c>
      <c r="AM8" s="67">
        <v>1</v>
      </c>
      <c r="AO8" s="67">
        <f t="shared" si="0"/>
        <v>2</v>
      </c>
      <c r="AP8" s="67">
        <f t="shared" si="1"/>
        <v>0</v>
      </c>
      <c r="AQ8" s="67">
        <f t="shared" si="2"/>
        <v>0</v>
      </c>
      <c r="AR8" s="67">
        <f t="shared" si="3"/>
        <v>1</v>
      </c>
      <c r="AS8" s="67">
        <f t="shared" si="4"/>
        <v>2</v>
      </c>
      <c r="AT8" s="67">
        <f t="shared" si="5"/>
        <v>3</v>
      </c>
      <c r="AU8" s="67">
        <f t="shared" si="6"/>
        <v>8</v>
      </c>
      <c r="AW8" s="256">
        <v>25</v>
      </c>
      <c r="AX8" s="67">
        <f t="shared" si="7"/>
        <v>125</v>
      </c>
      <c r="AY8" s="76">
        <f t="shared" si="8"/>
        <v>6.4000000000000001E-2</v>
      </c>
      <c r="AZ8" s="67">
        <f t="shared" si="9"/>
        <v>6</v>
      </c>
      <c r="BA8" s="76">
        <f t="shared" si="12"/>
        <v>0.24</v>
      </c>
      <c r="BC8" s="67">
        <f t="shared" si="10"/>
        <v>5</v>
      </c>
      <c r="BD8" s="67">
        <f t="shared" si="11"/>
        <v>1</v>
      </c>
    </row>
    <row r="9" spans="1:56">
      <c r="A9" s="67">
        <v>42</v>
      </c>
      <c r="B9" s="67" t="s">
        <v>53</v>
      </c>
      <c r="C9" s="8" t="s">
        <v>346</v>
      </c>
      <c r="E9" s="269"/>
      <c r="F9" s="20"/>
      <c r="G9" s="20"/>
      <c r="H9" s="20"/>
      <c r="I9" s="20"/>
      <c r="J9" s="20"/>
      <c r="K9" s="20"/>
      <c r="L9" s="270"/>
      <c r="M9" s="269"/>
      <c r="N9" s="20"/>
      <c r="O9" s="20"/>
      <c r="P9" s="20"/>
      <c r="Q9" s="20"/>
      <c r="R9" s="20"/>
      <c r="S9" s="20"/>
      <c r="T9" s="270"/>
      <c r="U9" s="269"/>
      <c r="V9" s="20"/>
      <c r="W9" s="20"/>
      <c r="X9" s="20"/>
      <c r="Y9" s="20"/>
      <c r="Z9" s="20"/>
      <c r="AA9" s="20"/>
      <c r="AB9" s="270"/>
      <c r="AC9" s="269"/>
      <c r="AD9" s="20"/>
      <c r="AE9" s="20"/>
      <c r="AF9" s="20"/>
      <c r="AG9" s="20"/>
      <c r="AH9" s="20"/>
      <c r="AI9" s="20"/>
      <c r="AJ9" s="270"/>
      <c r="AK9" s="67">
        <v>42</v>
      </c>
      <c r="AL9" s="67">
        <v>1</v>
      </c>
      <c r="AO9" s="67">
        <f t="shared" si="0"/>
        <v>0</v>
      </c>
      <c r="AP9" s="67">
        <f t="shared" si="1"/>
        <v>0</v>
      </c>
      <c r="AQ9" s="67">
        <f t="shared" si="2"/>
        <v>0</v>
      </c>
      <c r="AR9" s="67">
        <f t="shared" si="3"/>
        <v>0</v>
      </c>
      <c r="AS9" s="67">
        <f t="shared" si="4"/>
        <v>0</v>
      </c>
      <c r="AT9" s="67">
        <f t="shared" si="5"/>
        <v>0</v>
      </c>
      <c r="AU9" s="67">
        <f t="shared" si="6"/>
        <v>0</v>
      </c>
      <c r="AW9" s="256">
        <v>17</v>
      </c>
      <c r="AX9" s="67">
        <f t="shared" si="7"/>
        <v>85</v>
      </c>
      <c r="AY9" s="76">
        <f t="shared" si="8"/>
        <v>0</v>
      </c>
      <c r="AZ9" s="67">
        <f t="shared" si="9"/>
        <v>0</v>
      </c>
      <c r="BA9" s="76">
        <f t="shared" si="12"/>
        <v>0</v>
      </c>
      <c r="BC9" s="67">
        <f t="shared" si="10"/>
        <v>0</v>
      </c>
      <c r="BD9" s="67">
        <f t="shared" si="11"/>
        <v>0</v>
      </c>
    </row>
    <row r="10" spans="1:56">
      <c r="A10" s="67">
        <v>45</v>
      </c>
      <c r="B10" s="67" t="s">
        <v>55</v>
      </c>
      <c r="C10" s="8" t="s">
        <v>346</v>
      </c>
      <c r="E10" s="269"/>
      <c r="F10" s="20"/>
      <c r="G10" s="20"/>
      <c r="H10" s="20"/>
      <c r="I10" s="20"/>
      <c r="J10" s="20"/>
      <c r="K10" s="20"/>
      <c r="L10" s="270"/>
      <c r="M10" s="269"/>
      <c r="N10" s="20"/>
      <c r="O10" s="20"/>
      <c r="P10" s="20"/>
      <c r="Q10" s="20"/>
      <c r="R10" s="20"/>
      <c r="S10" s="20"/>
      <c r="T10" s="270"/>
      <c r="U10" s="269"/>
      <c r="V10" s="20"/>
      <c r="W10" s="20"/>
      <c r="X10" s="20"/>
      <c r="Y10" s="20"/>
      <c r="Z10" s="20"/>
      <c r="AA10" s="20"/>
      <c r="AB10" s="270"/>
      <c r="AC10" s="269"/>
      <c r="AD10" s="20"/>
      <c r="AE10" s="20"/>
      <c r="AF10" s="20"/>
      <c r="AG10" s="20"/>
      <c r="AH10" s="20"/>
      <c r="AI10" s="20"/>
      <c r="AJ10" s="270"/>
      <c r="AK10" s="67">
        <v>45</v>
      </c>
      <c r="AL10" s="67">
        <v>1</v>
      </c>
      <c r="AO10" s="67">
        <f t="shared" si="0"/>
        <v>0</v>
      </c>
      <c r="AP10" s="67">
        <f t="shared" si="1"/>
        <v>0</v>
      </c>
      <c r="AQ10" s="67">
        <f t="shared" si="2"/>
        <v>0</v>
      </c>
      <c r="AR10" s="67">
        <f t="shared" si="3"/>
        <v>0</v>
      </c>
      <c r="AS10" s="67">
        <f t="shared" si="4"/>
        <v>0</v>
      </c>
      <c r="AT10" s="67">
        <f t="shared" si="5"/>
        <v>0</v>
      </c>
      <c r="AU10" s="67">
        <f t="shared" si="6"/>
        <v>0</v>
      </c>
      <c r="AW10" s="256">
        <v>9</v>
      </c>
      <c r="AX10" s="67">
        <f t="shared" si="7"/>
        <v>45</v>
      </c>
      <c r="AY10" s="76">
        <f t="shared" si="8"/>
        <v>0</v>
      </c>
      <c r="AZ10" s="67">
        <f t="shared" si="9"/>
        <v>0</v>
      </c>
      <c r="BA10" s="76">
        <f t="shared" si="12"/>
        <v>0</v>
      </c>
      <c r="BC10" s="67">
        <f t="shared" si="10"/>
        <v>0</v>
      </c>
      <c r="BD10" s="67">
        <f t="shared" si="11"/>
        <v>0</v>
      </c>
    </row>
    <row r="11" spans="1:56">
      <c r="A11" s="67">
        <v>46</v>
      </c>
      <c r="B11" s="4" t="s">
        <v>56</v>
      </c>
      <c r="C11" s="8" t="s">
        <v>360</v>
      </c>
      <c r="E11" s="269"/>
      <c r="F11" s="20"/>
      <c r="G11" s="20"/>
      <c r="H11" s="20"/>
      <c r="I11" s="20"/>
      <c r="J11" s="20"/>
      <c r="K11" s="20"/>
      <c r="L11" s="270"/>
      <c r="M11" s="269"/>
      <c r="N11" s="20"/>
      <c r="O11" s="20"/>
      <c r="P11" s="20"/>
      <c r="Q11" s="20"/>
      <c r="R11" s="20"/>
      <c r="S11" s="20"/>
      <c r="T11" s="270"/>
      <c r="U11" s="269"/>
      <c r="V11" s="20"/>
      <c r="W11" s="20"/>
      <c r="X11" s="20"/>
      <c r="Y11" s="20"/>
      <c r="Z11" s="20"/>
      <c r="AA11" s="20"/>
      <c r="AB11" s="270"/>
      <c r="AC11" s="269"/>
      <c r="AD11" s="20"/>
      <c r="AE11" s="20"/>
      <c r="AF11" s="20"/>
      <c r="AG11" s="20"/>
      <c r="AH11" s="20"/>
      <c r="AI11" s="20"/>
      <c r="AJ11" s="270"/>
      <c r="AK11" s="67">
        <v>46</v>
      </c>
      <c r="AL11" s="67">
        <v>1</v>
      </c>
      <c r="AO11" s="67">
        <f t="shared" si="0"/>
        <v>0</v>
      </c>
      <c r="AP11" s="67">
        <f t="shared" si="1"/>
        <v>0</v>
      </c>
      <c r="AQ11" s="67">
        <f t="shared" si="2"/>
        <v>0</v>
      </c>
      <c r="AR11" s="67">
        <f t="shared" si="3"/>
        <v>0</v>
      </c>
      <c r="AS11" s="67">
        <f t="shared" si="4"/>
        <v>0</v>
      </c>
      <c r="AT11" s="67">
        <f t="shared" si="5"/>
        <v>0</v>
      </c>
      <c r="AU11" s="67">
        <f t="shared" si="6"/>
        <v>0</v>
      </c>
      <c r="AW11" s="256">
        <v>6</v>
      </c>
      <c r="AX11" s="67">
        <f t="shared" si="7"/>
        <v>30</v>
      </c>
      <c r="AY11" s="76">
        <f t="shared" si="8"/>
        <v>0</v>
      </c>
      <c r="AZ11" s="67">
        <f t="shared" si="9"/>
        <v>0</v>
      </c>
      <c r="BA11" s="76">
        <f t="shared" si="12"/>
        <v>0</v>
      </c>
      <c r="BC11" s="67">
        <f t="shared" si="10"/>
        <v>0</v>
      </c>
      <c r="BD11" s="67">
        <f t="shared" si="11"/>
        <v>0</v>
      </c>
    </row>
    <row r="12" spans="1:56">
      <c r="A12" s="67">
        <v>48</v>
      </c>
      <c r="B12" s="67" t="s">
        <v>57</v>
      </c>
      <c r="C12" s="8" t="s">
        <v>12</v>
      </c>
      <c r="D12" s="67" t="s">
        <v>6</v>
      </c>
      <c r="E12" s="269"/>
      <c r="F12" s="20"/>
      <c r="G12" s="20"/>
      <c r="H12" s="20"/>
      <c r="I12" s="20"/>
      <c r="J12" s="20"/>
      <c r="K12" s="20"/>
      <c r="L12" s="270"/>
      <c r="M12" s="269"/>
      <c r="N12" s="20"/>
      <c r="O12" s="20"/>
      <c r="P12" s="20"/>
      <c r="Q12" s="20"/>
      <c r="R12" s="20"/>
      <c r="S12" s="20"/>
      <c r="T12" s="270"/>
      <c r="U12" s="269"/>
      <c r="V12" s="20"/>
      <c r="W12" s="20" t="s">
        <v>444</v>
      </c>
      <c r="X12" s="20"/>
      <c r="Y12" s="20"/>
      <c r="Z12" s="20"/>
      <c r="AA12" s="20"/>
      <c r="AB12" s="270"/>
      <c r="AC12" s="269"/>
      <c r="AD12" s="20"/>
      <c r="AE12" s="20"/>
      <c r="AF12" s="20"/>
      <c r="AG12" s="20"/>
      <c r="AH12" s="20"/>
      <c r="AI12" s="20"/>
      <c r="AJ12" s="270"/>
      <c r="AK12" s="67">
        <v>48</v>
      </c>
      <c r="AM12" s="67">
        <v>1</v>
      </c>
      <c r="AO12" s="67">
        <f t="shared" si="0"/>
        <v>1</v>
      </c>
      <c r="AP12" s="67">
        <f t="shared" si="1"/>
        <v>1</v>
      </c>
      <c r="AQ12" s="67">
        <f t="shared" si="2"/>
        <v>0</v>
      </c>
      <c r="AR12" s="67">
        <f t="shared" si="3"/>
        <v>1</v>
      </c>
      <c r="AS12" s="67">
        <f t="shared" si="4"/>
        <v>0</v>
      </c>
      <c r="AT12" s="67">
        <f t="shared" si="5"/>
        <v>1</v>
      </c>
      <c r="AU12" s="67">
        <f t="shared" si="6"/>
        <v>4</v>
      </c>
      <c r="AW12" s="256">
        <v>2</v>
      </c>
      <c r="AX12" s="67">
        <f t="shared" si="7"/>
        <v>10</v>
      </c>
      <c r="AY12" s="76">
        <f t="shared" si="8"/>
        <v>0.4</v>
      </c>
      <c r="AZ12" s="67">
        <f t="shared" si="9"/>
        <v>1</v>
      </c>
      <c r="BA12" s="76">
        <f t="shared" si="12"/>
        <v>0.5</v>
      </c>
      <c r="BC12" s="67">
        <f t="shared" si="10"/>
        <v>0</v>
      </c>
      <c r="BD12" s="67">
        <f t="shared" si="11"/>
        <v>1</v>
      </c>
    </row>
    <row r="13" spans="1:56">
      <c r="A13" s="67">
        <v>49</v>
      </c>
      <c r="B13" s="67" t="s">
        <v>58</v>
      </c>
      <c r="C13" s="8" t="s">
        <v>358</v>
      </c>
      <c r="D13" s="67" t="s">
        <v>6</v>
      </c>
      <c r="E13" s="269"/>
      <c r="F13" s="20"/>
      <c r="G13" s="20"/>
      <c r="H13" s="20"/>
      <c r="I13" s="20"/>
      <c r="J13" s="20"/>
      <c r="K13" s="20"/>
      <c r="L13" s="270"/>
      <c r="M13" s="269"/>
      <c r="N13" s="20"/>
      <c r="O13" s="20"/>
      <c r="P13" s="20"/>
      <c r="Q13" s="20"/>
      <c r="R13" s="20"/>
      <c r="S13" s="20"/>
      <c r="T13" s="270"/>
      <c r="U13" s="269"/>
      <c r="V13" s="20" t="s">
        <v>436</v>
      </c>
      <c r="W13" s="20"/>
      <c r="X13" s="20"/>
      <c r="Y13" s="20"/>
      <c r="Z13" s="20"/>
      <c r="AA13" s="20"/>
      <c r="AB13" s="270"/>
      <c r="AC13" s="269"/>
      <c r="AD13" s="20"/>
      <c r="AE13" s="20"/>
      <c r="AF13" s="20"/>
      <c r="AG13" s="20"/>
      <c r="AH13" s="20" t="s">
        <v>436</v>
      </c>
      <c r="AI13" s="20"/>
      <c r="AJ13" s="270"/>
      <c r="AK13" s="67">
        <v>49</v>
      </c>
      <c r="AM13" s="67">
        <v>1</v>
      </c>
      <c r="AO13" s="67">
        <f t="shared" si="0"/>
        <v>0</v>
      </c>
      <c r="AP13" s="67">
        <f t="shared" si="1"/>
        <v>0</v>
      </c>
      <c r="AQ13" s="67">
        <f t="shared" si="2"/>
        <v>0</v>
      </c>
      <c r="AR13" s="67">
        <f t="shared" si="3"/>
        <v>0</v>
      </c>
      <c r="AS13" s="67">
        <f t="shared" si="4"/>
        <v>0</v>
      </c>
      <c r="AT13" s="67">
        <f t="shared" si="5"/>
        <v>2</v>
      </c>
      <c r="AU13" s="67">
        <f t="shared" si="6"/>
        <v>2</v>
      </c>
      <c r="AW13" s="256">
        <v>29</v>
      </c>
      <c r="AX13" s="67">
        <f t="shared" si="7"/>
        <v>145</v>
      </c>
      <c r="AY13" s="76">
        <f t="shared" si="8"/>
        <v>1.3793103448275862E-2</v>
      </c>
      <c r="AZ13" s="67">
        <f t="shared" si="9"/>
        <v>2</v>
      </c>
      <c r="BA13" s="76">
        <f t="shared" si="12"/>
        <v>6.8965517241379309E-2</v>
      </c>
      <c r="BC13" s="67">
        <f t="shared" si="10"/>
        <v>0</v>
      </c>
      <c r="BD13" s="67">
        <f t="shared" si="11"/>
        <v>2</v>
      </c>
    </row>
    <row r="14" spans="1:56">
      <c r="A14" s="67">
        <v>52</v>
      </c>
      <c r="B14" s="67" t="s">
        <v>41</v>
      </c>
      <c r="C14" s="8" t="s">
        <v>42</v>
      </c>
      <c r="D14" s="67" t="s">
        <v>6</v>
      </c>
      <c r="E14" s="269"/>
      <c r="F14" s="20"/>
      <c r="G14" s="20"/>
      <c r="H14" s="20"/>
      <c r="I14" s="20" t="s">
        <v>442</v>
      </c>
      <c r="J14" s="20"/>
      <c r="K14" s="20"/>
      <c r="L14" s="270"/>
      <c r="M14" s="269"/>
      <c r="N14" s="20"/>
      <c r="O14" s="20"/>
      <c r="P14" s="20" t="s">
        <v>442</v>
      </c>
      <c r="Q14" s="20"/>
      <c r="R14" s="20" t="s">
        <v>435</v>
      </c>
      <c r="S14" s="20" t="s">
        <v>435</v>
      </c>
      <c r="T14" s="270"/>
      <c r="U14" s="269"/>
      <c r="V14" s="20" t="s">
        <v>445</v>
      </c>
      <c r="W14" s="20"/>
      <c r="X14" s="20"/>
      <c r="Y14" s="20"/>
      <c r="Z14" s="20"/>
      <c r="AA14" s="20"/>
      <c r="AB14" s="270"/>
      <c r="AC14" s="269"/>
      <c r="AD14" s="20"/>
      <c r="AE14" s="20"/>
      <c r="AF14" s="20"/>
      <c r="AG14" s="20"/>
      <c r="AH14" s="20" t="s">
        <v>442</v>
      </c>
      <c r="AI14" s="20"/>
      <c r="AJ14" s="270"/>
      <c r="AK14" s="67">
        <v>52</v>
      </c>
      <c r="AM14" s="67">
        <v>1</v>
      </c>
      <c r="AO14" s="67">
        <f t="shared" si="0"/>
        <v>3</v>
      </c>
      <c r="AP14" s="67">
        <f t="shared" si="1"/>
        <v>3</v>
      </c>
      <c r="AQ14" s="67">
        <f t="shared" si="2"/>
        <v>0</v>
      </c>
      <c r="AR14" s="67">
        <f t="shared" si="3"/>
        <v>4</v>
      </c>
      <c r="AS14" s="67">
        <f t="shared" si="4"/>
        <v>6</v>
      </c>
      <c r="AT14" s="67">
        <f t="shared" si="5"/>
        <v>4</v>
      </c>
      <c r="AU14" s="67">
        <f t="shared" si="6"/>
        <v>20</v>
      </c>
      <c r="AW14" s="256">
        <v>29</v>
      </c>
      <c r="AX14" s="67">
        <f t="shared" si="7"/>
        <v>145</v>
      </c>
      <c r="AY14" s="76">
        <f t="shared" si="8"/>
        <v>0.13793103448275862</v>
      </c>
      <c r="AZ14" s="67">
        <f t="shared" si="9"/>
        <v>6</v>
      </c>
      <c r="BA14" s="76">
        <f t="shared" si="12"/>
        <v>0.20689655172413793</v>
      </c>
      <c r="BC14" s="67">
        <f t="shared" si="10"/>
        <v>4</v>
      </c>
      <c r="BD14" s="67">
        <f t="shared" si="11"/>
        <v>2</v>
      </c>
    </row>
    <row r="15" spans="1:56" s="8" customFormat="1">
      <c r="A15" s="8">
        <v>53</v>
      </c>
      <c r="B15" s="8" t="s">
        <v>62</v>
      </c>
      <c r="C15" s="8" t="s">
        <v>42</v>
      </c>
      <c r="D15" s="8" t="s">
        <v>42</v>
      </c>
      <c r="E15" s="271"/>
      <c r="F15" s="5" t="s">
        <v>435</v>
      </c>
      <c r="G15" s="5"/>
      <c r="H15" s="5"/>
      <c r="I15" s="5" t="s">
        <v>434</v>
      </c>
      <c r="J15" s="5"/>
      <c r="K15" s="5"/>
      <c r="L15" s="272"/>
      <c r="M15" s="271"/>
      <c r="N15" s="5"/>
      <c r="O15" s="5"/>
      <c r="P15" s="5"/>
      <c r="Q15" s="5"/>
      <c r="R15" s="5" t="s">
        <v>435</v>
      </c>
      <c r="S15" s="5" t="s">
        <v>435</v>
      </c>
      <c r="T15" s="272"/>
      <c r="U15" s="271" t="s">
        <v>436</v>
      </c>
      <c r="V15" s="5" t="s">
        <v>435</v>
      </c>
      <c r="W15" s="5"/>
      <c r="X15" s="5"/>
      <c r="Y15" s="5"/>
      <c r="Z15" s="5"/>
      <c r="AA15" s="5"/>
      <c r="AB15" s="272"/>
      <c r="AC15" s="271"/>
      <c r="AD15" s="5"/>
      <c r="AE15" s="5"/>
      <c r="AF15" s="5"/>
      <c r="AG15" s="5"/>
      <c r="AH15" s="5"/>
      <c r="AI15" s="5"/>
      <c r="AJ15" s="272" t="s">
        <v>436</v>
      </c>
      <c r="AK15" s="8">
        <v>53</v>
      </c>
      <c r="AM15" s="8">
        <v>1</v>
      </c>
      <c r="AO15" s="67">
        <f t="shared" si="0"/>
        <v>0</v>
      </c>
      <c r="AP15" s="67">
        <f t="shared" si="1"/>
        <v>0</v>
      </c>
      <c r="AQ15" s="67">
        <f t="shared" si="2"/>
        <v>0</v>
      </c>
      <c r="AR15" s="67">
        <f t="shared" si="3"/>
        <v>1</v>
      </c>
      <c r="AS15" s="67">
        <f t="shared" si="4"/>
        <v>4</v>
      </c>
      <c r="AT15" s="67">
        <f t="shared" si="5"/>
        <v>2</v>
      </c>
      <c r="AU15" s="67">
        <f t="shared" si="6"/>
        <v>7</v>
      </c>
      <c r="AW15" s="256">
        <v>31</v>
      </c>
      <c r="AX15" s="67">
        <f t="shared" si="7"/>
        <v>155</v>
      </c>
      <c r="AY15" s="76">
        <f t="shared" si="8"/>
        <v>4.5161290322580643E-2</v>
      </c>
      <c r="AZ15" s="67">
        <f t="shared" si="9"/>
        <v>7</v>
      </c>
      <c r="BA15" s="76">
        <f t="shared" si="12"/>
        <v>0.22580645161290322</v>
      </c>
      <c r="BB15" s="67"/>
      <c r="BC15" s="67">
        <f t="shared" si="10"/>
        <v>4</v>
      </c>
      <c r="BD15" s="67">
        <f t="shared" si="11"/>
        <v>3</v>
      </c>
    </row>
    <row r="16" spans="1:56">
      <c r="A16" s="67">
        <v>54</v>
      </c>
      <c r="B16" s="67" t="s">
        <v>63</v>
      </c>
      <c r="C16" s="8" t="s">
        <v>346</v>
      </c>
      <c r="E16" s="269"/>
      <c r="F16" s="20"/>
      <c r="G16" s="20"/>
      <c r="H16" s="20"/>
      <c r="I16" s="20"/>
      <c r="J16" s="20"/>
      <c r="K16" s="20"/>
      <c r="L16" s="270"/>
      <c r="M16" s="269"/>
      <c r="N16" s="20"/>
      <c r="O16" s="20"/>
      <c r="P16" s="20"/>
      <c r="Q16" s="20"/>
      <c r="R16" s="20"/>
      <c r="S16" s="20"/>
      <c r="T16" s="270"/>
      <c r="U16" s="269"/>
      <c r="V16" s="20"/>
      <c r="W16" s="20"/>
      <c r="X16" s="20"/>
      <c r="Y16" s="20"/>
      <c r="Z16" s="20"/>
      <c r="AA16" s="20"/>
      <c r="AB16" s="270"/>
      <c r="AC16" s="269"/>
      <c r="AD16" s="20"/>
      <c r="AE16" s="20"/>
      <c r="AF16" s="20"/>
      <c r="AG16" s="20"/>
      <c r="AH16" s="20"/>
      <c r="AI16" s="20"/>
      <c r="AJ16" s="270"/>
      <c r="AK16" s="67">
        <v>54</v>
      </c>
      <c r="AL16" s="67">
        <v>1</v>
      </c>
      <c r="AO16" s="67">
        <f t="shared" si="0"/>
        <v>0</v>
      </c>
      <c r="AP16" s="67">
        <f t="shared" si="1"/>
        <v>0</v>
      </c>
      <c r="AQ16" s="67">
        <f t="shared" si="2"/>
        <v>0</v>
      </c>
      <c r="AR16" s="67">
        <f t="shared" si="3"/>
        <v>0</v>
      </c>
      <c r="AS16" s="67">
        <f t="shared" si="4"/>
        <v>0</v>
      </c>
      <c r="AT16" s="67">
        <f t="shared" si="5"/>
        <v>0</v>
      </c>
      <c r="AU16" s="67">
        <f t="shared" si="6"/>
        <v>0</v>
      </c>
      <c r="AW16" s="256">
        <v>10</v>
      </c>
      <c r="AX16" s="67">
        <f t="shared" si="7"/>
        <v>50</v>
      </c>
      <c r="AY16" s="76">
        <f t="shared" si="8"/>
        <v>0</v>
      </c>
      <c r="AZ16" s="67">
        <f t="shared" si="9"/>
        <v>0</v>
      </c>
      <c r="BA16" s="76">
        <f t="shared" si="12"/>
        <v>0</v>
      </c>
      <c r="BC16" s="67">
        <f t="shared" si="10"/>
        <v>0</v>
      </c>
      <c r="BD16" s="67">
        <f t="shared" si="11"/>
        <v>0</v>
      </c>
    </row>
    <row r="17" spans="1:56">
      <c r="A17" s="67">
        <v>56</v>
      </c>
      <c r="B17" s="67" t="s">
        <v>53</v>
      </c>
      <c r="C17" s="8" t="s">
        <v>346</v>
      </c>
      <c r="E17" s="269"/>
      <c r="F17" s="20"/>
      <c r="G17" s="20"/>
      <c r="H17" s="20"/>
      <c r="I17" s="20"/>
      <c r="J17" s="20"/>
      <c r="K17" s="20"/>
      <c r="L17" s="270"/>
      <c r="M17" s="269"/>
      <c r="N17" s="20"/>
      <c r="O17" s="20"/>
      <c r="P17" s="20"/>
      <c r="Q17" s="20"/>
      <c r="R17" s="20"/>
      <c r="S17" s="20"/>
      <c r="T17" s="270"/>
      <c r="U17" s="269"/>
      <c r="V17" s="20"/>
      <c r="W17" s="20"/>
      <c r="X17" s="20"/>
      <c r="Y17" s="20"/>
      <c r="Z17" s="20"/>
      <c r="AA17" s="20"/>
      <c r="AB17" s="270"/>
      <c r="AC17" s="269"/>
      <c r="AD17" s="20"/>
      <c r="AE17" s="20"/>
      <c r="AF17" s="20"/>
      <c r="AG17" s="20"/>
      <c r="AH17" s="20"/>
      <c r="AI17" s="20"/>
      <c r="AJ17" s="270"/>
      <c r="AK17" s="67">
        <v>56</v>
      </c>
      <c r="AL17" s="67">
        <v>1</v>
      </c>
      <c r="AO17" s="67">
        <f t="shared" si="0"/>
        <v>0</v>
      </c>
      <c r="AP17" s="67">
        <f t="shared" si="1"/>
        <v>0</v>
      </c>
      <c r="AQ17" s="67">
        <f t="shared" si="2"/>
        <v>0</v>
      </c>
      <c r="AR17" s="67">
        <f t="shared" si="3"/>
        <v>0</v>
      </c>
      <c r="AS17" s="67">
        <f t="shared" si="4"/>
        <v>0</v>
      </c>
      <c r="AT17" s="67">
        <f t="shared" si="5"/>
        <v>0</v>
      </c>
      <c r="AU17" s="67">
        <f t="shared" si="6"/>
        <v>0</v>
      </c>
      <c r="AW17" s="256">
        <v>17</v>
      </c>
      <c r="AX17" s="67">
        <f t="shared" si="7"/>
        <v>85</v>
      </c>
      <c r="AY17" s="76">
        <f t="shared" si="8"/>
        <v>0</v>
      </c>
      <c r="AZ17" s="67">
        <f t="shared" si="9"/>
        <v>0</v>
      </c>
      <c r="BA17" s="76">
        <f t="shared" si="12"/>
        <v>0</v>
      </c>
      <c r="BC17" s="67">
        <f t="shared" si="10"/>
        <v>0</v>
      </c>
      <c r="BD17" s="67">
        <f t="shared" si="11"/>
        <v>0</v>
      </c>
    </row>
    <row r="18" spans="1:56">
      <c r="A18" s="67">
        <v>57</v>
      </c>
      <c r="B18" s="67" t="s">
        <v>44</v>
      </c>
      <c r="C18" s="8" t="s">
        <v>349</v>
      </c>
      <c r="D18" s="67" t="s">
        <v>6</v>
      </c>
      <c r="E18" s="269"/>
      <c r="F18" s="20"/>
      <c r="G18" s="20"/>
      <c r="H18" s="20" t="s">
        <v>442</v>
      </c>
      <c r="I18" s="20"/>
      <c r="J18" s="20" t="s">
        <v>446</v>
      </c>
      <c r="K18" s="20" t="s">
        <v>447</v>
      </c>
      <c r="L18" s="270" t="s">
        <v>448</v>
      </c>
      <c r="M18" s="269"/>
      <c r="N18" s="5" t="s">
        <v>449</v>
      </c>
      <c r="O18" s="5" t="s">
        <v>450</v>
      </c>
      <c r="P18" s="20"/>
      <c r="Q18" s="5" t="s">
        <v>435</v>
      </c>
      <c r="R18" s="20"/>
      <c r="S18" s="20"/>
      <c r="T18" s="270"/>
      <c r="U18" s="269"/>
      <c r="V18" s="20"/>
      <c r="W18" s="20"/>
      <c r="X18" s="20"/>
      <c r="Y18" s="20"/>
      <c r="Z18" s="20" t="s">
        <v>435</v>
      </c>
      <c r="AA18" s="20"/>
      <c r="AB18" s="270"/>
      <c r="AC18" s="269"/>
      <c r="AD18" s="20" t="s">
        <v>451</v>
      </c>
      <c r="AE18" s="20" t="s">
        <v>434</v>
      </c>
      <c r="AF18" s="20" t="s">
        <v>446</v>
      </c>
      <c r="AG18" s="5" t="s">
        <v>442</v>
      </c>
      <c r="AH18" s="20"/>
      <c r="AI18" s="20"/>
      <c r="AJ18" s="270"/>
      <c r="AK18" s="67">
        <v>57</v>
      </c>
      <c r="AM18" s="67">
        <v>1</v>
      </c>
      <c r="AO18" s="67">
        <f t="shared" si="0"/>
        <v>2</v>
      </c>
      <c r="AP18" s="67">
        <f t="shared" si="1"/>
        <v>3</v>
      </c>
      <c r="AQ18" s="67">
        <f t="shared" si="2"/>
        <v>2</v>
      </c>
      <c r="AR18" s="67">
        <f t="shared" si="3"/>
        <v>10</v>
      </c>
      <c r="AS18" s="67">
        <f t="shared" si="4"/>
        <v>9</v>
      </c>
      <c r="AT18" s="67">
        <f t="shared" si="5"/>
        <v>5</v>
      </c>
      <c r="AU18" s="67">
        <f t="shared" si="6"/>
        <v>31</v>
      </c>
      <c r="AW18" s="256">
        <v>15</v>
      </c>
      <c r="AX18" s="67">
        <f t="shared" si="7"/>
        <v>75</v>
      </c>
      <c r="AY18" s="76">
        <f t="shared" si="8"/>
        <v>0.41333333333333333</v>
      </c>
      <c r="AZ18" s="67">
        <f t="shared" si="9"/>
        <v>12</v>
      </c>
      <c r="BA18" s="76">
        <f t="shared" si="12"/>
        <v>0.8</v>
      </c>
      <c r="BC18" s="67">
        <f t="shared" si="10"/>
        <v>7</v>
      </c>
      <c r="BD18" s="67">
        <f t="shared" si="11"/>
        <v>5</v>
      </c>
    </row>
    <row r="19" spans="1:56">
      <c r="A19" s="67">
        <v>59</v>
      </c>
      <c r="B19" s="4" t="s">
        <v>56</v>
      </c>
      <c r="C19" s="8" t="s">
        <v>360</v>
      </c>
      <c r="E19" s="269"/>
      <c r="F19" s="20"/>
      <c r="G19" s="20"/>
      <c r="H19" s="20"/>
      <c r="I19" s="20"/>
      <c r="J19" s="20"/>
      <c r="K19" s="20"/>
      <c r="L19" s="270"/>
      <c r="M19" s="269"/>
      <c r="N19" s="20"/>
      <c r="O19" s="20"/>
      <c r="P19" s="20"/>
      <c r="Q19" s="20"/>
      <c r="R19" s="20"/>
      <c r="S19" s="20"/>
      <c r="T19" s="270"/>
      <c r="U19" s="269"/>
      <c r="V19" s="20"/>
      <c r="W19" s="20"/>
      <c r="X19" s="20"/>
      <c r="Y19" s="20"/>
      <c r="Z19" s="20"/>
      <c r="AA19" s="20"/>
      <c r="AB19" s="270"/>
      <c r="AC19" s="269"/>
      <c r="AD19" s="20"/>
      <c r="AE19" s="20"/>
      <c r="AF19" s="20"/>
      <c r="AG19" s="20"/>
      <c r="AH19" s="20"/>
      <c r="AI19" s="20"/>
      <c r="AJ19" s="270"/>
      <c r="AK19" s="67">
        <v>59</v>
      </c>
      <c r="AL19" s="67">
        <v>1</v>
      </c>
      <c r="AO19" s="67">
        <f t="shared" si="0"/>
        <v>0</v>
      </c>
      <c r="AP19" s="67">
        <f t="shared" si="1"/>
        <v>0</v>
      </c>
      <c r="AQ19" s="67">
        <f t="shared" si="2"/>
        <v>0</v>
      </c>
      <c r="AR19" s="67">
        <f t="shared" si="3"/>
        <v>0</v>
      </c>
      <c r="AS19" s="67">
        <f t="shared" si="4"/>
        <v>0</v>
      </c>
      <c r="AT19" s="67">
        <f t="shared" si="5"/>
        <v>0</v>
      </c>
      <c r="AU19" s="67">
        <f t="shared" si="6"/>
        <v>0</v>
      </c>
      <c r="AW19" s="256">
        <v>7</v>
      </c>
      <c r="AX19" s="67">
        <f t="shared" si="7"/>
        <v>35</v>
      </c>
      <c r="AY19" s="76">
        <f t="shared" si="8"/>
        <v>0</v>
      </c>
      <c r="AZ19" s="67">
        <f t="shared" si="9"/>
        <v>0</v>
      </c>
      <c r="BA19" s="76">
        <f t="shared" si="12"/>
        <v>0</v>
      </c>
      <c r="BC19" s="67">
        <f t="shared" si="10"/>
        <v>0</v>
      </c>
      <c r="BD19" s="67">
        <f t="shared" si="11"/>
        <v>0</v>
      </c>
    </row>
    <row r="20" spans="1:56">
      <c r="A20" s="67">
        <v>60</v>
      </c>
      <c r="B20" s="67" t="s">
        <v>48</v>
      </c>
      <c r="C20" s="8" t="s">
        <v>357</v>
      </c>
      <c r="E20" s="269"/>
      <c r="F20" s="20"/>
      <c r="G20" s="20"/>
      <c r="H20" s="20"/>
      <c r="I20" s="20"/>
      <c r="J20" s="20"/>
      <c r="K20" s="20"/>
      <c r="L20" s="270"/>
      <c r="M20" s="269"/>
      <c r="N20" s="20"/>
      <c r="O20" s="20"/>
      <c r="P20" s="20"/>
      <c r="Q20" s="20"/>
      <c r="R20" s="20"/>
      <c r="S20" s="20"/>
      <c r="T20" s="270"/>
      <c r="U20" s="269"/>
      <c r="V20" s="20"/>
      <c r="W20" s="20"/>
      <c r="X20" s="20"/>
      <c r="Y20" s="20"/>
      <c r="Z20" s="20"/>
      <c r="AA20" s="20"/>
      <c r="AB20" s="270"/>
      <c r="AC20" s="269"/>
      <c r="AD20" s="20"/>
      <c r="AE20" s="20"/>
      <c r="AF20" s="20"/>
      <c r="AG20" s="20"/>
      <c r="AH20" s="20"/>
      <c r="AI20" s="20"/>
      <c r="AJ20" s="270"/>
      <c r="AK20" s="67">
        <v>60</v>
      </c>
      <c r="AL20" s="67">
        <v>1</v>
      </c>
      <c r="AO20" s="67">
        <f t="shared" si="0"/>
        <v>0</v>
      </c>
      <c r="AP20" s="67">
        <f t="shared" si="1"/>
        <v>0</v>
      </c>
      <c r="AQ20" s="67">
        <f t="shared" si="2"/>
        <v>0</v>
      </c>
      <c r="AR20" s="67">
        <f t="shared" si="3"/>
        <v>0</v>
      </c>
      <c r="AS20" s="67">
        <f t="shared" si="4"/>
        <v>0</v>
      </c>
      <c r="AT20" s="67">
        <f t="shared" si="5"/>
        <v>0</v>
      </c>
      <c r="AU20" s="67">
        <f t="shared" si="6"/>
        <v>0</v>
      </c>
      <c r="AW20" s="256">
        <v>22</v>
      </c>
      <c r="AX20" s="67">
        <f t="shared" si="7"/>
        <v>110</v>
      </c>
      <c r="AY20" s="76">
        <f t="shared" si="8"/>
        <v>0</v>
      </c>
      <c r="AZ20" s="67">
        <f t="shared" si="9"/>
        <v>0</v>
      </c>
      <c r="BA20" s="76">
        <f t="shared" si="12"/>
        <v>0</v>
      </c>
      <c r="BC20" s="67">
        <f t="shared" si="10"/>
        <v>0</v>
      </c>
      <c r="BD20" s="67">
        <f t="shared" si="11"/>
        <v>0</v>
      </c>
    </row>
    <row r="21" spans="1:56">
      <c r="A21" s="67">
        <v>61</v>
      </c>
      <c r="B21" s="67" t="s">
        <v>99</v>
      </c>
      <c r="C21" s="8" t="s">
        <v>346</v>
      </c>
      <c r="E21" s="269"/>
      <c r="F21" s="20"/>
      <c r="G21" s="20"/>
      <c r="H21" s="20"/>
      <c r="I21" s="20"/>
      <c r="J21" s="20"/>
      <c r="K21" s="20"/>
      <c r="L21" s="270"/>
      <c r="M21" s="269"/>
      <c r="N21" s="20"/>
      <c r="O21" s="20"/>
      <c r="P21" s="20"/>
      <c r="Q21" s="20"/>
      <c r="R21" s="20"/>
      <c r="S21" s="20"/>
      <c r="T21" s="270"/>
      <c r="U21" s="269"/>
      <c r="V21" s="20"/>
      <c r="W21" s="20"/>
      <c r="X21" s="20"/>
      <c r="Y21" s="20"/>
      <c r="Z21" s="20"/>
      <c r="AA21" s="20"/>
      <c r="AB21" s="270"/>
      <c r="AC21" s="269"/>
      <c r="AD21" s="20"/>
      <c r="AE21" s="20"/>
      <c r="AF21" s="20"/>
      <c r="AG21" s="20"/>
      <c r="AH21" s="20"/>
      <c r="AI21" s="20"/>
      <c r="AJ21" s="270"/>
      <c r="AK21" s="67">
        <v>61</v>
      </c>
      <c r="AL21" s="67">
        <v>1</v>
      </c>
      <c r="AO21" s="67">
        <f t="shared" si="0"/>
        <v>0</v>
      </c>
      <c r="AP21" s="67">
        <f t="shared" si="1"/>
        <v>0</v>
      </c>
      <c r="AQ21" s="67">
        <f t="shared" si="2"/>
        <v>0</v>
      </c>
      <c r="AR21" s="67">
        <f t="shared" si="3"/>
        <v>0</v>
      </c>
      <c r="AS21" s="67">
        <f t="shared" si="4"/>
        <v>0</v>
      </c>
      <c r="AT21" s="67">
        <f t="shared" si="5"/>
        <v>0</v>
      </c>
      <c r="AU21" s="67">
        <f t="shared" si="6"/>
        <v>0</v>
      </c>
      <c r="AW21" s="256">
        <v>21</v>
      </c>
      <c r="AX21" s="67">
        <f t="shared" si="7"/>
        <v>105</v>
      </c>
      <c r="AY21" s="76">
        <f t="shared" si="8"/>
        <v>0</v>
      </c>
      <c r="AZ21" s="67">
        <f t="shared" si="9"/>
        <v>0</v>
      </c>
      <c r="BA21" s="76">
        <f t="shared" si="12"/>
        <v>0</v>
      </c>
      <c r="BC21" s="67">
        <f t="shared" si="10"/>
        <v>0</v>
      </c>
      <c r="BD21" s="67">
        <f t="shared" si="11"/>
        <v>0</v>
      </c>
    </row>
    <row r="22" spans="1:56">
      <c r="A22" s="67">
        <v>62</v>
      </c>
      <c r="B22" s="67" t="s">
        <v>68</v>
      </c>
      <c r="C22" s="8" t="s">
        <v>357</v>
      </c>
      <c r="E22" s="269"/>
      <c r="F22" s="20"/>
      <c r="G22" s="20"/>
      <c r="H22" s="20" t="s">
        <v>446</v>
      </c>
      <c r="I22" s="20"/>
      <c r="J22" s="20" t="s">
        <v>435</v>
      </c>
      <c r="K22" s="20"/>
      <c r="L22" s="270"/>
      <c r="M22" s="269"/>
      <c r="N22" s="20"/>
      <c r="O22" s="20" t="s">
        <v>435</v>
      </c>
      <c r="P22" s="20" t="s">
        <v>446</v>
      </c>
      <c r="Q22" s="20"/>
      <c r="R22" s="20"/>
      <c r="S22" s="20"/>
      <c r="T22" s="270"/>
      <c r="U22" s="269"/>
      <c r="V22" s="20"/>
      <c r="W22" s="20"/>
      <c r="X22" s="20"/>
      <c r="Y22" s="20"/>
      <c r="Z22" s="20"/>
      <c r="AA22" s="20"/>
      <c r="AB22" s="270"/>
      <c r="AC22" s="269"/>
      <c r="AD22" s="20"/>
      <c r="AE22" s="20"/>
      <c r="AF22" s="20"/>
      <c r="AG22" s="20"/>
      <c r="AH22" s="20"/>
      <c r="AI22" s="20"/>
      <c r="AJ22" s="270"/>
      <c r="AK22" s="67">
        <v>62</v>
      </c>
      <c r="AM22" s="67">
        <v>1</v>
      </c>
      <c r="AO22" s="67">
        <f t="shared" si="0"/>
        <v>0</v>
      </c>
      <c r="AP22" s="67">
        <f t="shared" si="1"/>
        <v>0</v>
      </c>
      <c r="AQ22" s="67">
        <f t="shared" si="2"/>
        <v>0</v>
      </c>
      <c r="AR22" s="67">
        <f t="shared" si="3"/>
        <v>2</v>
      </c>
      <c r="AS22" s="67">
        <f t="shared" si="4"/>
        <v>4</v>
      </c>
      <c r="AT22" s="67">
        <f t="shared" si="5"/>
        <v>0</v>
      </c>
      <c r="AU22" s="67">
        <f t="shared" si="6"/>
        <v>6</v>
      </c>
      <c r="AW22" s="256">
        <v>28</v>
      </c>
      <c r="AX22" s="67">
        <f t="shared" si="7"/>
        <v>140</v>
      </c>
      <c r="AY22" s="76">
        <f t="shared" si="8"/>
        <v>4.2857142857142858E-2</v>
      </c>
      <c r="AZ22" s="67">
        <f t="shared" si="9"/>
        <v>4</v>
      </c>
      <c r="BA22" s="76">
        <f t="shared" si="12"/>
        <v>0.14285714285714285</v>
      </c>
      <c r="BC22" s="67">
        <f t="shared" si="10"/>
        <v>4</v>
      </c>
      <c r="BD22" s="67">
        <f t="shared" si="11"/>
        <v>0</v>
      </c>
    </row>
    <row r="23" spans="1:56">
      <c r="A23" s="67">
        <v>63</v>
      </c>
      <c r="B23" s="67" t="s">
        <v>71</v>
      </c>
      <c r="C23" s="8" t="s">
        <v>452</v>
      </c>
      <c r="D23" s="67" t="s">
        <v>42</v>
      </c>
      <c r="E23" s="269"/>
      <c r="F23" s="20"/>
      <c r="G23" s="20"/>
      <c r="H23" s="20"/>
      <c r="I23" s="20"/>
      <c r="J23" s="20"/>
      <c r="K23" s="20"/>
      <c r="L23" s="270"/>
      <c r="M23" s="269"/>
      <c r="N23" s="20"/>
      <c r="O23" s="20"/>
      <c r="P23" s="20"/>
      <c r="Q23" s="20"/>
      <c r="R23" s="20"/>
      <c r="S23" s="20"/>
      <c r="T23" s="270"/>
      <c r="U23" s="269"/>
      <c r="V23" s="20"/>
      <c r="W23" s="20"/>
      <c r="X23" s="20"/>
      <c r="Y23" s="20"/>
      <c r="Z23" s="20"/>
      <c r="AA23" s="20"/>
      <c r="AB23" s="270"/>
      <c r="AC23" s="269"/>
      <c r="AD23" s="20"/>
      <c r="AE23" s="20"/>
      <c r="AF23" s="20"/>
      <c r="AG23" s="20"/>
      <c r="AH23" s="20"/>
      <c r="AI23" s="20"/>
      <c r="AJ23" s="270"/>
      <c r="AK23" s="67">
        <v>63</v>
      </c>
      <c r="AL23" s="67">
        <v>1</v>
      </c>
      <c r="AO23" s="67">
        <f t="shared" si="0"/>
        <v>0</v>
      </c>
      <c r="AP23" s="67">
        <f t="shared" si="1"/>
        <v>0</v>
      </c>
      <c r="AQ23" s="67">
        <f t="shared" si="2"/>
        <v>0</v>
      </c>
      <c r="AR23" s="67">
        <f t="shared" si="3"/>
        <v>0</v>
      </c>
      <c r="AS23" s="67">
        <f t="shared" si="4"/>
        <v>0</v>
      </c>
      <c r="AT23" s="67">
        <f t="shared" si="5"/>
        <v>0</v>
      </c>
      <c r="AU23" s="67">
        <f t="shared" si="6"/>
        <v>0</v>
      </c>
      <c r="AW23" s="256">
        <v>32</v>
      </c>
      <c r="AX23" s="67">
        <f t="shared" si="7"/>
        <v>160</v>
      </c>
      <c r="AY23" s="76">
        <f t="shared" si="8"/>
        <v>0</v>
      </c>
      <c r="AZ23" s="67">
        <f t="shared" si="9"/>
        <v>0</v>
      </c>
      <c r="BA23" s="76">
        <f t="shared" si="12"/>
        <v>0</v>
      </c>
      <c r="BC23" s="67">
        <f t="shared" si="10"/>
        <v>0</v>
      </c>
      <c r="BD23" s="67">
        <f t="shared" si="11"/>
        <v>0</v>
      </c>
    </row>
    <row r="24" spans="1:56">
      <c r="A24" s="67">
        <v>64</v>
      </c>
      <c r="B24" s="67" t="s">
        <v>73</v>
      </c>
      <c r="C24" s="8" t="s">
        <v>165</v>
      </c>
      <c r="D24" s="67" t="s">
        <v>42</v>
      </c>
      <c r="E24" s="269" t="s">
        <v>436</v>
      </c>
      <c r="F24" s="5" t="s">
        <v>436</v>
      </c>
      <c r="G24" s="20"/>
      <c r="H24" s="20"/>
      <c r="I24" s="20"/>
      <c r="J24" s="20"/>
      <c r="K24" s="20"/>
      <c r="L24" s="270"/>
      <c r="M24" s="269"/>
      <c r="N24" s="20"/>
      <c r="O24" s="20"/>
      <c r="P24" s="20"/>
      <c r="Q24" s="20"/>
      <c r="R24" s="20"/>
      <c r="S24" s="20"/>
      <c r="T24" s="270" t="s">
        <v>436</v>
      </c>
      <c r="U24" s="269"/>
      <c r="V24" s="20"/>
      <c r="W24" s="20"/>
      <c r="X24" s="20"/>
      <c r="Y24" s="20"/>
      <c r="Z24" s="20"/>
      <c r="AA24" s="20"/>
      <c r="AB24" s="270"/>
      <c r="AC24" s="269"/>
      <c r="AD24" s="20"/>
      <c r="AE24" s="20"/>
      <c r="AF24" s="20"/>
      <c r="AG24" s="20"/>
      <c r="AH24" s="20"/>
      <c r="AI24" s="20"/>
      <c r="AJ24" s="270"/>
      <c r="AK24" s="67">
        <v>64</v>
      </c>
      <c r="AM24" s="67">
        <v>1</v>
      </c>
      <c r="AO24" s="67">
        <f t="shared" si="0"/>
        <v>0</v>
      </c>
      <c r="AP24" s="67">
        <f t="shared" si="1"/>
        <v>0</v>
      </c>
      <c r="AQ24" s="67">
        <f t="shared" si="2"/>
        <v>0</v>
      </c>
      <c r="AR24" s="67">
        <f t="shared" si="3"/>
        <v>0</v>
      </c>
      <c r="AS24" s="67">
        <f t="shared" si="4"/>
        <v>0</v>
      </c>
      <c r="AT24" s="67">
        <f t="shared" si="5"/>
        <v>3</v>
      </c>
      <c r="AU24" s="67">
        <f t="shared" si="6"/>
        <v>3</v>
      </c>
      <c r="AW24" s="256">
        <v>31</v>
      </c>
      <c r="AX24" s="67">
        <f t="shared" si="7"/>
        <v>155</v>
      </c>
      <c r="AY24" s="76">
        <f t="shared" si="8"/>
        <v>1.935483870967742E-2</v>
      </c>
      <c r="AZ24" s="67">
        <f t="shared" si="9"/>
        <v>3</v>
      </c>
      <c r="BA24" s="76">
        <f t="shared" si="12"/>
        <v>9.6774193548387094E-2</v>
      </c>
      <c r="BC24" s="67">
        <f t="shared" si="10"/>
        <v>3</v>
      </c>
      <c r="BD24" s="67">
        <f t="shared" si="11"/>
        <v>0</v>
      </c>
    </row>
    <row r="25" spans="1:56">
      <c r="A25" s="67">
        <v>65</v>
      </c>
      <c r="B25" s="67" t="s">
        <v>74</v>
      </c>
      <c r="C25" s="8" t="s">
        <v>346</v>
      </c>
      <c r="E25" s="269"/>
      <c r="F25" s="20"/>
      <c r="G25" s="20"/>
      <c r="H25" s="20"/>
      <c r="I25" s="20"/>
      <c r="J25" s="20"/>
      <c r="K25" s="20"/>
      <c r="L25" s="270"/>
      <c r="M25" s="269"/>
      <c r="N25" s="20"/>
      <c r="O25" s="20"/>
      <c r="P25" s="20"/>
      <c r="Q25" s="20"/>
      <c r="R25" s="20"/>
      <c r="S25" s="20"/>
      <c r="T25" s="270"/>
      <c r="U25" s="269"/>
      <c r="V25" s="20"/>
      <c r="W25" s="20"/>
      <c r="X25" s="20"/>
      <c r="Y25" s="20"/>
      <c r="Z25" s="20"/>
      <c r="AA25" s="20"/>
      <c r="AB25" s="270"/>
      <c r="AC25" s="269"/>
      <c r="AD25" s="20"/>
      <c r="AE25" s="20"/>
      <c r="AF25" s="20"/>
      <c r="AG25" s="20"/>
      <c r="AH25" s="20"/>
      <c r="AI25" s="20"/>
      <c r="AJ25" s="270"/>
      <c r="AK25" s="67">
        <v>65</v>
      </c>
      <c r="AL25" s="67">
        <v>1</v>
      </c>
      <c r="AO25" s="67">
        <f t="shared" si="0"/>
        <v>0</v>
      </c>
      <c r="AP25" s="67">
        <f t="shared" si="1"/>
        <v>0</v>
      </c>
      <c r="AQ25" s="67">
        <f t="shared" si="2"/>
        <v>0</v>
      </c>
      <c r="AR25" s="67">
        <f t="shared" si="3"/>
        <v>0</v>
      </c>
      <c r="AS25" s="67">
        <f t="shared" si="4"/>
        <v>0</v>
      </c>
      <c r="AT25" s="67">
        <f t="shared" si="5"/>
        <v>0</v>
      </c>
      <c r="AU25" s="67">
        <f t="shared" si="6"/>
        <v>0</v>
      </c>
      <c r="AW25" s="256">
        <v>9</v>
      </c>
      <c r="AX25" s="67">
        <f t="shared" si="7"/>
        <v>45</v>
      </c>
      <c r="AY25" s="76">
        <f t="shared" si="8"/>
        <v>0</v>
      </c>
      <c r="AZ25" s="67">
        <f t="shared" si="9"/>
        <v>0</v>
      </c>
      <c r="BA25" s="76">
        <f t="shared" si="12"/>
        <v>0</v>
      </c>
      <c r="BC25" s="67">
        <f t="shared" si="10"/>
        <v>0</v>
      </c>
      <c r="BD25" s="67">
        <f t="shared" si="11"/>
        <v>0</v>
      </c>
    </row>
    <row r="26" spans="1:56">
      <c r="A26" s="8">
        <v>68</v>
      </c>
      <c r="B26" s="8" t="s">
        <v>65</v>
      </c>
      <c r="C26" s="8" t="s">
        <v>12</v>
      </c>
      <c r="D26" s="8" t="s">
        <v>77</v>
      </c>
      <c r="E26" s="269"/>
      <c r="F26" s="20"/>
      <c r="G26" s="20"/>
      <c r="H26" s="20"/>
      <c r="I26" s="20"/>
      <c r="J26" s="20"/>
      <c r="K26" s="20"/>
      <c r="L26" s="270"/>
      <c r="M26" s="269"/>
      <c r="N26" s="20"/>
      <c r="O26" s="20"/>
      <c r="P26" s="20"/>
      <c r="Q26" s="20"/>
      <c r="R26" s="20"/>
      <c r="S26" s="20"/>
      <c r="T26" s="270"/>
      <c r="U26" s="269"/>
      <c r="V26" s="20"/>
      <c r="W26" s="20" t="s">
        <v>434</v>
      </c>
      <c r="X26" s="20" t="s">
        <v>442</v>
      </c>
      <c r="Y26" s="20"/>
      <c r="Z26" s="20"/>
      <c r="AA26" s="20"/>
      <c r="AB26" s="270"/>
      <c r="AC26" s="269"/>
      <c r="AD26" s="20"/>
      <c r="AE26" s="20"/>
      <c r="AF26" s="20"/>
      <c r="AG26" s="20"/>
      <c r="AH26" s="20"/>
      <c r="AI26" s="20"/>
      <c r="AJ26" s="270"/>
      <c r="AK26" s="8">
        <v>68</v>
      </c>
      <c r="AL26" s="8"/>
      <c r="AM26" s="8">
        <v>1</v>
      </c>
      <c r="AN26" s="8"/>
      <c r="AO26" s="67">
        <f t="shared" si="0"/>
        <v>1</v>
      </c>
      <c r="AP26" s="67">
        <f t="shared" si="1"/>
        <v>1</v>
      </c>
      <c r="AQ26" s="67">
        <f t="shared" si="2"/>
        <v>0</v>
      </c>
      <c r="AR26" s="67">
        <f t="shared" si="3"/>
        <v>2</v>
      </c>
      <c r="AS26" s="67">
        <f t="shared" si="4"/>
        <v>1</v>
      </c>
      <c r="AT26" s="67">
        <f t="shared" si="5"/>
        <v>1</v>
      </c>
      <c r="AU26" s="67">
        <f t="shared" si="6"/>
        <v>6</v>
      </c>
      <c r="AW26" s="256">
        <v>32</v>
      </c>
      <c r="AX26" s="67">
        <f t="shared" si="7"/>
        <v>160</v>
      </c>
      <c r="AY26" s="76">
        <f t="shared" si="8"/>
        <v>3.7499999999999999E-2</v>
      </c>
      <c r="AZ26" s="67">
        <f t="shared" si="9"/>
        <v>2</v>
      </c>
      <c r="BA26" s="76">
        <f t="shared" si="12"/>
        <v>6.25E-2</v>
      </c>
      <c r="BC26" s="67">
        <f t="shared" si="10"/>
        <v>0</v>
      </c>
      <c r="BD26" s="67">
        <f t="shared" si="11"/>
        <v>2</v>
      </c>
    </row>
    <row r="27" spans="1:56">
      <c r="A27" s="67">
        <v>69</v>
      </c>
      <c r="B27" s="67" t="s">
        <v>78</v>
      </c>
      <c r="C27" s="8" t="s">
        <v>359</v>
      </c>
      <c r="E27" s="269"/>
      <c r="F27" s="20"/>
      <c r="G27" s="20"/>
      <c r="H27" s="20"/>
      <c r="I27" s="20"/>
      <c r="J27" s="20"/>
      <c r="K27" s="20"/>
      <c r="L27" s="270"/>
      <c r="M27" s="269"/>
      <c r="N27" s="20"/>
      <c r="O27" s="20"/>
      <c r="P27" s="20"/>
      <c r="Q27" s="20"/>
      <c r="R27" s="20"/>
      <c r="S27" s="20"/>
      <c r="T27" s="270"/>
      <c r="U27" s="269"/>
      <c r="V27" s="20"/>
      <c r="W27" s="20"/>
      <c r="X27" s="20"/>
      <c r="Y27" s="20"/>
      <c r="Z27" s="20"/>
      <c r="AA27" s="20"/>
      <c r="AB27" s="270"/>
      <c r="AC27" s="269"/>
      <c r="AD27" s="20"/>
      <c r="AE27" s="20"/>
      <c r="AF27" s="20"/>
      <c r="AG27" s="20"/>
      <c r="AH27" s="20"/>
      <c r="AI27" s="20"/>
      <c r="AJ27" s="270"/>
      <c r="AK27" s="67">
        <v>69</v>
      </c>
      <c r="AL27" s="67">
        <v>1</v>
      </c>
      <c r="AO27" s="67">
        <f t="shared" si="0"/>
        <v>0</v>
      </c>
      <c r="AP27" s="67">
        <f t="shared" si="1"/>
        <v>0</v>
      </c>
      <c r="AQ27" s="67">
        <f t="shared" si="2"/>
        <v>0</v>
      </c>
      <c r="AR27" s="67">
        <f t="shared" si="3"/>
        <v>0</v>
      </c>
      <c r="AS27" s="67">
        <f t="shared" si="4"/>
        <v>0</v>
      </c>
      <c r="AT27" s="67">
        <f t="shared" si="5"/>
        <v>0</v>
      </c>
      <c r="AU27" s="67">
        <f t="shared" si="6"/>
        <v>0</v>
      </c>
      <c r="AW27" s="256">
        <v>21</v>
      </c>
      <c r="AX27" s="67">
        <f t="shared" si="7"/>
        <v>105</v>
      </c>
      <c r="AY27" s="76">
        <f t="shared" si="8"/>
        <v>0</v>
      </c>
      <c r="AZ27" s="67">
        <f t="shared" si="9"/>
        <v>0</v>
      </c>
      <c r="BA27" s="76">
        <f t="shared" si="12"/>
        <v>0</v>
      </c>
      <c r="BC27" s="67">
        <f t="shared" si="10"/>
        <v>0</v>
      </c>
      <c r="BD27" s="67">
        <f t="shared" si="11"/>
        <v>0</v>
      </c>
    </row>
    <row r="28" spans="1:56">
      <c r="A28" s="67">
        <v>70</v>
      </c>
      <c r="B28" s="67" t="s">
        <v>80</v>
      </c>
      <c r="C28" s="8" t="s">
        <v>346</v>
      </c>
      <c r="E28" s="269"/>
      <c r="F28" s="20"/>
      <c r="G28" s="20"/>
      <c r="H28" s="20"/>
      <c r="I28" s="20"/>
      <c r="J28" s="20"/>
      <c r="K28" s="20"/>
      <c r="L28" s="270"/>
      <c r="M28" s="269"/>
      <c r="N28" s="20"/>
      <c r="O28" s="20"/>
      <c r="P28" s="20"/>
      <c r="Q28" s="20"/>
      <c r="R28" s="20"/>
      <c r="S28" s="20"/>
      <c r="T28" s="270"/>
      <c r="U28" s="269"/>
      <c r="V28" s="20"/>
      <c r="W28" s="20"/>
      <c r="X28" s="20"/>
      <c r="Y28" s="20"/>
      <c r="Z28" s="20"/>
      <c r="AA28" s="20"/>
      <c r="AB28" s="270"/>
      <c r="AC28" s="269"/>
      <c r="AD28" s="20"/>
      <c r="AE28" s="20"/>
      <c r="AF28" s="20"/>
      <c r="AG28" s="20"/>
      <c r="AH28" s="20"/>
      <c r="AI28" s="20"/>
      <c r="AJ28" s="270"/>
      <c r="AK28" s="67">
        <v>70</v>
      </c>
      <c r="AL28" s="67">
        <v>1</v>
      </c>
      <c r="AO28" s="67">
        <f t="shared" si="0"/>
        <v>0</v>
      </c>
      <c r="AP28" s="67">
        <f t="shared" si="1"/>
        <v>0</v>
      </c>
      <c r="AQ28" s="67">
        <f t="shared" si="2"/>
        <v>0</v>
      </c>
      <c r="AR28" s="67">
        <f t="shared" si="3"/>
        <v>0</v>
      </c>
      <c r="AS28" s="67">
        <f t="shared" si="4"/>
        <v>0</v>
      </c>
      <c r="AT28" s="67">
        <f t="shared" si="5"/>
        <v>0</v>
      </c>
      <c r="AU28" s="67">
        <f t="shared" si="6"/>
        <v>0</v>
      </c>
      <c r="AW28" s="256">
        <v>19</v>
      </c>
      <c r="AX28" s="67">
        <f t="shared" si="7"/>
        <v>95</v>
      </c>
      <c r="AY28" s="76">
        <f t="shared" si="8"/>
        <v>0</v>
      </c>
      <c r="AZ28" s="67">
        <f t="shared" si="9"/>
        <v>0</v>
      </c>
      <c r="BA28" s="76">
        <f t="shared" si="12"/>
        <v>0</v>
      </c>
      <c r="BC28" s="67">
        <f t="shared" si="10"/>
        <v>0</v>
      </c>
      <c r="BD28" s="67">
        <f t="shared" si="11"/>
        <v>0</v>
      </c>
    </row>
    <row r="29" spans="1:56">
      <c r="A29" s="67" t="s">
        <v>82</v>
      </c>
      <c r="B29" s="67" t="s">
        <v>55</v>
      </c>
      <c r="C29" s="8" t="s">
        <v>346</v>
      </c>
      <c r="E29" s="269"/>
      <c r="F29" s="20"/>
      <c r="G29" s="20"/>
      <c r="H29" s="20"/>
      <c r="I29" s="20"/>
      <c r="J29" s="20"/>
      <c r="K29" s="20"/>
      <c r="L29" s="270"/>
      <c r="M29" s="269"/>
      <c r="N29" s="20"/>
      <c r="O29" s="20"/>
      <c r="P29" s="20"/>
      <c r="Q29" s="20"/>
      <c r="R29" s="20"/>
      <c r="S29" s="20"/>
      <c r="T29" s="270"/>
      <c r="U29" s="269"/>
      <c r="V29" s="20"/>
      <c r="W29" s="20"/>
      <c r="X29" s="20"/>
      <c r="Y29" s="20"/>
      <c r="Z29" s="20"/>
      <c r="AA29" s="20"/>
      <c r="AB29" s="270"/>
      <c r="AC29" s="269"/>
      <c r="AD29" s="20"/>
      <c r="AE29" s="20"/>
      <c r="AF29" s="20"/>
      <c r="AG29" s="20"/>
      <c r="AH29" s="20"/>
      <c r="AI29" s="20"/>
      <c r="AJ29" s="270"/>
      <c r="AK29" s="67" t="s">
        <v>82</v>
      </c>
      <c r="AL29" s="67">
        <v>1</v>
      </c>
      <c r="AO29" s="67">
        <f t="shared" si="0"/>
        <v>0</v>
      </c>
      <c r="AP29" s="67">
        <f t="shared" si="1"/>
        <v>0</v>
      </c>
      <c r="AQ29" s="67">
        <f t="shared" si="2"/>
        <v>0</v>
      </c>
      <c r="AR29" s="67">
        <f t="shared" si="3"/>
        <v>0</v>
      </c>
      <c r="AS29" s="67">
        <f t="shared" si="4"/>
        <v>0</v>
      </c>
      <c r="AT29" s="67">
        <f t="shared" si="5"/>
        <v>0</v>
      </c>
      <c r="AU29" s="67">
        <f t="shared" si="6"/>
        <v>0</v>
      </c>
      <c r="AW29" s="256">
        <v>20</v>
      </c>
      <c r="AX29" s="67">
        <f t="shared" si="7"/>
        <v>100</v>
      </c>
      <c r="AY29" s="76">
        <f t="shared" si="8"/>
        <v>0</v>
      </c>
      <c r="AZ29" s="67">
        <f t="shared" si="9"/>
        <v>0</v>
      </c>
      <c r="BA29" s="76">
        <f t="shared" si="12"/>
        <v>0</v>
      </c>
      <c r="BC29" s="67">
        <f t="shared" si="10"/>
        <v>0</v>
      </c>
      <c r="BD29" s="67">
        <f t="shared" si="11"/>
        <v>0</v>
      </c>
    </row>
    <row r="30" spans="1:56">
      <c r="A30" s="67">
        <v>72</v>
      </c>
      <c r="B30" s="67" t="s">
        <v>5</v>
      </c>
      <c r="C30" s="8" t="s">
        <v>42</v>
      </c>
      <c r="D30" s="67" t="s">
        <v>42</v>
      </c>
      <c r="E30" s="269"/>
      <c r="F30" s="5" t="s">
        <v>436</v>
      </c>
      <c r="G30" s="20"/>
      <c r="H30" s="20"/>
      <c r="I30" s="20" t="s">
        <v>447</v>
      </c>
      <c r="J30" s="20" t="s">
        <v>435</v>
      </c>
      <c r="K30" s="20"/>
      <c r="L30" s="270"/>
      <c r="M30" s="269"/>
      <c r="N30" s="20"/>
      <c r="O30" s="20"/>
      <c r="P30" s="20"/>
      <c r="Q30" s="20"/>
      <c r="R30" s="20"/>
      <c r="S30" s="20" t="s">
        <v>435</v>
      </c>
      <c r="T30" s="270"/>
      <c r="U30" s="269" t="s">
        <v>436</v>
      </c>
      <c r="V30" s="20" t="s">
        <v>453</v>
      </c>
      <c r="W30" s="20"/>
      <c r="X30" s="20"/>
      <c r="Y30" s="20"/>
      <c r="Z30" s="20"/>
      <c r="AA30" s="20"/>
      <c r="AB30" s="270"/>
      <c r="AC30" s="269"/>
      <c r="AD30" s="20"/>
      <c r="AE30" s="20"/>
      <c r="AF30" s="20"/>
      <c r="AG30" s="20"/>
      <c r="AH30" s="20"/>
      <c r="AI30" s="20"/>
      <c r="AJ30" s="270"/>
      <c r="AK30" s="67">
        <v>72</v>
      </c>
      <c r="AM30" s="67">
        <v>1</v>
      </c>
      <c r="AO30" s="67">
        <f t="shared" si="0"/>
        <v>1</v>
      </c>
      <c r="AP30" s="67">
        <f t="shared" si="1"/>
        <v>0</v>
      </c>
      <c r="AQ30" s="67">
        <f t="shared" si="2"/>
        <v>0</v>
      </c>
      <c r="AR30" s="67">
        <f t="shared" si="3"/>
        <v>1</v>
      </c>
      <c r="AS30" s="67">
        <f t="shared" si="4"/>
        <v>2</v>
      </c>
      <c r="AT30" s="67">
        <f t="shared" si="5"/>
        <v>4</v>
      </c>
      <c r="AU30" s="67">
        <f t="shared" si="6"/>
        <v>8</v>
      </c>
      <c r="AW30" s="256">
        <v>28</v>
      </c>
      <c r="AX30" s="67">
        <f t="shared" si="7"/>
        <v>140</v>
      </c>
      <c r="AY30" s="76">
        <f t="shared" si="8"/>
        <v>5.7142857142857141E-2</v>
      </c>
      <c r="AZ30" s="67">
        <f t="shared" si="9"/>
        <v>6</v>
      </c>
      <c r="BA30" s="76">
        <f t="shared" si="12"/>
        <v>0.21428571428571427</v>
      </c>
      <c r="BC30" s="67">
        <f t="shared" si="10"/>
        <v>4</v>
      </c>
      <c r="BD30" s="67">
        <f t="shared" si="11"/>
        <v>2</v>
      </c>
    </row>
    <row r="31" spans="1:56">
      <c r="A31" s="67">
        <v>73</v>
      </c>
      <c r="B31" s="67" t="s">
        <v>44</v>
      </c>
      <c r="C31" s="8" t="s">
        <v>349</v>
      </c>
      <c r="D31" s="67" t="s">
        <v>6</v>
      </c>
      <c r="E31" s="269"/>
      <c r="F31" s="20"/>
      <c r="G31" s="20"/>
      <c r="H31" s="20"/>
      <c r="I31" s="20"/>
      <c r="J31" s="20"/>
      <c r="K31" s="20"/>
      <c r="L31" s="270"/>
      <c r="M31" s="269"/>
      <c r="N31" s="20"/>
      <c r="O31" s="20"/>
      <c r="P31" s="20"/>
      <c r="Q31" s="20"/>
      <c r="R31" s="20"/>
      <c r="S31" s="20"/>
      <c r="T31" s="270"/>
      <c r="U31" s="269"/>
      <c r="V31" s="20"/>
      <c r="W31" s="20"/>
      <c r="X31" s="20"/>
      <c r="Y31" s="20"/>
      <c r="Z31" s="20"/>
      <c r="AA31" s="20"/>
      <c r="AB31" s="270"/>
      <c r="AC31" s="269"/>
      <c r="AD31" s="20"/>
      <c r="AE31" s="20"/>
      <c r="AF31" s="20"/>
      <c r="AG31" s="20"/>
      <c r="AH31" s="20"/>
      <c r="AI31" s="20"/>
      <c r="AJ31" s="270"/>
      <c r="AK31" s="67">
        <v>73</v>
      </c>
      <c r="AL31" s="67">
        <v>1</v>
      </c>
      <c r="AO31" s="67">
        <f t="shared" si="0"/>
        <v>0</v>
      </c>
      <c r="AP31" s="67">
        <f t="shared" si="1"/>
        <v>0</v>
      </c>
      <c r="AQ31" s="67">
        <f t="shared" si="2"/>
        <v>0</v>
      </c>
      <c r="AR31" s="67">
        <f t="shared" si="3"/>
        <v>0</v>
      </c>
      <c r="AS31" s="67">
        <f t="shared" si="4"/>
        <v>0</v>
      </c>
      <c r="AT31" s="67">
        <f t="shared" si="5"/>
        <v>0</v>
      </c>
      <c r="AU31" s="67">
        <f t="shared" si="6"/>
        <v>0</v>
      </c>
      <c r="AW31" s="256">
        <v>7</v>
      </c>
      <c r="AX31" s="67">
        <f t="shared" si="7"/>
        <v>35</v>
      </c>
      <c r="AY31" s="76">
        <f t="shared" si="8"/>
        <v>0</v>
      </c>
      <c r="AZ31" s="67">
        <f t="shared" si="9"/>
        <v>0</v>
      </c>
      <c r="BA31" s="76">
        <f t="shared" si="12"/>
        <v>0</v>
      </c>
      <c r="BC31" s="67">
        <f t="shared" si="10"/>
        <v>0</v>
      </c>
      <c r="BD31" s="67">
        <f t="shared" si="11"/>
        <v>0</v>
      </c>
    </row>
    <row r="32" spans="1:56">
      <c r="A32" s="67">
        <v>74</v>
      </c>
      <c r="B32" s="67" t="s">
        <v>88</v>
      </c>
      <c r="C32" s="8" t="s">
        <v>12</v>
      </c>
      <c r="D32" s="67" t="s">
        <v>6</v>
      </c>
      <c r="E32" s="269"/>
      <c r="F32" s="20"/>
      <c r="G32" s="20"/>
      <c r="H32" s="20"/>
      <c r="I32" s="20"/>
      <c r="J32" s="20"/>
      <c r="K32" s="20"/>
      <c r="L32" s="270"/>
      <c r="M32" s="269"/>
      <c r="N32" s="20"/>
      <c r="O32" s="20"/>
      <c r="P32" s="20"/>
      <c r="Q32" s="20"/>
      <c r="R32" s="20"/>
      <c r="S32" s="20"/>
      <c r="T32" s="270"/>
      <c r="U32" s="269" t="s">
        <v>436</v>
      </c>
      <c r="V32" s="20" t="s">
        <v>436</v>
      </c>
      <c r="W32" s="20"/>
      <c r="X32" s="20"/>
      <c r="Y32" s="20"/>
      <c r="Z32" s="20"/>
      <c r="AA32" s="20"/>
      <c r="AB32" s="270"/>
      <c r="AC32" s="269"/>
      <c r="AD32" s="20"/>
      <c r="AE32" s="20"/>
      <c r="AF32" s="20"/>
      <c r="AG32" s="20"/>
      <c r="AH32" s="20"/>
      <c r="AI32" s="20"/>
      <c r="AJ32" s="270"/>
      <c r="AK32" s="67">
        <v>74</v>
      </c>
      <c r="AM32" s="67">
        <v>1</v>
      </c>
      <c r="AO32" s="67">
        <f t="shared" si="0"/>
        <v>0</v>
      </c>
      <c r="AP32" s="67">
        <f t="shared" si="1"/>
        <v>0</v>
      </c>
      <c r="AQ32" s="67">
        <f t="shared" si="2"/>
        <v>0</v>
      </c>
      <c r="AR32" s="67">
        <f t="shared" si="3"/>
        <v>0</v>
      </c>
      <c r="AS32" s="67">
        <f t="shared" si="4"/>
        <v>0</v>
      </c>
      <c r="AT32" s="67">
        <f t="shared" si="5"/>
        <v>2</v>
      </c>
      <c r="AU32" s="67">
        <f t="shared" si="6"/>
        <v>2</v>
      </c>
      <c r="AW32" s="256">
        <v>31</v>
      </c>
      <c r="AX32" s="67">
        <f t="shared" si="7"/>
        <v>155</v>
      </c>
      <c r="AY32" s="76">
        <f t="shared" si="8"/>
        <v>1.2903225806451613E-2</v>
      </c>
      <c r="AZ32" s="67">
        <f t="shared" si="9"/>
        <v>2</v>
      </c>
      <c r="BA32" s="76">
        <f t="shared" si="12"/>
        <v>6.4516129032258063E-2</v>
      </c>
      <c r="BC32" s="67">
        <f t="shared" si="10"/>
        <v>0</v>
      </c>
      <c r="BD32" s="67">
        <f t="shared" si="11"/>
        <v>2</v>
      </c>
    </row>
    <row r="33" spans="1:56">
      <c r="A33" s="67">
        <v>76</v>
      </c>
      <c r="B33" s="67" t="s">
        <v>73</v>
      </c>
      <c r="C33" s="8" t="s">
        <v>165</v>
      </c>
      <c r="D33" s="67" t="s">
        <v>42</v>
      </c>
      <c r="E33" s="269"/>
      <c r="F33" s="20"/>
      <c r="G33" s="5" t="s">
        <v>434</v>
      </c>
      <c r="H33" s="20"/>
      <c r="I33" s="20"/>
      <c r="J33" s="20"/>
      <c r="K33" s="20"/>
      <c r="L33" s="270"/>
      <c r="M33" s="269"/>
      <c r="N33" s="20"/>
      <c r="O33" s="20"/>
      <c r="P33" s="20"/>
      <c r="Q33" s="20"/>
      <c r="R33" s="20" t="s">
        <v>442</v>
      </c>
      <c r="S33" s="20"/>
      <c r="T33" s="270"/>
      <c r="U33" s="269"/>
      <c r="V33" s="20" t="s">
        <v>436</v>
      </c>
      <c r="W33" s="20" t="s">
        <v>434</v>
      </c>
      <c r="X33" s="20"/>
      <c r="Y33" s="20"/>
      <c r="Z33" s="20"/>
      <c r="AA33" s="20"/>
      <c r="AB33" s="270"/>
      <c r="AC33" s="269"/>
      <c r="AD33" s="20"/>
      <c r="AE33" s="20"/>
      <c r="AF33" s="20"/>
      <c r="AG33" s="20" t="s">
        <v>435</v>
      </c>
      <c r="AH33" s="20"/>
      <c r="AI33" s="20" t="s">
        <v>454</v>
      </c>
      <c r="AJ33" s="270"/>
      <c r="AK33" s="67">
        <v>76</v>
      </c>
      <c r="AM33" s="67">
        <v>1</v>
      </c>
      <c r="AO33" s="67">
        <f t="shared" si="0"/>
        <v>1</v>
      </c>
      <c r="AP33" s="67">
        <f t="shared" si="1"/>
        <v>1</v>
      </c>
      <c r="AQ33" s="67">
        <f t="shared" si="2"/>
        <v>0</v>
      </c>
      <c r="AR33" s="67">
        <f t="shared" si="3"/>
        <v>3</v>
      </c>
      <c r="AS33" s="67">
        <f t="shared" si="4"/>
        <v>3</v>
      </c>
      <c r="AT33" s="67">
        <f t="shared" si="5"/>
        <v>3</v>
      </c>
      <c r="AU33" s="67">
        <f t="shared" si="6"/>
        <v>11</v>
      </c>
      <c r="AW33" s="256">
        <v>31</v>
      </c>
      <c r="AX33" s="67">
        <f t="shared" si="7"/>
        <v>155</v>
      </c>
      <c r="AY33" s="76">
        <f t="shared" si="8"/>
        <v>7.0967741935483872E-2</v>
      </c>
      <c r="AZ33" s="67">
        <f t="shared" si="9"/>
        <v>6</v>
      </c>
      <c r="BA33" s="76">
        <f t="shared" si="12"/>
        <v>0.19354838709677419</v>
      </c>
      <c r="BC33" s="67">
        <f t="shared" si="10"/>
        <v>2</v>
      </c>
      <c r="BD33" s="67">
        <f t="shared" si="11"/>
        <v>4</v>
      </c>
    </row>
    <row r="34" spans="1:56">
      <c r="A34" s="67">
        <v>77</v>
      </c>
      <c r="B34" s="67" t="s">
        <v>78</v>
      </c>
      <c r="C34" s="8" t="s">
        <v>359</v>
      </c>
      <c r="E34" s="269"/>
      <c r="F34" s="20"/>
      <c r="G34" s="20"/>
      <c r="H34" s="20"/>
      <c r="I34" s="20"/>
      <c r="J34" s="20"/>
      <c r="K34" s="20"/>
      <c r="L34" s="270"/>
      <c r="M34" s="269"/>
      <c r="N34" s="20"/>
      <c r="O34" s="20"/>
      <c r="P34" s="20"/>
      <c r="Q34" s="20"/>
      <c r="R34" s="20"/>
      <c r="S34" s="20"/>
      <c r="T34" s="270"/>
      <c r="U34" s="269"/>
      <c r="V34" s="20"/>
      <c r="W34" s="20"/>
      <c r="X34" s="20"/>
      <c r="Y34" s="20"/>
      <c r="Z34" s="20"/>
      <c r="AA34" s="20"/>
      <c r="AB34" s="270"/>
      <c r="AC34" s="269"/>
      <c r="AD34" s="20"/>
      <c r="AE34" s="20"/>
      <c r="AF34" s="20"/>
      <c r="AG34" s="20"/>
      <c r="AH34" s="20"/>
      <c r="AI34" s="20"/>
      <c r="AJ34" s="270"/>
      <c r="AK34" s="67">
        <v>77</v>
      </c>
      <c r="AL34" s="67">
        <v>1</v>
      </c>
      <c r="AO34" s="67">
        <f t="shared" si="0"/>
        <v>0</v>
      </c>
      <c r="AP34" s="67">
        <f t="shared" si="1"/>
        <v>0</v>
      </c>
      <c r="AQ34" s="67">
        <f t="shared" si="2"/>
        <v>0</v>
      </c>
      <c r="AR34" s="67">
        <f t="shared" si="3"/>
        <v>0</v>
      </c>
      <c r="AS34" s="67">
        <f t="shared" si="4"/>
        <v>0</v>
      </c>
      <c r="AT34" s="67">
        <f t="shared" si="5"/>
        <v>0</v>
      </c>
      <c r="AU34" s="67">
        <f t="shared" si="6"/>
        <v>0</v>
      </c>
      <c r="AW34" s="256">
        <v>22</v>
      </c>
      <c r="AX34" s="67">
        <f>5*AW34</f>
        <v>110</v>
      </c>
      <c r="AY34" s="76">
        <f>AU34/AX34</f>
        <v>0</v>
      </c>
      <c r="AZ34" s="67">
        <f t="shared" si="9"/>
        <v>0</v>
      </c>
      <c r="BA34" s="76">
        <f t="shared" si="12"/>
        <v>0</v>
      </c>
      <c r="BC34" s="67">
        <f t="shared" si="10"/>
        <v>0</v>
      </c>
      <c r="BD34" s="67">
        <f t="shared" si="11"/>
        <v>0</v>
      </c>
    </row>
    <row r="35" spans="1:56">
      <c r="A35" s="67">
        <v>79</v>
      </c>
      <c r="B35" s="67" t="s">
        <v>71</v>
      </c>
      <c r="C35" s="8" t="s">
        <v>366</v>
      </c>
      <c r="D35" s="67" t="s">
        <v>42</v>
      </c>
      <c r="E35" s="269"/>
      <c r="F35" s="20"/>
      <c r="G35" s="5" t="s">
        <v>434</v>
      </c>
      <c r="H35" s="20"/>
      <c r="I35" s="20"/>
      <c r="J35" s="20"/>
      <c r="K35" s="20"/>
      <c r="L35" s="270"/>
      <c r="M35" s="269"/>
      <c r="N35" s="20"/>
      <c r="O35" s="20"/>
      <c r="P35" s="20"/>
      <c r="Q35" s="20"/>
      <c r="R35" s="20"/>
      <c r="S35" s="20"/>
      <c r="T35" s="270"/>
      <c r="U35" s="269"/>
      <c r="V35" s="20"/>
      <c r="W35" s="20"/>
      <c r="X35" s="20"/>
      <c r="Y35" s="20"/>
      <c r="Z35" s="20"/>
      <c r="AA35" s="20"/>
      <c r="AB35" s="270"/>
      <c r="AC35" s="269"/>
      <c r="AD35" s="20"/>
      <c r="AE35" s="20"/>
      <c r="AF35" s="20"/>
      <c r="AG35" s="20"/>
      <c r="AH35" s="20"/>
      <c r="AI35" s="20"/>
      <c r="AJ35" s="270"/>
      <c r="AK35" s="67">
        <v>79</v>
      </c>
      <c r="AM35" s="67">
        <v>1</v>
      </c>
      <c r="AO35" s="67">
        <f t="shared" si="0"/>
        <v>0</v>
      </c>
      <c r="AP35" s="67">
        <f t="shared" si="1"/>
        <v>0</v>
      </c>
      <c r="AQ35" s="67">
        <f t="shared" si="2"/>
        <v>0</v>
      </c>
      <c r="AR35" s="67">
        <f t="shared" si="3"/>
        <v>1</v>
      </c>
      <c r="AS35" s="67">
        <f t="shared" si="4"/>
        <v>0</v>
      </c>
      <c r="AT35" s="67">
        <f t="shared" si="5"/>
        <v>0</v>
      </c>
      <c r="AU35" s="67">
        <f t="shared" si="6"/>
        <v>1</v>
      </c>
      <c r="AW35" s="256">
        <v>30</v>
      </c>
      <c r="AX35" s="67">
        <f t="shared" ref="AX35:AX98" si="13">5*AW35</f>
        <v>150</v>
      </c>
      <c r="AY35" s="76">
        <f t="shared" ref="AY35:AY98" si="14">AU35/AX35</f>
        <v>6.6666666666666671E-3</v>
      </c>
      <c r="AZ35" s="67">
        <f t="shared" si="9"/>
        <v>1</v>
      </c>
      <c r="BA35" s="76">
        <f t="shared" si="12"/>
        <v>3.3333333333333333E-2</v>
      </c>
      <c r="BC35" s="67">
        <f t="shared" si="10"/>
        <v>1</v>
      </c>
      <c r="BD35" s="67">
        <f t="shared" si="11"/>
        <v>0</v>
      </c>
    </row>
    <row r="36" spans="1:56">
      <c r="A36" s="8">
        <v>82</v>
      </c>
      <c r="B36" s="55" t="s">
        <v>56</v>
      </c>
      <c r="C36" s="8" t="s">
        <v>360</v>
      </c>
      <c r="D36" s="8"/>
      <c r="E36" s="269"/>
      <c r="F36" s="20"/>
      <c r="G36" s="20"/>
      <c r="H36" s="20"/>
      <c r="I36" s="20"/>
      <c r="J36" s="20"/>
      <c r="K36" s="20"/>
      <c r="L36" s="270"/>
      <c r="M36" s="269"/>
      <c r="N36" s="20"/>
      <c r="O36" s="20"/>
      <c r="P36" s="20"/>
      <c r="Q36" s="20"/>
      <c r="R36" s="20"/>
      <c r="S36" s="20"/>
      <c r="T36" s="270"/>
      <c r="U36" s="269"/>
      <c r="V36" s="20"/>
      <c r="W36" s="20"/>
      <c r="X36" s="20"/>
      <c r="Y36" s="20"/>
      <c r="Z36" s="20"/>
      <c r="AA36" s="20"/>
      <c r="AB36" s="270"/>
      <c r="AC36" s="269"/>
      <c r="AD36" s="20"/>
      <c r="AE36" s="20"/>
      <c r="AF36" s="20"/>
      <c r="AG36" s="20"/>
      <c r="AH36" s="20"/>
      <c r="AI36" s="20"/>
      <c r="AJ36" s="270"/>
      <c r="AK36" s="8">
        <v>82</v>
      </c>
      <c r="AL36" s="8">
        <v>1</v>
      </c>
      <c r="AM36" s="8"/>
      <c r="AN36" s="8"/>
      <c r="AO36" s="67">
        <f t="shared" si="0"/>
        <v>0</v>
      </c>
      <c r="AP36" s="67">
        <f t="shared" si="1"/>
        <v>0</v>
      </c>
      <c r="AQ36" s="67">
        <f t="shared" si="2"/>
        <v>0</v>
      </c>
      <c r="AR36" s="67">
        <f t="shared" si="3"/>
        <v>0</v>
      </c>
      <c r="AS36" s="67">
        <f t="shared" si="4"/>
        <v>0</v>
      </c>
      <c r="AT36" s="67">
        <f t="shared" si="5"/>
        <v>0</v>
      </c>
      <c r="AU36" s="67">
        <f t="shared" si="6"/>
        <v>0</v>
      </c>
      <c r="AW36" s="256">
        <v>3</v>
      </c>
      <c r="AX36" s="67">
        <f t="shared" si="13"/>
        <v>15</v>
      </c>
      <c r="AY36" s="76">
        <f t="shared" si="14"/>
        <v>0</v>
      </c>
      <c r="AZ36" s="67">
        <f t="shared" si="9"/>
        <v>0</v>
      </c>
      <c r="BA36" s="76">
        <f t="shared" si="12"/>
        <v>0</v>
      </c>
      <c r="BC36" s="67">
        <f t="shared" si="10"/>
        <v>0</v>
      </c>
      <c r="BD36" s="67">
        <f t="shared" si="11"/>
        <v>0</v>
      </c>
    </row>
    <row r="37" spans="1:56">
      <c r="A37" s="67">
        <v>85</v>
      </c>
      <c r="B37" s="67" t="s">
        <v>93</v>
      </c>
      <c r="C37" s="8" t="s">
        <v>12</v>
      </c>
      <c r="D37" s="67" t="s">
        <v>6</v>
      </c>
      <c r="E37" s="269"/>
      <c r="F37" s="20"/>
      <c r="G37" s="20"/>
      <c r="H37" s="20"/>
      <c r="I37" s="20"/>
      <c r="J37" s="20"/>
      <c r="K37" s="20"/>
      <c r="L37" s="270"/>
      <c r="M37" s="269"/>
      <c r="N37" s="20"/>
      <c r="O37" s="20"/>
      <c r="P37" s="20"/>
      <c r="Q37" s="20"/>
      <c r="R37" s="20"/>
      <c r="S37" s="20"/>
      <c r="T37" s="270"/>
      <c r="U37" s="269"/>
      <c r="V37" s="20"/>
      <c r="W37" s="20"/>
      <c r="X37" s="20"/>
      <c r="Y37" s="20"/>
      <c r="Z37" s="20"/>
      <c r="AA37" s="20"/>
      <c r="AB37" s="270"/>
      <c r="AC37" s="269"/>
      <c r="AD37" s="20"/>
      <c r="AE37" s="20"/>
      <c r="AF37" s="20"/>
      <c r="AG37" s="20"/>
      <c r="AH37" s="20" t="s">
        <v>442</v>
      </c>
      <c r="AI37" s="20"/>
      <c r="AJ37" s="270"/>
      <c r="AK37" s="67">
        <v>85</v>
      </c>
      <c r="AM37" s="67">
        <v>1</v>
      </c>
      <c r="AO37" s="67">
        <f t="shared" si="0"/>
        <v>1</v>
      </c>
      <c r="AP37" s="67">
        <f t="shared" si="1"/>
        <v>1</v>
      </c>
      <c r="AQ37" s="67">
        <f t="shared" si="2"/>
        <v>0</v>
      </c>
      <c r="AR37" s="67">
        <f t="shared" si="3"/>
        <v>1</v>
      </c>
      <c r="AS37" s="67">
        <f t="shared" si="4"/>
        <v>1</v>
      </c>
      <c r="AT37" s="67">
        <f t="shared" si="5"/>
        <v>1</v>
      </c>
      <c r="AU37" s="67">
        <f t="shared" si="6"/>
        <v>5</v>
      </c>
      <c r="AW37" s="256">
        <v>31</v>
      </c>
      <c r="AX37" s="67">
        <f t="shared" si="13"/>
        <v>155</v>
      </c>
      <c r="AY37" s="76">
        <f t="shared" si="14"/>
        <v>3.2258064516129031E-2</v>
      </c>
      <c r="AZ37" s="67">
        <f t="shared" si="9"/>
        <v>1</v>
      </c>
      <c r="BA37" s="76">
        <f t="shared" si="12"/>
        <v>3.2258064516129031E-2</v>
      </c>
      <c r="BC37" s="67">
        <f t="shared" si="10"/>
        <v>0</v>
      </c>
      <c r="BD37" s="67">
        <f t="shared" si="11"/>
        <v>1</v>
      </c>
    </row>
    <row r="38" spans="1:56">
      <c r="A38" s="67">
        <v>86</v>
      </c>
      <c r="B38" s="67" t="s">
        <v>44</v>
      </c>
      <c r="C38" s="8" t="s">
        <v>349</v>
      </c>
      <c r="D38" s="67" t="s">
        <v>6</v>
      </c>
      <c r="E38" s="269"/>
      <c r="F38" s="20"/>
      <c r="G38" s="20"/>
      <c r="H38" s="20"/>
      <c r="I38" s="20" t="s">
        <v>442</v>
      </c>
      <c r="J38" s="20" t="s">
        <v>451</v>
      </c>
      <c r="K38" s="20"/>
      <c r="L38" s="270"/>
      <c r="M38" s="269"/>
      <c r="N38" s="20"/>
      <c r="O38" s="20"/>
      <c r="P38" s="20"/>
      <c r="Q38" s="20"/>
      <c r="R38" s="20"/>
      <c r="S38" s="20"/>
      <c r="T38" s="270"/>
      <c r="U38" s="269"/>
      <c r="V38" s="20"/>
      <c r="W38" s="20"/>
      <c r="X38" s="20"/>
      <c r="Y38" s="20"/>
      <c r="Z38" s="20"/>
      <c r="AA38" s="20"/>
      <c r="AB38" s="270"/>
      <c r="AC38" s="269"/>
      <c r="AD38" s="20"/>
      <c r="AE38" s="20"/>
      <c r="AF38" s="20"/>
      <c r="AG38" s="20" t="s">
        <v>435</v>
      </c>
      <c r="AH38" s="20"/>
      <c r="AI38" s="20"/>
      <c r="AJ38" s="270"/>
      <c r="AK38" s="67">
        <v>86</v>
      </c>
      <c r="AM38" s="67">
        <v>1</v>
      </c>
      <c r="AO38" s="67">
        <f t="shared" si="0"/>
        <v>1</v>
      </c>
      <c r="AP38" s="67">
        <f t="shared" si="1"/>
        <v>2</v>
      </c>
      <c r="AQ38" s="67">
        <f t="shared" si="2"/>
        <v>1</v>
      </c>
      <c r="AR38" s="67">
        <f t="shared" si="3"/>
        <v>2</v>
      </c>
      <c r="AS38" s="67">
        <f t="shared" si="4"/>
        <v>3</v>
      </c>
      <c r="AT38" s="67">
        <f t="shared" si="5"/>
        <v>2</v>
      </c>
      <c r="AU38" s="67">
        <f t="shared" si="6"/>
        <v>11</v>
      </c>
      <c r="AW38" s="256">
        <v>23</v>
      </c>
      <c r="AX38" s="67">
        <f t="shared" si="13"/>
        <v>115</v>
      </c>
      <c r="AY38" s="76">
        <f t="shared" si="14"/>
        <v>9.5652173913043481E-2</v>
      </c>
      <c r="AZ38" s="67">
        <f t="shared" si="9"/>
        <v>3</v>
      </c>
      <c r="BA38" s="76">
        <f t="shared" si="12"/>
        <v>0.13043478260869565</v>
      </c>
      <c r="BC38" s="67">
        <f t="shared" si="10"/>
        <v>2</v>
      </c>
      <c r="BD38" s="67">
        <f t="shared" si="11"/>
        <v>1</v>
      </c>
    </row>
    <row r="39" spans="1:56">
      <c r="A39" s="67">
        <v>88</v>
      </c>
      <c r="B39" s="67" t="s">
        <v>55</v>
      </c>
      <c r="C39" s="8" t="s">
        <v>346</v>
      </c>
      <c r="E39" s="269"/>
      <c r="F39" s="20"/>
      <c r="G39" s="20"/>
      <c r="H39" s="20"/>
      <c r="I39" s="20"/>
      <c r="J39" s="20"/>
      <c r="K39" s="20"/>
      <c r="L39" s="270"/>
      <c r="M39" s="269"/>
      <c r="N39" s="20"/>
      <c r="O39" s="20"/>
      <c r="P39" s="20"/>
      <c r="Q39" s="20"/>
      <c r="R39" s="20"/>
      <c r="S39" s="20"/>
      <c r="T39" s="270"/>
      <c r="U39" s="269"/>
      <c r="V39" s="20"/>
      <c r="W39" s="20"/>
      <c r="X39" s="20"/>
      <c r="Y39" s="20"/>
      <c r="Z39" s="20"/>
      <c r="AA39" s="20"/>
      <c r="AB39" s="270"/>
      <c r="AC39" s="269"/>
      <c r="AD39" s="20"/>
      <c r="AE39" s="20"/>
      <c r="AF39" s="20"/>
      <c r="AG39" s="20"/>
      <c r="AH39" s="20"/>
      <c r="AI39" s="20"/>
      <c r="AJ39" s="270"/>
      <c r="AK39" s="67">
        <v>88</v>
      </c>
      <c r="AL39" s="67">
        <v>1</v>
      </c>
      <c r="AO39" s="67">
        <f t="shared" si="0"/>
        <v>0</v>
      </c>
      <c r="AP39" s="67">
        <f t="shared" si="1"/>
        <v>0</v>
      </c>
      <c r="AQ39" s="67">
        <f t="shared" si="2"/>
        <v>0</v>
      </c>
      <c r="AR39" s="67">
        <f t="shared" si="3"/>
        <v>0</v>
      </c>
      <c r="AS39" s="67">
        <f t="shared" si="4"/>
        <v>0</v>
      </c>
      <c r="AT39" s="67">
        <f t="shared" si="5"/>
        <v>0</v>
      </c>
      <c r="AU39" s="67">
        <f t="shared" si="6"/>
        <v>0</v>
      </c>
      <c r="AW39" s="256">
        <v>20</v>
      </c>
      <c r="AX39" s="67">
        <f t="shared" si="13"/>
        <v>100</v>
      </c>
      <c r="AY39" s="76">
        <f t="shared" si="14"/>
        <v>0</v>
      </c>
      <c r="AZ39" s="67">
        <f t="shared" si="9"/>
        <v>0</v>
      </c>
      <c r="BA39" s="76">
        <f t="shared" si="12"/>
        <v>0</v>
      </c>
      <c r="BC39" s="67">
        <f t="shared" si="10"/>
        <v>0</v>
      </c>
      <c r="BD39" s="67">
        <f t="shared" si="11"/>
        <v>0</v>
      </c>
    </row>
    <row r="40" spans="1:56">
      <c r="A40" s="67">
        <v>93</v>
      </c>
      <c r="B40" s="67" t="s">
        <v>63</v>
      </c>
      <c r="C40" s="8" t="s">
        <v>346</v>
      </c>
      <c r="E40" s="269"/>
      <c r="F40" s="20"/>
      <c r="G40" s="20"/>
      <c r="H40" s="20"/>
      <c r="I40" s="20"/>
      <c r="J40" s="20"/>
      <c r="K40" s="20"/>
      <c r="L40" s="270"/>
      <c r="M40" s="269"/>
      <c r="N40" s="20"/>
      <c r="O40" s="20"/>
      <c r="P40" s="20"/>
      <c r="Q40" s="20"/>
      <c r="R40" s="20"/>
      <c r="S40" s="20"/>
      <c r="T40" s="270"/>
      <c r="U40" s="269"/>
      <c r="V40" s="20"/>
      <c r="W40" s="20"/>
      <c r="X40" s="20"/>
      <c r="Y40" s="20"/>
      <c r="Z40" s="20"/>
      <c r="AA40" s="20"/>
      <c r="AB40" s="270"/>
      <c r="AC40" s="269"/>
      <c r="AD40" s="20"/>
      <c r="AE40" s="20"/>
      <c r="AF40" s="20"/>
      <c r="AG40" s="20"/>
      <c r="AH40" s="20"/>
      <c r="AI40" s="20"/>
      <c r="AJ40" s="270"/>
      <c r="AK40" s="67">
        <v>93</v>
      </c>
      <c r="AL40" s="67">
        <v>1</v>
      </c>
      <c r="AO40" s="67">
        <f t="shared" si="0"/>
        <v>0</v>
      </c>
      <c r="AP40" s="67">
        <f t="shared" si="1"/>
        <v>0</v>
      </c>
      <c r="AQ40" s="67">
        <f t="shared" si="2"/>
        <v>0</v>
      </c>
      <c r="AR40" s="67">
        <f t="shared" si="3"/>
        <v>0</v>
      </c>
      <c r="AS40" s="67">
        <f t="shared" si="4"/>
        <v>0</v>
      </c>
      <c r="AT40" s="67">
        <f t="shared" si="5"/>
        <v>0</v>
      </c>
      <c r="AU40" s="67">
        <f t="shared" si="6"/>
        <v>0</v>
      </c>
      <c r="AW40" s="256">
        <v>10</v>
      </c>
      <c r="AX40" s="67">
        <f t="shared" si="13"/>
        <v>50</v>
      </c>
      <c r="AY40" s="76">
        <f t="shared" si="14"/>
        <v>0</v>
      </c>
      <c r="AZ40" s="67">
        <f t="shared" si="9"/>
        <v>0</v>
      </c>
      <c r="BA40" s="76">
        <f t="shared" si="12"/>
        <v>0</v>
      </c>
      <c r="BC40" s="67">
        <f t="shared" si="10"/>
        <v>0</v>
      </c>
      <c r="BD40" s="67">
        <f t="shared" si="11"/>
        <v>0</v>
      </c>
    </row>
    <row r="41" spans="1:56">
      <c r="A41" s="67">
        <v>95</v>
      </c>
      <c r="B41" s="67" t="s">
        <v>53</v>
      </c>
      <c r="C41" s="8" t="s">
        <v>346</v>
      </c>
      <c r="E41" s="269"/>
      <c r="F41" s="20"/>
      <c r="G41" s="20"/>
      <c r="H41" s="20"/>
      <c r="I41" s="20" t="s">
        <v>435</v>
      </c>
      <c r="J41" s="20"/>
      <c r="K41" s="20"/>
      <c r="L41" s="270"/>
      <c r="M41" s="269"/>
      <c r="N41" s="20"/>
      <c r="O41" s="20"/>
      <c r="P41" s="20" t="s">
        <v>435</v>
      </c>
      <c r="Q41" s="20"/>
      <c r="R41" s="20"/>
      <c r="S41" s="20"/>
      <c r="T41" s="270"/>
      <c r="U41" s="269"/>
      <c r="V41" s="20"/>
      <c r="W41" s="20"/>
      <c r="X41" s="20"/>
      <c r="Y41" s="20"/>
      <c r="Z41" s="20"/>
      <c r="AA41" s="20"/>
      <c r="AB41" s="270"/>
      <c r="AC41" s="269"/>
      <c r="AD41" s="20"/>
      <c r="AE41" s="20"/>
      <c r="AF41" s="20"/>
      <c r="AG41" s="20"/>
      <c r="AH41" s="20"/>
      <c r="AI41" s="20"/>
      <c r="AJ41" s="270"/>
      <c r="AK41" s="67">
        <v>95</v>
      </c>
      <c r="AM41" s="67">
        <v>1</v>
      </c>
      <c r="AO41" s="67">
        <f t="shared" si="0"/>
        <v>0</v>
      </c>
      <c r="AP41" s="67">
        <f t="shared" si="1"/>
        <v>0</v>
      </c>
      <c r="AQ41" s="67">
        <f t="shared" si="2"/>
        <v>0</v>
      </c>
      <c r="AR41" s="67">
        <f t="shared" si="3"/>
        <v>0</v>
      </c>
      <c r="AS41" s="67">
        <f t="shared" si="4"/>
        <v>2</v>
      </c>
      <c r="AT41" s="67">
        <f t="shared" si="5"/>
        <v>0</v>
      </c>
      <c r="AU41" s="67">
        <f t="shared" si="6"/>
        <v>2</v>
      </c>
      <c r="AW41" s="256">
        <v>23</v>
      </c>
      <c r="AX41" s="67">
        <f t="shared" si="13"/>
        <v>115</v>
      </c>
      <c r="AY41" s="76">
        <f t="shared" si="14"/>
        <v>1.7391304347826087E-2</v>
      </c>
      <c r="AZ41" s="67">
        <f t="shared" si="9"/>
        <v>2</v>
      </c>
      <c r="BA41" s="76">
        <f t="shared" si="12"/>
        <v>8.6956521739130432E-2</v>
      </c>
      <c r="BC41" s="67">
        <f t="shared" si="10"/>
        <v>2</v>
      </c>
      <c r="BD41" s="67">
        <f t="shared" si="11"/>
        <v>0</v>
      </c>
    </row>
    <row r="42" spans="1:56">
      <c r="A42" s="67">
        <v>97</v>
      </c>
      <c r="B42" s="67" t="s">
        <v>44</v>
      </c>
      <c r="C42" s="8" t="s">
        <v>349</v>
      </c>
      <c r="D42" s="67" t="s">
        <v>42</v>
      </c>
      <c r="E42" s="269"/>
      <c r="F42" s="20"/>
      <c r="G42" s="20"/>
      <c r="H42" s="20"/>
      <c r="I42" s="20"/>
      <c r="J42" s="20"/>
      <c r="K42" s="20"/>
      <c r="L42" s="270"/>
      <c r="M42" s="269"/>
      <c r="N42" s="20"/>
      <c r="O42" s="20"/>
      <c r="P42" s="20"/>
      <c r="Q42" s="20"/>
      <c r="R42" s="20" t="s">
        <v>442</v>
      </c>
      <c r="S42" s="20" t="s">
        <v>434</v>
      </c>
      <c r="T42" s="270"/>
      <c r="U42" s="269"/>
      <c r="V42" s="20"/>
      <c r="W42" s="20"/>
      <c r="X42" s="20"/>
      <c r="Y42" s="20"/>
      <c r="Z42" s="20"/>
      <c r="AA42" s="20"/>
      <c r="AB42" s="270"/>
      <c r="AC42" s="269"/>
      <c r="AD42" s="20"/>
      <c r="AE42" s="20"/>
      <c r="AF42" s="20"/>
      <c r="AG42" s="20"/>
      <c r="AH42" s="20"/>
      <c r="AI42" s="20"/>
      <c r="AJ42" s="270"/>
      <c r="AK42" s="67">
        <v>97</v>
      </c>
      <c r="AM42" s="67">
        <v>1</v>
      </c>
      <c r="AO42" s="67">
        <f t="shared" si="0"/>
        <v>1</v>
      </c>
      <c r="AP42" s="67">
        <f t="shared" si="1"/>
        <v>1</v>
      </c>
      <c r="AQ42" s="67">
        <f t="shared" si="2"/>
        <v>0</v>
      </c>
      <c r="AR42" s="67">
        <f t="shared" si="3"/>
        <v>2</v>
      </c>
      <c r="AS42" s="67">
        <f t="shared" si="4"/>
        <v>1</v>
      </c>
      <c r="AT42" s="67">
        <f t="shared" si="5"/>
        <v>1</v>
      </c>
      <c r="AU42" s="67">
        <f t="shared" si="6"/>
        <v>6</v>
      </c>
      <c r="AW42" s="256">
        <v>27</v>
      </c>
      <c r="AX42" s="67">
        <f t="shared" si="13"/>
        <v>135</v>
      </c>
      <c r="AY42" s="76">
        <f t="shared" si="14"/>
        <v>4.4444444444444446E-2</v>
      </c>
      <c r="AZ42" s="67">
        <f t="shared" si="9"/>
        <v>2</v>
      </c>
      <c r="BA42" s="76">
        <f t="shared" si="12"/>
        <v>7.407407407407407E-2</v>
      </c>
      <c r="BC42" s="67">
        <f t="shared" si="10"/>
        <v>2</v>
      </c>
      <c r="BD42" s="67">
        <f t="shared" si="11"/>
        <v>0</v>
      </c>
    </row>
    <row r="43" spans="1:56">
      <c r="A43" s="67">
        <v>98</v>
      </c>
      <c r="B43" s="67" t="s">
        <v>62</v>
      </c>
      <c r="C43" s="8" t="s">
        <v>42</v>
      </c>
      <c r="D43" s="67" t="s">
        <v>42</v>
      </c>
      <c r="E43" s="269"/>
      <c r="F43" s="20"/>
      <c r="G43" s="20"/>
      <c r="H43" s="20"/>
      <c r="I43" s="20"/>
      <c r="J43" s="20"/>
      <c r="K43" s="20"/>
      <c r="L43" s="270"/>
      <c r="M43" s="269"/>
      <c r="N43" s="20"/>
      <c r="O43" s="20"/>
      <c r="P43" s="20"/>
      <c r="Q43" s="20"/>
      <c r="R43" s="20"/>
      <c r="S43" s="20"/>
      <c r="T43" s="270"/>
      <c r="U43" s="269"/>
      <c r="V43" s="20"/>
      <c r="W43" s="20"/>
      <c r="X43" s="20"/>
      <c r="Y43" s="20"/>
      <c r="Z43" s="20"/>
      <c r="AA43" s="20"/>
      <c r="AB43" s="270"/>
      <c r="AC43" s="269"/>
      <c r="AD43" s="20"/>
      <c r="AE43" s="20"/>
      <c r="AF43" s="20"/>
      <c r="AG43" s="20"/>
      <c r="AH43" s="20" t="s">
        <v>436</v>
      </c>
      <c r="AI43" s="20"/>
      <c r="AJ43" s="270" t="s">
        <v>434</v>
      </c>
      <c r="AK43" s="67">
        <v>98</v>
      </c>
      <c r="AM43" s="67">
        <v>1</v>
      </c>
      <c r="AO43" s="67">
        <f t="shared" si="0"/>
        <v>0</v>
      </c>
      <c r="AP43" s="67">
        <f t="shared" si="1"/>
        <v>0</v>
      </c>
      <c r="AQ43" s="67">
        <f t="shared" si="2"/>
        <v>0</v>
      </c>
      <c r="AR43" s="67">
        <f t="shared" si="3"/>
        <v>1</v>
      </c>
      <c r="AS43" s="67">
        <f t="shared" si="4"/>
        <v>0</v>
      </c>
      <c r="AT43" s="67">
        <f t="shared" si="5"/>
        <v>1</v>
      </c>
      <c r="AU43" s="67">
        <f t="shared" si="6"/>
        <v>2</v>
      </c>
      <c r="AW43" s="256">
        <v>10</v>
      </c>
      <c r="AX43" s="67">
        <f t="shared" si="13"/>
        <v>50</v>
      </c>
      <c r="AY43" s="76">
        <f t="shared" si="14"/>
        <v>0.04</v>
      </c>
      <c r="AZ43" s="67">
        <f t="shared" si="9"/>
        <v>2</v>
      </c>
      <c r="BA43" s="76">
        <f t="shared" si="12"/>
        <v>0.2</v>
      </c>
      <c r="BC43" s="67">
        <f t="shared" si="10"/>
        <v>0</v>
      </c>
      <c r="BD43" s="67">
        <f t="shared" si="11"/>
        <v>2</v>
      </c>
    </row>
    <row r="44" spans="1:56">
      <c r="A44" s="67">
        <v>100</v>
      </c>
      <c r="B44" s="67" t="s">
        <v>62</v>
      </c>
      <c r="C44" s="8" t="s">
        <v>42</v>
      </c>
      <c r="D44" s="67" t="s">
        <v>77</v>
      </c>
      <c r="E44" s="269" t="s">
        <v>434</v>
      </c>
      <c r="F44" s="5" t="s">
        <v>435</v>
      </c>
      <c r="G44" s="20"/>
      <c r="H44" s="20"/>
      <c r="I44" s="20"/>
      <c r="J44" s="20"/>
      <c r="K44" s="20"/>
      <c r="L44" s="270"/>
      <c r="M44" s="269"/>
      <c r="N44" s="20"/>
      <c r="O44" s="20"/>
      <c r="P44" s="20"/>
      <c r="Q44" s="20"/>
      <c r="R44" s="20"/>
      <c r="S44" s="20" t="s">
        <v>454</v>
      </c>
      <c r="T44" s="270" t="s">
        <v>442</v>
      </c>
      <c r="U44" s="269"/>
      <c r="V44" s="20"/>
      <c r="W44" s="20" t="s">
        <v>434</v>
      </c>
      <c r="X44" s="20"/>
      <c r="Y44" s="20"/>
      <c r="Z44" s="20"/>
      <c r="AA44" s="20"/>
      <c r="AB44" s="270"/>
      <c r="AC44" s="269"/>
      <c r="AD44" s="20"/>
      <c r="AE44" s="20"/>
      <c r="AF44" s="20"/>
      <c r="AG44" s="20"/>
      <c r="AH44" s="20" t="s">
        <v>434</v>
      </c>
      <c r="AI44" s="20" t="s">
        <v>436</v>
      </c>
      <c r="AJ44" s="270" t="s">
        <v>436</v>
      </c>
      <c r="AK44" s="67">
        <v>100</v>
      </c>
      <c r="AM44" s="67">
        <v>1</v>
      </c>
      <c r="AO44" s="67">
        <f t="shared" si="0"/>
        <v>1</v>
      </c>
      <c r="AP44" s="67">
        <f t="shared" si="1"/>
        <v>1</v>
      </c>
      <c r="AQ44" s="67">
        <f t="shared" si="2"/>
        <v>0</v>
      </c>
      <c r="AR44" s="67">
        <f t="shared" si="3"/>
        <v>4</v>
      </c>
      <c r="AS44" s="67">
        <f t="shared" si="4"/>
        <v>3</v>
      </c>
      <c r="AT44" s="67">
        <f t="shared" si="5"/>
        <v>4</v>
      </c>
      <c r="AU44" s="67">
        <f t="shared" si="6"/>
        <v>13</v>
      </c>
      <c r="AW44" s="256">
        <v>32</v>
      </c>
      <c r="AX44" s="67">
        <f t="shared" si="13"/>
        <v>160</v>
      </c>
      <c r="AY44" s="76">
        <f t="shared" si="14"/>
        <v>8.1250000000000003E-2</v>
      </c>
      <c r="AZ44" s="67">
        <f t="shared" si="9"/>
        <v>8</v>
      </c>
      <c r="BA44" s="76">
        <f t="shared" si="12"/>
        <v>0.25</v>
      </c>
      <c r="BC44" s="67">
        <f t="shared" si="10"/>
        <v>4</v>
      </c>
      <c r="BD44" s="67">
        <f t="shared" si="11"/>
        <v>4</v>
      </c>
    </row>
    <row r="45" spans="1:56">
      <c r="A45" s="67">
        <v>104</v>
      </c>
      <c r="B45" s="67" t="s">
        <v>106</v>
      </c>
      <c r="C45" s="8" t="s">
        <v>349</v>
      </c>
      <c r="D45" s="67" t="s">
        <v>42</v>
      </c>
      <c r="E45" s="269"/>
      <c r="F45" s="20"/>
      <c r="G45" s="20"/>
      <c r="H45" s="20" t="s">
        <v>442</v>
      </c>
      <c r="I45" s="20"/>
      <c r="J45" s="20"/>
      <c r="K45" s="20"/>
      <c r="L45" s="270"/>
      <c r="M45" s="269"/>
      <c r="N45" s="20"/>
      <c r="O45" s="20"/>
      <c r="P45" s="20" t="s">
        <v>442</v>
      </c>
      <c r="Q45" s="20"/>
      <c r="R45" s="20"/>
      <c r="S45" s="20"/>
      <c r="T45" s="270"/>
      <c r="U45" s="269"/>
      <c r="V45" s="20"/>
      <c r="W45" s="20"/>
      <c r="X45" s="20"/>
      <c r="Y45" s="20"/>
      <c r="Z45" s="20"/>
      <c r="AA45" s="20"/>
      <c r="AB45" s="270"/>
      <c r="AC45" s="269"/>
      <c r="AD45" s="20"/>
      <c r="AE45" s="20"/>
      <c r="AF45" s="20"/>
      <c r="AG45" s="20"/>
      <c r="AH45" s="20"/>
      <c r="AI45" s="20"/>
      <c r="AJ45" s="270" t="s">
        <v>442</v>
      </c>
      <c r="AK45" s="67">
        <v>104</v>
      </c>
      <c r="AM45" s="67">
        <v>1</v>
      </c>
      <c r="AO45" s="67">
        <f t="shared" si="0"/>
        <v>3</v>
      </c>
      <c r="AP45" s="67">
        <f t="shared" si="1"/>
        <v>3</v>
      </c>
      <c r="AQ45" s="67">
        <f t="shared" si="2"/>
        <v>0</v>
      </c>
      <c r="AR45" s="67">
        <f t="shared" si="3"/>
        <v>3</v>
      </c>
      <c r="AS45" s="67">
        <f t="shared" si="4"/>
        <v>3</v>
      </c>
      <c r="AT45" s="67">
        <f t="shared" si="5"/>
        <v>3</v>
      </c>
      <c r="AU45" s="67">
        <f t="shared" si="6"/>
        <v>15</v>
      </c>
      <c r="AW45" s="256">
        <v>18</v>
      </c>
      <c r="AX45" s="67">
        <f t="shared" si="13"/>
        <v>90</v>
      </c>
      <c r="AY45" s="76">
        <f t="shared" si="14"/>
        <v>0.16666666666666666</v>
      </c>
      <c r="AZ45" s="67">
        <f t="shared" si="9"/>
        <v>3</v>
      </c>
      <c r="BA45" s="76">
        <f t="shared" si="12"/>
        <v>0.16666666666666666</v>
      </c>
      <c r="BC45" s="67">
        <f t="shared" si="10"/>
        <v>2</v>
      </c>
      <c r="BD45" s="67">
        <f t="shared" si="11"/>
        <v>1</v>
      </c>
    </row>
    <row r="46" spans="1:56">
      <c r="A46" s="67">
        <v>105</v>
      </c>
      <c r="B46" s="67" t="s">
        <v>55</v>
      </c>
      <c r="C46" s="8" t="s">
        <v>346</v>
      </c>
      <c r="E46" s="269"/>
      <c r="F46" s="20"/>
      <c r="G46" s="20"/>
      <c r="H46" s="20"/>
      <c r="I46" s="20"/>
      <c r="J46" s="20"/>
      <c r="K46" s="20"/>
      <c r="L46" s="270"/>
      <c r="M46" s="269"/>
      <c r="N46" s="20"/>
      <c r="O46" s="20"/>
      <c r="P46" s="20"/>
      <c r="Q46" s="20"/>
      <c r="R46" s="20"/>
      <c r="S46" s="20"/>
      <c r="T46" s="270"/>
      <c r="U46" s="269"/>
      <c r="V46" s="20"/>
      <c r="W46" s="20"/>
      <c r="X46" s="20"/>
      <c r="Y46" s="20"/>
      <c r="Z46" s="20"/>
      <c r="AA46" s="20"/>
      <c r="AB46" s="270"/>
      <c r="AC46" s="269"/>
      <c r="AD46" s="20"/>
      <c r="AE46" s="20"/>
      <c r="AF46" s="20"/>
      <c r="AG46" s="20"/>
      <c r="AH46" s="20"/>
      <c r="AI46" s="20"/>
      <c r="AJ46" s="270"/>
      <c r="AK46" s="67">
        <v>105</v>
      </c>
      <c r="AL46" s="67">
        <v>1</v>
      </c>
      <c r="AO46" s="67">
        <f t="shared" si="0"/>
        <v>0</v>
      </c>
      <c r="AP46" s="67">
        <f t="shared" si="1"/>
        <v>0</v>
      </c>
      <c r="AQ46" s="67">
        <f t="shared" si="2"/>
        <v>0</v>
      </c>
      <c r="AR46" s="67">
        <f t="shared" si="3"/>
        <v>0</v>
      </c>
      <c r="AS46" s="67">
        <f t="shared" si="4"/>
        <v>0</v>
      </c>
      <c r="AT46" s="67">
        <f t="shared" si="5"/>
        <v>0</v>
      </c>
      <c r="AU46" s="67">
        <f t="shared" si="6"/>
        <v>0</v>
      </c>
      <c r="AW46" s="256">
        <v>20</v>
      </c>
      <c r="AX46" s="67">
        <f t="shared" si="13"/>
        <v>100</v>
      </c>
      <c r="AY46" s="76">
        <f t="shared" si="14"/>
        <v>0</v>
      </c>
      <c r="AZ46" s="67">
        <f t="shared" si="9"/>
        <v>0</v>
      </c>
      <c r="BA46" s="76">
        <f t="shared" si="12"/>
        <v>0</v>
      </c>
      <c r="BC46" s="67">
        <f t="shared" si="10"/>
        <v>0</v>
      </c>
      <c r="BD46" s="67">
        <f t="shared" si="11"/>
        <v>0</v>
      </c>
    </row>
    <row r="47" spans="1:56">
      <c r="A47" s="67">
        <v>106</v>
      </c>
      <c r="B47" s="67" t="s">
        <v>55</v>
      </c>
      <c r="C47" s="8" t="s">
        <v>346</v>
      </c>
      <c r="E47" s="269"/>
      <c r="F47" s="20"/>
      <c r="G47" s="20"/>
      <c r="H47" s="20"/>
      <c r="I47" s="20"/>
      <c r="J47" s="20"/>
      <c r="K47" s="20"/>
      <c r="L47" s="270"/>
      <c r="M47" s="269"/>
      <c r="N47" s="20"/>
      <c r="O47" s="20"/>
      <c r="P47" s="20"/>
      <c r="Q47" s="20"/>
      <c r="R47" s="20"/>
      <c r="S47" s="20"/>
      <c r="T47" s="270"/>
      <c r="U47" s="269"/>
      <c r="V47" s="20"/>
      <c r="W47" s="20"/>
      <c r="X47" s="20"/>
      <c r="Y47" s="20"/>
      <c r="Z47" s="20"/>
      <c r="AA47" s="20"/>
      <c r="AB47" s="270"/>
      <c r="AC47" s="269"/>
      <c r="AD47" s="20"/>
      <c r="AE47" s="20"/>
      <c r="AF47" s="20"/>
      <c r="AG47" s="20"/>
      <c r="AH47" s="20"/>
      <c r="AI47" s="20"/>
      <c r="AJ47" s="270"/>
      <c r="AK47" s="67">
        <v>106</v>
      </c>
      <c r="AL47" s="67">
        <v>1</v>
      </c>
      <c r="AO47" s="67">
        <f t="shared" si="0"/>
        <v>0</v>
      </c>
      <c r="AP47" s="67">
        <f t="shared" si="1"/>
        <v>0</v>
      </c>
      <c r="AQ47" s="67">
        <f t="shared" si="2"/>
        <v>0</v>
      </c>
      <c r="AR47" s="67">
        <f t="shared" si="3"/>
        <v>0</v>
      </c>
      <c r="AS47" s="67">
        <f t="shared" si="4"/>
        <v>0</v>
      </c>
      <c r="AT47" s="67">
        <f t="shared" si="5"/>
        <v>0</v>
      </c>
      <c r="AU47" s="67">
        <f t="shared" si="6"/>
        <v>0</v>
      </c>
      <c r="AW47" s="256">
        <v>19</v>
      </c>
      <c r="AX47" s="67">
        <f t="shared" si="13"/>
        <v>95</v>
      </c>
      <c r="AY47" s="76">
        <f t="shared" si="14"/>
        <v>0</v>
      </c>
      <c r="AZ47" s="67">
        <f t="shared" si="9"/>
        <v>0</v>
      </c>
      <c r="BA47" s="76">
        <f t="shared" si="12"/>
        <v>0</v>
      </c>
      <c r="BC47" s="67">
        <f t="shared" si="10"/>
        <v>0</v>
      </c>
      <c r="BD47" s="67">
        <f t="shared" si="11"/>
        <v>0</v>
      </c>
    </row>
    <row r="48" spans="1:56">
      <c r="A48" s="67">
        <v>108</v>
      </c>
      <c r="B48" s="67" t="s">
        <v>99</v>
      </c>
      <c r="C48" s="8" t="s">
        <v>346</v>
      </c>
      <c r="E48" s="269"/>
      <c r="F48" s="20"/>
      <c r="G48" s="20"/>
      <c r="H48" s="20"/>
      <c r="I48" s="20"/>
      <c r="J48" s="20"/>
      <c r="K48" s="20"/>
      <c r="L48" s="270"/>
      <c r="M48" s="269"/>
      <c r="N48" s="20"/>
      <c r="O48" s="20"/>
      <c r="P48" s="20"/>
      <c r="Q48" s="20"/>
      <c r="R48" s="20"/>
      <c r="S48" s="20"/>
      <c r="T48" s="270"/>
      <c r="U48" s="269"/>
      <c r="V48" s="20"/>
      <c r="W48" s="20"/>
      <c r="X48" s="20"/>
      <c r="Y48" s="20"/>
      <c r="Z48" s="20"/>
      <c r="AA48" s="20"/>
      <c r="AB48" s="270"/>
      <c r="AC48" s="269"/>
      <c r="AD48" s="20"/>
      <c r="AE48" s="20"/>
      <c r="AF48" s="20"/>
      <c r="AG48" s="20"/>
      <c r="AH48" s="20"/>
      <c r="AI48" s="20"/>
      <c r="AJ48" s="270"/>
      <c r="AK48" s="67">
        <v>108</v>
      </c>
      <c r="AL48" s="67">
        <v>1</v>
      </c>
      <c r="AO48" s="67">
        <f t="shared" si="0"/>
        <v>0</v>
      </c>
      <c r="AP48" s="67">
        <f t="shared" si="1"/>
        <v>0</v>
      </c>
      <c r="AQ48" s="67">
        <f t="shared" si="2"/>
        <v>0</v>
      </c>
      <c r="AR48" s="67">
        <f t="shared" si="3"/>
        <v>0</v>
      </c>
      <c r="AS48" s="67">
        <f t="shared" si="4"/>
        <v>0</v>
      </c>
      <c r="AT48" s="67">
        <f t="shared" si="5"/>
        <v>0</v>
      </c>
      <c r="AU48" s="67">
        <f t="shared" si="6"/>
        <v>0</v>
      </c>
      <c r="AW48" s="256">
        <v>17</v>
      </c>
      <c r="AX48" s="67">
        <f t="shared" si="13"/>
        <v>85</v>
      </c>
      <c r="AY48" s="76">
        <f t="shared" si="14"/>
        <v>0</v>
      </c>
      <c r="AZ48" s="67">
        <f t="shared" si="9"/>
        <v>0</v>
      </c>
      <c r="BA48" s="76">
        <f t="shared" si="12"/>
        <v>0</v>
      </c>
      <c r="BC48" s="67">
        <f t="shared" si="10"/>
        <v>0</v>
      </c>
      <c r="BD48" s="67">
        <f t="shared" si="11"/>
        <v>0</v>
      </c>
    </row>
    <row r="49" spans="1:56">
      <c r="A49" s="67">
        <v>109</v>
      </c>
      <c r="B49" s="67" t="s">
        <v>107</v>
      </c>
      <c r="C49" s="8" t="s">
        <v>358</v>
      </c>
      <c r="D49" s="67" t="s">
        <v>6</v>
      </c>
      <c r="E49" s="269"/>
      <c r="F49" s="20"/>
      <c r="G49" s="20"/>
      <c r="H49" s="20"/>
      <c r="I49" s="20"/>
      <c r="J49" s="20"/>
      <c r="K49" s="20"/>
      <c r="L49" s="270"/>
      <c r="M49" s="269"/>
      <c r="N49" s="20"/>
      <c r="O49" s="20"/>
      <c r="P49" s="20"/>
      <c r="Q49" s="20"/>
      <c r="R49" s="20"/>
      <c r="S49" s="20"/>
      <c r="T49" s="270"/>
      <c r="U49" s="269"/>
      <c r="V49" s="20"/>
      <c r="W49" s="20"/>
      <c r="X49" s="20"/>
      <c r="Y49" s="20"/>
      <c r="Z49" s="20"/>
      <c r="AA49" s="20"/>
      <c r="AB49" s="270"/>
      <c r="AC49" s="269"/>
      <c r="AD49" s="20"/>
      <c r="AE49" s="20"/>
      <c r="AF49" s="20"/>
      <c r="AG49" s="20"/>
      <c r="AH49" s="20"/>
      <c r="AI49" s="20"/>
      <c r="AJ49" s="270"/>
      <c r="AK49" s="67">
        <v>109</v>
      </c>
      <c r="AL49" s="67">
        <v>1</v>
      </c>
      <c r="AO49" s="67">
        <f t="shared" si="0"/>
        <v>0</v>
      </c>
      <c r="AP49" s="67">
        <f t="shared" si="1"/>
        <v>0</v>
      </c>
      <c r="AQ49" s="67">
        <f t="shared" si="2"/>
        <v>0</v>
      </c>
      <c r="AR49" s="67">
        <f t="shared" si="3"/>
        <v>0</v>
      </c>
      <c r="AS49" s="67">
        <f t="shared" si="4"/>
        <v>0</v>
      </c>
      <c r="AT49" s="67">
        <f t="shared" si="5"/>
        <v>0</v>
      </c>
      <c r="AU49" s="67">
        <f t="shared" si="6"/>
        <v>0</v>
      </c>
      <c r="AW49" s="256">
        <v>27</v>
      </c>
      <c r="AX49" s="67">
        <f t="shared" si="13"/>
        <v>135</v>
      </c>
      <c r="AY49" s="76">
        <f t="shared" si="14"/>
        <v>0</v>
      </c>
      <c r="AZ49" s="67">
        <f t="shared" si="9"/>
        <v>0</v>
      </c>
      <c r="BA49" s="76">
        <f t="shared" si="12"/>
        <v>0</v>
      </c>
      <c r="BC49" s="67">
        <f t="shared" si="10"/>
        <v>0</v>
      </c>
      <c r="BD49" s="67">
        <f t="shared" si="11"/>
        <v>0</v>
      </c>
    </row>
    <row r="50" spans="1:56">
      <c r="A50" s="67">
        <v>112</v>
      </c>
      <c r="B50" s="67" t="s">
        <v>62</v>
      </c>
      <c r="C50" s="8" t="s">
        <v>42</v>
      </c>
      <c r="D50" s="67" t="s">
        <v>42</v>
      </c>
      <c r="E50" s="269"/>
      <c r="F50" s="20"/>
      <c r="G50" s="20"/>
      <c r="H50" s="20"/>
      <c r="I50" s="20"/>
      <c r="J50" s="20"/>
      <c r="K50" s="20"/>
      <c r="L50" s="270"/>
      <c r="M50" s="269"/>
      <c r="N50" s="20"/>
      <c r="O50" s="20"/>
      <c r="P50" s="20"/>
      <c r="Q50" s="20"/>
      <c r="R50" s="20"/>
      <c r="S50" s="20"/>
      <c r="T50" s="270"/>
      <c r="U50" s="269"/>
      <c r="V50" s="20"/>
      <c r="W50" s="20"/>
      <c r="X50" s="20"/>
      <c r="Y50" s="20"/>
      <c r="Z50" s="20"/>
      <c r="AA50" s="20"/>
      <c r="AB50" s="270"/>
      <c r="AC50" s="269"/>
      <c r="AD50" s="20"/>
      <c r="AE50" s="20"/>
      <c r="AF50" s="20"/>
      <c r="AG50" s="20"/>
      <c r="AH50" s="20"/>
      <c r="AI50" s="20"/>
      <c r="AJ50" s="270"/>
      <c r="AK50" s="67">
        <v>112</v>
      </c>
      <c r="AL50" s="67">
        <v>1</v>
      </c>
      <c r="AO50" s="67">
        <f t="shared" si="0"/>
        <v>0</v>
      </c>
      <c r="AP50" s="67">
        <f t="shared" si="1"/>
        <v>0</v>
      </c>
      <c r="AQ50" s="67">
        <f t="shared" si="2"/>
        <v>0</v>
      </c>
      <c r="AR50" s="67">
        <f t="shared" si="3"/>
        <v>0</v>
      </c>
      <c r="AS50" s="67">
        <f t="shared" si="4"/>
        <v>0</v>
      </c>
      <c r="AT50" s="67">
        <f t="shared" si="5"/>
        <v>0</v>
      </c>
      <c r="AU50" s="67">
        <f t="shared" si="6"/>
        <v>0</v>
      </c>
      <c r="AW50" s="256">
        <v>25</v>
      </c>
      <c r="AX50" s="67">
        <f t="shared" si="13"/>
        <v>125</v>
      </c>
      <c r="AY50" s="76">
        <f t="shared" si="14"/>
        <v>0</v>
      </c>
      <c r="AZ50" s="67">
        <f t="shared" si="9"/>
        <v>0</v>
      </c>
      <c r="BA50" s="76">
        <f t="shared" si="12"/>
        <v>0</v>
      </c>
      <c r="BC50" s="67">
        <f t="shared" si="10"/>
        <v>0</v>
      </c>
      <c r="BD50" s="67">
        <f t="shared" si="11"/>
        <v>0</v>
      </c>
    </row>
    <row r="51" spans="1:56">
      <c r="A51" s="67">
        <v>115</v>
      </c>
      <c r="B51" s="67" t="s">
        <v>68</v>
      </c>
      <c r="C51" s="8" t="s">
        <v>357</v>
      </c>
      <c r="E51" s="269"/>
      <c r="F51" s="20"/>
      <c r="G51" s="20"/>
      <c r="H51" s="20" t="s">
        <v>434</v>
      </c>
      <c r="I51" s="20"/>
      <c r="J51" s="20"/>
      <c r="K51" s="20"/>
      <c r="L51" s="270"/>
      <c r="M51" s="269"/>
      <c r="N51" s="20"/>
      <c r="O51" s="20"/>
      <c r="P51" s="20" t="s">
        <v>435</v>
      </c>
      <c r="Q51" s="20" t="s">
        <v>434</v>
      </c>
      <c r="R51" s="20"/>
      <c r="S51" s="20"/>
      <c r="T51" s="270"/>
      <c r="U51" s="269"/>
      <c r="V51" s="20"/>
      <c r="W51" s="20"/>
      <c r="X51" s="20"/>
      <c r="Y51" s="20"/>
      <c r="Z51" s="20"/>
      <c r="AA51" s="20"/>
      <c r="AB51" s="270"/>
      <c r="AC51" s="269"/>
      <c r="AD51" s="20"/>
      <c r="AE51" s="20"/>
      <c r="AF51" s="20"/>
      <c r="AG51" s="20"/>
      <c r="AH51" s="20"/>
      <c r="AI51" s="20"/>
      <c r="AJ51" s="270"/>
      <c r="AK51" s="67">
        <v>115</v>
      </c>
      <c r="AM51" s="67">
        <v>1</v>
      </c>
      <c r="AO51" s="67">
        <f t="shared" si="0"/>
        <v>0</v>
      </c>
      <c r="AP51" s="67">
        <f t="shared" si="1"/>
        <v>0</v>
      </c>
      <c r="AQ51" s="67">
        <f t="shared" si="2"/>
        <v>0</v>
      </c>
      <c r="AR51" s="67">
        <f t="shared" si="3"/>
        <v>2</v>
      </c>
      <c r="AS51" s="67">
        <f t="shared" si="4"/>
        <v>1</v>
      </c>
      <c r="AT51" s="67">
        <f t="shared" si="5"/>
        <v>0</v>
      </c>
      <c r="AU51" s="67">
        <f t="shared" si="6"/>
        <v>3</v>
      </c>
      <c r="AW51" s="256">
        <v>22</v>
      </c>
      <c r="AX51" s="67">
        <f t="shared" si="13"/>
        <v>110</v>
      </c>
      <c r="AY51" s="76">
        <f t="shared" si="14"/>
        <v>2.7272727272727271E-2</v>
      </c>
      <c r="AZ51" s="67">
        <f t="shared" si="9"/>
        <v>3</v>
      </c>
      <c r="BA51" s="76">
        <f t="shared" si="12"/>
        <v>0.13636363636363635</v>
      </c>
      <c r="BC51" s="67">
        <f t="shared" si="10"/>
        <v>3</v>
      </c>
      <c r="BD51" s="67">
        <f t="shared" si="11"/>
        <v>0</v>
      </c>
    </row>
    <row r="52" spans="1:56">
      <c r="A52" s="67">
        <v>116</v>
      </c>
      <c r="B52" s="67" t="s">
        <v>62</v>
      </c>
      <c r="C52" s="8" t="s">
        <v>42</v>
      </c>
      <c r="D52" s="67" t="s">
        <v>42</v>
      </c>
      <c r="E52" s="269"/>
      <c r="F52" s="20"/>
      <c r="G52" s="20"/>
      <c r="H52" s="20"/>
      <c r="I52" s="20"/>
      <c r="J52" s="20"/>
      <c r="K52" s="20"/>
      <c r="L52" s="270"/>
      <c r="M52" s="269"/>
      <c r="N52" s="20"/>
      <c r="O52" s="20"/>
      <c r="P52" s="20"/>
      <c r="Q52" s="20"/>
      <c r="R52" s="20"/>
      <c r="S52" s="20"/>
      <c r="T52" s="270"/>
      <c r="U52" s="269"/>
      <c r="V52" s="20"/>
      <c r="W52" s="20"/>
      <c r="X52" s="20"/>
      <c r="Y52" s="20"/>
      <c r="Z52" s="20"/>
      <c r="AA52" s="20"/>
      <c r="AB52" s="270"/>
      <c r="AC52" s="269"/>
      <c r="AD52" s="20"/>
      <c r="AE52" s="20"/>
      <c r="AF52" s="20"/>
      <c r="AG52" s="20"/>
      <c r="AH52" s="20"/>
      <c r="AI52" s="20"/>
      <c r="AJ52" s="270"/>
      <c r="AK52" s="67">
        <v>116</v>
      </c>
      <c r="AL52" s="67">
        <v>1</v>
      </c>
      <c r="AO52" s="67">
        <f t="shared" si="0"/>
        <v>0</v>
      </c>
      <c r="AP52" s="67">
        <f t="shared" si="1"/>
        <v>0</v>
      </c>
      <c r="AQ52" s="67">
        <f t="shared" si="2"/>
        <v>0</v>
      </c>
      <c r="AR52" s="67">
        <f t="shared" si="3"/>
        <v>0</v>
      </c>
      <c r="AS52" s="67">
        <f t="shared" si="4"/>
        <v>0</v>
      </c>
      <c r="AT52" s="67">
        <f t="shared" si="5"/>
        <v>0</v>
      </c>
      <c r="AU52" s="67">
        <f t="shared" si="6"/>
        <v>0</v>
      </c>
      <c r="AW52" s="256">
        <v>22</v>
      </c>
      <c r="AX52" s="67">
        <f t="shared" si="13"/>
        <v>110</v>
      </c>
      <c r="AY52" s="76">
        <f t="shared" si="14"/>
        <v>0</v>
      </c>
      <c r="AZ52" s="67">
        <f t="shared" si="9"/>
        <v>0</v>
      </c>
      <c r="BA52" s="76">
        <f t="shared" si="12"/>
        <v>0</v>
      </c>
      <c r="BC52" s="67">
        <f t="shared" si="10"/>
        <v>0</v>
      </c>
      <c r="BD52" s="67">
        <f t="shared" si="11"/>
        <v>0</v>
      </c>
    </row>
    <row r="53" spans="1:56">
      <c r="A53" s="67">
        <v>117</v>
      </c>
      <c r="B53" s="67" t="s">
        <v>55</v>
      </c>
      <c r="C53" s="8" t="s">
        <v>346</v>
      </c>
      <c r="E53" s="269"/>
      <c r="F53" s="20"/>
      <c r="G53" s="20"/>
      <c r="H53" s="20"/>
      <c r="I53" s="20"/>
      <c r="J53" s="20"/>
      <c r="K53" s="20"/>
      <c r="L53" s="270"/>
      <c r="M53" s="269"/>
      <c r="N53" s="20"/>
      <c r="O53" s="20"/>
      <c r="P53" s="20"/>
      <c r="Q53" s="20"/>
      <c r="R53" s="20"/>
      <c r="S53" s="20"/>
      <c r="T53" s="270"/>
      <c r="U53" s="269"/>
      <c r="V53" s="20"/>
      <c r="W53" s="20"/>
      <c r="X53" s="20"/>
      <c r="Y53" s="20"/>
      <c r="Z53" s="20"/>
      <c r="AA53" s="20"/>
      <c r="AB53" s="270"/>
      <c r="AC53" s="269"/>
      <c r="AD53" s="20"/>
      <c r="AE53" s="20"/>
      <c r="AF53" s="20"/>
      <c r="AG53" s="20"/>
      <c r="AH53" s="20"/>
      <c r="AI53" s="20"/>
      <c r="AJ53" s="270"/>
      <c r="AK53" s="67">
        <v>117</v>
      </c>
      <c r="AL53" s="67">
        <v>1</v>
      </c>
      <c r="AO53" s="67">
        <f t="shared" si="0"/>
        <v>0</v>
      </c>
      <c r="AP53" s="67">
        <f t="shared" si="1"/>
        <v>0</v>
      </c>
      <c r="AQ53" s="67">
        <f t="shared" si="2"/>
        <v>0</v>
      </c>
      <c r="AR53" s="67">
        <f t="shared" si="3"/>
        <v>0</v>
      </c>
      <c r="AS53" s="67">
        <f t="shared" si="4"/>
        <v>0</v>
      </c>
      <c r="AT53" s="67">
        <f t="shared" si="5"/>
        <v>0</v>
      </c>
      <c r="AU53" s="67">
        <f t="shared" si="6"/>
        <v>0</v>
      </c>
      <c r="AW53" s="256">
        <v>19</v>
      </c>
      <c r="AX53" s="67">
        <f t="shared" si="13"/>
        <v>95</v>
      </c>
      <c r="AY53" s="76">
        <f t="shared" si="14"/>
        <v>0</v>
      </c>
      <c r="AZ53" s="67">
        <f t="shared" si="9"/>
        <v>0</v>
      </c>
      <c r="BA53" s="76">
        <f t="shared" si="12"/>
        <v>0</v>
      </c>
      <c r="BC53" s="67">
        <f t="shared" si="10"/>
        <v>0</v>
      </c>
      <c r="BD53" s="67">
        <f t="shared" si="11"/>
        <v>0</v>
      </c>
    </row>
    <row r="54" spans="1:56">
      <c r="A54" s="67">
        <v>120</v>
      </c>
      <c r="B54" s="67" t="s">
        <v>73</v>
      </c>
      <c r="C54" s="8" t="s">
        <v>165</v>
      </c>
      <c r="D54" s="67" t="s">
        <v>42</v>
      </c>
      <c r="E54" s="269"/>
      <c r="F54" s="20"/>
      <c r="G54" s="20"/>
      <c r="H54" s="20"/>
      <c r="I54" s="20"/>
      <c r="J54" s="20"/>
      <c r="K54" s="20"/>
      <c r="L54" s="270"/>
      <c r="M54" s="269"/>
      <c r="N54" s="20"/>
      <c r="O54" s="20"/>
      <c r="P54" s="20"/>
      <c r="Q54" s="20" t="s">
        <v>442</v>
      </c>
      <c r="R54" s="20"/>
      <c r="S54" s="20" t="s">
        <v>442</v>
      </c>
      <c r="T54" s="270" t="s">
        <v>442</v>
      </c>
      <c r="U54" s="269"/>
      <c r="V54" s="20"/>
      <c r="W54" s="20"/>
      <c r="X54" s="20"/>
      <c r="Y54" s="20"/>
      <c r="Z54" s="20"/>
      <c r="AA54" s="20"/>
      <c r="AB54" s="270"/>
      <c r="AC54" s="269"/>
      <c r="AD54" s="20"/>
      <c r="AE54" s="20"/>
      <c r="AF54" s="20"/>
      <c r="AG54" s="20"/>
      <c r="AH54" s="20"/>
      <c r="AI54" s="20"/>
      <c r="AJ54" s="270" t="s">
        <v>436</v>
      </c>
      <c r="AK54" s="67">
        <v>120</v>
      </c>
      <c r="AM54" s="67">
        <v>1</v>
      </c>
      <c r="AO54" s="67">
        <f t="shared" si="0"/>
        <v>3</v>
      </c>
      <c r="AP54" s="67">
        <f t="shared" si="1"/>
        <v>3</v>
      </c>
      <c r="AQ54" s="67">
        <f t="shared" si="2"/>
        <v>0</v>
      </c>
      <c r="AR54" s="67">
        <f t="shared" si="3"/>
        <v>3</v>
      </c>
      <c r="AS54" s="67">
        <f t="shared" si="4"/>
        <v>3</v>
      </c>
      <c r="AT54" s="67">
        <f t="shared" si="5"/>
        <v>4</v>
      </c>
      <c r="AU54" s="67">
        <f t="shared" si="6"/>
        <v>16</v>
      </c>
      <c r="AW54" s="256">
        <v>18</v>
      </c>
      <c r="AX54" s="67">
        <f t="shared" si="13"/>
        <v>90</v>
      </c>
      <c r="AY54" s="76">
        <f t="shared" si="14"/>
        <v>0.17777777777777778</v>
      </c>
      <c r="AZ54" s="67">
        <f t="shared" si="9"/>
        <v>4</v>
      </c>
      <c r="BA54" s="76">
        <f t="shared" si="12"/>
        <v>0.22222222222222221</v>
      </c>
      <c r="BC54" s="67">
        <f t="shared" si="10"/>
        <v>3</v>
      </c>
      <c r="BD54" s="67">
        <f t="shared" si="11"/>
        <v>1</v>
      </c>
    </row>
    <row r="55" spans="1:56">
      <c r="A55" s="67">
        <v>121</v>
      </c>
      <c r="B55" s="67" t="s">
        <v>113</v>
      </c>
      <c r="C55" s="8" t="s">
        <v>357</v>
      </c>
      <c r="E55" s="269"/>
      <c r="F55" s="20"/>
      <c r="G55" s="20"/>
      <c r="H55" s="20"/>
      <c r="I55" s="20"/>
      <c r="J55" s="20"/>
      <c r="K55" s="20"/>
      <c r="L55" s="270"/>
      <c r="M55" s="269"/>
      <c r="N55" s="20"/>
      <c r="O55" s="20"/>
      <c r="P55" s="20"/>
      <c r="Q55" s="20"/>
      <c r="R55" s="20"/>
      <c r="S55" s="20"/>
      <c r="T55" s="270"/>
      <c r="U55" s="269"/>
      <c r="V55" s="20"/>
      <c r="W55" s="20" t="s">
        <v>436</v>
      </c>
      <c r="X55" s="20"/>
      <c r="Y55" s="20"/>
      <c r="Z55" s="20"/>
      <c r="AA55" s="20"/>
      <c r="AB55" s="270"/>
      <c r="AC55" s="269"/>
      <c r="AD55" s="20"/>
      <c r="AE55" s="20"/>
      <c r="AF55" s="20"/>
      <c r="AG55" s="20"/>
      <c r="AH55" s="20" t="s">
        <v>436</v>
      </c>
      <c r="AI55" s="20"/>
      <c r="AJ55" s="270"/>
      <c r="AK55" s="67">
        <v>121</v>
      </c>
      <c r="AM55" s="67">
        <v>1</v>
      </c>
      <c r="AO55" s="67">
        <f t="shared" si="0"/>
        <v>0</v>
      </c>
      <c r="AP55" s="67">
        <f t="shared" si="1"/>
        <v>0</v>
      </c>
      <c r="AQ55" s="67">
        <f t="shared" si="2"/>
        <v>0</v>
      </c>
      <c r="AR55" s="67">
        <f t="shared" si="3"/>
        <v>0</v>
      </c>
      <c r="AS55" s="67">
        <f t="shared" si="4"/>
        <v>0</v>
      </c>
      <c r="AT55" s="67">
        <f t="shared" si="5"/>
        <v>2</v>
      </c>
      <c r="AU55" s="67">
        <f t="shared" si="6"/>
        <v>2</v>
      </c>
      <c r="AW55" s="256">
        <v>28</v>
      </c>
      <c r="AX55" s="67">
        <f t="shared" si="13"/>
        <v>140</v>
      </c>
      <c r="AY55" s="76">
        <f t="shared" si="14"/>
        <v>1.4285714285714285E-2</v>
      </c>
      <c r="AZ55" s="67">
        <f t="shared" si="9"/>
        <v>2</v>
      </c>
      <c r="BA55" s="76">
        <f t="shared" si="12"/>
        <v>7.1428571428571425E-2</v>
      </c>
      <c r="BC55" s="67">
        <f t="shared" si="10"/>
        <v>0</v>
      </c>
      <c r="BD55" s="67">
        <f t="shared" si="11"/>
        <v>2</v>
      </c>
    </row>
    <row r="56" spans="1:56">
      <c r="A56" s="67">
        <v>122</v>
      </c>
      <c r="B56" s="67" t="s">
        <v>115</v>
      </c>
      <c r="C56" s="8" t="s">
        <v>357</v>
      </c>
      <c r="D56" s="67" t="s">
        <v>6</v>
      </c>
      <c r="E56" s="269"/>
      <c r="F56" s="20"/>
      <c r="G56" s="20"/>
      <c r="H56" s="20"/>
      <c r="I56" s="20"/>
      <c r="J56" s="20"/>
      <c r="K56" s="20"/>
      <c r="L56" s="270"/>
      <c r="M56" s="269"/>
      <c r="N56" s="20"/>
      <c r="O56" s="20"/>
      <c r="P56" s="20"/>
      <c r="Q56" s="20"/>
      <c r="R56" s="20"/>
      <c r="S56" s="20"/>
      <c r="T56" s="270"/>
      <c r="U56" s="269"/>
      <c r="V56" s="20"/>
      <c r="W56" s="20"/>
      <c r="X56" s="20"/>
      <c r="Y56" s="20"/>
      <c r="Z56" s="20"/>
      <c r="AA56" s="20"/>
      <c r="AB56" s="270"/>
      <c r="AC56" s="269"/>
      <c r="AD56" s="20"/>
      <c r="AE56" s="20"/>
      <c r="AF56" s="20"/>
      <c r="AG56" s="20"/>
      <c r="AH56" s="20"/>
      <c r="AI56" s="20"/>
      <c r="AJ56" s="270"/>
      <c r="AK56" s="67">
        <v>122</v>
      </c>
      <c r="AL56" s="67">
        <v>1</v>
      </c>
      <c r="AO56" s="67">
        <f t="shared" si="0"/>
        <v>0</v>
      </c>
      <c r="AP56" s="67">
        <f t="shared" si="1"/>
        <v>0</v>
      </c>
      <c r="AQ56" s="67">
        <f t="shared" si="2"/>
        <v>0</v>
      </c>
      <c r="AR56" s="67">
        <f t="shared" si="3"/>
        <v>0</v>
      </c>
      <c r="AS56" s="67">
        <f t="shared" si="4"/>
        <v>0</v>
      </c>
      <c r="AT56" s="67">
        <f t="shared" si="5"/>
        <v>0</v>
      </c>
      <c r="AU56" s="67">
        <f t="shared" si="6"/>
        <v>0</v>
      </c>
      <c r="AW56" s="256">
        <v>28</v>
      </c>
      <c r="AX56" s="67">
        <f t="shared" si="13"/>
        <v>140</v>
      </c>
      <c r="AY56" s="76">
        <f t="shared" si="14"/>
        <v>0</v>
      </c>
      <c r="AZ56" s="67">
        <f t="shared" si="9"/>
        <v>0</v>
      </c>
      <c r="BA56" s="76">
        <f t="shared" si="12"/>
        <v>0</v>
      </c>
      <c r="BC56" s="67">
        <f t="shared" si="10"/>
        <v>0</v>
      </c>
      <c r="BD56" s="67">
        <f t="shared" si="11"/>
        <v>0</v>
      </c>
    </row>
    <row r="57" spans="1:56">
      <c r="A57" s="67">
        <v>125</v>
      </c>
      <c r="B57" s="67" t="s">
        <v>78</v>
      </c>
      <c r="C57" s="8" t="s">
        <v>359</v>
      </c>
      <c r="E57" s="269"/>
      <c r="F57" s="20"/>
      <c r="G57" s="20"/>
      <c r="H57" s="20"/>
      <c r="I57" s="20"/>
      <c r="J57" s="20"/>
      <c r="K57" s="20"/>
      <c r="L57" s="270"/>
      <c r="M57" s="269"/>
      <c r="N57" s="20"/>
      <c r="O57" s="20"/>
      <c r="P57" s="20"/>
      <c r="Q57" s="20"/>
      <c r="R57" s="20"/>
      <c r="S57" s="20"/>
      <c r="T57" s="270"/>
      <c r="U57" s="269"/>
      <c r="V57" s="20"/>
      <c r="W57" s="20"/>
      <c r="X57" s="20"/>
      <c r="Y57" s="20"/>
      <c r="Z57" s="20"/>
      <c r="AA57" s="20"/>
      <c r="AB57" s="270"/>
      <c r="AC57" s="269"/>
      <c r="AD57" s="20"/>
      <c r="AE57" s="20"/>
      <c r="AF57" s="20"/>
      <c r="AG57" s="20"/>
      <c r="AH57" s="20"/>
      <c r="AI57" s="20"/>
      <c r="AJ57" s="270"/>
      <c r="AK57" s="67">
        <v>125</v>
      </c>
      <c r="AL57" s="67">
        <v>1</v>
      </c>
      <c r="AO57" s="67">
        <f t="shared" si="0"/>
        <v>0</v>
      </c>
      <c r="AP57" s="67">
        <f t="shared" si="1"/>
        <v>0</v>
      </c>
      <c r="AQ57" s="67">
        <f t="shared" si="2"/>
        <v>0</v>
      </c>
      <c r="AR57" s="67">
        <f t="shared" si="3"/>
        <v>0</v>
      </c>
      <c r="AS57" s="67">
        <f t="shared" si="4"/>
        <v>0</v>
      </c>
      <c r="AT57" s="67">
        <f t="shared" si="5"/>
        <v>0</v>
      </c>
      <c r="AU57" s="67">
        <f t="shared" si="6"/>
        <v>0</v>
      </c>
      <c r="AW57" s="256">
        <v>17</v>
      </c>
      <c r="AX57" s="67">
        <f t="shared" si="13"/>
        <v>85</v>
      </c>
      <c r="AY57" s="76">
        <f t="shared" si="14"/>
        <v>0</v>
      </c>
      <c r="AZ57" s="67">
        <f t="shared" si="9"/>
        <v>0</v>
      </c>
      <c r="BA57" s="76">
        <f t="shared" si="12"/>
        <v>0</v>
      </c>
      <c r="BC57" s="67">
        <f t="shared" si="10"/>
        <v>0</v>
      </c>
      <c r="BD57" s="67">
        <f t="shared" si="11"/>
        <v>0</v>
      </c>
    </row>
    <row r="58" spans="1:56">
      <c r="A58" s="67">
        <v>127</v>
      </c>
      <c r="B58" s="67" t="s">
        <v>62</v>
      </c>
      <c r="C58" s="8" t="s">
        <v>42</v>
      </c>
      <c r="D58" s="67" t="s">
        <v>42</v>
      </c>
      <c r="E58" s="269" t="s">
        <v>434</v>
      </c>
      <c r="F58" s="5" t="s">
        <v>443</v>
      </c>
      <c r="G58" s="20"/>
      <c r="H58" s="20"/>
      <c r="I58" s="20"/>
      <c r="J58" s="20"/>
      <c r="K58" s="20"/>
      <c r="L58" s="270"/>
      <c r="M58" s="269"/>
      <c r="N58" s="20"/>
      <c r="O58" s="20"/>
      <c r="P58" s="20"/>
      <c r="Q58" s="20"/>
      <c r="R58" s="20"/>
      <c r="S58" s="20" t="s">
        <v>443</v>
      </c>
      <c r="T58" s="270" t="s">
        <v>434</v>
      </c>
      <c r="U58" s="269"/>
      <c r="V58" s="20"/>
      <c r="W58" s="20"/>
      <c r="X58" s="20"/>
      <c r="Y58" s="20"/>
      <c r="Z58" s="20"/>
      <c r="AA58" s="20"/>
      <c r="AB58" s="270"/>
      <c r="AC58" s="269"/>
      <c r="AD58" s="20"/>
      <c r="AE58" s="20"/>
      <c r="AF58" s="20"/>
      <c r="AG58" s="20"/>
      <c r="AH58" s="20"/>
      <c r="AI58" s="20"/>
      <c r="AJ58" s="270"/>
      <c r="AK58" s="67">
        <v>127</v>
      </c>
      <c r="AM58" s="67">
        <v>1</v>
      </c>
      <c r="AO58" s="67">
        <f t="shared" si="0"/>
        <v>0</v>
      </c>
      <c r="AP58" s="67">
        <f t="shared" si="1"/>
        <v>0</v>
      </c>
      <c r="AQ58" s="67">
        <f t="shared" si="2"/>
        <v>0</v>
      </c>
      <c r="AR58" s="67">
        <f t="shared" si="3"/>
        <v>2</v>
      </c>
      <c r="AS58" s="67">
        <f t="shared" si="4"/>
        <v>2</v>
      </c>
      <c r="AT58" s="67">
        <f t="shared" si="5"/>
        <v>2</v>
      </c>
      <c r="AU58" s="67">
        <f t="shared" si="6"/>
        <v>6</v>
      </c>
      <c r="AW58" s="256">
        <v>32</v>
      </c>
      <c r="AX58" s="67">
        <f t="shared" si="13"/>
        <v>160</v>
      </c>
      <c r="AY58" s="76">
        <f t="shared" si="14"/>
        <v>3.7499999999999999E-2</v>
      </c>
      <c r="AZ58" s="67">
        <f t="shared" si="9"/>
        <v>4</v>
      </c>
      <c r="BA58" s="76">
        <f t="shared" si="12"/>
        <v>0.125</v>
      </c>
      <c r="BC58" s="67">
        <f t="shared" si="10"/>
        <v>4</v>
      </c>
      <c r="BD58" s="67">
        <f t="shared" si="11"/>
        <v>0</v>
      </c>
    </row>
    <row r="59" spans="1:56">
      <c r="A59" s="67">
        <v>129</v>
      </c>
      <c r="B59" s="67" t="s">
        <v>88</v>
      </c>
      <c r="C59" s="8" t="s">
        <v>12</v>
      </c>
      <c r="D59" s="67" t="s">
        <v>6</v>
      </c>
      <c r="E59" s="269"/>
      <c r="F59" s="20"/>
      <c r="G59" s="20"/>
      <c r="H59" s="20"/>
      <c r="I59" s="20"/>
      <c r="J59" s="20"/>
      <c r="K59" s="20"/>
      <c r="L59" s="270"/>
      <c r="M59" s="269"/>
      <c r="N59" s="20"/>
      <c r="O59" s="20"/>
      <c r="P59" s="20"/>
      <c r="Q59" s="20"/>
      <c r="R59" s="20"/>
      <c r="S59" s="20"/>
      <c r="T59" s="270"/>
      <c r="U59" s="269"/>
      <c r="V59" s="20"/>
      <c r="W59" s="20"/>
      <c r="X59" s="20"/>
      <c r="Y59" s="20"/>
      <c r="Z59" s="20"/>
      <c r="AA59" s="20"/>
      <c r="AB59" s="270"/>
      <c r="AC59" s="269"/>
      <c r="AD59" s="20"/>
      <c r="AE59" s="20"/>
      <c r="AF59" s="20"/>
      <c r="AG59" s="20"/>
      <c r="AH59" s="20"/>
      <c r="AI59" s="20"/>
      <c r="AJ59" s="270"/>
      <c r="AK59" s="67">
        <v>129</v>
      </c>
      <c r="AL59" s="67">
        <v>1</v>
      </c>
      <c r="AO59" s="67">
        <f t="shared" si="0"/>
        <v>0</v>
      </c>
      <c r="AP59" s="67">
        <f t="shared" si="1"/>
        <v>0</v>
      </c>
      <c r="AQ59" s="67">
        <f t="shared" si="2"/>
        <v>0</v>
      </c>
      <c r="AR59" s="67">
        <f t="shared" si="3"/>
        <v>0</v>
      </c>
      <c r="AS59" s="67">
        <f t="shared" si="4"/>
        <v>0</v>
      </c>
      <c r="AT59" s="67">
        <f t="shared" si="5"/>
        <v>0</v>
      </c>
      <c r="AU59" s="67">
        <f t="shared" si="6"/>
        <v>0</v>
      </c>
      <c r="AW59" s="256">
        <v>26</v>
      </c>
      <c r="AX59" s="67">
        <f t="shared" si="13"/>
        <v>130</v>
      </c>
      <c r="AY59" s="76">
        <f t="shared" si="14"/>
        <v>0</v>
      </c>
      <c r="AZ59" s="67">
        <f t="shared" si="9"/>
        <v>0</v>
      </c>
      <c r="BA59" s="76">
        <f t="shared" si="12"/>
        <v>0</v>
      </c>
      <c r="BC59" s="67">
        <f t="shared" si="10"/>
        <v>0</v>
      </c>
      <c r="BD59" s="67">
        <f t="shared" si="11"/>
        <v>0</v>
      </c>
    </row>
    <row r="60" spans="1:56">
      <c r="A60" s="67">
        <v>130</v>
      </c>
      <c r="B60" s="67" t="s">
        <v>41</v>
      </c>
      <c r="C60" s="8" t="s">
        <v>42</v>
      </c>
      <c r="D60" s="67" t="s">
        <v>42</v>
      </c>
      <c r="E60" s="269"/>
      <c r="F60" s="20"/>
      <c r="G60" s="20"/>
      <c r="H60" s="20"/>
      <c r="I60" s="20"/>
      <c r="J60" s="20"/>
      <c r="K60" s="20"/>
      <c r="L60" s="270"/>
      <c r="M60" s="269"/>
      <c r="N60" s="20"/>
      <c r="O60" s="20"/>
      <c r="P60" s="20"/>
      <c r="Q60" s="20"/>
      <c r="R60" s="20"/>
      <c r="S60" s="20"/>
      <c r="T60" s="270"/>
      <c r="U60" s="269"/>
      <c r="V60" s="20"/>
      <c r="W60" s="20"/>
      <c r="X60" s="20"/>
      <c r="Y60" s="20"/>
      <c r="Z60" s="20"/>
      <c r="AA60" s="20"/>
      <c r="AB60" s="270"/>
      <c r="AC60" s="269"/>
      <c r="AD60" s="20"/>
      <c r="AE60" s="20"/>
      <c r="AF60" s="20"/>
      <c r="AG60" s="20"/>
      <c r="AH60" s="20"/>
      <c r="AI60" s="20"/>
      <c r="AJ60" s="270"/>
      <c r="AK60" s="67">
        <v>130</v>
      </c>
      <c r="AL60" s="67">
        <v>1</v>
      </c>
      <c r="AO60" s="67">
        <f t="shared" si="0"/>
        <v>0</v>
      </c>
      <c r="AP60" s="67">
        <f t="shared" si="1"/>
        <v>0</v>
      </c>
      <c r="AQ60" s="67">
        <f t="shared" si="2"/>
        <v>0</v>
      </c>
      <c r="AR60" s="67">
        <f t="shared" si="3"/>
        <v>0</v>
      </c>
      <c r="AS60" s="67">
        <f t="shared" si="4"/>
        <v>0</v>
      </c>
      <c r="AT60" s="67">
        <f t="shared" si="5"/>
        <v>0</v>
      </c>
      <c r="AU60" s="67">
        <f t="shared" si="6"/>
        <v>0</v>
      </c>
      <c r="AW60" s="256">
        <v>30</v>
      </c>
      <c r="AX60" s="67">
        <f t="shared" si="13"/>
        <v>150</v>
      </c>
      <c r="AY60" s="76">
        <f t="shared" si="14"/>
        <v>0</v>
      </c>
      <c r="AZ60" s="67">
        <f t="shared" si="9"/>
        <v>0</v>
      </c>
      <c r="BA60" s="76">
        <f t="shared" si="12"/>
        <v>0</v>
      </c>
      <c r="BC60" s="67">
        <f t="shared" si="10"/>
        <v>0</v>
      </c>
      <c r="BD60" s="67">
        <f t="shared" si="11"/>
        <v>0</v>
      </c>
    </row>
    <row r="61" spans="1:56">
      <c r="A61" s="67">
        <v>131</v>
      </c>
      <c r="B61" s="67" t="s">
        <v>63</v>
      </c>
      <c r="C61" s="8" t="s">
        <v>346</v>
      </c>
      <c r="E61" s="269"/>
      <c r="F61" s="20"/>
      <c r="G61" s="20"/>
      <c r="H61" s="20"/>
      <c r="I61" s="20"/>
      <c r="J61" s="20"/>
      <c r="K61" s="20"/>
      <c r="L61" s="270"/>
      <c r="M61" s="269"/>
      <c r="N61" s="20"/>
      <c r="O61" s="20"/>
      <c r="P61" s="20"/>
      <c r="Q61" s="20"/>
      <c r="R61" s="20"/>
      <c r="S61" s="20"/>
      <c r="T61" s="270"/>
      <c r="U61" s="269"/>
      <c r="V61" s="20"/>
      <c r="W61" s="20"/>
      <c r="X61" s="20"/>
      <c r="Y61" s="20"/>
      <c r="Z61" s="20"/>
      <c r="AA61" s="20"/>
      <c r="AB61" s="270"/>
      <c r="AC61" s="269"/>
      <c r="AD61" s="20"/>
      <c r="AE61" s="20"/>
      <c r="AF61" s="20"/>
      <c r="AG61" s="20"/>
      <c r="AH61" s="20"/>
      <c r="AI61" s="20"/>
      <c r="AJ61" s="270"/>
      <c r="AK61" s="67">
        <v>131</v>
      </c>
      <c r="AL61" s="67">
        <v>1</v>
      </c>
      <c r="AO61" s="67">
        <f t="shared" si="0"/>
        <v>0</v>
      </c>
      <c r="AP61" s="67">
        <f t="shared" si="1"/>
        <v>0</v>
      </c>
      <c r="AQ61" s="67">
        <f t="shared" si="2"/>
        <v>0</v>
      </c>
      <c r="AR61" s="67">
        <f t="shared" si="3"/>
        <v>0</v>
      </c>
      <c r="AS61" s="67">
        <f t="shared" si="4"/>
        <v>0</v>
      </c>
      <c r="AT61" s="67">
        <f t="shared" si="5"/>
        <v>0</v>
      </c>
      <c r="AU61" s="67">
        <f t="shared" si="6"/>
        <v>0</v>
      </c>
      <c r="AW61" s="256">
        <v>3</v>
      </c>
      <c r="AX61" s="67">
        <f t="shared" si="13"/>
        <v>15</v>
      </c>
      <c r="AY61" s="76">
        <f t="shared" si="14"/>
        <v>0</v>
      </c>
      <c r="AZ61" s="67">
        <f t="shared" si="9"/>
        <v>0</v>
      </c>
      <c r="BA61" s="76">
        <f t="shared" si="12"/>
        <v>0</v>
      </c>
      <c r="BC61" s="67">
        <f t="shared" si="10"/>
        <v>0</v>
      </c>
      <c r="BD61" s="67">
        <f t="shared" si="11"/>
        <v>0</v>
      </c>
    </row>
    <row r="62" spans="1:56">
      <c r="A62" s="67">
        <v>132</v>
      </c>
      <c r="B62" s="67" t="s">
        <v>99</v>
      </c>
      <c r="C62" s="8" t="s">
        <v>346</v>
      </c>
      <c r="E62" s="269"/>
      <c r="F62" s="20"/>
      <c r="G62" s="20"/>
      <c r="H62" s="20"/>
      <c r="I62" s="20"/>
      <c r="J62" s="20"/>
      <c r="K62" s="20"/>
      <c r="L62" s="270"/>
      <c r="M62" s="269"/>
      <c r="N62" s="20"/>
      <c r="O62" s="20"/>
      <c r="P62" s="20"/>
      <c r="Q62" s="20"/>
      <c r="R62" s="20"/>
      <c r="S62" s="20"/>
      <c r="T62" s="270"/>
      <c r="U62" s="269"/>
      <c r="V62" s="20"/>
      <c r="W62" s="20"/>
      <c r="X62" s="20"/>
      <c r="Y62" s="20"/>
      <c r="Z62" s="20"/>
      <c r="AA62" s="20"/>
      <c r="AB62" s="270"/>
      <c r="AC62" s="269"/>
      <c r="AD62" s="20"/>
      <c r="AE62" s="20"/>
      <c r="AF62" s="20"/>
      <c r="AG62" s="20"/>
      <c r="AH62" s="20"/>
      <c r="AI62" s="20"/>
      <c r="AJ62" s="270"/>
      <c r="AK62" s="67">
        <v>132</v>
      </c>
      <c r="AL62" s="67">
        <v>1</v>
      </c>
      <c r="AO62" s="67">
        <f t="shared" si="0"/>
        <v>0</v>
      </c>
      <c r="AP62" s="67">
        <f t="shared" si="1"/>
        <v>0</v>
      </c>
      <c r="AQ62" s="67">
        <f t="shared" si="2"/>
        <v>0</v>
      </c>
      <c r="AR62" s="67">
        <f t="shared" si="3"/>
        <v>0</v>
      </c>
      <c r="AS62" s="67">
        <f t="shared" si="4"/>
        <v>0</v>
      </c>
      <c r="AT62" s="67">
        <f t="shared" si="5"/>
        <v>0</v>
      </c>
      <c r="AU62" s="67">
        <f t="shared" si="6"/>
        <v>0</v>
      </c>
      <c r="AW62" s="256">
        <v>20</v>
      </c>
      <c r="AX62" s="67">
        <f t="shared" si="13"/>
        <v>100</v>
      </c>
      <c r="AY62" s="76">
        <f t="shared" si="14"/>
        <v>0</v>
      </c>
      <c r="AZ62" s="67">
        <f t="shared" si="9"/>
        <v>0</v>
      </c>
      <c r="BA62" s="76">
        <f t="shared" si="12"/>
        <v>0</v>
      </c>
      <c r="BC62" s="67">
        <f t="shared" si="10"/>
        <v>0</v>
      </c>
      <c r="BD62" s="67">
        <f t="shared" si="11"/>
        <v>0</v>
      </c>
    </row>
    <row r="63" spans="1:56">
      <c r="A63" s="67">
        <v>133</v>
      </c>
      <c r="B63" s="67" t="s">
        <v>41</v>
      </c>
      <c r="C63" s="8" t="s">
        <v>42</v>
      </c>
      <c r="D63" s="67" t="s">
        <v>6</v>
      </c>
      <c r="E63" s="269"/>
      <c r="F63" s="20"/>
      <c r="G63" s="20"/>
      <c r="H63" s="20"/>
      <c r="I63" s="20"/>
      <c r="J63" s="20"/>
      <c r="K63" s="20"/>
      <c r="L63" s="270"/>
      <c r="M63" s="269"/>
      <c r="N63" s="20"/>
      <c r="O63" s="20"/>
      <c r="P63" s="20"/>
      <c r="Q63" s="20"/>
      <c r="R63" s="20"/>
      <c r="S63" s="20"/>
      <c r="T63" s="270"/>
      <c r="U63" s="269"/>
      <c r="V63" s="20" t="s">
        <v>434</v>
      </c>
      <c r="W63" s="20"/>
      <c r="X63" s="20"/>
      <c r="Y63" s="20"/>
      <c r="Z63" s="20"/>
      <c r="AA63" s="20"/>
      <c r="AB63" s="270"/>
      <c r="AC63" s="269"/>
      <c r="AD63" s="20"/>
      <c r="AE63" s="20"/>
      <c r="AF63" s="20"/>
      <c r="AG63" s="20"/>
      <c r="AH63" s="20" t="s">
        <v>431</v>
      </c>
      <c r="AI63" s="20" t="s">
        <v>453</v>
      </c>
      <c r="AJ63" s="270"/>
      <c r="AK63" s="67">
        <v>133</v>
      </c>
      <c r="AM63" s="67">
        <v>1</v>
      </c>
      <c r="AO63" s="67">
        <f t="shared" si="0"/>
        <v>2</v>
      </c>
      <c r="AP63" s="67">
        <f t="shared" si="1"/>
        <v>0</v>
      </c>
      <c r="AQ63" s="67">
        <f t="shared" si="2"/>
        <v>0</v>
      </c>
      <c r="AR63" s="67">
        <f t="shared" si="3"/>
        <v>1</v>
      </c>
      <c r="AS63" s="67">
        <f t="shared" si="4"/>
        <v>0</v>
      </c>
      <c r="AT63" s="67">
        <f t="shared" si="5"/>
        <v>1</v>
      </c>
      <c r="AU63" s="67">
        <f t="shared" si="6"/>
        <v>4</v>
      </c>
      <c r="AW63" s="256">
        <v>26</v>
      </c>
      <c r="AX63" s="67">
        <f t="shared" si="13"/>
        <v>130</v>
      </c>
      <c r="AY63" s="76">
        <f t="shared" si="14"/>
        <v>3.0769230769230771E-2</v>
      </c>
      <c r="AZ63" s="67">
        <f t="shared" si="9"/>
        <v>3</v>
      </c>
      <c r="BA63" s="76">
        <f t="shared" si="12"/>
        <v>0.11538461538461539</v>
      </c>
      <c r="BC63" s="67">
        <f t="shared" si="10"/>
        <v>0</v>
      </c>
      <c r="BD63" s="67">
        <f t="shared" si="11"/>
        <v>3</v>
      </c>
    </row>
    <row r="64" spans="1:56">
      <c r="A64" s="67">
        <v>134</v>
      </c>
      <c r="B64" s="67" t="s">
        <v>74</v>
      </c>
      <c r="C64" s="8" t="s">
        <v>346</v>
      </c>
      <c r="E64" s="269"/>
      <c r="F64" s="20"/>
      <c r="G64" s="20"/>
      <c r="H64" s="20"/>
      <c r="I64" s="20"/>
      <c r="J64" s="20"/>
      <c r="K64" s="20"/>
      <c r="L64" s="270"/>
      <c r="M64" s="269"/>
      <c r="N64" s="20"/>
      <c r="O64" s="20"/>
      <c r="P64" s="20"/>
      <c r="Q64" s="20"/>
      <c r="R64" s="20"/>
      <c r="S64" s="20"/>
      <c r="T64" s="270"/>
      <c r="U64" s="269"/>
      <c r="V64" s="20"/>
      <c r="W64" s="20"/>
      <c r="X64" s="20"/>
      <c r="Y64" s="20"/>
      <c r="Z64" s="20"/>
      <c r="AA64" s="20"/>
      <c r="AB64" s="270"/>
      <c r="AC64" s="269"/>
      <c r="AD64" s="20"/>
      <c r="AE64" s="20"/>
      <c r="AF64" s="20"/>
      <c r="AG64" s="20"/>
      <c r="AH64" s="20"/>
      <c r="AI64" s="20"/>
      <c r="AJ64" s="270"/>
      <c r="AK64" s="67">
        <v>134</v>
      </c>
      <c r="AL64" s="67">
        <v>1</v>
      </c>
      <c r="AO64" s="67">
        <f t="shared" si="0"/>
        <v>0</v>
      </c>
      <c r="AP64" s="67">
        <f t="shared" si="1"/>
        <v>0</v>
      </c>
      <c r="AQ64" s="67">
        <f t="shared" si="2"/>
        <v>0</v>
      </c>
      <c r="AR64" s="67">
        <f t="shared" si="3"/>
        <v>0</v>
      </c>
      <c r="AS64" s="67">
        <f t="shared" si="4"/>
        <v>0</v>
      </c>
      <c r="AT64" s="67">
        <f t="shared" si="5"/>
        <v>0</v>
      </c>
      <c r="AU64" s="67">
        <f t="shared" si="6"/>
        <v>0</v>
      </c>
      <c r="AW64" s="256">
        <v>20</v>
      </c>
      <c r="AX64" s="67">
        <f t="shared" si="13"/>
        <v>100</v>
      </c>
      <c r="AY64" s="76">
        <f t="shared" si="14"/>
        <v>0</v>
      </c>
      <c r="AZ64" s="67">
        <f t="shared" si="9"/>
        <v>0</v>
      </c>
      <c r="BA64" s="76">
        <f t="shared" si="12"/>
        <v>0</v>
      </c>
      <c r="BC64" s="67">
        <f t="shared" si="10"/>
        <v>0</v>
      </c>
      <c r="BD64" s="67">
        <f t="shared" si="11"/>
        <v>0</v>
      </c>
    </row>
    <row r="65" spans="1:56">
      <c r="A65" s="67">
        <v>135</v>
      </c>
      <c r="B65" s="67" t="s">
        <v>63</v>
      </c>
      <c r="C65" s="8" t="s">
        <v>346</v>
      </c>
      <c r="E65" s="269"/>
      <c r="F65" s="20"/>
      <c r="G65" s="20"/>
      <c r="H65" s="20"/>
      <c r="I65" s="20"/>
      <c r="J65" s="20"/>
      <c r="K65" s="20"/>
      <c r="L65" s="270"/>
      <c r="M65" s="269"/>
      <c r="N65" s="20"/>
      <c r="O65" s="20"/>
      <c r="P65" s="20"/>
      <c r="Q65" s="20"/>
      <c r="R65" s="20"/>
      <c r="S65" s="20"/>
      <c r="T65" s="270"/>
      <c r="U65" s="269"/>
      <c r="V65" s="20"/>
      <c r="W65" s="20"/>
      <c r="X65" s="20"/>
      <c r="Y65" s="20"/>
      <c r="Z65" s="20"/>
      <c r="AA65" s="20"/>
      <c r="AB65" s="270"/>
      <c r="AC65" s="269"/>
      <c r="AD65" s="20"/>
      <c r="AE65" s="20"/>
      <c r="AF65" s="20"/>
      <c r="AG65" s="20"/>
      <c r="AH65" s="20"/>
      <c r="AI65" s="20"/>
      <c r="AJ65" s="270"/>
      <c r="AK65" s="67">
        <v>135</v>
      </c>
      <c r="AL65" s="67">
        <v>1</v>
      </c>
      <c r="AO65" s="67">
        <f t="shared" si="0"/>
        <v>0</v>
      </c>
      <c r="AP65" s="67">
        <f t="shared" si="1"/>
        <v>0</v>
      </c>
      <c r="AQ65" s="67">
        <f t="shared" si="2"/>
        <v>0</v>
      </c>
      <c r="AR65" s="67">
        <f t="shared" si="3"/>
        <v>0</v>
      </c>
      <c r="AS65" s="67">
        <f t="shared" si="4"/>
        <v>0</v>
      </c>
      <c r="AT65" s="67">
        <f t="shared" si="5"/>
        <v>0</v>
      </c>
      <c r="AU65" s="67">
        <f t="shared" si="6"/>
        <v>0</v>
      </c>
      <c r="AW65" s="256">
        <v>12</v>
      </c>
      <c r="AX65" s="67">
        <f t="shared" si="13"/>
        <v>60</v>
      </c>
      <c r="AY65" s="76">
        <f t="shared" si="14"/>
        <v>0</v>
      </c>
      <c r="AZ65" s="67">
        <f t="shared" si="9"/>
        <v>0</v>
      </c>
      <c r="BA65" s="76">
        <f t="shared" si="12"/>
        <v>0</v>
      </c>
      <c r="BC65" s="67">
        <f t="shared" si="10"/>
        <v>0</v>
      </c>
      <c r="BD65" s="67">
        <f t="shared" si="11"/>
        <v>0</v>
      </c>
    </row>
    <row r="66" spans="1:56">
      <c r="A66" s="67">
        <v>136</v>
      </c>
      <c r="B66" s="67" t="s">
        <v>54</v>
      </c>
      <c r="C66" s="8" t="s">
        <v>345</v>
      </c>
      <c r="E66" s="269"/>
      <c r="F66" s="20"/>
      <c r="G66" s="20"/>
      <c r="H66" s="20"/>
      <c r="I66" s="20"/>
      <c r="J66" s="20"/>
      <c r="K66" s="20"/>
      <c r="L66" s="270"/>
      <c r="M66" s="269"/>
      <c r="N66" s="20"/>
      <c r="O66" s="20"/>
      <c r="P66" s="20"/>
      <c r="Q66" s="20"/>
      <c r="R66" s="20"/>
      <c r="S66" s="20"/>
      <c r="T66" s="270"/>
      <c r="U66" s="269"/>
      <c r="V66" s="20"/>
      <c r="W66" s="20"/>
      <c r="X66" s="20"/>
      <c r="Y66" s="20"/>
      <c r="Z66" s="20"/>
      <c r="AA66" s="20"/>
      <c r="AB66" s="270"/>
      <c r="AC66" s="269"/>
      <c r="AD66" s="20"/>
      <c r="AE66" s="20"/>
      <c r="AF66" s="20"/>
      <c r="AG66" s="20"/>
      <c r="AH66" s="20"/>
      <c r="AI66" s="20"/>
      <c r="AJ66" s="270"/>
      <c r="AK66" s="67">
        <v>136</v>
      </c>
      <c r="AL66" s="67">
        <v>1</v>
      </c>
      <c r="AO66" s="67">
        <f t="shared" si="0"/>
        <v>0</v>
      </c>
      <c r="AP66" s="67">
        <f t="shared" si="1"/>
        <v>0</v>
      </c>
      <c r="AQ66" s="67">
        <f t="shared" si="2"/>
        <v>0</v>
      </c>
      <c r="AR66" s="67">
        <f t="shared" si="3"/>
        <v>0</v>
      </c>
      <c r="AS66" s="67">
        <f t="shared" si="4"/>
        <v>0</v>
      </c>
      <c r="AT66" s="67">
        <f t="shared" si="5"/>
        <v>0</v>
      </c>
      <c r="AU66" s="67">
        <f t="shared" si="6"/>
        <v>0</v>
      </c>
      <c r="AW66" s="256">
        <v>7</v>
      </c>
      <c r="AX66" s="67">
        <f t="shared" si="13"/>
        <v>35</v>
      </c>
      <c r="AY66" s="76">
        <f t="shared" si="14"/>
        <v>0</v>
      </c>
      <c r="AZ66" s="67">
        <f t="shared" si="9"/>
        <v>0</v>
      </c>
      <c r="BA66" s="76">
        <f t="shared" si="12"/>
        <v>0</v>
      </c>
      <c r="BC66" s="67">
        <f t="shared" si="10"/>
        <v>0</v>
      </c>
      <c r="BD66" s="67">
        <f t="shared" si="11"/>
        <v>0</v>
      </c>
    </row>
    <row r="67" spans="1:56">
      <c r="A67" s="67">
        <v>139</v>
      </c>
      <c r="B67" s="67" t="s">
        <v>123</v>
      </c>
      <c r="C67" s="8" t="s">
        <v>366</v>
      </c>
      <c r="D67" s="67" t="s">
        <v>42</v>
      </c>
      <c r="E67" s="269" t="s">
        <v>434</v>
      </c>
      <c r="F67" s="5" t="s">
        <v>435</v>
      </c>
      <c r="G67" s="5" t="s">
        <v>442</v>
      </c>
      <c r="H67" s="5" t="s">
        <v>442</v>
      </c>
      <c r="I67" s="5" t="s">
        <v>434</v>
      </c>
      <c r="J67" s="20"/>
      <c r="K67" s="20"/>
      <c r="L67" s="270"/>
      <c r="M67" s="269"/>
      <c r="N67" s="20"/>
      <c r="O67" s="20"/>
      <c r="P67" s="20" t="s">
        <v>442</v>
      </c>
      <c r="Q67" s="20"/>
      <c r="R67" s="20"/>
      <c r="S67" s="20" t="s">
        <v>435</v>
      </c>
      <c r="T67" s="270" t="s">
        <v>434</v>
      </c>
      <c r="U67" s="269"/>
      <c r="V67" s="20"/>
      <c r="W67" s="20" t="s">
        <v>442</v>
      </c>
      <c r="X67" s="5" t="s">
        <v>435</v>
      </c>
      <c r="Y67" s="20"/>
      <c r="Z67" s="20"/>
      <c r="AA67" s="20"/>
      <c r="AB67" s="270"/>
      <c r="AC67" s="269"/>
      <c r="AD67" s="20"/>
      <c r="AE67" s="20"/>
      <c r="AF67" s="20"/>
      <c r="AG67" s="20" t="s">
        <v>435</v>
      </c>
      <c r="AH67" s="20" t="s">
        <v>442</v>
      </c>
      <c r="AI67" s="20"/>
      <c r="AJ67" s="270"/>
      <c r="AK67" s="67">
        <v>139</v>
      </c>
      <c r="AM67" s="67">
        <v>1</v>
      </c>
      <c r="AO67" s="67">
        <f t="shared" si="0"/>
        <v>5</v>
      </c>
      <c r="AP67" s="67">
        <f t="shared" si="1"/>
        <v>5</v>
      </c>
      <c r="AQ67" s="67">
        <f t="shared" si="2"/>
        <v>0</v>
      </c>
      <c r="AR67" s="67">
        <f t="shared" si="3"/>
        <v>8</v>
      </c>
      <c r="AS67" s="67">
        <f t="shared" si="4"/>
        <v>9</v>
      </c>
      <c r="AT67" s="67">
        <f t="shared" si="5"/>
        <v>5</v>
      </c>
      <c r="AU67" s="67">
        <f t="shared" si="6"/>
        <v>32</v>
      </c>
      <c r="AW67" s="256">
        <v>32</v>
      </c>
      <c r="AX67" s="67">
        <f t="shared" si="13"/>
        <v>160</v>
      </c>
      <c r="AY67" s="76">
        <f t="shared" si="14"/>
        <v>0.2</v>
      </c>
      <c r="AZ67" s="67">
        <f t="shared" si="9"/>
        <v>12</v>
      </c>
      <c r="BA67" s="76">
        <f t="shared" si="12"/>
        <v>0.375</v>
      </c>
      <c r="BC67" s="67">
        <f t="shared" si="10"/>
        <v>8</v>
      </c>
      <c r="BD67" s="67">
        <f t="shared" si="11"/>
        <v>4</v>
      </c>
    </row>
    <row r="68" spans="1:56">
      <c r="A68" s="8">
        <v>140</v>
      </c>
      <c r="B68" s="8" t="s">
        <v>216</v>
      </c>
      <c r="C68" s="8" t="s">
        <v>42</v>
      </c>
      <c r="D68" s="8" t="s">
        <v>42</v>
      </c>
      <c r="E68" s="269"/>
      <c r="F68" s="20"/>
      <c r="G68" s="20"/>
      <c r="H68" s="20"/>
      <c r="I68" s="20"/>
      <c r="J68" s="20"/>
      <c r="K68" s="20"/>
      <c r="L68" s="270"/>
      <c r="M68" s="269"/>
      <c r="N68" s="20"/>
      <c r="O68" s="20"/>
      <c r="P68" s="20"/>
      <c r="Q68" s="20"/>
      <c r="R68" s="20"/>
      <c r="S68" s="20"/>
      <c r="T68" s="270"/>
      <c r="U68" s="269"/>
      <c r="V68" s="20"/>
      <c r="W68" s="20"/>
      <c r="X68" s="20"/>
      <c r="Y68" s="20"/>
      <c r="Z68" s="20"/>
      <c r="AA68" s="20"/>
      <c r="AB68" s="270"/>
      <c r="AC68" s="269"/>
      <c r="AD68" s="20"/>
      <c r="AE68" s="20"/>
      <c r="AF68" s="20"/>
      <c r="AG68" s="20"/>
      <c r="AH68" s="20"/>
      <c r="AI68" s="20"/>
      <c r="AJ68" s="270"/>
      <c r="AK68" s="8">
        <v>140</v>
      </c>
      <c r="AL68" s="67">
        <v>1</v>
      </c>
      <c r="AO68" s="67">
        <f t="shared" ref="AO68:AO131" si="15">COUNTIF(E68:AJ68,"*b*")</f>
        <v>0</v>
      </c>
      <c r="AP68" s="67">
        <f t="shared" ref="AP68:AP131" si="16">COUNTIF(E68:AJ68,"*l*")</f>
        <v>0</v>
      </c>
      <c r="AQ68" s="67">
        <f t="shared" ref="AQ68:AQ131" si="17">COUNTIF(E68:AJ68,"*h*")</f>
        <v>0</v>
      </c>
      <c r="AR68" s="67">
        <f t="shared" ref="AR68:AR131" si="18">COUNTIF(E68:AJ68,"*m*")</f>
        <v>0</v>
      </c>
      <c r="AS68" s="67">
        <f t="shared" ref="AS68:AS131" si="19">COUNTIF(E68:AJ68,"*d*")</f>
        <v>0</v>
      </c>
      <c r="AT68" s="67">
        <f t="shared" ref="AT68:AT131" si="20">COUNTIF(E68:AJ68,"*o*")</f>
        <v>0</v>
      </c>
      <c r="AU68" s="67">
        <f t="shared" ref="AU68:AU131" si="21">SUM(AO68:AT68)</f>
        <v>0</v>
      </c>
      <c r="AW68" s="256">
        <v>9</v>
      </c>
      <c r="AX68" s="67">
        <f t="shared" si="13"/>
        <v>45</v>
      </c>
      <c r="AY68" s="76">
        <f t="shared" si="14"/>
        <v>0</v>
      </c>
      <c r="AZ68" s="67">
        <f t="shared" ref="AZ68:AZ131" si="22">COUNTA(E68:AJ68)</f>
        <v>0</v>
      </c>
      <c r="BA68" s="76">
        <f t="shared" si="12"/>
        <v>0</v>
      </c>
      <c r="BC68" s="67">
        <f t="shared" ref="BC68:BC131" si="23">COUNTA(E68:T68)</f>
        <v>0</v>
      </c>
      <c r="BD68" s="67">
        <f t="shared" ref="BD68:BD131" si="24">COUNTA(U68:AJ68)</f>
        <v>0</v>
      </c>
    </row>
    <row r="69" spans="1:56">
      <c r="A69" s="67">
        <v>141</v>
      </c>
      <c r="B69" s="8" t="s">
        <v>65</v>
      </c>
      <c r="C69" s="8" t="s">
        <v>12</v>
      </c>
      <c r="D69" s="8" t="s">
        <v>6</v>
      </c>
      <c r="E69" s="269" t="s">
        <v>431</v>
      </c>
      <c r="F69" s="20"/>
      <c r="G69" s="20"/>
      <c r="H69" s="20"/>
      <c r="I69" s="20"/>
      <c r="J69" s="20"/>
      <c r="K69" s="20"/>
      <c r="L69" s="270"/>
      <c r="M69" s="269"/>
      <c r="N69" s="20"/>
      <c r="O69" s="20"/>
      <c r="P69" s="20"/>
      <c r="Q69" s="20"/>
      <c r="R69" s="20"/>
      <c r="S69" s="20"/>
      <c r="T69" s="270"/>
      <c r="U69" s="269"/>
      <c r="V69" s="20"/>
      <c r="W69" s="20"/>
      <c r="X69" s="20"/>
      <c r="Y69" s="20"/>
      <c r="Z69" s="20"/>
      <c r="AA69" s="20"/>
      <c r="AB69" s="270"/>
      <c r="AC69" s="269"/>
      <c r="AD69" s="20"/>
      <c r="AE69" s="20"/>
      <c r="AF69" s="20"/>
      <c r="AG69" s="20"/>
      <c r="AH69" s="20"/>
      <c r="AI69" s="20"/>
      <c r="AJ69" s="270"/>
      <c r="AK69" s="67">
        <v>141</v>
      </c>
      <c r="AM69" s="67">
        <v>1</v>
      </c>
      <c r="AO69" s="67">
        <f t="shared" si="15"/>
        <v>1</v>
      </c>
      <c r="AP69" s="67">
        <f t="shared" si="16"/>
        <v>0</v>
      </c>
      <c r="AQ69" s="67">
        <f t="shared" si="17"/>
        <v>0</v>
      </c>
      <c r="AR69" s="67">
        <f t="shared" si="18"/>
        <v>0</v>
      </c>
      <c r="AS69" s="67">
        <f t="shared" si="19"/>
        <v>0</v>
      </c>
      <c r="AT69" s="67">
        <f t="shared" si="20"/>
        <v>0</v>
      </c>
      <c r="AU69" s="67">
        <f t="shared" si="21"/>
        <v>1</v>
      </c>
      <c r="AW69" s="256">
        <v>30</v>
      </c>
      <c r="AX69" s="67">
        <f t="shared" si="13"/>
        <v>150</v>
      </c>
      <c r="AY69" s="76">
        <f t="shared" si="14"/>
        <v>6.6666666666666671E-3</v>
      </c>
      <c r="AZ69" s="67">
        <f t="shared" si="22"/>
        <v>1</v>
      </c>
      <c r="BA69" s="76">
        <f t="shared" ref="BA69:BA132" si="25">AZ69/AW69</f>
        <v>3.3333333333333333E-2</v>
      </c>
      <c r="BC69" s="67">
        <f t="shared" si="23"/>
        <v>1</v>
      </c>
      <c r="BD69" s="67">
        <f t="shared" si="24"/>
        <v>0</v>
      </c>
    </row>
    <row r="70" spans="1:56">
      <c r="A70" s="67">
        <v>142</v>
      </c>
      <c r="B70" s="67" t="s">
        <v>71</v>
      </c>
      <c r="C70" s="8" t="s">
        <v>366</v>
      </c>
      <c r="D70" s="67" t="s">
        <v>42</v>
      </c>
      <c r="E70" s="269"/>
      <c r="F70" s="20"/>
      <c r="G70" s="20"/>
      <c r="H70" s="20"/>
      <c r="I70" s="20" t="s">
        <v>434</v>
      </c>
      <c r="J70" s="20"/>
      <c r="K70" s="20"/>
      <c r="L70" s="270"/>
      <c r="M70" s="269"/>
      <c r="N70" s="20"/>
      <c r="O70" s="20"/>
      <c r="P70" s="20"/>
      <c r="Q70" s="20" t="s">
        <v>455</v>
      </c>
      <c r="R70" s="20" t="s">
        <v>442</v>
      </c>
      <c r="S70" s="20"/>
      <c r="T70" s="270"/>
      <c r="U70" s="269"/>
      <c r="V70" s="20"/>
      <c r="W70" s="20"/>
      <c r="X70" s="20"/>
      <c r="Y70" s="20"/>
      <c r="Z70" s="20"/>
      <c r="AA70" s="20"/>
      <c r="AB70" s="270"/>
      <c r="AC70" s="269"/>
      <c r="AD70" s="20"/>
      <c r="AE70" s="20"/>
      <c r="AF70" s="20"/>
      <c r="AG70" s="20" t="s">
        <v>442</v>
      </c>
      <c r="AH70" s="5" t="s">
        <v>442</v>
      </c>
      <c r="AI70" s="20" t="s">
        <v>431</v>
      </c>
      <c r="AJ70" s="270"/>
      <c r="AK70" s="67">
        <v>142</v>
      </c>
      <c r="AM70" s="67">
        <v>1</v>
      </c>
      <c r="AO70" s="67">
        <f t="shared" si="15"/>
        <v>4</v>
      </c>
      <c r="AP70" s="67">
        <f t="shared" si="16"/>
        <v>4</v>
      </c>
      <c r="AQ70" s="67">
        <f t="shared" si="17"/>
        <v>0</v>
      </c>
      <c r="AR70" s="67">
        <f t="shared" si="18"/>
        <v>5</v>
      </c>
      <c r="AS70" s="67">
        <f t="shared" si="19"/>
        <v>4</v>
      </c>
      <c r="AT70" s="67">
        <f t="shared" si="20"/>
        <v>4</v>
      </c>
      <c r="AU70" s="67">
        <f t="shared" si="21"/>
        <v>21</v>
      </c>
      <c r="AW70" s="256">
        <v>30</v>
      </c>
      <c r="AX70" s="67">
        <f t="shared" si="13"/>
        <v>150</v>
      </c>
      <c r="AY70" s="76">
        <f t="shared" si="14"/>
        <v>0.14000000000000001</v>
      </c>
      <c r="AZ70" s="67">
        <f t="shared" si="22"/>
        <v>6</v>
      </c>
      <c r="BA70" s="76">
        <f t="shared" si="25"/>
        <v>0.2</v>
      </c>
      <c r="BC70" s="67">
        <f t="shared" si="23"/>
        <v>3</v>
      </c>
      <c r="BD70" s="67">
        <f t="shared" si="24"/>
        <v>3</v>
      </c>
    </row>
    <row r="71" spans="1:56">
      <c r="A71" s="67">
        <v>143</v>
      </c>
      <c r="B71" s="67" t="s">
        <v>106</v>
      </c>
      <c r="C71" s="8" t="s">
        <v>349</v>
      </c>
      <c r="D71" s="67" t="s">
        <v>42</v>
      </c>
      <c r="E71" s="269"/>
      <c r="F71" s="20"/>
      <c r="G71" s="20"/>
      <c r="H71" s="20"/>
      <c r="I71" s="20"/>
      <c r="J71" s="20"/>
      <c r="K71" s="20"/>
      <c r="L71" s="270"/>
      <c r="M71" s="269"/>
      <c r="N71" s="20"/>
      <c r="O71" s="20"/>
      <c r="P71" s="20"/>
      <c r="Q71" s="20"/>
      <c r="R71" s="20"/>
      <c r="S71" s="20"/>
      <c r="T71" s="270"/>
      <c r="U71" s="269"/>
      <c r="V71" s="20"/>
      <c r="W71" s="20"/>
      <c r="X71" s="20"/>
      <c r="Y71" s="20"/>
      <c r="Z71" s="20" t="s">
        <v>456</v>
      </c>
      <c r="AA71" s="20" t="s">
        <v>456</v>
      </c>
      <c r="AB71" s="270"/>
      <c r="AC71" s="269"/>
      <c r="AD71" s="20"/>
      <c r="AE71" s="20" t="s">
        <v>434</v>
      </c>
      <c r="AF71" s="20"/>
      <c r="AG71" s="20"/>
      <c r="AH71" s="20"/>
      <c r="AI71" s="20"/>
      <c r="AJ71" s="270"/>
      <c r="AK71" s="67">
        <v>143</v>
      </c>
      <c r="AM71" s="67">
        <v>1</v>
      </c>
      <c r="AO71" s="67">
        <f t="shared" si="15"/>
        <v>0</v>
      </c>
      <c r="AP71" s="67">
        <f t="shared" si="16"/>
        <v>0</v>
      </c>
      <c r="AQ71" s="67">
        <f t="shared" si="17"/>
        <v>2</v>
      </c>
      <c r="AR71" s="67">
        <f t="shared" si="18"/>
        <v>1</v>
      </c>
      <c r="AS71" s="67">
        <f t="shared" si="19"/>
        <v>2</v>
      </c>
      <c r="AT71" s="67">
        <f t="shared" si="20"/>
        <v>0</v>
      </c>
      <c r="AU71" s="67">
        <f t="shared" si="21"/>
        <v>5</v>
      </c>
      <c r="AW71" s="256">
        <v>6</v>
      </c>
      <c r="AX71" s="67">
        <f t="shared" si="13"/>
        <v>30</v>
      </c>
      <c r="AY71" s="76">
        <f t="shared" si="14"/>
        <v>0.16666666666666666</v>
      </c>
      <c r="AZ71" s="67">
        <f t="shared" si="22"/>
        <v>3</v>
      </c>
      <c r="BA71" s="76">
        <f t="shared" si="25"/>
        <v>0.5</v>
      </c>
      <c r="BC71" s="67">
        <f t="shared" si="23"/>
        <v>0</v>
      </c>
      <c r="BD71" s="67">
        <f t="shared" si="24"/>
        <v>3</v>
      </c>
    </row>
    <row r="72" spans="1:56">
      <c r="A72" s="67">
        <v>144</v>
      </c>
      <c r="B72" s="67" t="s">
        <v>80</v>
      </c>
      <c r="C72" s="8" t="s">
        <v>346</v>
      </c>
      <c r="E72" s="269"/>
      <c r="F72" s="20"/>
      <c r="G72" s="20"/>
      <c r="H72" s="20"/>
      <c r="I72" s="20"/>
      <c r="J72" s="20"/>
      <c r="K72" s="20"/>
      <c r="L72" s="270"/>
      <c r="M72" s="269"/>
      <c r="N72" s="20"/>
      <c r="O72" s="20"/>
      <c r="P72" s="20"/>
      <c r="Q72" s="20"/>
      <c r="R72" s="20"/>
      <c r="S72" s="20"/>
      <c r="T72" s="270"/>
      <c r="U72" s="269"/>
      <c r="V72" s="20"/>
      <c r="W72" s="20"/>
      <c r="X72" s="20"/>
      <c r="Y72" s="20"/>
      <c r="Z72" s="20"/>
      <c r="AA72" s="20"/>
      <c r="AB72" s="270"/>
      <c r="AC72" s="269"/>
      <c r="AD72" s="20"/>
      <c r="AE72" s="20"/>
      <c r="AF72" s="20"/>
      <c r="AG72" s="20"/>
      <c r="AH72" s="20"/>
      <c r="AI72" s="20"/>
      <c r="AJ72" s="270"/>
      <c r="AK72" s="67">
        <v>144</v>
      </c>
      <c r="AL72" s="67">
        <v>1</v>
      </c>
      <c r="AO72" s="67">
        <f t="shared" si="15"/>
        <v>0</v>
      </c>
      <c r="AP72" s="67">
        <f t="shared" si="16"/>
        <v>0</v>
      </c>
      <c r="AQ72" s="67">
        <f t="shared" si="17"/>
        <v>0</v>
      </c>
      <c r="AR72" s="67">
        <f t="shared" si="18"/>
        <v>0</v>
      </c>
      <c r="AS72" s="67">
        <f t="shared" si="19"/>
        <v>0</v>
      </c>
      <c r="AT72" s="67">
        <f t="shared" si="20"/>
        <v>0</v>
      </c>
      <c r="AU72" s="67">
        <f t="shared" si="21"/>
        <v>0</v>
      </c>
      <c r="AW72" s="256">
        <v>20</v>
      </c>
      <c r="AX72" s="67">
        <f t="shared" si="13"/>
        <v>100</v>
      </c>
      <c r="AY72" s="76">
        <f t="shared" si="14"/>
        <v>0</v>
      </c>
      <c r="AZ72" s="67">
        <f t="shared" si="22"/>
        <v>0</v>
      </c>
      <c r="BA72" s="76">
        <f t="shared" si="25"/>
        <v>0</v>
      </c>
      <c r="BC72" s="67">
        <f t="shared" si="23"/>
        <v>0</v>
      </c>
      <c r="BD72" s="67">
        <f t="shared" si="24"/>
        <v>0</v>
      </c>
    </row>
    <row r="73" spans="1:56">
      <c r="A73" s="67">
        <v>145</v>
      </c>
      <c r="B73" s="67" t="s">
        <v>63</v>
      </c>
      <c r="C73" s="8" t="s">
        <v>346</v>
      </c>
      <c r="E73" s="269"/>
      <c r="F73" s="20"/>
      <c r="G73" s="20"/>
      <c r="H73" s="20"/>
      <c r="I73" s="20"/>
      <c r="J73" s="20"/>
      <c r="K73" s="20"/>
      <c r="L73" s="270"/>
      <c r="M73" s="269"/>
      <c r="N73" s="20"/>
      <c r="O73" s="20"/>
      <c r="P73" s="20"/>
      <c r="Q73" s="20"/>
      <c r="R73" s="20"/>
      <c r="S73" s="20"/>
      <c r="T73" s="270"/>
      <c r="U73" s="269"/>
      <c r="V73" s="20"/>
      <c r="W73" s="20"/>
      <c r="X73" s="20"/>
      <c r="Y73" s="20"/>
      <c r="Z73" s="20"/>
      <c r="AA73" s="20"/>
      <c r="AB73" s="270"/>
      <c r="AC73" s="269"/>
      <c r="AD73" s="20"/>
      <c r="AE73" s="20"/>
      <c r="AF73" s="20"/>
      <c r="AG73" s="20"/>
      <c r="AH73" s="20"/>
      <c r="AI73" s="20"/>
      <c r="AJ73" s="270"/>
      <c r="AK73" s="67">
        <v>145</v>
      </c>
      <c r="AL73" s="67">
        <v>1</v>
      </c>
      <c r="AO73" s="67">
        <f t="shared" si="15"/>
        <v>0</v>
      </c>
      <c r="AP73" s="67">
        <f t="shared" si="16"/>
        <v>0</v>
      </c>
      <c r="AQ73" s="67">
        <f t="shared" si="17"/>
        <v>0</v>
      </c>
      <c r="AR73" s="67">
        <f t="shared" si="18"/>
        <v>0</v>
      </c>
      <c r="AS73" s="67">
        <f t="shared" si="19"/>
        <v>0</v>
      </c>
      <c r="AT73" s="67">
        <f t="shared" si="20"/>
        <v>0</v>
      </c>
      <c r="AU73" s="67">
        <f t="shared" si="21"/>
        <v>0</v>
      </c>
      <c r="AW73" s="256">
        <v>11</v>
      </c>
      <c r="AX73" s="67">
        <f t="shared" si="13"/>
        <v>55</v>
      </c>
      <c r="AY73" s="76">
        <f t="shared" si="14"/>
        <v>0</v>
      </c>
      <c r="AZ73" s="67">
        <f t="shared" si="22"/>
        <v>0</v>
      </c>
      <c r="BA73" s="76">
        <f t="shared" si="25"/>
        <v>0</v>
      </c>
      <c r="BC73" s="67">
        <f t="shared" si="23"/>
        <v>0</v>
      </c>
      <c r="BD73" s="67">
        <f t="shared" si="24"/>
        <v>0</v>
      </c>
    </row>
    <row r="74" spans="1:56">
      <c r="A74" s="67">
        <v>147</v>
      </c>
      <c r="B74" s="67" t="s">
        <v>68</v>
      </c>
      <c r="C74" s="8" t="s">
        <v>357</v>
      </c>
      <c r="D74" s="67" t="s">
        <v>15</v>
      </c>
      <c r="E74" s="269"/>
      <c r="F74" s="20"/>
      <c r="G74" s="20"/>
      <c r="H74" s="20"/>
      <c r="I74" s="20"/>
      <c r="J74" s="20"/>
      <c r="K74" s="20"/>
      <c r="L74" s="270"/>
      <c r="M74" s="269"/>
      <c r="N74" s="20"/>
      <c r="O74" s="20"/>
      <c r="P74" s="20"/>
      <c r="Q74" s="20"/>
      <c r="R74" s="20"/>
      <c r="S74" s="20"/>
      <c r="T74" s="270"/>
      <c r="U74" s="269"/>
      <c r="V74" s="20"/>
      <c r="W74" s="20"/>
      <c r="X74" s="20"/>
      <c r="Y74" s="20"/>
      <c r="Z74" s="20"/>
      <c r="AA74" s="20"/>
      <c r="AB74" s="270"/>
      <c r="AC74" s="269"/>
      <c r="AD74" s="20"/>
      <c r="AE74" s="20"/>
      <c r="AF74" s="20"/>
      <c r="AG74" s="20"/>
      <c r="AH74" s="20"/>
      <c r="AI74" s="20"/>
      <c r="AJ74" s="270"/>
      <c r="AK74" s="67">
        <v>147</v>
      </c>
      <c r="AL74" s="67">
        <v>1</v>
      </c>
      <c r="AO74" s="67">
        <f t="shared" si="15"/>
        <v>0</v>
      </c>
      <c r="AP74" s="67">
        <f t="shared" si="16"/>
        <v>0</v>
      </c>
      <c r="AQ74" s="67">
        <f t="shared" si="17"/>
        <v>0</v>
      </c>
      <c r="AR74" s="67">
        <f t="shared" si="18"/>
        <v>0</v>
      </c>
      <c r="AS74" s="67">
        <f t="shared" si="19"/>
        <v>0</v>
      </c>
      <c r="AT74" s="67">
        <f t="shared" si="20"/>
        <v>0</v>
      </c>
      <c r="AU74" s="67">
        <f t="shared" si="21"/>
        <v>0</v>
      </c>
      <c r="AW74" s="256">
        <v>15</v>
      </c>
      <c r="AX74" s="67">
        <f t="shared" si="13"/>
        <v>75</v>
      </c>
      <c r="AY74" s="76">
        <f t="shared" si="14"/>
        <v>0</v>
      </c>
      <c r="AZ74" s="67">
        <f t="shared" si="22"/>
        <v>0</v>
      </c>
      <c r="BA74" s="76">
        <f t="shared" si="25"/>
        <v>0</v>
      </c>
      <c r="BC74" s="67">
        <f t="shared" si="23"/>
        <v>0</v>
      </c>
      <c r="BD74" s="67">
        <f t="shared" si="24"/>
        <v>0</v>
      </c>
    </row>
    <row r="75" spans="1:56">
      <c r="A75" s="67">
        <v>148</v>
      </c>
      <c r="B75" s="67" t="s">
        <v>68</v>
      </c>
      <c r="C75" s="8" t="s">
        <v>357</v>
      </c>
      <c r="D75" s="67" t="s">
        <v>15</v>
      </c>
      <c r="E75" s="269"/>
      <c r="F75" s="20"/>
      <c r="G75" s="20"/>
      <c r="H75" s="20"/>
      <c r="I75" s="20" t="s">
        <v>435</v>
      </c>
      <c r="J75" s="20"/>
      <c r="K75" s="20"/>
      <c r="L75" s="270"/>
      <c r="M75" s="269"/>
      <c r="N75" s="20"/>
      <c r="O75" s="20"/>
      <c r="P75" s="20" t="s">
        <v>442</v>
      </c>
      <c r="Q75" s="20" t="s">
        <v>447</v>
      </c>
      <c r="R75" s="20"/>
      <c r="S75" s="20"/>
      <c r="T75" s="270"/>
      <c r="U75" s="269"/>
      <c r="V75" s="20"/>
      <c r="W75" s="20"/>
      <c r="X75" s="20"/>
      <c r="Y75" s="20"/>
      <c r="Z75" s="20"/>
      <c r="AA75" s="20"/>
      <c r="AB75" s="270"/>
      <c r="AC75" s="269"/>
      <c r="AD75" s="20"/>
      <c r="AE75" s="20"/>
      <c r="AF75" s="20"/>
      <c r="AG75" s="20"/>
      <c r="AH75" s="20"/>
      <c r="AI75" s="20"/>
      <c r="AJ75" s="270"/>
      <c r="AK75" s="67">
        <v>148</v>
      </c>
      <c r="AM75" s="67">
        <v>1</v>
      </c>
      <c r="AO75" s="67">
        <f t="shared" si="15"/>
        <v>1</v>
      </c>
      <c r="AP75" s="67">
        <f t="shared" si="16"/>
        <v>1</v>
      </c>
      <c r="AQ75" s="67">
        <f t="shared" si="17"/>
        <v>0</v>
      </c>
      <c r="AR75" s="67">
        <f t="shared" si="18"/>
        <v>2</v>
      </c>
      <c r="AS75" s="67">
        <f t="shared" si="19"/>
        <v>2</v>
      </c>
      <c r="AT75" s="67">
        <f t="shared" si="20"/>
        <v>2</v>
      </c>
      <c r="AU75" s="67">
        <f t="shared" si="21"/>
        <v>8</v>
      </c>
      <c r="AW75" s="256">
        <v>20</v>
      </c>
      <c r="AX75" s="67">
        <f t="shared" si="13"/>
        <v>100</v>
      </c>
      <c r="AY75" s="76">
        <f t="shared" si="14"/>
        <v>0.08</v>
      </c>
      <c r="AZ75" s="67">
        <f t="shared" si="22"/>
        <v>3</v>
      </c>
      <c r="BA75" s="76">
        <f t="shared" si="25"/>
        <v>0.15</v>
      </c>
      <c r="BC75" s="67">
        <f t="shared" si="23"/>
        <v>3</v>
      </c>
      <c r="BD75" s="67">
        <f t="shared" si="24"/>
        <v>0</v>
      </c>
    </row>
    <row r="76" spans="1:56">
      <c r="A76" s="67">
        <v>149</v>
      </c>
      <c r="B76" s="67" t="s">
        <v>80</v>
      </c>
      <c r="C76" s="8" t="s">
        <v>346</v>
      </c>
      <c r="E76" s="269"/>
      <c r="F76" s="20"/>
      <c r="G76" s="20"/>
      <c r="H76" s="20"/>
      <c r="I76" s="20"/>
      <c r="J76" s="20"/>
      <c r="K76" s="20"/>
      <c r="L76" s="270"/>
      <c r="M76" s="269"/>
      <c r="N76" s="20"/>
      <c r="O76" s="20"/>
      <c r="P76" s="20"/>
      <c r="Q76" s="20"/>
      <c r="R76" s="20"/>
      <c r="S76" s="20"/>
      <c r="T76" s="270"/>
      <c r="U76" s="269"/>
      <c r="V76" s="20"/>
      <c r="W76" s="20"/>
      <c r="X76" s="20"/>
      <c r="Y76" s="20"/>
      <c r="Z76" s="20"/>
      <c r="AA76" s="20"/>
      <c r="AB76" s="270"/>
      <c r="AC76" s="269"/>
      <c r="AD76" s="20"/>
      <c r="AE76" s="20"/>
      <c r="AF76" s="20"/>
      <c r="AG76" s="20"/>
      <c r="AH76" s="20"/>
      <c r="AI76" s="20"/>
      <c r="AJ76" s="270"/>
      <c r="AK76" s="67">
        <v>149</v>
      </c>
      <c r="AL76" s="67">
        <v>1</v>
      </c>
      <c r="AO76" s="67">
        <f t="shared" si="15"/>
        <v>0</v>
      </c>
      <c r="AP76" s="67">
        <f t="shared" si="16"/>
        <v>0</v>
      </c>
      <c r="AQ76" s="67">
        <f t="shared" si="17"/>
        <v>0</v>
      </c>
      <c r="AR76" s="67">
        <f t="shared" si="18"/>
        <v>0</v>
      </c>
      <c r="AS76" s="67">
        <f t="shared" si="19"/>
        <v>0</v>
      </c>
      <c r="AT76" s="67">
        <f t="shared" si="20"/>
        <v>0</v>
      </c>
      <c r="AU76" s="67">
        <f t="shared" si="21"/>
        <v>0</v>
      </c>
      <c r="AW76" s="256">
        <v>20</v>
      </c>
      <c r="AX76" s="67">
        <f t="shared" si="13"/>
        <v>100</v>
      </c>
      <c r="AY76" s="76">
        <f t="shared" si="14"/>
        <v>0</v>
      </c>
      <c r="AZ76" s="67">
        <f t="shared" si="22"/>
        <v>0</v>
      </c>
      <c r="BA76" s="76">
        <f t="shared" si="25"/>
        <v>0</v>
      </c>
      <c r="BC76" s="67">
        <f t="shared" si="23"/>
        <v>0</v>
      </c>
      <c r="BD76" s="67">
        <f t="shared" si="24"/>
        <v>0</v>
      </c>
    </row>
    <row r="77" spans="1:56">
      <c r="A77" s="67">
        <v>151</v>
      </c>
      <c r="B77" s="67" t="s">
        <v>130</v>
      </c>
      <c r="C77" s="8" t="s">
        <v>357</v>
      </c>
      <c r="E77" s="269"/>
      <c r="F77" s="20"/>
      <c r="G77" s="20"/>
      <c r="H77" s="20"/>
      <c r="I77" s="20"/>
      <c r="J77" s="20"/>
      <c r="K77" s="20"/>
      <c r="L77" s="270"/>
      <c r="M77" s="269"/>
      <c r="N77" s="20"/>
      <c r="O77" s="20"/>
      <c r="P77" s="20"/>
      <c r="Q77" s="20"/>
      <c r="R77" s="20"/>
      <c r="S77" s="20"/>
      <c r="T77" s="270"/>
      <c r="U77" s="269"/>
      <c r="V77" s="20"/>
      <c r="W77" s="20"/>
      <c r="X77" s="20"/>
      <c r="Y77" s="20"/>
      <c r="Z77" s="20"/>
      <c r="AA77" s="20"/>
      <c r="AB77" s="270"/>
      <c r="AC77" s="269"/>
      <c r="AD77" s="20"/>
      <c r="AE77" s="20"/>
      <c r="AF77" s="20"/>
      <c r="AG77" s="20"/>
      <c r="AH77" s="20"/>
      <c r="AI77" s="20" t="s">
        <v>436</v>
      </c>
      <c r="AJ77" s="270"/>
      <c r="AK77" s="67">
        <v>151</v>
      </c>
      <c r="AM77" s="67">
        <v>1</v>
      </c>
      <c r="AO77" s="67">
        <f t="shared" si="15"/>
        <v>0</v>
      </c>
      <c r="AP77" s="67">
        <f t="shared" si="16"/>
        <v>0</v>
      </c>
      <c r="AQ77" s="67">
        <f t="shared" si="17"/>
        <v>0</v>
      </c>
      <c r="AR77" s="67">
        <f t="shared" si="18"/>
        <v>0</v>
      </c>
      <c r="AS77" s="67">
        <f t="shared" si="19"/>
        <v>0</v>
      </c>
      <c r="AT77" s="67">
        <f t="shared" si="20"/>
        <v>1</v>
      </c>
      <c r="AU77" s="67">
        <f t="shared" si="21"/>
        <v>1</v>
      </c>
      <c r="AW77" s="256">
        <v>28</v>
      </c>
      <c r="AX77" s="67">
        <f t="shared" si="13"/>
        <v>140</v>
      </c>
      <c r="AY77" s="76">
        <f t="shared" si="14"/>
        <v>7.1428571428571426E-3</v>
      </c>
      <c r="AZ77" s="67">
        <f t="shared" si="22"/>
        <v>1</v>
      </c>
      <c r="BA77" s="76">
        <f t="shared" si="25"/>
        <v>3.5714285714285712E-2</v>
      </c>
      <c r="BC77" s="67">
        <f t="shared" si="23"/>
        <v>0</v>
      </c>
      <c r="BD77" s="67">
        <f t="shared" si="24"/>
        <v>1</v>
      </c>
    </row>
    <row r="78" spans="1:56">
      <c r="A78" s="67">
        <v>157</v>
      </c>
      <c r="B78" s="67" t="s">
        <v>55</v>
      </c>
      <c r="C78" s="8" t="s">
        <v>346</v>
      </c>
      <c r="E78" s="269"/>
      <c r="F78" s="20"/>
      <c r="G78" s="20"/>
      <c r="H78" s="20"/>
      <c r="I78" s="20"/>
      <c r="J78" s="20"/>
      <c r="K78" s="20"/>
      <c r="L78" s="270"/>
      <c r="M78" s="269"/>
      <c r="N78" s="20"/>
      <c r="O78" s="20"/>
      <c r="P78" s="20"/>
      <c r="Q78" s="20"/>
      <c r="R78" s="20"/>
      <c r="S78" s="20"/>
      <c r="T78" s="270"/>
      <c r="U78" s="269"/>
      <c r="V78" s="20"/>
      <c r="W78" s="20"/>
      <c r="X78" s="20"/>
      <c r="Y78" s="20"/>
      <c r="Z78" s="20"/>
      <c r="AA78" s="20"/>
      <c r="AB78" s="270"/>
      <c r="AC78" s="269"/>
      <c r="AD78" s="20"/>
      <c r="AE78" s="20"/>
      <c r="AF78" s="20"/>
      <c r="AG78" s="20"/>
      <c r="AH78" s="20"/>
      <c r="AI78" s="20"/>
      <c r="AJ78" s="270"/>
      <c r="AK78" s="67">
        <v>157</v>
      </c>
      <c r="AL78" s="67">
        <v>1</v>
      </c>
      <c r="AO78" s="67">
        <f t="shared" si="15"/>
        <v>0</v>
      </c>
      <c r="AP78" s="67">
        <f t="shared" si="16"/>
        <v>0</v>
      </c>
      <c r="AQ78" s="67">
        <f t="shared" si="17"/>
        <v>0</v>
      </c>
      <c r="AR78" s="67">
        <f t="shared" si="18"/>
        <v>0</v>
      </c>
      <c r="AS78" s="67">
        <f t="shared" si="19"/>
        <v>0</v>
      </c>
      <c r="AT78" s="67">
        <f t="shared" si="20"/>
        <v>0</v>
      </c>
      <c r="AU78" s="67">
        <f t="shared" si="21"/>
        <v>0</v>
      </c>
      <c r="AW78" s="256">
        <v>10</v>
      </c>
      <c r="AX78" s="67">
        <f t="shared" si="13"/>
        <v>50</v>
      </c>
      <c r="AY78" s="76">
        <f t="shared" si="14"/>
        <v>0</v>
      </c>
      <c r="AZ78" s="67">
        <f t="shared" si="22"/>
        <v>0</v>
      </c>
      <c r="BA78" s="76">
        <f t="shared" si="25"/>
        <v>0</v>
      </c>
      <c r="BC78" s="67">
        <f t="shared" si="23"/>
        <v>0</v>
      </c>
      <c r="BD78" s="67">
        <f t="shared" si="24"/>
        <v>0</v>
      </c>
    </row>
    <row r="79" spans="1:56">
      <c r="A79" s="67">
        <v>162</v>
      </c>
      <c r="B79" s="67" t="s">
        <v>80</v>
      </c>
      <c r="C79" s="8" t="s">
        <v>346</v>
      </c>
      <c r="E79" s="269"/>
      <c r="F79" s="20"/>
      <c r="G79" s="20"/>
      <c r="H79" s="20"/>
      <c r="I79" s="20"/>
      <c r="J79" s="20"/>
      <c r="K79" s="20"/>
      <c r="L79" s="270"/>
      <c r="M79" s="269"/>
      <c r="N79" s="20"/>
      <c r="O79" s="20"/>
      <c r="P79" s="20"/>
      <c r="Q79" s="20"/>
      <c r="R79" s="20"/>
      <c r="S79" s="20"/>
      <c r="T79" s="270"/>
      <c r="U79" s="269"/>
      <c r="V79" s="20"/>
      <c r="W79" s="20"/>
      <c r="X79" s="20"/>
      <c r="Y79" s="20"/>
      <c r="Z79" s="20"/>
      <c r="AA79" s="20"/>
      <c r="AB79" s="270"/>
      <c r="AC79" s="269"/>
      <c r="AD79" s="20"/>
      <c r="AE79" s="20"/>
      <c r="AF79" s="20"/>
      <c r="AG79" s="20"/>
      <c r="AH79" s="20"/>
      <c r="AI79" s="20"/>
      <c r="AJ79" s="270"/>
      <c r="AK79" s="67">
        <v>162</v>
      </c>
      <c r="AL79" s="67">
        <v>1</v>
      </c>
      <c r="AO79" s="67">
        <f t="shared" si="15"/>
        <v>0</v>
      </c>
      <c r="AP79" s="67">
        <f t="shared" si="16"/>
        <v>0</v>
      </c>
      <c r="AQ79" s="67">
        <f t="shared" si="17"/>
        <v>0</v>
      </c>
      <c r="AR79" s="67">
        <f t="shared" si="18"/>
        <v>0</v>
      </c>
      <c r="AS79" s="67">
        <f t="shared" si="19"/>
        <v>0</v>
      </c>
      <c r="AT79" s="67">
        <f t="shared" si="20"/>
        <v>0</v>
      </c>
      <c r="AU79" s="67">
        <f t="shared" si="21"/>
        <v>0</v>
      </c>
      <c r="AW79" s="256">
        <v>20</v>
      </c>
      <c r="AX79" s="67">
        <f t="shared" si="13"/>
        <v>100</v>
      </c>
      <c r="AY79" s="76">
        <f t="shared" si="14"/>
        <v>0</v>
      </c>
      <c r="AZ79" s="67">
        <f t="shared" si="22"/>
        <v>0</v>
      </c>
      <c r="BA79" s="76">
        <f t="shared" si="25"/>
        <v>0</v>
      </c>
      <c r="BC79" s="67">
        <f t="shared" si="23"/>
        <v>0</v>
      </c>
      <c r="BD79" s="67">
        <f t="shared" si="24"/>
        <v>0</v>
      </c>
    </row>
    <row r="80" spans="1:56">
      <c r="A80" s="67">
        <v>163</v>
      </c>
      <c r="B80" s="67" t="s">
        <v>62</v>
      </c>
      <c r="C80" s="8" t="s">
        <v>42</v>
      </c>
      <c r="D80" s="67" t="s">
        <v>42</v>
      </c>
      <c r="E80" s="269"/>
      <c r="F80" s="20"/>
      <c r="G80" s="20"/>
      <c r="H80" s="20" t="s">
        <v>434</v>
      </c>
      <c r="I80" s="20"/>
      <c r="J80" s="20"/>
      <c r="K80" s="20"/>
      <c r="L80" s="270"/>
      <c r="M80" s="269"/>
      <c r="N80" s="20"/>
      <c r="O80" s="20"/>
      <c r="P80" s="20"/>
      <c r="Q80" s="20"/>
      <c r="R80" s="20"/>
      <c r="S80" s="20"/>
      <c r="T80" s="270"/>
      <c r="U80" s="269"/>
      <c r="V80" s="20"/>
      <c r="W80" s="20" t="s">
        <v>436</v>
      </c>
      <c r="X80" s="20"/>
      <c r="Y80" s="20"/>
      <c r="Z80" s="20"/>
      <c r="AA80" s="20"/>
      <c r="AB80" s="270"/>
      <c r="AC80" s="269"/>
      <c r="AD80" s="20"/>
      <c r="AE80" s="20"/>
      <c r="AF80" s="20"/>
      <c r="AG80" s="20" t="s">
        <v>435</v>
      </c>
      <c r="AH80" s="20" t="s">
        <v>447</v>
      </c>
      <c r="AI80" s="20"/>
      <c r="AJ80" s="270"/>
      <c r="AK80" s="67">
        <v>163</v>
      </c>
      <c r="AM80" s="67">
        <v>1</v>
      </c>
      <c r="AO80" s="67">
        <f t="shared" si="15"/>
        <v>0</v>
      </c>
      <c r="AP80" s="67">
        <f t="shared" si="16"/>
        <v>0</v>
      </c>
      <c r="AQ80" s="67">
        <f t="shared" si="17"/>
        <v>0</v>
      </c>
      <c r="AR80" s="67">
        <f t="shared" si="18"/>
        <v>2</v>
      </c>
      <c r="AS80" s="67">
        <f t="shared" si="19"/>
        <v>1</v>
      </c>
      <c r="AT80" s="67">
        <f t="shared" si="20"/>
        <v>2</v>
      </c>
      <c r="AU80" s="67">
        <f t="shared" si="21"/>
        <v>5</v>
      </c>
      <c r="AW80" s="256">
        <v>28</v>
      </c>
      <c r="AX80" s="67">
        <f t="shared" si="13"/>
        <v>140</v>
      </c>
      <c r="AY80" s="76">
        <f t="shared" si="14"/>
        <v>3.5714285714285712E-2</v>
      </c>
      <c r="AZ80" s="67">
        <f t="shared" si="22"/>
        <v>4</v>
      </c>
      <c r="BA80" s="76">
        <f t="shared" si="25"/>
        <v>0.14285714285714285</v>
      </c>
      <c r="BC80" s="67">
        <f t="shared" si="23"/>
        <v>1</v>
      </c>
      <c r="BD80" s="67">
        <f t="shared" si="24"/>
        <v>3</v>
      </c>
    </row>
    <row r="81" spans="1:56">
      <c r="A81" s="67">
        <v>166</v>
      </c>
      <c r="B81" s="67" t="s">
        <v>136</v>
      </c>
      <c r="C81" s="8" t="s">
        <v>12</v>
      </c>
      <c r="D81" s="67" t="s">
        <v>6</v>
      </c>
      <c r="E81" s="269"/>
      <c r="F81" s="20"/>
      <c r="G81" s="20"/>
      <c r="H81" s="20"/>
      <c r="I81" s="20"/>
      <c r="J81" s="20"/>
      <c r="K81" s="20"/>
      <c r="L81" s="270"/>
      <c r="M81" s="269"/>
      <c r="N81" s="20"/>
      <c r="O81" s="20"/>
      <c r="P81" s="20"/>
      <c r="Q81" s="20"/>
      <c r="R81" s="20" t="s">
        <v>435</v>
      </c>
      <c r="S81" s="20"/>
      <c r="T81" s="270"/>
      <c r="U81" s="269"/>
      <c r="V81" s="20"/>
      <c r="W81" s="20"/>
      <c r="X81" s="20"/>
      <c r="Y81" s="20"/>
      <c r="Z81" s="20"/>
      <c r="AA81" s="20"/>
      <c r="AB81" s="270"/>
      <c r="AC81" s="269"/>
      <c r="AD81" s="20"/>
      <c r="AE81" s="20"/>
      <c r="AF81" s="20"/>
      <c r="AG81" s="20"/>
      <c r="AH81" s="20" t="s">
        <v>442</v>
      </c>
      <c r="AI81" s="20" t="s">
        <v>431</v>
      </c>
      <c r="AJ81" s="270"/>
      <c r="AK81" s="67">
        <v>166</v>
      </c>
      <c r="AM81" s="67">
        <v>1</v>
      </c>
      <c r="AO81" s="67">
        <f t="shared" si="15"/>
        <v>2</v>
      </c>
      <c r="AP81" s="67">
        <f t="shared" si="16"/>
        <v>1</v>
      </c>
      <c r="AQ81" s="67">
        <f t="shared" si="17"/>
        <v>0</v>
      </c>
      <c r="AR81" s="67">
        <f t="shared" si="18"/>
        <v>1</v>
      </c>
      <c r="AS81" s="67">
        <f t="shared" si="19"/>
        <v>2</v>
      </c>
      <c r="AT81" s="67">
        <f t="shared" si="20"/>
        <v>1</v>
      </c>
      <c r="AU81" s="67">
        <f t="shared" si="21"/>
        <v>7</v>
      </c>
      <c r="AW81" s="256">
        <v>32</v>
      </c>
      <c r="AX81" s="67">
        <f t="shared" si="13"/>
        <v>160</v>
      </c>
      <c r="AY81" s="76">
        <f t="shared" si="14"/>
        <v>4.3749999999999997E-2</v>
      </c>
      <c r="AZ81" s="67">
        <f t="shared" si="22"/>
        <v>3</v>
      </c>
      <c r="BA81" s="76">
        <f t="shared" si="25"/>
        <v>9.375E-2</v>
      </c>
      <c r="BC81" s="67">
        <f t="shared" si="23"/>
        <v>1</v>
      </c>
      <c r="BD81" s="67">
        <f t="shared" si="24"/>
        <v>2</v>
      </c>
    </row>
    <row r="82" spans="1:56">
      <c r="A82" s="67">
        <v>169</v>
      </c>
      <c r="B82" s="67" t="s">
        <v>139</v>
      </c>
      <c r="C82" s="8" t="s">
        <v>357</v>
      </c>
      <c r="E82" s="269"/>
      <c r="F82" s="20"/>
      <c r="G82" s="20"/>
      <c r="H82" s="20"/>
      <c r="I82" s="20"/>
      <c r="J82" s="20"/>
      <c r="K82" s="20"/>
      <c r="L82" s="270"/>
      <c r="M82" s="269"/>
      <c r="N82" s="20"/>
      <c r="O82" s="20"/>
      <c r="P82" s="20"/>
      <c r="Q82" s="20"/>
      <c r="R82" s="20"/>
      <c r="S82" s="20"/>
      <c r="T82" s="270"/>
      <c r="U82" s="269"/>
      <c r="V82" s="20"/>
      <c r="W82" s="20"/>
      <c r="X82" s="20"/>
      <c r="Y82" s="20"/>
      <c r="Z82" s="20"/>
      <c r="AA82" s="20"/>
      <c r="AB82" s="270"/>
      <c r="AC82" s="269"/>
      <c r="AD82" s="20"/>
      <c r="AE82" s="20"/>
      <c r="AF82" s="20"/>
      <c r="AG82" s="20"/>
      <c r="AH82" s="20"/>
      <c r="AI82" s="20"/>
      <c r="AJ82" s="270"/>
      <c r="AK82" s="67">
        <v>169</v>
      </c>
      <c r="AL82" s="67">
        <v>1</v>
      </c>
      <c r="AO82" s="67">
        <f t="shared" si="15"/>
        <v>0</v>
      </c>
      <c r="AP82" s="67">
        <f t="shared" si="16"/>
        <v>0</v>
      </c>
      <c r="AQ82" s="67">
        <f t="shared" si="17"/>
        <v>0</v>
      </c>
      <c r="AR82" s="67">
        <f t="shared" si="18"/>
        <v>0</v>
      </c>
      <c r="AS82" s="67">
        <f t="shared" si="19"/>
        <v>0</v>
      </c>
      <c r="AT82" s="67">
        <f t="shared" si="20"/>
        <v>0</v>
      </c>
      <c r="AU82" s="67">
        <f t="shared" si="21"/>
        <v>0</v>
      </c>
      <c r="AW82" s="256">
        <v>24</v>
      </c>
      <c r="AX82" s="67">
        <f t="shared" si="13"/>
        <v>120</v>
      </c>
      <c r="AY82" s="76">
        <f t="shared" si="14"/>
        <v>0</v>
      </c>
      <c r="AZ82" s="67">
        <f t="shared" si="22"/>
        <v>0</v>
      </c>
      <c r="BA82" s="76">
        <f t="shared" si="25"/>
        <v>0</v>
      </c>
      <c r="BC82" s="67">
        <f t="shared" si="23"/>
        <v>0</v>
      </c>
      <c r="BD82" s="67">
        <f t="shared" si="24"/>
        <v>0</v>
      </c>
    </row>
    <row r="83" spans="1:56">
      <c r="A83" s="67">
        <v>170</v>
      </c>
      <c r="B83" s="67" t="s">
        <v>5</v>
      </c>
      <c r="C83" s="8" t="s">
        <v>42</v>
      </c>
      <c r="D83" s="67" t="s">
        <v>6</v>
      </c>
      <c r="E83" s="269"/>
      <c r="F83" s="5" t="s">
        <v>436</v>
      </c>
      <c r="G83" s="20"/>
      <c r="H83" s="20"/>
      <c r="I83" s="20"/>
      <c r="J83" s="20"/>
      <c r="K83" s="20"/>
      <c r="L83" s="270"/>
      <c r="M83" s="269"/>
      <c r="N83" s="20"/>
      <c r="O83" s="20"/>
      <c r="P83" s="20"/>
      <c r="Q83" s="20"/>
      <c r="R83" s="20"/>
      <c r="S83" s="20" t="s">
        <v>436</v>
      </c>
      <c r="T83" s="270"/>
      <c r="U83" s="269"/>
      <c r="V83" s="20"/>
      <c r="W83" s="20"/>
      <c r="X83" s="20"/>
      <c r="Y83" s="20"/>
      <c r="Z83" s="20"/>
      <c r="AA83" s="20"/>
      <c r="AB83" s="270"/>
      <c r="AC83" s="269"/>
      <c r="AD83" s="20"/>
      <c r="AE83" s="20"/>
      <c r="AF83" s="20"/>
      <c r="AG83" s="20" t="s">
        <v>434</v>
      </c>
      <c r="AH83" s="20"/>
      <c r="AI83" s="20" t="s">
        <v>454</v>
      </c>
      <c r="AJ83" s="270" t="s">
        <v>436</v>
      </c>
      <c r="AK83" s="67">
        <v>170</v>
      </c>
      <c r="AM83" s="67">
        <v>1</v>
      </c>
      <c r="AO83" s="67">
        <f t="shared" si="15"/>
        <v>0</v>
      </c>
      <c r="AP83" s="67">
        <f t="shared" si="16"/>
        <v>0</v>
      </c>
      <c r="AQ83" s="67">
        <f t="shared" si="17"/>
        <v>0</v>
      </c>
      <c r="AR83" s="67">
        <f t="shared" si="18"/>
        <v>1</v>
      </c>
      <c r="AS83" s="67">
        <f t="shared" si="19"/>
        <v>1</v>
      </c>
      <c r="AT83" s="67">
        <f t="shared" si="20"/>
        <v>4</v>
      </c>
      <c r="AU83" s="67">
        <f t="shared" si="21"/>
        <v>6</v>
      </c>
      <c r="AW83" s="256">
        <v>31</v>
      </c>
      <c r="AX83" s="67">
        <f t="shared" si="13"/>
        <v>155</v>
      </c>
      <c r="AY83" s="76">
        <f t="shared" si="14"/>
        <v>3.870967741935484E-2</v>
      </c>
      <c r="AZ83" s="67">
        <f t="shared" si="22"/>
        <v>5</v>
      </c>
      <c r="BA83" s="76">
        <f t="shared" si="25"/>
        <v>0.16129032258064516</v>
      </c>
      <c r="BC83" s="67">
        <f t="shared" si="23"/>
        <v>2</v>
      </c>
      <c r="BD83" s="67">
        <f t="shared" si="24"/>
        <v>3</v>
      </c>
    </row>
    <row r="84" spans="1:56">
      <c r="A84" s="8">
        <v>171</v>
      </c>
      <c r="B84" s="8" t="s">
        <v>58</v>
      </c>
      <c r="C84" s="8" t="s">
        <v>358</v>
      </c>
      <c r="D84" s="8" t="s">
        <v>6</v>
      </c>
      <c r="E84" s="269"/>
      <c r="F84" s="20"/>
      <c r="G84" s="20"/>
      <c r="H84" s="20"/>
      <c r="I84" s="20"/>
      <c r="J84" s="20"/>
      <c r="K84" s="20"/>
      <c r="L84" s="270"/>
      <c r="M84" s="269"/>
      <c r="N84" s="20"/>
      <c r="O84" s="20"/>
      <c r="P84" s="20" t="s">
        <v>435</v>
      </c>
      <c r="Q84" s="20"/>
      <c r="R84" s="20"/>
      <c r="S84" s="20" t="s">
        <v>436</v>
      </c>
      <c r="T84" s="270"/>
      <c r="U84" s="269"/>
      <c r="V84" s="20"/>
      <c r="W84" s="20"/>
      <c r="X84" s="20"/>
      <c r="Y84" s="20"/>
      <c r="Z84" s="20"/>
      <c r="AA84" s="20"/>
      <c r="AB84" s="270"/>
      <c r="AC84" s="269"/>
      <c r="AD84" s="20"/>
      <c r="AE84" s="20"/>
      <c r="AF84" s="20"/>
      <c r="AG84" s="20"/>
      <c r="AH84" s="20"/>
      <c r="AI84" s="20"/>
      <c r="AJ84" s="270"/>
      <c r="AK84" s="8">
        <v>171</v>
      </c>
      <c r="AM84" s="67">
        <v>1</v>
      </c>
      <c r="AO84" s="67">
        <f t="shared" si="15"/>
        <v>0</v>
      </c>
      <c r="AP84" s="67">
        <f t="shared" si="16"/>
        <v>0</v>
      </c>
      <c r="AQ84" s="67">
        <f t="shared" si="17"/>
        <v>0</v>
      </c>
      <c r="AR84" s="67">
        <f t="shared" si="18"/>
        <v>0</v>
      </c>
      <c r="AS84" s="67">
        <f t="shared" si="19"/>
        <v>1</v>
      </c>
      <c r="AT84" s="67">
        <f t="shared" si="20"/>
        <v>1</v>
      </c>
      <c r="AU84" s="67">
        <f t="shared" si="21"/>
        <v>2</v>
      </c>
      <c r="AW84" s="256">
        <v>28</v>
      </c>
      <c r="AX84" s="67">
        <f t="shared" si="13"/>
        <v>140</v>
      </c>
      <c r="AY84" s="76">
        <f t="shared" si="14"/>
        <v>1.4285714285714285E-2</v>
      </c>
      <c r="AZ84" s="67">
        <f t="shared" si="22"/>
        <v>2</v>
      </c>
      <c r="BA84" s="76">
        <f t="shared" si="25"/>
        <v>7.1428571428571425E-2</v>
      </c>
      <c r="BC84" s="67">
        <f t="shared" si="23"/>
        <v>2</v>
      </c>
      <c r="BD84" s="67">
        <f t="shared" si="24"/>
        <v>0</v>
      </c>
    </row>
    <row r="85" spans="1:56">
      <c r="A85" s="67">
        <v>172</v>
      </c>
      <c r="B85" s="67" t="s">
        <v>71</v>
      </c>
      <c r="C85" s="8" t="s">
        <v>452</v>
      </c>
      <c r="D85" s="67" t="s">
        <v>6</v>
      </c>
      <c r="E85" s="269"/>
      <c r="F85" s="20"/>
      <c r="G85" s="20"/>
      <c r="H85" s="20"/>
      <c r="I85" s="20"/>
      <c r="J85" s="20"/>
      <c r="K85" s="20"/>
      <c r="L85" s="270"/>
      <c r="M85" s="269"/>
      <c r="N85" s="20"/>
      <c r="O85" s="20"/>
      <c r="P85" s="20"/>
      <c r="Q85" s="20"/>
      <c r="R85" s="20"/>
      <c r="S85" s="20"/>
      <c r="T85" s="270"/>
      <c r="U85" s="269"/>
      <c r="V85" s="20"/>
      <c r="W85" s="20"/>
      <c r="X85" s="20"/>
      <c r="Y85" s="20"/>
      <c r="Z85" s="20"/>
      <c r="AA85" s="20"/>
      <c r="AB85" s="270"/>
      <c r="AC85" s="269"/>
      <c r="AD85" s="20"/>
      <c r="AE85" s="20"/>
      <c r="AF85" s="20"/>
      <c r="AG85" s="20"/>
      <c r="AH85" s="20"/>
      <c r="AI85" s="20"/>
      <c r="AJ85" s="270"/>
      <c r="AK85" s="67">
        <v>172</v>
      </c>
      <c r="AL85" s="67">
        <v>1</v>
      </c>
      <c r="AO85" s="67">
        <f t="shared" si="15"/>
        <v>0</v>
      </c>
      <c r="AP85" s="67">
        <f t="shared" si="16"/>
        <v>0</v>
      </c>
      <c r="AQ85" s="67">
        <f t="shared" si="17"/>
        <v>0</v>
      </c>
      <c r="AR85" s="67">
        <f t="shared" si="18"/>
        <v>0</v>
      </c>
      <c r="AS85" s="67">
        <f t="shared" si="19"/>
        <v>0</v>
      </c>
      <c r="AT85" s="67">
        <f t="shared" si="20"/>
        <v>0</v>
      </c>
      <c r="AU85" s="67">
        <f t="shared" si="21"/>
        <v>0</v>
      </c>
      <c r="AW85" s="256">
        <v>31</v>
      </c>
      <c r="AX85" s="67">
        <f t="shared" si="13"/>
        <v>155</v>
      </c>
      <c r="AY85" s="76">
        <f t="shared" si="14"/>
        <v>0</v>
      </c>
      <c r="AZ85" s="67">
        <f t="shared" si="22"/>
        <v>0</v>
      </c>
      <c r="BA85" s="76">
        <f t="shared" si="25"/>
        <v>0</v>
      </c>
      <c r="BC85" s="67">
        <f t="shared" si="23"/>
        <v>0</v>
      </c>
      <c r="BD85" s="67">
        <f t="shared" si="24"/>
        <v>0</v>
      </c>
    </row>
    <row r="86" spans="1:56">
      <c r="A86" s="67">
        <v>174</v>
      </c>
      <c r="B86" s="67" t="s">
        <v>141</v>
      </c>
      <c r="C86" s="8" t="s">
        <v>346</v>
      </c>
      <c r="E86" s="269"/>
      <c r="F86" s="20"/>
      <c r="G86" s="20"/>
      <c r="H86" s="20"/>
      <c r="I86" s="20"/>
      <c r="J86" s="20"/>
      <c r="K86" s="20"/>
      <c r="L86" s="270"/>
      <c r="M86" s="269"/>
      <c r="N86" s="20"/>
      <c r="O86" s="20"/>
      <c r="P86" s="20"/>
      <c r="Q86" s="20"/>
      <c r="R86" s="20"/>
      <c r="S86" s="20"/>
      <c r="T86" s="270"/>
      <c r="U86" s="269"/>
      <c r="V86" s="20"/>
      <c r="W86" s="20"/>
      <c r="X86" s="20"/>
      <c r="Y86" s="20"/>
      <c r="Z86" s="20"/>
      <c r="AA86" s="20"/>
      <c r="AB86" s="270"/>
      <c r="AC86" s="269"/>
      <c r="AD86" s="20"/>
      <c r="AE86" s="20"/>
      <c r="AF86" s="20"/>
      <c r="AG86" s="20"/>
      <c r="AH86" s="20"/>
      <c r="AI86" s="20"/>
      <c r="AJ86" s="270"/>
      <c r="AK86" s="67">
        <v>174</v>
      </c>
      <c r="AL86" s="67">
        <v>1</v>
      </c>
      <c r="AO86" s="67">
        <f t="shared" si="15"/>
        <v>0</v>
      </c>
      <c r="AP86" s="67">
        <f t="shared" si="16"/>
        <v>0</v>
      </c>
      <c r="AQ86" s="67">
        <f t="shared" si="17"/>
        <v>0</v>
      </c>
      <c r="AR86" s="67">
        <f t="shared" si="18"/>
        <v>0</v>
      </c>
      <c r="AS86" s="67">
        <f t="shared" si="19"/>
        <v>0</v>
      </c>
      <c r="AT86" s="67">
        <f t="shared" si="20"/>
        <v>0</v>
      </c>
      <c r="AU86" s="67">
        <f t="shared" si="21"/>
        <v>0</v>
      </c>
      <c r="AW86" s="256">
        <v>20</v>
      </c>
      <c r="AX86" s="67">
        <f t="shared" si="13"/>
        <v>100</v>
      </c>
      <c r="AY86" s="76">
        <f t="shared" si="14"/>
        <v>0</v>
      </c>
      <c r="AZ86" s="67">
        <f t="shared" si="22"/>
        <v>0</v>
      </c>
      <c r="BA86" s="76">
        <f t="shared" si="25"/>
        <v>0</v>
      </c>
      <c r="BC86" s="67">
        <f t="shared" si="23"/>
        <v>0</v>
      </c>
      <c r="BD86" s="67">
        <f t="shared" si="24"/>
        <v>0</v>
      </c>
    </row>
    <row r="87" spans="1:56">
      <c r="A87" s="67">
        <v>176</v>
      </c>
      <c r="B87" s="67" t="s">
        <v>44</v>
      </c>
      <c r="C87" s="8" t="s">
        <v>349</v>
      </c>
      <c r="D87" s="67" t="s">
        <v>42</v>
      </c>
      <c r="E87" s="269"/>
      <c r="F87" s="20"/>
      <c r="G87" s="20"/>
      <c r="H87" s="20"/>
      <c r="I87" s="20"/>
      <c r="J87" s="20"/>
      <c r="K87" s="20"/>
      <c r="L87" s="270"/>
      <c r="M87" s="269"/>
      <c r="N87" s="20"/>
      <c r="O87" s="20"/>
      <c r="P87" s="20"/>
      <c r="Q87" s="20"/>
      <c r="R87" s="20"/>
      <c r="S87" s="20"/>
      <c r="T87" s="270"/>
      <c r="U87" s="269" t="s">
        <v>442</v>
      </c>
      <c r="V87" s="20"/>
      <c r="W87" s="20"/>
      <c r="X87" s="20"/>
      <c r="Y87" s="20" t="s">
        <v>434</v>
      </c>
      <c r="Z87" s="20"/>
      <c r="AA87" s="20"/>
      <c r="AB87" s="270"/>
      <c r="AC87" s="269"/>
      <c r="AD87" s="20"/>
      <c r="AE87" s="20"/>
      <c r="AF87" s="20"/>
      <c r="AG87" s="20"/>
      <c r="AH87" s="20"/>
      <c r="AI87" s="20"/>
      <c r="AJ87" s="270"/>
      <c r="AK87" s="67">
        <v>176</v>
      </c>
      <c r="AM87" s="67">
        <v>1</v>
      </c>
      <c r="AO87" s="67">
        <f t="shared" si="15"/>
        <v>1</v>
      </c>
      <c r="AP87" s="67">
        <f t="shared" si="16"/>
        <v>1</v>
      </c>
      <c r="AQ87" s="67">
        <f t="shared" si="17"/>
        <v>0</v>
      </c>
      <c r="AR87" s="67">
        <f t="shared" si="18"/>
        <v>2</v>
      </c>
      <c r="AS87" s="67">
        <f t="shared" si="19"/>
        <v>1</v>
      </c>
      <c r="AT87" s="67">
        <f t="shared" si="20"/>
        <v>1</v>
      </c>
      <c r="AU87" s="67">
        <f t="shared" si="21"/>
        <v>6</v>
      </c>
      <c r="AW87" s="256">
        <v>15</v>
      </c>
      <c r="AX87" s="67">
        <f t="shared" si="13"/>
        <v>75</v>
      </c>
      <c r="AY87" s="76">
        <f t="shared" si="14"/>
        <v>0.08</v>
      </c>
      <c r="AZ87" s="67">
        <f t="shared" si="22"/>
        <v>2</v>
      </c>
      <c r="BA87" s="76">
        <f t="shared" si="25"/>
        <v>0.13333333333333333</v>
      </c>
      <c r="BC87" s="67">
        <f t="shared" si="23"/>
        <v>0</v>
      </c>
      <c r="BD87" s="67">
        <f t="shared" si="24"/>
        <v>2</v>
      </c>
    </row>
    <row r="88" spans="1:56">
      <c r="A88" s="67">
        <v>178</v>
      </c>
      <c r="B88" s="67" t="s">
        <v>5</v>
      </c>
      <c r="C88" s="8" t="s">
        <v>42</v>
      </c>
      <c r="D88" s="67" t="s">
        <v>6</v>
      </c>
      <c r="E88" s="269"/>
      <c r="F88" s="5" t="s">
        <v>435</v>
      </c>
      <c r="G88" s="20"/>
      <c r="H88" s="20"/>
      <c r="I88" s="20"/>
      <c r="J88" s="20"/>
      <c r="K88" s="20"/>
      <c r="L88" s="270"/>
      <c r="M88" s="269"/>
      <c r="N88" s="20"/>
      <c r="O88" s="20"/>
      <c r="P88" s="20"/>
      <c r="Q88" s="20" t="s">
        <v>442</v>
      </c>
      <c r="R88" s="20"/>
      <c r="S88" s="20"/>
      <c r="T88" s="270"/>
      <c r="U88" s="269"/>
      <c r="V88" s="20"/>
      <c r="W88" s="20" t="s">
        <v>442</v>
      </c>
      <c r="X88" s="20"/>
      <c r="Y88" s="20"/>
      <c r="Z88" s="20"/>
      <c r="AA88" s="20"/>
      <c r="AB88" s="270"/>
      <c r="AC88" s="269"/>
      <c r="AD88" s="20"/>
      <c r="AE88" s="20"/>
      <c r="AF88" s="20"/>
      <c r="AG88" s="20"/>
      <c r="AH88" s="20"/>
      <c r="AI88" s="20"/>
      <c r="AJ88" s="270"/>
      <c r="AK88" s="67">
        <v>178</v>
      </c>
      <c r="AM88" s="67">
        <v>1</v>
      </c>
      <c r="AO88" s="67">
        <f t="shared" si="15"/>
        <v>2</v>
      </c>
      <c r="AP88" s="67">
        <f t="shared" si="16"/>
        <v>2</v>
      </c>
      <c r="AQ88" s="67">
        <f t="shared" si="17"/>
        <v>0</v>
      </c>
      <c r="AR88" s="67">
        <f t="shared" si="18"/>
        <v>2</v>
      </c>
      <c r="AS88" s="67">
        <f t="shared" si="19"/>
        <v>3</v>
      </c>
      <c r="AT88" s="67">
        <f t="shared" si="20"/>
        <v>2</v>
      </c>
      <c r="AU88" s="67">
        <f t="shared" si="21"/>
        <v>11</v>
      </c>
      <c r="AW88" s="256">
        <v>29</v>
      </c>
      <c r="AX88" s="67">
        <f t="shared" si="13"/>
        <v>145</v>
      </c>
      <c r="AY88" s="76">
        <f t="shared" si="14"/>
        <v>7.586206896551724E-2</v>
      </c>
      <c r="AZ88" s="67">
        <f t="shared" si="22"/>
        <v>3</v>
      </c>
      <c r="BA88" s="76">
        <f t="shared" si="25"/>
        <v>0.10344827586206896</v>
      </c>
      <c r="BC88" s="67">
        <f t="shared" si="23"/>
        <v>2</v>
      </c>
      <c r="BD88" s="67">
        <f t="shared" si="24"/>
        <v>1</v>
      </c>
    </row>
    <row r="89" spans="1:56">
      <c r="A89" s="8">
        <v>179</v>
      </c>
      <c r="B89" s="8" t="s">
        <v>48</v>
      </c>
      <c r="C89" s="8" t="s">
        <v>357</v>
      </c>
      <c r="D89" s="8"/>
      <c r="E89" s="269"/>
      <c r="F89" s="20"/>
      <c r="G89" s="20"/>
      <c r="H89" s="20"/>
      <c r="I89" s="20"/>
      <c r="J89" s="20"/>
      <c r="K89" s="20"/>
      <c r="L89" s="270"/>
      <c r="M89" s="269"/>
      <c r="N89" s="20"/>
      <c r="O89" s="20"/>
      <c r="P89" s="20"/>
      <c r="Q89" s="20" t="s">
        <v>436</v>
      </c>
      <c r="R89" s="20"/>
      <c r="S89" s="20"/>
      <c r="T89" s="270"/>
      <c r="U89" s="269"/>
      <c r="V89" s="20"/>
      <c r="W89" s="20"/>
      <c r="X89" s="20"/>
      <c r="Y89" s="20"/>
      <c r="Z89" s="20"/>
      <c r="AA89" s="20"/>
      <c r="AB89" s="270"/>
      <c r="AC89" s="269"/>
      <c r="AD89" s="20"/>
      <c r="AE89" s="20"/>
      <c r="AF89" s="20"/>
      <c r="AG89" s="20" t="s">
        <v>443</v>
      </c>
      <c r="AH89" s="20"/>
      <c r="AI89" s="20"/>
      <c r="AJ89" s="270"/>
      <c r="AK89" s="8">
        <v>179</v>
      </c>
      <c r="AM89" s="67">
        <v>1</v>
      </c>
      <c r="AO89" s="67">
        <f t="shared" si="15"/>
        <v>0</v>
      </c>
      <c r="AP89" s="67">
        <f t="shared" si="16"/>
        <v>0</v>
      </c>
      <c r="AQ89" s="67">
        <f t="shared" si="17"/>
        <v>0</v>
      </c>
      <c r="AR89" s="67">
        <f t="shared" si="18"/>
        <v>0</v>
      </c>
      <c r="AS89" s="67">
        <f t="shared" si="19"/>
        <v>1</v>
      </c>
      <c r="AT89" s="67">
        <f t="shared" si="20"/>
        <v>2</v>
      </c>
      <c r="AU89" s="67">
        <f t="shared" si="21"/>
        <v>3</v>
      </c>
      <c r="AW89" s="256">
        <v>21</v>
      </c>
      <c r="AX89" s="67">
        <f t="shared" si="13"/>
        <v>105</v>
      </c>
      <c r="AY89" s="76">
        <f t="shared" si="14"/>
        <v>2.8571428571428571E-2</v>
      </c>
      <c r="AZ89" s="67">
        <f t="shared" si="22"/>
        <v>2</v>
      </c>
      <c r="BA89" s="76">
        <f t="shared" si="25"/>
        <v>9.5238095238095233E-2</v>
      </c>
      <c r="BC89" s="67">
        <f t="shared" si="23"/>
        <v>1</v>
      </c>
      <c r="BD89" s="67">
        <f t="shared" si="24"/>
        <v>1</v>
      </c>
    </row>
    <row r="90" spans="1:56">
      <c r="A90" s="67">
        <v>180</v>
      </c>
      <c r="B90" s="67" t="s">
        <v>143</v>
      </c>
      <c r="C90" s="8" t="s">
        <v>357</v>
      </c>
      <c r="E90" s="269"/>
      <c r="F90" s="20"/>
      <c r="G90" s="20"/>
      <c r="H90" s="20"/>
      <c r="I90" s="20"/>
      <c r="J90" s="20"/>
      <c r="K90" s="20"/>
      <c r="L90" s="270"/>
      <c r="M90" s="269"/>
      <c r="N90" s="20"/>
      <c r="O90" s="20"/>
      <c r="P90" s="20"/>
      <c r="Q90" s="20"/>
      <c r="R90" s="20"/>
      <c r="S90" s="20"/>
      <c r="T90" s="270"/>
      <c r="U90" s="269"/>
      <c r="V90" s="20"/>
      <c r="W90" s="20"/>
      <c r="X90" s="20"/>
      <c r="Y90" s="20"/>
      <c r="Z90" s="20"/>
      <c r="AA90" s="20"/>
      <c r="AB90" s="270"/>
      <c r="AC90" s="269"/>
      <c r="AD90" s="20"/>
      <c r="AE90" s="20"/>
      <c r="AF90" s="20"/>
      <c r="AG90" s="20"/>
      <c r="AH90" s="20"/>
      <c r="AI90" s="20"/>
      <c r="AJ90" s="270"/>
      <c r="AK90" s="67">
        <v>180</v>
      </c>
      <c r="AL90" s="67">
        <v>1</v>
      </c>
      <c r="AO90" s="67">
        <f t="shared" si="15"/>
        <v>0</v>
      </c>
      <c r="AP90" s="67">
        <f t="shared" si="16"/>
        <v>0</v>
      </c>
      <c r="AQ90" s="67">
        <f t="shared" si="17"/>
        <v>0</v>
      </c>
      <c r="AR90" s="67">
        <f t="shared" si="18"/>
        <v>0</v>
      </c>
      <c r="AS90" s="67">
        <f t="shared" si="19"/>
        <v>0</v>
      </c>
      <c r="AT90" s="67">
        <f t="shared" si="20"/>
        <v>0</v>
      </c>
      <c r="AU90" s="67">
        <f t="shared" si="21"/>
        <v>0</v>
      </c>
      <c r="AW90" s="256">
        <v>22</v>
      </c>
      <c r="AX90" s="67">
        <f t="shared" si="13"/>
        <v>110</v>
      </c>
      <c r="AY90" s="76">
        <f t="shared" si="14"/>
        <v>0</v>
      </c>
      <c r="AZ90" s="67">
        <f t="shared" si="22"/>
        <v>0</v>
      </c>
      <c r="BA90" s="76">
        <f t="shared" si="25"/>
        <v>0</v>
      </c>
      <c r="BC90" s="67">
        <f t="shared" si="23"/>
        <v>0</v>
      </c>
      <c r="BD90" s="67">
        <f t="shared" si="24"/>
        <v>0</v>
      </c>
    </row>
    <row r="91" spans="1:56">
      <c r="A91" s="67">
        <v>181</v>
      </c>
      <c r="B91" s="67" t="s">
        <v>145</v>
      </c>
      <c r="C91" s="8" t="s">
        <v>357</v>
      </c>
      <c r="D91" s="67" t="s">
        <v>15</v>
      </c>
      <c r="E91" s="269"/>
      <c r="F91" s="20"/>
      <c r="G91" s="5" t="s">
        <v>442</v>
      </c>
      <c r="H91" s="20"/>
      <c r="I91" s="20"/>
      <c r="J91" s="20"/>
      <c r="K91" s="20"/>
      <c r="L91" s="270"/>
      <c r="M91" s="269"/>
      <c r="N91" s="20"/>
      <c r="O91" s="20"/>
      <c r="P91" s="20"/>
      <c r="Q91" s="20"/>
      <c r="R91" s="20"/>
      <c r="S91" s="20"/>
      <c r="T91" s="270"/>
      <c r="U91" s="269"/>
      <c r="V91" s="20"/>
      <c r="W91" s="20" t="s">
        <v>442</v>
      </c>
      <c r="X91" s="20"/>
      <c r="Y91" s="20"/>
      <c r="Z91" s="20"/>
      <c r="AA91" s="20"/>
      <c r="AB91" s="270"/>
      <c r="AC91" s="269"/>
      <c r="AD91" s="20"/>
      <c r="AE91" s="20"/>
      <c r="AF91" s="20"/>
      <c r="AG91" s="20"/>
      <c r="AH91" s="20"/>
      <c r="AI91" s="20" t="s">
        <v>434</v>
      </c>
      <c r="AJ91" s="270"/>
      <c r="AK91" s="67">
        <v>181</v>
      </c>
      <c r="AM91" s="67">
        <v>1</v>
      </c>
      <c r="AO91" s="67">
        <f t="shared" si="15"/>
        <v>2</v>
      </c>
      <c r="AP91" s="67">
        <f t="shared" si="16"/>
        <v>2</v>
      </c>
      <c r="AQ91" s="67">
        <f t="shared" si="17"/>
        <v>0</v>
      </c>
      <c r="AR91" s="67">
        <f t="shared" si="18"/>
        <v>3</v>
      </c>
      <c r="AS91" s="67">
        <f t="shared" si="19"/>
        <v>2</v>
      </c>
      <c r="AT91" s="67">
        <f t="shared" si="20"/>
        <v>2</v>
      </c>
      <c r="AU91" s="67">
        <f t="shared" si="21"/>
        <v>11</v>
      </c>
      <c r="AW91" s="256">
        <v>28</v>
      </c>
      <c r="AX91" s="67">
        <f t="shared" si="13"/>
        <v>140</v>
      </c>
      <c r="AY91" s="76">
        <f t="shared" si="14"/>
        <v>7.857142857142857E-2</v>
      </c>
      <c r="AZ91" s="67">
        <f t="shared" si="22"/>
        <v>3</v>
      </c>
      <c r="BA91" s="76">
        <f t="shared" si="25"/>
        <v>0.10714285714285714</v>
      </c>
      <c r="BC91" s="67">
        <f t="shared" si="23"/>
        <v>1</v>
      </c>
      <c r="BD91" s="67">
        <f t="shared" si="24"/>
        <v>2</v>
      </c>
    </row>
    <row r="92" spans="1:56">
      <c r="A92" s="67">
        <v>185</v>
      </c>
      <c r="B92" s="67" t="s">
        <v>5</v>
      </c>
      <c r="C92" s="8" t="s">
        <v>42</v>
      </c>
      <c r="D92" s="67" t="s">
        <v>42</v>
      </c>
      <c r="E92" s="269"/>
      <c r="F92" s="20"/>
      <c r="G92" s="20"/>
      <c r="H92" s="20"/>
      <c r="I92" s="20"/>
      <c r="J92" s="20"/>
      <c r="K92" s="20"/>
      <c r="L92" s="270"/>
      <c r="M92" s="269"/>
      <c r="N92" s="20"/>
      <c r="O92" s="20"/>
      <c r="P92" s="20"/>
      <c r="Q92" s="20"/>
      <c r="R92" s="20" t="s">
        <v>442</v>
      </c>
      <c r="S92" s="20"/>
      <c r="T92" s="270" t="s">
        <v>434</v>
      </c>
      <c r="U92" s="269"/>
      <c r="V92" s="20"/>
      <c r="W92" s="20"/>
      <c r="X92" s="20"/>
      <c r="Y92" s="20"/>
      <c r="Z92" s="20"/>
      <c r="AA92" s="20"/>
      <c r="AB92" s="270"/>
      <c r="AC92" s="269"/>
      <c r="AD92" s="20"/>
      <c r="AE92" s="20"/>
      <c r="AF92" s="20"/>
      <c r="AG92" s="20"/>
      <c r="AH92" s="20"/>
      <c r="AI92" s="20"/>
      <c r="AJ92" s="270"/>
      <c r="AK92" s="67">
        <v>185</v>
      </c>
      <c r="AM92" s="67">
        <v>1</v>
      </c>
      <c r="AO92" s="67">
        <f t="shared" si="15"/>
        <v>1</v>
      </c>
      <c r="AP92" s="67">
        <f t="shared" si="16"/>
        <v>1</v>
      </c>
      <c r="AQ92" s="67">
        <f t="shared" si="17"/>
        <v>0</v>
      </c>
      <c r="AR92" s="67">
        <f t="shared" si="18"/>
        <v>2</v>
      </c>
      <c r="AS92" s="67">
        <f t="shared" si="19"/>
        <v>1</v>
      </c>
      <c r="AT92" s="67">
        <f t="shared" si="20"/>
        <v>1</v>
      </c>
      <c r="AU92" s="67">
        <f t="shared" si="21"/>
        <v>6</v>
      </c>
      <c r="AW92" s="256">
        <v>32</v>
      </c>
      <c r="AX92" s="67">
        <f t="shared" si="13"/>
        <v>160</v>
      </c>
      <c r="AY92" s="76">
        <f t="shared" si="14"/>
        <v>3.7499999999999999E-2</v>
      </c>
      <c r="AZ92" s="67">
        <f t="shared" si="22"/>
        <v>2</v>
      </c>
      <c r="BA92" s="76">
        <f t="shared" si="25"/>
        <v>6.25E-2</v>
      </c>
      <c r="BC92" s="67">
        <f t="shared" si="23"/>
        <v>2</v>
      </c>
      <c r="BD92" s="67">
        <f t="shared" si="24"/>
        <v>0</v>
      </c>
    </row>
    <row r="93" spans="1:56">
      <c r="A93" s="67">
        <v>187</v>
      </c>
      <c r="B93" s="67" t="s">
        <v>44</v>
      </c>
      <c r="C93" s="8" t="s">
        <v>349</v>
      </c>
      <c r="D93" s="67" t="s">
        <v>6</v>
      </c>
      <c r="E93" s="269" t="s">
        <v>436</v>
      </c>
      <c r="F93" s="5" t="s">
        <v>442</v>
      </c>
      <c r="G93" s="20"/>
      <c r="H93" s="20"/>
      <c r="I93" s="20"/>
      <c r="J93" s="20"/>
      <c r="K93" s="20"/>
      <c r="L93" s="270"/>
      <c r="M93" s="269"/>
      <c r="N93" s="20"/>
      <c r="O93" s="20"/>
      <c r="P93" s="20"/>
      <c r="Q93" s="20" t="s">
        <v>442</v>
      </c>
      <c r="R93" s="20" t="s">
        <v>434</v>
      </c>
      <c r="S93" s="20" t="s">
        <v>435</v>
      </c>
      <c r="T93" s="270" t="s">
        <v>434</v>
      </c>
      <c r="U93" s="269"/>
      <c r="V93" s="20"/>
      <c r="W93" s="20"/>
      <c r="X93" s="20"/>
      <c r="Y93" s="20"/>
      <c r="Z93" s="20" t="s">
        <v>433</v>
      </c>
      <c r="AA93" s="20"/>
      <c r="AB93" s="270"/>
      <c r="AC93" s="269"/>
      <c r="AD93" s="20"/>
      <c r="AE93" s="20"/>
      <c r="AF93" s="20" t="s">
        <v>435</v>
      </c>
      <c r="AG93" s="20" t="s">
        <v>434</v>
      </c>
      <c r="AH93" s="20"/>
      <c r="AI93" s="20"/>
      <c r="AJ93" s="270"/>
      <c r="AK93" s="67">
        <v>187</v>
      </c>
      <c r="AM93" s="67">
        <v>1</v>
      </c>
      <c r="AO93" s="67">
        <f t="shared" si="15"/>
        <v>2</v>
      </c>
      <c r="AP93" s="67">
        <f t="shared" si="16"/>
        <v>2</v>
      </c>
      <c r="AQ93" s="67">
        <f t="shared" si="17"/>
        <v>1</v>
      </c>
      <c r="AR93" s="67">
        <f t="shared" si="18"/>
        <v>5</v>
      </c>
      <c r="AS93" s="67">
        <f t="shared" si="19"/>
        <v>4</v>
      </c>
      <c r="AT93" s="67">
        <f t="shared" si="20"/>
        <v>3</v>
      </c>
      <c r="AU93" s="67">
        <f t="shared" si="21"/>
        <v>17</v>
      </c>
      <c r="AW93" s="256">
        <v>20</v>
      </c>
      <c r="AX93" s="67">
        <f t="shared" si="13"/>
        <v>100</v>
      </c>
      <c r="AY93" s="76">
        <f t="shared" si="14"/>
        <v>0.17</v>
      </c>
      <c r="AZ93" s="67">
        <f t="shared" si="22"/>
        <v>9</v>
      </c>
      <c r="BA93" s="76">
        <f t="shared" si="25"/>
        <v>0.45</v>
      </c>
      <c r="BC93" s="67">
        <f t="shared" si="23"/>
        <v>6</v>
      </c>
      <c r="BD93" s="67">
        <f t="shared" si="24"/>
        <v>3</v>
      </c>
    </row>
    <row r="94" spans="1:56">
      <c r="A94" s="67">
        <v>192</v>
      </c>
      <c r="B94" s="67" t="s">
        <v>149</v>
      </c>
      <c r="C94" s="8" t="s">
        <v>346</v>
      </c>
      <c r="E94" s="269"/>
      <c r="F94" s="20"/>
      <c r="G94" s="20"/>
      <c r="H94" s="20"/>
      <c r="I94" s="20"/>
      <c r="J94" s="20"/>
      <c r="K94" s="20"/>
      <c r="L94" s="270"/>
      <c r="M94" s="269"/>
      <c r="N94" s="20"/>
      <c r="O94" s="20"/>
      <c r="P94" s="20"/>
      <c r="Q94" s="20"/>
      <c r="R94" s="20"/>
      <c r="S94" s="20"/>
      <c r="T94" s="270"/>
      <c r="U94" s="269"/>
      <c r="V94" s="20"/>
      <c r="W94" s="20"/>
      <c r="X94" s="20"/>
      <c r="Y94" s="20"/>
      <c r="Z94" s="20"/>
      <c r="AA94" s="20"/>
      <c r="AB94" s="270"/>
      <c r="AC94" s="269"/>
      <c r="AD94" s="20"/>
      <c r="AE94" s="20"/>
      <c r="AF94" s="20"/>
      <c r="AG94" s="20"/>
      <c r="AH94" s="20"/>
      <c r="AI94" s="20"/>
      <c r="AJ94" s="270"/>
      <c r="AK94" s="67">
        <v>192</v>
      </c>
      <c r="AL94" s="67">
        <v>1</v>
      </c>
      <c r="AO94" s="67">
        <f t="shared" si="15"/>
        <v>0</v>
      </c>
      <c r="AP94" s="67">
        <f t="shared" si="16"/>
        <v>0</v>
      </c>
      <c r="AQ94" s="67">
        <f t="shared" si="17"/>
        <v>0</v>
      </c>
      <c r="AR94" s="67">
        <f t="shared" si="18"/>
        <v>0</v>
      </c>
      <c r="AS94" s="67">
        <f t="shared" si="19"/>
        <v>0</v>
      </c>
      <c r="AT94" s="67">
        <f t="shared" si="20"/>
        <v>0</v>
      </c>
      <c r="AU94" s="67">
        <f t="shared" si="21"/>
        <v>0</v>
      </c>
      <c r="AW94" s="256">
        <v>20</v>
      </c>
      <c r="AX94" s="67">
        <f t="shared" si="13"/>
        <v>100</v>
      </c>
      <c r="AY94" s="76">
        <f t="shared" si="14"/>
        <v>0</v>
      </c>
      <c r="AZ94" s="67">
        <f t="shared" si="22"/>
        <v>0</v>
      </c>
      <c r="BA94" s="76">
        <f t="shared" si="25"/>
        <v>0</v>
      </c>
      <c r="BC94" s="67">
        <f t="shared" si="23"/>
        <v>0</v>
      </c>
      <c r="BD94" s="67">
        <f t="shared" si="24"/>
        <v>0</v>
      </c>
    </row>
    <row r="95" spans="1:56">
      <c r="A95" s="67">
        <v>193</v>
      </c>
      <c r="B95" s="67" t="s">
        <v>123</v>
      </c>
      <c r="C95" s="8" t="s">
        <v>366</v>
      </c>
      <c r="D95" s="67" t="s">
        <v>6</v>
      </c>
      <c r="E95" s="269" t="s">
        <v>434</v>
      </c>
      <c r="F95" s="5" t="s">
        <v>442</v>
      </c>
      <c r="G95" s="5" t="s">
        <v>442</v>
      </c>
      <c r="H95" s="5" t="s">
        <v>442</v>
      </c>
      <c r="I95" s="20"/>
      <c r="J95" s="20"/>
      <c r="K95" s="20"/>
      <c r="L95" s="270"/>
      <c r="M95" s="269"/>
      <c r="N95" s="20"/>
      <c r="O95" s="20"/>
      <c r="P95" s="20" t="s">
        <v>442</v>
      </c>
      <c r="Q95" s="5" t="s">
        <v>443</v>
      </c>
      <c r="R95" s="20" t="s">
        <v>442</v>
      </c>
      <c r="S95" s="5" t="s">
        <v>446</v>
      </c>
      <c r="T95" s="270" t="s">
        <v>457</v>
      </c>
      <c r="U95" s="269" t="s">
        <v>442</v>
      </c>
      <c r="V95" s="5" t="s">
        <v>442</v>
      </c>
      <c r="W95" s="20"/>
      <c r="X95" s="5" t="s">
        <v>442</v>
      </c>
      <c r="Y95" s="5" t="s">
        <v>442</v>
      </c>
      <c r="Z95" s="20"/>
      <c r="AA95" s="20"/>
      <c r="AB95" s="270"/>
      <c r="AC95" s="269"/>
      <c r="AD95" s="20"/>
      <c r="AE95" s="20"/>
      <c r="AF95" s="20" t="s">
        <v>442</v>
      </c>
      <c r="AG95" s="20"/>
      <c r="AH95" s="20"/>
      <c r="AI95" s="20" t="s">
        <v>458</v>
      </c>
      <c r="AJ95" s="270"/>
      <c r="AK95" s="67">
        <v>193</v>
      </c>
      <c r="AM95" s="67">
        <v>1</v>
      </c>
      <c r="AO95" s="67">
        <f t="shared" si="15"/>
        <v>11</v>
      </c>
      <c r="AP95" s="67">
        <f t="shared" si="16"/>
        <v>11</v>
      </c>
      <c r="AQ95" s="67">
        <f t="shared" si="17"/>
        <v>0</v>
      </c>
      <c r="AR95" s="67">
        <f t="shared" si="18"/>
        <v>13</v>
      </c>
      <c r="AS95" s="67">
        <f t="shared" si="19"/>
        <v>13</v>
      </c>
      <c r="AT95" s="67">
        <f t="shared" si="20"/>
        <v>12</v>
      </c>
      <c r="AU95" s="67">
        <f t="shared" si="21"/>
        <v>60</v>
      </c>
      <c r="AW95" s="256">
        <v>29</v>
      </c>
      <c r="AX95" s="67">
        <f t="shared" si="13"/>
        <v>145</v>
      </c>
      <c r="AY95" s="76">
        <f t="shared" si="14"/>
        <v>0.41379310344827586</v>
      </c>
      <c r="AZ95" s="67">
        <f t="shared" si="22"/>
        <v>15</v>
      </c>
      <c r="BA95" s="76">
        <f t="shared" si="25"/>
        <v>0.51724137931034486</v>
      </c>
      <c r="BC95" s="67">
        <f t="shared" si="23"/>
        <v>9</v>
      </c>
      <c r="BD95" s="67">
        <f t="shared" si="24"/>
        <v>6</v>
      </c>
    </row>
    <row r="96" spans="1:56">
      <c r="A96" s="67">
        <v>194</v>
      </c>
      <c r="B96" s="67" t="s">
        <v>62</v>
      </c>
      <c r="C96" s="8" t="s">
        <v>42</v>
      </c>
      <c r="D96" s="67" t="s">
        <v>42</v>
      </c>
      <c r="E96" s="269"/>
      <c r="F96" s="5" t="s">
        <v>435</v>
      </c>
      <c r="G96" s="5" t="s">
        <v>450</v>
      </c>
      <c r="H96" s="20"/>
      <c r="I96" s="20"/>
      <c r="J96" s="20"/>
      <c r="K96" s="20"/>
      <c r="L96" s="270"/>
      <c r="M96" s="269"/>
      <c r="N96" s="20"/>
      <c r="O96" s="20"/>
      <c r="P96" s="20"/>
      <c r="Q96" s="20"/>
      <c r="R96" s="5" t="s">
        <v>434</v>
      </c>
      <c r="S96" s="20" t="s">
        <v>459</v>
      </c>
      <c r="T96" s="270" t="s">
        <v>434</v>
      </c>
      <c r="U96" s="269" t="s">
        <v>434</v>
      </c>
      <c r="V96" s="5" t="s">
        <v>442</v>
      </c>
      <c r="W96" s="20"/>
      <c r="X96" s="20"/>
      <c r="Y96" s="20"/>
      <c r="Z96" s="20"/>
      <c r="AA96" s="20"/>
      <c r="AB96" s="270"/>
      <c r="AC96" s="269"/>
      <c r="AD96" s="20"/>
      <c r="AE96" s="20"/>
      <c r="AF96" s="20"/>
      <c r="AG96" s="20"/>
      <c r="AH96" s="20" t="s">
        <v>434</v>
      </c>
      <c r="AI96" s="20"/>
      <c r="AJ96" s="270"/>
      <c r="AK96" s="67">
        <v>194</v>
      </c>
      <c r="AM96" s="67">
        <v>1</v>
      </c>
      <c r="AO96" s="67">
        <f t="shared" si="15"/>
        <v>1</v>
      </c>
      <c r="AP96" s="67">
        <f t="shared" si="16"/>
        <v>2</v>
      </c>
      <c r="AQ96" s="67">
        <f t="shared" si="17"/>
        <v>0</v>
      </c>
      <c r="AR96" s="67">
        <f t="shared" si="18"/>
        <v>6</v>
      </c>
      <c r="AS96" s="67">
        <f t="shared" si="19"/>
        <v>4</v>
      </c>
      <c r="AT96" s="67">
        <f t="shared" si="20"/>
        <v>2</v>
      </c>
      <c r="AU96" s="67">
        <f t="shared" si="21"/>
        <v>15</v>
      </c>
      <c r="AW96" s="256">
        <v>30</v>
      </c>
      <c r="AX96" s="67">
        <f t="shared" si="13"/>
        <v>150</v>
      </c>
      <c r="AY96" s="76">
        <f t="shared" si="14"/>
        <v>0.1</v>
      </c>
      <c r="AZ96" s="67">
        <f t="shared" si="22"/>
        <v>8</v>
      </c>
      <c r="BA96" s="76">
        <f t="shared" si="25"/>
        <v>0.26666666666666666</v>
      </c>
      <c r="BC96" s="67">
        <f t="shared" si="23"/>
        <v>5</v>
      </c>
      <c r="BD96" s="67">
        <f t="shared" si="24"/>
        <v>3</v>
      </c>
    </row>
    <row r="97" spans="1:56">
      <c r="A97" s="67">
        <v>205</v>
      </c>
      <c r="B97" s="67" t="s">
        <v>74</v>
      </c>
      <c r="C97" s="8" t="s">
        <v>346</v>
      </c>
      <c r="E97" s="269"/>
      <c r="F97" s="20"/>
      <c r="G97" s="20"/>
      <c r="H97" s="20"/>
      <c r="I97" s="20"/>
      <c r="J97" s="20"/>
      <c r="K97" s="20"/>
      <c r="L97" s="270"/>
      <c r="M97" s="269"/>
      <c r="N97" s="20"/>
      <c r="O97" s="20"/>
      <c r="P97" s="20"/>
      <c r="Q97" s="20"/>
      <c r="R97" s="20"/>
      <c r="S97" s="20"/>
      <c r="T97" s="270"/>
      <c r="U97" s="269"/>
      <c r="V97" s="20"/>
      <c r="W97" s="20"/>
      <c r="X97" s="20"/>
      <c r="Y97" s="20"/>
      <c r="Z97" s="20"/>
      <c r="AA97" s="20"/>
      <c r="AB97" s="270"/>
      <c r="AC97" s="269"/>
      <c r="AD97" s="20"/>
      <c r="AE97" s="20"/>
      <c r="AF97" s="20"/>
      <c r="AG97" s="20"/>
      <c r="AH97" s="20"/>
      <c r="AI97" s="20"/>
      <c r="AJ97" s="270"/>
      <c r="AK97" s="67">
        <v>205</v>
      </c>
      <c r="AL97" s="67">
        <v>1</v>
      </c>
      <c r="AO97" s="67">
        <f t="shared" si="15"/>
        <v>0</v>
      </c>
      <c r="AP97" s="67">
        <f t="shared" si="16"/>
        <v>0</v>
      </c>
      <c r="AQ97" s="67">
        <f t="shared" si="17"/>
        <v>0</v>
      </c>
      <c r="AR97" s="67">
        <f t="shared" si="18"/>
        <v>0</v>
      </c>
      <c r="AS97" s="67">
        <f t="shared" si="19"/>
        <v>0</v>
      </c>
      <c r="AT97" s="67">
        <f t="shared" si="20"/>
        <v>0</v>
      </c>
      <c r="AU97" s="67">
        <f t="shared" si="21"/>
        <v>0</v>
      </c>
      <c r="AW97" s="256">
        <v>12</v>
      </c>
      <c r="AX97" s="67">
        <f t="shared" si="13"/>
        <v>60</v>
      </c>
      <c r="AY97" s="76">
        <f t="shared" si="14"/>
        <v>0</v>
      </c>
      <c r="AZ97" s="67">
        <f t="shared" si="22"/>
        <v>0</v>
      </c>
      <c r="BA97" s="76">
        <f t="shared" si="25"/>
        <v>0</v>
      </c>
      <c r="BC97" s="67">
        <f t="shared" si="23"/>
        <v>0</v>
      </c>
      <c r="BD97" s="67">
        <f t="shared" si="24"/>
        <v>0</v>
      </c>
    </row>
    <row r="98" spans="1:56">
      <c r="A98" s="67">
        <v>206</v>
      </c>
      <c r="B98" s="67" t="s">
        <v>139</v>
      </c>
      <c r="C98" s="8" t="s">
        <v>357</v>
      </c>
      <c r="E98" s="269"/>
      <c r="F98" s="20"/>
      <c r="G98" s="20"/>
      <c r="H98" s="20"/>
      <c r="I98" s="20"/>
      <c r="J98" s="20"/>
      <c r="K98" s="20"/>
      <c r="L98" s="270"/>
      <c r="M98" s="269"/>
      <c r="N98" s="20"/>
      <c r="O98" s="20"/>
      <c r="P98" s="20"/>
      <c r="Q98" s="20"/>
      <c r="R98" s="20"/>
      <c r="S98" s="20"/>
      <c r="T98" s="270"/>
      <c r="U98" s="269"/>
      <c r="V98" s="20"/>
      <c r="W98" s="20"/>
      <c r="X98" s="20"/>
      <c r="Y98" s="20"/>
      <c r="Z98" s="20"/>
      <c r="AA98" s="20"/>
      <c r="AB98" s="270"/>
      <c r="AC98" s="269"/>
      <c r="AD98" s="20"/>
      <c r="AE98" s="20"/>
      <c r="AF98" s="20"/>
      <c r="AG98" s="20"/>
      <c r="AH98" s="20"/>
      <c r="AI98" s="20"/>
      <c r="AJ98" s="270"/>
      <c r="AK98" s="67">
        <v>206</v>
      </c>
      <c r="AL98" s="67">
        <v>1</v>
      </c>
      <c r="AO98" s="67">
        <f t="shared" si="15"/>
        <v>0</v>
      </c>
      <c r="AP98" s="67">
        <f t="shared" si="16"/>
        <v>0</v>
      </c>
      <c r="AQ98" s="67">
        <f t="shared" si="17"/>
        <v>0</v>
      </c>
      <c r="AR98" s="67">
        <f t="shared" si="18"/>
        <v>0</v>
      </c>
      <c r="AS98" s="67">
        <f t="shared" si="19"/>
        <v>0</v>
      </c>
      <c r="AT98" s="67">
        <f t="shared" si="20"/>
        <v>0</v>
      </c>
      <c r="AU98" s="67">
        <f t="shared" si="21"/>
        <v>0</v>
      </c>
      <c r="AW98" s="256">
        <v>4</v>
      </c>
      <c r="AX98" s="67">
        <f t="shared" si="13"/>
        <v>20</v>
      </c>
      <c r="AY98" s="76">
        <f t="shared" si="14"/>
        <v>0</v>
      </c>
      <c r="AZ98" s="67">
        <f t="shared" si="22"/>
        <v>0</v>
      </c>
      <c r="BA98" s="76">
        <f t="shared" si="25"/>
        <v>0</v>
      </c>
      <c r="BC98" s="67">
        <f t="shared" si="23"/>
        <v>0</v>
      </c>
      <c r="BD98" s="67">
        <f t="shared" si="24"/>
        <v>0</v>
      </c>
    </row>
    <row r="99" spans="1:56">
      <c r="A99" s="67">
        <v>210</v>
      </c>
      <c r="B99" s="67" t="s">
        <v>55</v>
      </c>
      <c r="C99" s="8" t="s">
        <v>346</v>
      </c>
      <c r="E99" s="269"/>
      <c r="F99" s="20"/>
      <c r="G99" s="20"/>
      <c r="H99" s="20"/>
      <c r="I99" s="20"/>
      <c r="J99" s="20"/>
      <c r="K99" s="20"/>
      <c r="L99" s="270"/>
      <c r="M99" s="269"/>
      <c r="N99" s="20"/>
      <c r="O99" s="20"/>
      <c r="P99" s="20"/>
      <c r="Q99" s="20"/>
      <c r="R99" s="20"/>
      <c r="S99" s="20"/>
      <c r="T99" s="270"/>
      <c r="U99" s="269"/>
      <c r="V99" s="20"/>
      <c r="W99" s="20"/>
      <c r="X99" s="20"/>
      <c r="Y99" s="20"/>
      <c r="Z99" s="20"/>
      <c r="AA99" s="20"/>
      <c r="AB99" s="270"/>
      <c r="AC99" s="269"/>
      <c r="AD99" s="20"/>
      <c r="AE99" s="20"/>
      <c r="AF99" s="20"/>
      <c r="AG99" s="20"/>
      <c r="AH99" s="20"/>
      <c r="AI99" s="20"/>
      <c r="AJ99" s="270"/>
      <c r="AK99" s="67">
        <v>210</v>
      </c>
      <c r="AL99" s="67">
        <v>1</v>
      </c>
      <c r="AO99" s="67">
        <f t="shared" si="15"/>
        <v>0</v>
      </c>
      <c r="AP99" s="67">
        <f t="shared" si="16"/>
        <v>0</v>
      </c>
      <c r="AQ99" s="67">
        <f t="shared" si="17"/>
        <v>0</v>
      </c>
      <c r="AR99" s="67">
        <f t="shared" si="18"/>
        <v>0</v>
      </c>
      <c r="AS99" s="67">
        <f t="shared" si="19"/>
        <v>0</v>
      </c>
      <c r="AT99" s="67">
        <f t="shared" si="20"/>
        <v>0</v>
      </c>
      <c r="AU99" s="67">
        <f t="shared" si="21"/>
        <v>0</v>
      </c>
      <c r="AW99" s="256">
        <v>20</v>
      </c>
      <c r="AX99" s="67">
        <f t="shared" ref="AX99:AX162" si="26">5*AW99</f>
        <v>100</v>
      </c>
      <c r="AY99" s="76">
        <f t="shared" ref="AY99:AY162" si="27">AU99/AX99</f>
        <v>0</v>
      </c>
      <c r="AZ99" s="67">
        <f t="shared" si="22"/>
        <v>0</v>
      </c>
      <c r="BA99" s="76">
        <f t="shared" si="25"/>
        <v>0</v>
      </c>
      <c r="BC99" s="67">
        <f t="shared" si="23"/>
        <v>0</v>
      </c>
      <c r="BD99" s="67">
        <f t="shared" si="24"/>
        <v>0</v>
      </c>
    </row>
    <row r="100" spans="1:56" s="8" customFormat="1">
      <c r="A100" s="8">
        <v>213</v>
      </c>
      <c r="B100" s="8" t="s">
        <v>62</v>
      </c>
      <c r="C100" s="8" t="s">
        <v>42</v>
      </c>
      <c r="D100" s="8" t="s">
        <v>42</v>
      </c>
      <c r="E100" s="271" t="s">
        <v>447</v>
      </c>
      <c r="F100" s="5" t="s">
        <v>446</v>
      </c>
      <c r="G100" s="5" t="s">
        <v>436</v>
      </c>
      <c r="H100" s="5"/>
      <c r="I100" s="5"/>
      <c r="J100" s="5" t="s">
        <v>446</v>
      </c>
      <c r="K100" s="5" t="s">
        <v>446</v>
      </c>
      <c r="L100" s="272" t="s">
        <v>433</v>
      </c>
      <c r="M100" s="271"/>
      <c r="N100" s="5" t="s">
        <v>435</v>
      </c>
      <c r="O100" s="5" t="s">
        <v>450</v>
      </c>
      <c r="P100" s="5" t="s">
        <v>442</v>
      </c>
      <c r="Q100" s="5" t="s">
        <v>435</v>
      </c>
      <c r="R100" s="5" t="s">
        <v>442</v>
      </c>
      <c r="S100" s="5" t="s">
        <v>434</v>
      </c>
      <c r="T100" s="272" t="s">
        <v>434</v>
      </c>
      <c r="U100" s="271" t="s">
        <v>436</v>
      </c>
      <c r="V100" s="5"/>
      <c r="W100" s="5" t="s">
        <v>447</v>
      </c>
      <c r="X100" s="5"/>
      <c r="Y100" s="5"/>
      <c r="Z100" s="5" t="s">
        <v>434</v>
      </c>
      <c r="AA100" s="5"/>
      <c r="AB100" s="272"/>
      <c r="AC100" s="271"/>
      <c r="AD100" s="5"/>
      <c r="AE100" s="5"/>
      <c r="AF100" s="5"/>
      <c r="AG100" s="5" t="s">
        <v>434</v>
      </c>
      <c r="AH100" s="5" t="s">
        <v>435</v>
      </c>
      <c r="AI100" s="5" t="s">
        <v>436</v>
      </c>
      <c r="AJ100" s="272" t="s">
        <v>442</v>
      </c>
      <c r="AK100" s="8">
        <v>213</v>
      </c>
      <c r="AM100" s="8">
        <v>1</v>
      </c>
      <c r="AO100" s="8">
        <f t="shared" si="15"/>
        <v>3</v>
      </c>
      <c r="AP100" s="8">
        <f t="shared" si="16"/>
        <v>3</v>
      </c>
      <c r="AQ100" s="8">
        <f t="shared" si="17"/>
        <v>1</v>
      </c>
      <c r="AR100" s="8">
        <f t="shared" si="18"/>
        <v>13</v>
      </c>
      <c r="AS100" s="8">
        <f t="shared" si="19"/>
        <v>10</v>
      </c>
      <c r="AT100" s="8">
        <f t="shared" si="20"/>
        <v>8</v>
      </c>
      <c r="AU100" s="8">
        <f t="shared" si="21"/>
        <v>38</v>
      </c>
      <c r="AW100" s="256">
        <v>30</v>
      </c>
      <c r="AX100" s="67">
        <f t="shared" si="26"/>
        <v>150</v>
      </c>
      <c r="AY100" s="76">
        <f t="shared" si="27"/>
        <v>0.25333333333333335</v>
      </c>
      <c r="AZ100" s="67">
        <f t="shared" si="22"/>
        <v>20</v>
      </c>
      <c r="BA100" s="76">
        <f t="shared" si="25"/>
        <v>0.66666666666666663</v>
      </c>
      <c r="BC100" s="67">
        <f t="shared" si="23"/>
        <v>13</v>
      </c>
      <c r="BD100" s="67">
        <f t="shared" si="24"/>
        <v>7</v>
      </c>
    </row>
    <row r="101" spans="1:56" s="8" customFormat="1">
      <c r="A101" s="8">
        <v>214</v>
      </c>
      <c r="B101" s="8" t="s">
        <v>63</v>
      </c>
      <c r="C101" s="8" t="s">
        <v>346</v>
      </c>
      <c r="E101" s="271"/>
      <c r="F101" s="5"/>
      <c r="G101" s="5"/>
      <c r="H101" s="5"/>
      <c r="I101" s="5"/>
      <c r="J101" s="5"/>
      <c r="K101" s="5"/>
      <c r="L101" s="272"/>
      <c r="M101" s="271"/>
      <c r="N101" s="5"/>
      <c r="O101" s="5"/>
      <c r="P101" s="5"/>
      <c r="Q101" s="5"/>
      <c r="R101" s="5"/>
      <c r="S101" s="5"/>
      <c r="T101" s="272"/>
      <c r="U101" s="271"/>
      <c r="V101" s="5"/>
      <c r="W101" s="5"/>
      <c r="X101" s="5"/>
      <c r="Y101" s="5"/>
      <c r="Z101" s="5"/>
      <c r="AA101" s="5"/>
      <c r="AB101" s="272"/>
      <c r="AC101" s="271"/>
      <c r="AD101" s="5"/>
      <c r="AE101" s="5"/>
      <c r="AF101" s="5"/>
      <c r="AG101" s="5"/>
      <c r="AH101" s="5"/>
      <c r="AI101" s="5"/>
      <c r="AJ101" s="272"/>
      <c r="AK101" s="8">
        <v>214</v>
      </c>
      <c r="AL101" s="8">
        <v>1</v>
      </c>
      <c r="AO101" s="8">
        <f t="shared" si="15"/>
        <v>0</v>
      </c>
      <c r="AP101" s="8">
        <f t="shared" si="16"/>
        <v>0</v>
      </c>
      <c r="AQ101" s="8">
        <f t="shared" si="17"/>
        <v>0</v>
      </c>
      <c r="AR101" s="8">
        <f t="shared" si="18"/>
        <v>0</v>
      </c>
      <c r="AS101" s="8">
        <f t="shared" si="19"/>
        <v>0</v>
      </c>
      <c r="AT101" s="8">
        <f t="shared" si="20"/>
        <v>0</v>
      </c>
      <c r="AU101" s="8">
        <f t="shared" si="21"/>
        <v>0</v>
      </c>
      <c r="AW101" s="256">
        <v>10</v>
      </c>
      <c r="AX101" s="67">
        <f t="shared" si="26"/>
        <v>50</v>
      </c>
      <c r="AY101" s="76">
        <f t="shared" si="27"/>
        <v>0</v>
      </c>
      <c r="AZ101" s="67">
        <f t="shared" si="22"/>
        <v>0</v>
      </c>
      <c r="BA101" s="76">
        <f t="shared" si="25"/>
        <v>0</v>
      </c>
      <c r="BB101" s="67"/>
      <c r="BC101" s="67">
        <f t="shared" si="23"/>
        <v>0</v>
      </c>
      <c r="BD101" s="67">
        <f t="shared" si="24"/>
        <v>0</v>
      </c>
    </row>
    <row r="102" spans="1:56">
      <c r="A102" s="67">
        <v>216</v>
      </c>
      <c r="B102" s="7" t="s">
        <v>71</v>
      </c>
      <c r="C102" s="8" t="s">
        <v>366</v>
      </c>
      <c r="D102" s="7" t="s">
        <v>42</v>
      </c>
      <c r="E102" s="269"/>
      <c r="F102" s="20"/>
      <c r="G102" s="20"/>
      <c r="H102" s="20"/>
      <c r="I102" s="20"/>
      <c r="J102" s="20"/>
      <c r="K102" s="20"/>
      <c r="L102" s="270"/>
      <c r="M102" s="269"/>
      <c r="N102" s="20"/>
      <c r="O102" s="20"/>
      <c r="P102" s="20"/>
      <c r="Q102" s="20"/>
      <c r="R102" s="20"/>
      <c r="S102" s="20"/>
      <c r="T102" s="270"/>
      <c r="U102" s="269" t="s">
        <v>436</v>
      </c>
      <c r="V102" s="20" t="s">
        <v>449</v>
      </c>
      <c r="W102" s="20" t="s">
        <v>431</v>
      </c>
      <c r="X102" s="20"/>
      <c r="Y102" s="20"/>
      <c r="Z102" s="20"/>
      <c r="AA102" s="20" t="s">
        <v>435</v>
      </c>
      <c r="AB102" s="270" t="s">
        <v>436</v>
      </c>
      <c r="AC102" s="269"/>
      <c r="AD102" s="20"/>
      <c r="AE102" s="20"/>
      <c r="AF102" s="20"/>
      <c r="AG102" s="20"/>
      <c r="AH102" s="20"/>
      <c r="AI102" s="20"/>
      <c r="AJ102" s="270"/>
      <c r="AK102" s="67">
        <v>216</v>
      </c>
      <c r="AM102" s="67">
        <v>1</v>
      </c>
      <c r="AO102" s="67">
        <f t="shared" si="15"/>
        <v>1</v>
      </c>
      <c r="AP102" s="67">
        <f t="shared" si="16"/>
        <v>0</v>
      </c>
      <c r="AQ102" s="67">
        <f t="shared" si="17"/>
        <v>0</v>
      </c>
      <c r="AR102" s="67">
        <f t="shared" si="18"/>
        <v>1</v>
      </c>
      <c r="AS102" s="67">
        <f t="shared" si="19"/>
        <v>1</v>
      </c>
      <c r="AT102" s="67">
        <f t="shared" si="20"/>
        <v>3</v>
      </c>
      <c r="AU102" s="67">
        <f t="shared" si="21"/>
        <v>6</v>
      </c>
      <c r="AW102" s="256">
        <v>24</v>
      </c>
      <c r="AX102" s="67">
        <f t="shared" si="26"/>
        <v>120</v>
      </c>
      <c r="AY102" s="76">
        <f t="shared" si="27"/>
        <v>0.05</v>
      </c>
      <c r="AZ102" s="67">
        <f t="shared" si="22"/>
        <v>5</v>
      </c>
      <c r="BA102" s="76">
        <f t="shared" si="25"/>
        <v>0.20833333333333334</v>
      </c>
      <c r="BC102" s="67">
        <f t="shared" si="23"/>
        <v>0</v>
      </c>
      <c r="BD102" s="67">
        <f t="shared" si="24"/>
        <v>5</v>
      </c>
    </row>
    <row r="103" spans="1:56">
      <c r="A103" s="67">
        <v>219</v>
      </c>
      <c r="B103" s="7" t="s">
        <v>106</v>
      </c>
      <c r="C103" s="8" t="s">
        <v>349</v>
      </c>
      <c r="D103" s="7" t="s">
        <v>6</v>
      </c>
      <c r="E103" s="269"/>
      <c r="F103" s="20"/>
      <c r="G103" s="20"/>
      <c r="H103" s="20"/>
      <c r="I103" s="20"/>
      <c r="J103" s="20"/>
      <c r="K103" s="20"/>
      <c r="L103" s="270"/>
      <c r="M103" s="269"/>
      <c r="N103" s="20"/>
      <c r="O103" s="20"/>
      <c r="P103" s="20"/>
      <c r="Q103" s="20"/>
      <c r="R103" s="20"/>
      <c r="S103" s="20"/>
      <c r="T103" s="270"/>
      <c r="U103" s="269"/>
      <c r="V103" s="20"/>
      <c r="W103" s="20"/>
      <c r="X103" s="20"/>
      <c r="Y103" s="20"/>
      <c r="Z103" s="20"/>
      <c r="AA103" s="20"/>
      <c r="AB103" s="270"/>
      <c r="AC103" s="269"/>
      <c r="AD103" s="20"/>
      <c r="AE103" s="20" t="s">
        <v>446</v>
      </c>
      <c r="AF103" s="20" t="s">
        <v>460</v>
      </c>
      <c r="AG103" s="20"/>
      <c r="AH103" s="20"/>
      <c r="AI103" s="20"/>
      <c r="AJ103" s="270"/>
      <c r="AK103" s="67">
        <v>219</v>
      </c>
      <c r="AM103" s="67">
        <v>1</v>
      </c>
      <c r="AO103" s="67">
        <f t="shared" si="15"/>
        <v>0</v>
      </c>
      <c r="AP103" s="67">
        <f t="shared" si="16"/>
        <v>1</v>
      </c>
      <c r="AQ103" s="67">
        <f t="shared" si="17"/>
        <v>0</v>
      </c>
      <c r="AR103" s="67">
        <f t="shared" si="18"/>
        <v>2</v>
      </c>
      <c r="AS103" s="67">
        <f t="shared" si="19"/>
        <v>1</v>
      </c>
      <c r="AT103" s="67">
        <f t="shared" si="20"/>
        <v>0</v>
      </c>
      <c r="AU103" s="67">
        <f t="shared" si="21"/>
        <v>4</v>
      </c>
      <c r="AW103" s="256">
        <v>2</v>
      </c>
      <c r="AX103" s="67">
        <f t="shared" si="26"/>
        <v>10</v>
      </c>
      <c r="AY103" s="76">
        <f t="shared" si="27"/>
        <v>0.4</v>
      </c>
      <c r="AZ103" s="67">
        <f t="shared" si="22"/>
        <v>2</v>
      </c>
      <c r="BA103" s="76">
        <f t="shared" si="25"/>
        <v>1</v>
      </c>
      <c r="BC103" s="67">
        <f t="shared" si="23"/>
        <v>0</v>
      </c>
      <c r="BD103" s="67">
        <f t="shared" si="24"/>
        <v>2</v>
      </c>
    </row>
    <row r="104" spans="1:56">
      <c r="A104" s="67">
        <v>220</v>
      </c>
      <c r="B104" s="7" t="s">
        <v>71</v>
      </c>
      <c r="C104" s="8" t="s">
        <v>366</v>
      </c>
      <c r="D104" s="7" t="s">
        <v>6</v>
      </c>
      <c r="E104" s="269"/>
      <c r="F104" s="5" t="s">
        <v>435</v>
      </c>
      <c r="G104" s="20"/>
      <c r="H104" s="5" t="s">
        <v>442</v>
      </c>
      <c r="I104" s="20"/>
      <c r="J104" s="20"/>
      <c r="K104" s="20"/>
      <c r="L104" s="270"/>
      <c r="M104" s="269"/>
      <c r="N104" s="20"/>
      <c r="O104" s="20"/>
      <c r="P104" s="20"/>
      <c r="Q104" s="20"/>
      <c r="R104" s="20"/>
      <c r="S104" s="20"/>
      <c r="T104" s="270"/>
      <c r="U104" s="269"/>
      <c r="V104" s="5" t="s">
        <v>461</v>
      </c>
      <c r="W104" s="20" t="s">
        <v>442</v>
      </c>
      <c r="X104" s="20"/>
      <c r="Y104" s="20" t="s">
        <v>431</v>
      </c>
      <c r="Z104" s="20"/>
      <c r="AA104" s="20"/>
      <c r="AB104" s="270"/>
      <c r="AC104" s="269"/>
      <c r="AD104" s="20"/>
      <c r="AE104" s="20"/>
      <c r="AF104" s="20" t="s">
        <v>431</v>
      </c>
      <c r="AG104" s="20"/>
      <c r="AH104" s="20" t="s">
        <v>461</v>
      </c>
      <c r="AI104" s="20" t="s">
        <v>462</v>
      </c>
      <c r="AJ104" s="270"/>
      <c r="AK104" s="67">
        <v>220</v>
      </c>
      <c r="AM104" s="67">
        <v>1</v>
      </c>
      <c r="AO104" s="67">
        <f t="shared" si="15"/>
        <v>7</v>
      </c>
      <c r="AP104" s="67">
        <f t="shared" si="16"/>
        <v>2</v>
      </c>
      <c r="AQ104" s="67">
        <f t="shared" si="17"/>
        <v>0</v>
      </c>
      <c r="AR104" s="67">
        <f t="shared" si="18"/>
        <v>3</v>
      </c>
      <c r="AS104" s="67">
        <f t="shared" si="19"/>
        <v>6</v>
      </c>
      <c r="AT104" s="67">
        <f t="shared" si="20"/>
        <v>2</v>
      </c>
      <c r="AU104" s="67">
        <f t="shared" si="21"/>
        <v>20</v>
      </c>
      <c r="AW104" s="256">
        <v>22</v>
      </c>
      <c r="AX104" s="67">
        <f t="shared" si="26"/>
        <v>110</v>
      </c>
      <c r="AY104" s="76">
        <f t="shared" si="27"/>
        <v>0.18181818181818182</v>
      </c>
      <c r="AZ104" s="67">
        <f t="shared" si="22"/>
        <v>8</v>
      </c>
      <c r="BA104" s="76">
        <f t="shared" si="25"/>
        <v>0.36363636363636365</v>
      </c>
      <c r="BC104" s="67">
        <f t="shared" si="23"/>
        <v>2</v>
      </c>
      <c r="BD104" s="67">
        <f t="shared" si="24"/>
        <v>6</v>
      </c>
    </row>
    <row r="105" spans="1:56">
      <c r="A105" s="8">
        <v>222</v>
      </c>
      <c r="B105" s="8" t="s">
        <v>131</v>
      </c>
      <c r="C105" s="8" t="s">
        <v>358</v>
      </c>
      <c r="D105" s="8"/>
      <c r="E105" s="269"/>
      <c r="F105" s="20"/>
      <c r="G105" s="20"/>
      <c r="H105" s="20"/>
      <c r="I105" s="20"/>
      <c r="J105" s="20"/>
      <c r="K105" s="20"/>
      <c r="L105" s="270"/>
      <c r="M105" s="269"/>
      <c r="N105" s="20"/>
      <c r="O105" s="20"/>
      <c r="P105" s="20"/>
      <c r="Q105" s="20"/>
      <c r="R105" s="20"/>
      <c r="S105" s="20"/>
      <c r="T105" s="270"/>
      <c r="U105" s="269"/>
      <c r="V105" s="20"/>
      <c r="W105" s="20"/>
      <c r="X105" s="20"/>
      <c r="Y105" s="20"/>
      <c r="Z105" s="20"/>
      <c r="AA105" s="20"/>
      <c r="AB105" s="270"/>
      <c r="AC105" s="269"/>
      <c r="AD105" s="20"/>
      <c r="AE105" s="20"/>
      <c r="AF105" s="20"/>
      <c r="AG105" s="20"/>
      <c r="AH105" s="20"/>
      <c r="AI105" s="20"/>
      <c r="AJ105" s="270"/>
      <c r="AK105" s="8">
        <v>222</v>
      </c>
      <c r="AL105" s="67">
        <v>1</v>
      </c>
      <c r="AO105" s="67">
        <f t="shared" si="15"/>
        <v>0</v>
      </c>
      <c r="AP105" s="67">
        <f t="shared" si="16"/>
        <v>0</v>
      </c>
      <c r="AQ105" s="67">
        <f t="shared" si="17"/>
        <v>0</v>
      </c>
      <c r="AR105" s="67">
        <f t="shared" si="18"/>
        <v>0</v>
      </c>
      <c r="AS105" s="67">
        <f t="shared" si="19"/>
        <v>0</v>
      </c>
      <c r="AT105" s="67">
        <f t="shared" si="20"/>
        <v>0</v>
      </c>
      <c r="AU105" s="67">
        <f t="shared" si="21"/>
        <v>0</v>
      </c>
      <c r="AW105" s="256">
        <v>17</v>
      </c>
      <c r="AX105" s="67">
        <f t="shared" si="26"/>
        <v>85</v>
      </c>
      <c r="AY105" s="76">
        <f t="shared" si="27"/>
        <v>0</v>
      </c>
      <c r="AZ105" s="67">
        <f t="shared" si="22"/>
        <v>0</v>
      </c>
      <c r="BA105" s="76">
        <f t="shared" si="25"/>
        <v>0</v>
      </c>
      <c r="BC105" s="67">
        <f t="shared" si="23"/>
        <v>0</v>
      </c>
      <c r="BD105" s="67">
        <f t="shared" si="24"/>
        <v>0</v>
      </c>
    </row>
    <row r="106" spans="1:56">
      <c r="A106" s="67">
        <v>224</v>
      </c>
      <c r="B106" s="8" t="s">
        <v>68</v>
      </c>
      <c r="C106" s="8" t="s">
        <v>357</v>
      </c>
      <c r="E106" s="269"/>
      <c r="F106" s="20"/>
      <c r="G106" s="20"/>
      <c r="H106" s="20"/>
      <c r="I106" s="20"/>
      <c r="J106" s="20"/>
      <c r="K106" s="20"/>
      <c r="L106" s="270"/>
      <c r="M106" s="269"/>
      <c r="N106" s="20"/>
      <c r="O106" s="20"/>
      <c r="P106" s="20"/>
      <c r="Q106" s="20"/>
      <c r="R106" s="20"/>
      <c r="S106" s="20"/>
      <c r="T106" s="270"/>
      <c r="U106" s="269"/>
      <c r="V106" s="20"/>
      <c r="W106" s="20"/>
      <c r="X106" s="20"/>
      <c r="Y106" s="20"/>
      <c r="Z106" s="20"/>
      <c r="AA106" s="20"/>
      <c r="AB106" s="270"/>
      <c r="AC106" s="269"/>
      <c r="AD106" s="20"/>
      <c r="AE106" s="20"/>
      <c r="AF106" s="20"/>
      <c r="AG106" s="20"/>
      <c r="AH106" s="20"/>
      <c r="AI106" s="20"/>
      <c r="AJ106" s="270"/>
      <c r="AK106" s="67">
        <v>224</v>
      </c>
      <c r="AL106" s="67">
        <v>1</v>
      </c>
      <c r="AO106" s="67">
        <f t="shared" si="15"/>
        <v>0</v>
      </c>
      <c r="AP106" s="67">
        <f t="shared" si="16"/>
        <v>0</v>
      </c>
      <c r="AQ106" s="67">
        <f t="shared" si="17"/>
        <v>0</v>
      </c>
      <c r="AR106" s="67">
        <f t="shared" si="18"/>
        <v>0</v>
      </c>
      <c r="AS106" s="67">
        <f t="shared" si="19"/>
        <v>0</v>
      </c>
      <c r="AT106" s="67">
        <f t="shared" si="20"/>
        <v>0</v>
      </c>
      <c r="AU106" s="67">
        <f t="shared" si="21"/>
        <v>0</v>
      </c>
      <c r="AW106" s="256">
        <v>24</v>
      </c>
      <c r="AX106" s="67">
        <f t="shared" si="26"/>
        <v>120</v>
      </c>
      <c r="AY106" s="76">
        <f t="shared" si="27"/>
        <v>0</v>
      </c>
      <c r="AZ106" s="67">
        <f t="shared" si="22"/>
        <v>0</v>
      </c>
      <c r="BA106" s="76">
        <f t="shared" si="25"/>
        <v>0</v>
      </c>
      <c r="BC106" s="67">
        <f t="shared" si="23"/>
        <v>0</v>
      </c>
      <c r="BD106" s="67">
        <f t="shared" si="24"/>
        <v>0</v>
      </c>
    </row>
    <row r="107" spans="1:56">
      <c r="A107" s="67">
        <v>227</v>
      </c>
      <c r="B107" s="8" t="s">
        <v>123</v>
      </c>
      <c r="C107" s="8" t="s">
        <v>366</v>
      </c>
      <c r="D107" s="8" t="s">
        <v>6</v>
      </c>
      <c r="E107" s="269"/>
      <c r="F107" s="5" t="s">
        <v>431</v>
      </c>
      <c r="G107" s="5" t="s">
        <v>450</v>
      </c>
      <c r="H107" s="20"/>
      <c r="I107" s="20"/>
      <c r="J107" s="20"/>
      <c r="K107" s="20"/>
      <c r="L107" s="270"/>
      <c r="M107" s="269"/>
      <c r="N107" s="20"/>
      <c r="O107" s="20"/>
      <c r="P107" s="20"/>
      <c r="Q107" s="20"/>
      <c r="R107" s="20"/>
      <c r="S107" s="20" t="s">
        <v>434</v>
      </c>
      <c r="T107" s="270" t="s">
        <v>434</v>
      </c>
      <c r="U107" s="269"/>
      <c r="V107" s="20"/>
      <c r="W107" s="20"/>
      <c r="X107" s="20"/>
      <c r="Y107" s="20"/>
      <c r="Z107" s="20"/>
      <c r="AA107" s="20"/>
      <c r="AB107" s="270"/>
      <c r="AC107" s="269"/>
      <c r="AD107" s="20"/>
      <c r="AE107" s="20"/>
      <c r="AF107" s="20"/>
      <c r="AG107" s="20"/>
      <c r="AH107" s="20"/>
      <c r="AI107" s="20"/>
      <c r="AJ107" s="270"/>
      <c r="AK107" s="67">
        <v>227</v>
      </c>
      <c r="AM107" s="67">
        <v>1</v>
      </c>
      <c r="AO107" s="67">
        <f t="shared" si="15"/>
        <v>1</v>
      </c>
      <c r="AP107" s="67">
        <f t="shared" si="16"/>
        <v>0</v>
      </c>
      <c r="AQ107" s="67">
        <f t="shared" si="17"/>
        <v>0</v>
      </c>
      <c r="AR107" s="67">
        <f t="shared" si="18"/>
        <v>3</v>
      </c>
      <c r="AS107" s="67">
        <f t="shared" si="19"/>
        <v>1</v>
      </c>
      <c r="AT107" s="67">
        <f t="shared" si="20"/>
        <v>0</v>
      </c>
      <c r="AU107" s="67">
        <f t="shared" si="21"/>
        <v>5</v>
      </c>
      <c r="AW107" s="256">
        <v>20</v>
      </c>
      <c r="AX107" s="67">
        <f t="shared" si="26"/>
        <v>100</v>
      </c>
      <c r="AY107" s="76">
        <f t="shared" si="27"/>
        <v>0.05</v>
      </c>
      <c r="AZ107" s="67">
        <f t="shared" si="22"/>
        <v>4</v>
      </c>
      <c r="BA107" s="76">
        <f t="shared" si="25"/>
        <v>0.2</v>
      </c>
      <c r="BC107" s="67">
        <f t="shared" si="23"/>
        <v>4</v>
      </c>
      <c r="BD107" s="67">
        <f t="shared" si="24"/>
        <v>0</v>
      </c>
    </row>
    <row r="108" spans="1:56">
      <c r="A108" s="67">
        <v>228</v>
      </c>
      <c r="B108" s="8" t="s">
        <v>74</v>
      </c>
      <c r="C108" s="8" t="s">
        <v>346</v>
      </c>
      <c r="E108" s="269"/>
      <c r="F108" s="20"/>
      <c r="G108" s="20"/>
      <c r="H108" s="20"/>
      <c r="I108" s="20"/>
      <c r="J108" s="20"/>
      <c r="K108" s="20"/>
      <c r="L108" s="270"/>
      <c r="M108" s="269"/>
      <c r="N108" s="20"/>
      <c r="O108" s="20"/>
      <c r="P108" s="20"/>
      <c r="Q108" s="20"/>
      <c r="R108" s="20"/>
      <c r="S108" s="20"/>
      <c r="T108" s="270"/>
      <c r="U108" s="269"/>
      <c r="V108" s="20"/>
      <c r="W108" s="20"/>
      <c r="X108" s="20"/>
      <c r="Y108" s="20"/>
      <c r="Z108" s="20"/>
      <c r="AA108" s="20"/>
      <c r="AB108" s="270"/>
      <c r="AC108" s="269"/>
      <c r="AD108" s="20"/>
      <c r="AE108" s="20"/>
      <c r="AF108" s="20"/>
      <c r="AG108" s="20"/>
      <c r="AH108" s="20"/>
      <c r="AI108" s="20"/>
      <c r="AJ108" s="270"/>
      <c r="AK108" s="67">
        <v>228</v>
      </c>
      <c r="AL108" s="67">
        <v>1</v>
      </c>
      <c r="AO108" s="67">
        <f t="shared" si="15"/>
        <v>0</v>
      </c>
      <c r="AP108" s="67">
        <f t="shared" si="16"/>
        <v>0</v>
      </c>
      <c r="AQ108" s="67">
        <f t="shared" si="17"/>
        <v>0</v>
      </c>
      <c r="AR108" s="67">
        <f t="shared" si="18"/>
        <v>0</v>
      </c>
      <c r="AS108" s="67">
        <f t="shared" si="19"/>
        <v>0</v>
      </c>
      <c r="AT108" s="67">
        <f t="shared" si="20"/>
        <v>0</v>
      </c>
      <c r="AU108" s="67">
        <f t="shared" si="21"/>
        <v>0</v>
      </c>
      <c r="AW108" s="256">
        <v>20</v>
      </c>
      <c r="AX108" s="67">
        <f t="shared" si="26"/>
        <v>100</v>
      </c>
      <c r="AY108" s="76">
        <f t="shared" si="27"/>
        <v>0</v>
      </c>
      <c r="AZ108" s="67">
        <f t="shared" si="22"/>
        <v>0</v>
      </c>
      <c r="BA108" s="76">
        <f t="shared" si="25"/>
        <v>0</v>
      </c>
      <c r="BC108" s="67">
        <f t="shared" si="23"/>
        <v>0</v>
      </c>
      <c r="BD108" s="67">
        <f t="shared" si="24"/>
        <v>0</v>
      </c>
    </row>
    <row r="109" spans="1:56">
      <c r="A109" s="67">
        <v>229</v>
      </c>
      <c r="B109" s="8" t="s">
        <v>74</v>
      </c>
      <c r="C109" s="8" t="s">
        <v>346</v>
      </c>
      <c r="E109" s="269"/>
      <c r="F109" s="20"/>
      <c r="G109" s="20"/>
      <c r="H109" s="20"/>
      <c r="I109" s="20"/>
      <c r="J109" s="20"/>
      <c r="K109" s="20"/>
      <c r="L109" s="270"/>
      <c r="M109" s="269"/>
      <c r="N109" s="20"/>
      <c r="O109" s="20"/>
      <c r="P109" s="20"/>
      <c r="Q109" s="20"/>
      <c r="R109" s="20"/>
      <c r="S109" s="20"/>
      <c r="T109" s="270"/>
      <c r="U109" s="269"/>
      <c r="V109" s="20"/>
      <c r="W109" s="20"/>
      <c r="X109" s="20"/>
      <c r="Y109" s="20"/>
      <c r="Z109" s="20"/>
      <c r="AA109" s="20"/>
      <c r="AB109" s="270"/>
      <c r="AC109" s="269"/>
      <c r="AD109" s="20"/>
      <c r="AE109" s="20"/>
      <c r="AF109" s="20"/>
      <c r="AG109" s="20"/>
      <c r="AH109" s="20"/>
      <c r="AI109" s="20"/>
      <c r="AJ109" s="270"/>
      <c r="AK109" s="67">
        <v>229</v>
      </c>
      <c r="AL109" s="67">
        <v>1</v>
      </c>
      <c r="AO109" s="67">
        <f t="shared" si="15"/>
        <v>0</v>
      </c>
      <c r="AP109" s="67">
        <f t="shared" si="16"/>
        <v>0</v>
      </c>
      <c r="AQ109" s="67">
        <f t="shared" si="17"/>
        <v>0</v>
      </c>
      <c r="AR109" s="67">
        <f t="shared" si="18"/>
        <v>0</v>
      </c>
      <c r="AS109" s="67">
        <f t="shared" si="19"/>
        <v>0</v>
      </c>
      <c r="AT109" s="67">
        <f t="shared" si="20"/>
        <v>0</v>
      </c>
      <c r="AU109" s="67">
        <f t="shared" si="21"/>
        <v>0</v>
      </c>
      <c r="AW109" s="256">
        <v>14</v>
      </c>
      <c r="AX109" s="67">
        <f t="shared" si="26"/>
        <v>70</v>
      </c>
      <c r="AY109" s="76">
        <f t="shared" si="27"/>
        <v>0</v>
      </c>
      <c r="AZ109" s="67">
        <f t="shared" si="22"/>
        <v>0</v>
      </c>
      <c r="BA109" s="76">
        <f t="shared" si="25"/>
        <v>0</v>
      </c>
      <c r="BC109" s="67">
        <f t="shared" si="23"/>
        <v>0</v>
      </c>
      <c r="BD109" s="67">
        <f t="shared" si="24"/>
        <v>0</v>
      </c>
    </row>
    <row r="110" spans="1:56">
      <c r="A110" s="67">
        <v>234</v>
      </c>
      <c r="B110" s="8" t="s">
        <v>44</v>
      </c>
      <c r="C110" s="8" t="s">
        <v>349</v>
      </c>
      <c r="D110" s="8" t="s">
        <v>42</v>
      </c>
      <c r="E110" s="269"/>
      <c r="F110" s="20"/>
      <c r="G110" s="20"/>
      <c r="H110" s="20"/>
      <c r="I110" s="20"/>
      <c r="J110" s="20"/>
      <c r="K110" s="20"/>
      <c r="L110" s="270"/>
      <c r="M110" s="269"/>
      <c r="N110" s="20"/>
      <c r="O110" s="20"/>
      <c r="P110" s="20"/>
      <c r="Q110" s="20"/>
      <c r="R110" s="20"/>
      <c r="S110" s="20"/>
      <c r="T110" s="270"/>
      <c r="U110" s="269"/>
      <c r="V110" s="20"/>
      <c r="W110" s="20"/>
      <c r="X110" s="20"/>
      <c r="Y110" s="20"/>
      <c r="Z110" s="20"/>
      <c r="AA110" s="20"/>
      <c r="AB110" s="270"/>
      <c r="AC110" s="269"/>
      <c r="AD110" s="20"/>
      <c r="AE110" s="20"/>
      <c r="AF110" s="20"/>
      <c r="AG110" s="20"/>
      <c r="AH110" s="20"/>
      <c r="AI110" s="20"/>
      <c r="AJ110" s="270"/>
      <c r="AK110" s="67">
        <v>234</v>
      </c>
      <c r="AL110" s="67">
        <v>1</v>
      </c>
      <c r="AO110" s="67">
        <f t="shared" si="15"/>
        <v>0</v>
      </c>
      <c r="AP110" s="67">
        <f t="shared" si="16"/>
        <v>0</v>
      </c>
      <c r="AQ110" s="67">
        <f t="shared" si="17"/>
        <v>0</v>
      </c>
      <c r="AR110" s="67">
        <f t="shared" si="18"/>
        <v>0</v>
      </c>
      <c r="AS110" s="67">
        <f t="shared" si="19"/>
        <v>0</v>
      </c>
      <c r="AT110" s="67">
        <f t="shared" si="20"/>
        <v>0</v>
      </c>
      <c r="AU110" s="67">
        <f t="shared" si="21"/>
        <v>0</v>
      </c>
      <c r="AW110" s="256">
        <v>11</v>
      </c>
      <c r="AX110" s="67">
        <f t="shared" si="26"/>
        <v>55</v>
      </c>
      <c r="AY110" s="76">
        <f t="shared" si="27"/>
        <v>0</v>
      </c>
      <c r="AZ110" s="67">
        <f t="shared" si="22"/>
        <v>0</v>
      </c>
      <c r="BA110" s="76">
        <f t="shared" si="25"/>
        <v>0</v>
      </c>
      <c r="BC110" s="67">
        <f t="shared" si="23"/>
        <v>0</v>
      </c>
      <c r="BD110" s="67">
        <f t="shared" si="24"/>
        <v>0</v>
      </c>
    </row>
    <row r="111" spans="1:56">
      <c r="A111" s="67">
        <v>237</v>
      </c>
      <c r="B111" s="8" t="s">
        <v>63</v>
      </c>
      <c r="C111" s="8" t="s">
        <v>346</v>
      </c>
      <c r="E111" s="269"/>
      <c r="F111" s="20"/>
      <c r="G111" s="20"/>
      <c r="H111" s="20"/>
      <c r="I111" s="20"/>
      <c r="J111" s="20"/>
      <c r="K111" s="20"/>
      <c r="L111" s="270"/>
      <c r="M111" s="269"/>
      <c r="N111" s="20"/>
      <c r="O111" s="20"/>
      <c r="P111" s="20"/>
      <c r="Q111" s="20"/>
      <c r="R111" s="20"/>
      <c r="S111" s="20"/>
      <c r="T111" s="270"/>
      <c r="U111" s="269"/>
      <c r="V111" s="20"/>
      <c r="W111" s="20"/>
      <c r="X111" s="20"/>
      <c r="Y111" s="20"/>
      <c r="Z111" s="20"/>
      <c r="AA111" s="20"/>
      <c r="AB111" s="270"/>
      <c r="AC111" s="269"/>
      <c r="AD111" s="20"/>
      <c r="AE111" s="20"/>
      <c r="AF111" s="20"/>
      <c r="AG111" s="20"/>
      <c r="AH111" s="20"/>
      <c r="AI111" s="20"/>
      <c r="AJ111" s="270"/>
      <c r="AK111" s="67">
        <v>237</v>
      </c>
      <c r="AL111" s="67">
        <v>1</v>
      </c>
      <c r="AO111" s="67">
        <f t="shared" si="15"/>
        <v>0</v>
      </c>
      <c r="AP111" s="67">
        <f t="shared" si="16"/>
        <v>0</v>
      </c>
      <c r="AQ111" s="67">
        <f t="shared" si="17"/>
        <v>0</v>
      </c>
      <c r="AR111" s="67">
        <f t="shared" si="18"/>
        <v>0</v>
      </c>
      <c r="AS111" s="67">
        <f t="shared" si="19"/>
        <v>0</v>
      </c>
      <c r="AT111" s="67">
        <f t="shared" si="20"/>
        <v>0</v>
      </c>
      <c r="AU111" s="67">
        <f t="shared" si="21"/>
        <v>0</v>
      </c>
      <c r="AW111" s="256">
        <v>5</v>
      </c>
      <c r="AX111" s="67">
        <f t="shared" si="26"/>
        <v>25</v>
      </c>
      <c r="AY111" s="76">
        <f t="shared" si="27"/>
        <v>0</v>
      </c>
      <c r="AZ111" s="67">
        <f t="shared" si="22"/>
        <v>0</v>
      </c>
      <c r="BA111" s="76">
        <f t="shared" si="25"/>
        <v>0</v>
      </c>
      <c r="BC111" s="67">
        <f t="shared" si="23"/>
        <v>0</v>
      </c>
      <c r="BD111" s="67">
        <f t="shared" si="24"/>
        <v>0</v>
      </c>
    </row>
    <row r="112" spans="1:56">
      <c r="A112" s="67">
        <v>241</v>
      </c>
      <c r="B112" s="8" t="s">
        <v>78</v>
      </c>
      <c r="C112" s="8" t="s">
        <v>359</v>
      </c>
      <c r="E112" s="269"/>
      <c r="F112" s="20"/>
      <c r="G112" s="20"/>
      <c r="H112" s="20" t="s">
        <v>434</v>
      </c>
      <c r="I112" s="20"/>
      <c r="J112" s="20"/>
      <c r="K112" s="20"/>
      <c r="L112" s="270"/>
      <c r="M112" s="269"/>
      <c r="N112" s="20"/>
      <c r="O112" s="20"/>
      <c r="P112" s="20" t="s">
        <v>435</v>
      </c>
      <c r="Q112" s="20" t="s">
        <v>434</v>
      </c>
      <c r="R112" s="20"/>
      <c r="S112" s="20"/>
      <c r="T112" s="270"/>
      <c r="U112" s="269"/>
      <c r="V112" s="20"/>
      <c r="W112" s="20"/>
      <c r="X112" s="20"/>
      <c r="Y112" s="20"/>
      <c r="Z112" s="20"/>
      <c r="AA112" s="20"/>
      <c r="AB112" s="270"/>
      <c r="AC112" s="269"/>
      <c r="AD112" s="20"/>
      <c r="AE112" s="20"/>
      <c r="AF112" s="20"/>
      <c r="AG112" s="20"/>
      <c r="AH112" s="20"/>
      <c r="AI112" s="20"/>
      <c r="AJ112" s="270"/>
      <c r="AK112" s="67">
        <v>241</v>
      </c>
      <c r="AM112" s="67">
        <v>1</v>
      </c>
      <c r="AO112" s="67">
        <f t="shared" si="15"/>
        <v>0</v>
      </c>
      <c r="AP112" s="67">
        <f t="shared" si="16"/>
        <v>0</v>
      </c>
      <c r="AQ112" s="67">
        <f t="shared" si="17"/>
        <v>0</v>
      </c>
      <c r="AR112" s="67">
        <f t="shared" si="18"/>
        <v>2</v>
      </c>
      <c r="AS112" s="67">
        <f t="shared" si="19"/>
        <v>1</v>
      </c>
      <c r="AT112" s="67">
        <f t="shared" si="20"/>
        <v>0</v>
      </c>
      <c r="AU112" s="67">
        <f t="shared" si="21"/>
        <v>3</v>
      </c>
      <c r="AW112" s="256">
        <v>19</v>
      </c>
      <c r="AX112" s="67">
        <f t="shared" si="26"/>
        <v>95</v>
      </c>
      <c r="AY112" s="76">
        <f t="shared" si="27"/>
        <v>3.1578947368421054E-2</v>
      </c>
      <c r="AZ112" s="67">
        <f t="shared" si="22"/>
        <v>3</v>
      </c>
      <c r="BA112" s="76">
        <f t="shared" si="25"/>
        <v>0.15789473684210525</v>
      </c>
      <c r="BC112" s="67">
        <f t="shared" si="23"/>
        <v>3</v>
      </c>
      <c r="BD112" s="67">
        <f t="shared" si="24"/>
        <v>0</v>
      </c>
    </row>
    <row r="113" spans="1:56">
      <c r="A113" s="67">
        <v>246</v>
      </c>
      <c r="B113" s="8" t="s">
        <v>59</v>
      </c>
      <c r="C113" s="8" t="s">
        <v>346</v>
      </c>
      <c r="E113" s="269"/>
      <c r="F113" s="20"/>
      <c r="G113" s="20"/>
      <c r="H113" s="20"/>
      <c r="I113" s="20"/>
      <c r="J113" s="20"/>
      <c r="K113" s="20"/>
      <c r="L113" s="270"/>
      <c r="M113" s="269"/>
      <c r="N113" s="20"/>
      <c r="O113" s="20"/>
      <c r="P113" s="20"/>
      <c r="Q113" s="20"/>
      <c r="R113" s="20"/>
      <c r="S113" s="20"/>
      <c r="T113" s="270"/>
      <c r="U113" s="269"/>
      <c r="V113" s="20"/>
      <c r="W113" s="20"/>
      <c r="X113" s="20"/>
      <c r="Y113" s="20" t="s">
        <v>435</v>
      </c>
      <c r="Z113" s="20"/>
      <c r="AA113" s="20"/>
      <c r="AB113" s="270"/>
      <c r="AC113" s="269"/>
      <c r="AD113" s="20"/>
      <c r="AE113" s="20"/>
      <c r="AF113" s="20"/>
      <c r="AG113" s="20"/>
      <c r="AH113" s="20"/>
      <c r="AI113" s="20"/>
      <c r="AJ113" s="270"/>
      <c r="AK113" s="67">
        <v>246</v>
      </c>
      <c r="AM113" s="67">
        <v>1</v>
      </c>
      <c r="AO113" s="67">
        <f t="shared" si="15"/>
        <v>0</v>
      </c>
      <c r="AP113" s="67">
        <f t="shared" si="16"/>
        <v>0</v>
      </c>
      <c r="AQ113" s="67">
        <f t="shared" si="17"/>
        <v>0</v>
      </c>
      <c r="AR113" s="67">
        <f t="shared" si="18"/>
        <v>0</v>
      </c>
      <c r="AS113" s="67">
        <f t="shared" si="19"/>
        <v>1</v>
      </c>
      <c r="AT113" s="67">
        <f t="shared" si="20"/>
        <v>0</v>
      </c>
      <c r="AU113" s="67">
        <f t="shared" si="21"/>
        <v>1</v>
      </c>
      <c r="AW113" s="256">
        <v>20</v>
      </c>
      <c r="AX113" s="67">
        <f t="shared" si="26"/>
        <v>100</v>
      </c>
      <c r="AY113" s="76">
        <f t="shared" si="27"/>
        <v>0.01</v>
      </c>
      <c r="AZ113" s="67">
        <f t="shared" si="22"/>
        <v>1</v>
      </c>
      <c r="BA113" s="76">
        <f t="shared" si="25"/>
        <v>0.05</v>
      </c>
      <c r="BC113" s="67">
        <f t="shared" si="23"/>
        <v>0</v>
      </c>
      <c r="BD113" s="67">
        <f t="shared" si="24"/>
        <v>1</v>
      </c>
    </row>
    <row r="114" spans="1:56">
      <c r="A114" s="8">
        <v>251</v>
      </c>
      <c r="B114" s="55" t="s">
        <v>161</v>
      </c>
      <c r="C114" s="8" t="s">
        <v>357</v>
      </c>
      <c r="D114" s="8"/>
      <c r="E114" s="269"/>
      <c r="F114" s="20"/>
      <c r="G114" s="20"/>
      <c r="H114" s="20"/>
      <c r="I114" s="20"/>
      <c r="J114" s="20"/>
      <c r="K114" s="20"/>
      <c r="L114" s="270"/>
      <c r="M114" s="269"/>
      <c r="N114" s="20"/>
      <c r="O114" s="20"/>
      <c r="P114" s="20"/>
      <c r="Q114" s="20"/>
      <c r="R114" s="20"/>
      <c r="S114" s="20"/>
      <c r="T114" s="270"/>
      <c r="U114" s="269"/>
      <c r="V114" s="20"/>
      <c r="W114" s="20"/>
      <c r="X114" s="20"/>
      <c r="Y114" s="20"/>
      <c r="Z114" s="20"/>
      <c r="AA114" s="20"/>
      <c r="AB114" s="270"/>
      <c r="AC114" s="269"/>
      <c r="AD114" s="20"/>
      <c r="AE114" s="20"/>
      <c r="AF114" s="20"/>
      <c r="AG114" s="20"/>
      <c r="AH114" s="20" t="s">
        <v>436</v>
      </c>
      <c r="AI114" s="20"/>
      <c r="AJ114" s="270"/>
      <c r="AK114" s="8">
        <v>251</v>
      </c>
      <c r="AL114" s="8"/>
      <c r="AM114" s="8">
        <v>1</v>
      </c>
      <c r="AN114" s="8"/>
      <c r="AO114" s="67">
        <f t="shared" si="15"/>
        <v>0</v>
      </c>
      <c r="AP114" s="67">
        <f t="shared" si="16"/>
        <v>0</v>
      </c>
      <c r="AQ114" s="67">
        <f t="shared" si="17"/>
        <v>0</v>
      </c>
      <c r="AR114" s="67">
        <f t="shared" si="18"/>
        <v>0</v>
      </c>
      <c r="AS114" s="67">
        <f t="shared" si="19"/>
        <v>0</v>
      </c>
      <c r="AT114" s="67">
        <f t="shared" si="20"/>
        <v>1</v>
      </c>
      <c r="AU114" s="67">
        <f t="shared" si="21"/>
        <v>1</v>
      </c>
      <c r="AW114" s="256">
        <v>13</v>
      </c>
      <c r="AX114" s="67">
        <f t="shared" si="26"/>
        <v>65</v>
      </c>
      <c r="AY114" s="76">
        <f t="shared" si="27"/>
        <v>1.5384615384615385E-2</v>
      </c>
      <c r="AZ114" s="67">
        <f t="shared" si="22"/>
        <v>1</v>
      </c>
      <c r="BA114" s="76">
        <f t="shared" si="25"/>
        <v>7.6923076923076927E-2</v>
      </c>
      <c r="BC114" s="67">
        <f t="shared" si="23"/>
        <v>0</v>
      </c>
      <c r="BD114" s="67">
        <f t="shared" si="24"/>
        <v>1</v>
      </c>
    </row>
    <row r="115" spans="1:56">
      <c r="A115" s="8">
        <v>254</v>
      </c>
      <c r="B115" s="8" t="s">
        <v>162</v>
      </c>
      <c r="C115" s="8" t="s">
        <v>12</v>
      </c>
      <c r="D115" s="8" t="s">
        <v>42</v>
      </c>
      <c r="E115" s="271"/>
      <c r="F115" s="5"/>
      <c r="G115" s="5"/>
      <c r="H115" s="5"/>
      <c r="I115" s="5"/>
      <c r="J115" s="5"/>
      <c r="K115" s="5"/>
      <c r="L115" s="272"/>
      <c r="M115" s="271"/>
      <c r="N115" s="5"/>
      <c r="O115" s="5"/>
      <c r="P115" s="5"/>
      <c r="Q115" s="5"/>
      <c r="R115" s="5" t="s">
        <v>446</v>
      </c>
      <c r="S115" s="5"/>
      <c r="T115" s="272"/>
      <c r="U115" s="271"/>
      <c r="V115" s="5" t="s">
        <v>436</v>
      </c>
      <c r="W115" s="5"/>
      <c r="X115" s="5"/>
      <c r="Y115" s="5"/>
      <c r="Z115" s="5"/>
      <c r="AA115" s="5"/>
      <c r="AB115" s="272"/>
      <c r="AC115" s="271"/>
      <c r="AD115" s="5"/>
      <c r="AE115" s="5"/>
      <c r="AF115" s="5"/>
      <c r="AG115" s="5"/>
      <c r="AH115" s="5" t="s">
        <v>442</v>
      </c>
      <c r="AI115" s="5"/>
      <c r="AJ115" s="272"/>
      <c r="AK115" s="8">
        <v>254</v>
      </c>
      <c r="AL115" s="8"/>
      <c r="AM115" s="8">
        <v>1</v>
      </c>
      <c r="AN115" s="8"/>
      <c r="AO115" s="67">
        <f t="shared" si="15"/>
        <v>1</v>
      </c>
      <c r="AP115" s="67">
        <f t="shared" si="16"/>
        <v>1</v>
      </c>
      <c r="AQ115" s="67">
        <f t="shared" si="17"/>
        <v>0</v>
      </c>
      <c r="AR115" s="67">
        <f t="shared" si="18"/>
        <v>2</v>
      </c>
      <c r="AS115" s="67">
        <f t="shared" si="19"/>
        <v>2</v>
      </c>
      <c r="AT115" s="67">
        <f t="shared" si="20"/>
        <v>2</v>
      </c>
      <c r="AU115" s="67">
        <f t="shared" si="21"/>
        <v>8</v>
      </c>
      <c r="AW115" s="256">
        <v>32</v>
      </c>
      <c r="AX115" s="67">
        <f t="shared" si="26"/>
        <v>160</v>
      </c>
      <c r="AY115" s="76">
        <f t="shared" si="27"/>
        <v>0.05</v>
      </c>
      <c r="AZ115" s="67">
        <f t="shared" si="22"/>
        <v>3</v>
      </c>
      <c r="BA115" s="76">
        <f t="shared" si="25"/>
        <v>9.375E-2</v>
      </c>
      <c r="BC115" s="67">
        <f t="shared" si="23"/>
        <v>1</v>
      </c>
      <c r="BD115" s="67">
        <f t="shared" si="24"/>
        <v>2</v>
      </c>
    </row>
    <row r="116" spans="1:56" s="8" customFormat="1">
      <c r="A116" s="8">
        <v>255</v>
      </c>
      <c r="B116" s="8" t="s">
        <v>59</v>
      </c>
      <c r="C116" s="8" t="s">
        <v>346</v>
      </c>
      <c r="E116" s="269"/>
      <c r="F116" s="20"/>
      <c r="G116" s="20"/>
      <c r="H116" s="20"/>
      <c r="I116" s="20"/>
      <c r="J116" s="20"/>
      <c r="K116" s="20"/>
      <c r="L116" s="270"/>
      <c r="M116" s="269"/>
      <c r="N116" s="20"/>
      <c r="O116" s="20"/>
      <c r="P116" s="20"/>
      <c r="Q116" s="20"/>
      <c r="R116" s="20"/>
      <c r="S116" s="20"/>
      <c r="T116" s="270"/>
      <c r="U116" s="269"/>
      <c r="V116" s="20"/>
      <c r="W116" s="20"/>
      <c r="X116" s="20"/>
      <c r="Y116" s="20"/>
      <c r="Z116" s="20"/>
      <c r="AA116" s="20"/>
      <c r="AB116" s="270"/>
      <c r="AC116" s="269"/>
      <c r="AD116" s="20"/>
      <c r="AE116" s="20"/>
      <c r="AF116" s="20"/>
      <c r="AG116" s="20"/>
      <c r="AH116" s="20"/>
      <c r="AI116" s="20"/>
      <c r="AJ116" s="270"/>
      <c r="AK116" s="8">
        <v>255</v>
      </c>
      <c r="AL116" s="8">
        <v>1</v>
      </c>
      <c r="AO116" s="67">
        <f t="shared" si="15"/>
        <v>0</v>
      </c>
      <c r="AP116" s="67">
        <f t="shared" si="16"/>
        <v>0</v>
      </c>
      <c r="AQ116" s="67">
        <f t="shared" si="17"/>
        <v>0</v>
      </c>
      <c r="AR116" s="67">
        <f t="shared" si="18"/>
        <v>0</v>
      </c>
      <c r="AS116" s="67">
        <f t="shared" si="19"/>
        <v>0</v>
      </c>
      <c r="AT116" s="67">
        <f t="shared" si="20"/>
        <v>0</v>
      </c>
      <c r="AU116" s="67">
        <f t="shared" si="21"/>
        <v>0</v>
      </c>
      <c r="AW116" s="256">
        <v>1</v>
      </c>
      <c r="AX116" s="67">
        <f t="shared" si="26"/>
        <v>5</v>
      </c>
      <c r="AY116" s="76">
        <f t="shared" si="27"/>
        <v>0</v>
      </c>
      <c r="AZ116" s="67">
        <f t="shared" si="22"/>
        <v>0</v>
      </c>
      <c r="BA116" s="76">
        <f t="shared" si="25"/>
        <v>0</v>
      </c>
      <c r="BB116" s="67"/>
      <c r="BC116" s="67">
        <f t="shared" si="23"/>
        <v>0</v>
      </c>
      <c r="BD116" s="67">
        <f t="shared" si="24"/>
        <v>0</v>
      </c>
    </row>
    <row r="117" spans="1:56">
      <c r="A117" s="67">
        <v>256</v>
      </c>
      <c r="B117" s="8" t="s">
        <v>44</v>
      </c>
      <c r="C117" s="8" t="s">
        <v>349</v>
      </c>
      <c r="D117" s="8" t="s">
        <v>42</v>
      </c>
      <c r="E117" s="269"/>
      <c r="F117" s="20"/>
      <c r="G117" s="20"/>
      <c r="H117" s="20"/>
      <c r="I117" s="20"/>
      <c r="J117" s="20"/>
      <c r="K117" s="20"/>
      <c r="L117" s="270"/>
      <c r="M117" s="269"/>
      <c r="N117" s="20"/>
      <c r="O117" s="20"/>
      <c r="P117" s="20"/>
      <c r="Q117" s="20"/>
      <c r="R117" s="20"/>
      <c r="S117" s="20"/>
      <c r="T117" s="270"/>
      <c r="U117" s="269"/>
      <c r="V117" s="20"/>
      <c r="W117" s="20"/>
      <c r="X117" s="20"/>
      <c r="Y117" s="20"/>
      <c r="Z117" s="20" t="s">
        <v>434</v>
      </c>
      <c r="AA117" s="20"/>
      <c r="AB117" s="270"/>
      <c r="AC117" s="269"/>
      <c r="AD117" s="20"/>
      <c r="AE117" s="20"/>
      <c r="AF117" s="20"/>
      <c r="AG117" s="20"/>
      <c r="AH117" s="20"/>
      <c r="AI117" s="20"/>
      <c r="AJ117" s="270"/>
      <c r="AK117" s="67">
        <v>256</v>
      </c>
      <c r="AM117" s="67">
        <v>1</v>
      </c>
      <c r="AO117" s="67">
        <f t="shared" si="15"/>
        <v>0</v>
      </c>
      <c r="AP117" s="67">
        <f t="shared" si="16"/>
        <v>0</v>
      </c>
      <c r="AQ117" s="67">
        <f t="shared" si="17"/>
        <v>0</v>
      </c>
      <c r="AR117" s="67">
        <f t="shared" si="18"/>
        <v>1</v>
      </c>
      <c r="AS117" s="67">
        <f t="shared" si="19"/>
        <v>0</v>
      </c>
      <c r="AT117" s="67">
        <f t="shared" si="20"/>
        <v>0</v>
      </c>
      <c r="AU117" s="67">
        <f t="shared" si="21"/>
        <v>1</v>
      </c>
      <c r="AW117" s="256">
        <v>8</v>
      </c>
      <c r="AX117" s="67">
        <f t="shared" si="26"/>
        <v>40</v>
      </c>
      <c r="AY117" s="76">
        <f t="shared" si="27"/>
        <v>2.5000000000000001E-2</v>
      </c>
      <c r="AZ117" s="67">
        <f t="shared" si="22"/>
        <v>1</v>
      </c>
      <c r="BA117" s="76">
        <f t="shared" si="25"/>
        <v>0.125</v>
      </c>
      <c r="BC117" s="67">
        <f t="shared" si="23"/>
        <v>0</v>
      </c>
      <c r="BD117" s="67">
        <f t="shared" si="24"/>
        <v>1</v>
      </c>
    </row>
    <row r="118" spans="1:56">
      <c r="A118" s="67">
        <v>257</v>
      </c>
      <c r="B118" s="8" t="s">
        <v>55</v>
      </c>
      <c r="C118" s="8" t="s">
        <v>346</v>
      </c>
      <c r="E118" s="269"/>
      <c r="F118" s="20"/>
      <c r="G118" s="20"/>
      <c r="H118" s="20"/>
      <c r="I118" s="20"/>
      <c r="J118" s="20"/>
      <c r="K118" s="20"/>
      <c r="L118" s="270"/>
      <c r="M118" s="269"/>
      <c r="N118" s="20"/>
      <c r="O118" s="20"/>
      <c r="P118" s="20"/>
      <c r="Q118" s="20"/>
      <c r="R118" s="20"/>
      <c r="S118" s="20"/>
      <c r="T118" s="270"/>
      <c r="U118" s="269"/>
      <c r="V118" s="20"/>
      <c r="W118" s="20"/>
      <c r="X118" s="20"/>
      <c r="Y118" s="20"/>
      <c r="Z118" s="20"/>
      <c r="AA118" s="20"/>
      <c r="AB118" s="270"/>
      <c r="AC118" s="269"/>
      <c r="AD118" s="20"/>
      <c r="AE118" s="20"/>
      <c r="AF118" s="20"/>
      <c r="AG118" s="20"/>
      <c r="AH118" s="20"/>
      <c r="AI118" s="20"/>
      <c r="AJ118" s="270"/>
      <c r="AK118" s="67">
        <v>257</v>
      </c>
      <c r="AL118" s="67">
        <v>1</v>
      </c>
      <c r="AO118" s="67">
        <f t="shared" si="15"/>
        <v>0</v>
      </c>
      <c r="AP118" s="67">
        <f t="shared" si="16"/>
        <v>0</v>
      </c>
      <c r="AQ118" s="67">
        <f t="shared" si="17"/>
        <v>0</v>
      </c>
      <c r="AR118" s="67">
        <f t="shared" si="18"/>
        <v>0</v>
      </c>
      <c r="AS118" s="67">
        <f t="shared" si="19"/>
        <v>0</v>
      </c>
      <c r="AT118" s="67">
        <f t="shared" si="20"/>
        <v>0</v>
      </c>
      <c r="AU118" s="67">
        <f t="shared" si="21"/>
        <v>0</v>
      </c>
      <c r="AW118" s="256">
        <v>16</v>
      </c>
      <c r="AX118" s="67">
        <f t="shared" si="26"/>
        <v>80</v>
      </c>
      <c r="AY118" s="76">
        <f t="shared" si="27"/>
        <v>0</v>
      </c>
      <c r="AZ118" s="67">
        <f t="shared" si="22"/>
        <v>0</v>
      </c>
      <c r="BA118" s="76">
        <f t="shared" si="25"/>
        <v>0</v>
      </c>
      <c r="BC118" s="67">
        <f t="shared" si="23"/>
        <v>0</v>
      </c>
      <c r="BD118" s="67">
        <f t="shared" si="24"/>
        <v>0</v>
      </c>
    </row>
    <row r="119" spans="1:56">
      <c r="A119" s="8">
        <v>258</v>
      </c>
      <c r="B119" s="8" t="s">
        <v>74</v>
      </c>
      <c r="C119" s="8" t="s">
        <v>346</v>
      </c>
      <c r="D119" s="8"/>
      <c r="E119" s="24"/>
      <c r="F119" s="5"/>
      <c r="G119" s="5"/>
      <c r="H119" s="5"/>
      <c r="I119" s="5"/>
      <c r="J119" s="5"/>
      <c r="K119" s="5"/>
      <c r="L119" s="25"/>
      <c r="M119" s="24"/>
      <c r="N119" s="5"/>
      <c r="O119" s="5"/>
      <c r="P119" s="5"/>
      <c r="Q119" s="5"/>
      <c r="R119" s="5"/>
      <c r="S119" s="5"/>
      <c r="T119" s="25"/>
      <c r="U119" s="24"/>
      <c r="V119" s="5"/>
      <c r="W119" s="5"/>
      <c r="X119" s="5"/>
      <c r="Y119" s="5"/>
      <c r="Z119" s="5"/>
      <c r="AA119" s="5"/>
      <c r="AB119" s="25"/>
      <c r="AC119" s="24"/>
      <c r="AD119" s="5"/>
      <c r="AE119" s="5"/>
      <c r="AF119" s="5"/>
      <c r="AG119" s="5"/>
      <c r="AH119" s="5"/>
      <c r="AI119" s="5"/>
      <c r="AJ119" s="25"/>
      <c r="AK119" s="67">
        <v>258</v>
      </c>
      <c r="AL119" s="67">
        <v>1</v>
      </c>
      <c r="AO119" s="67">
        <f t="shared" si="15"/>
        <v>0</v>
      </c>
      <c r="AP119" s="67">
        <f t="shared" si="16"/>
        <v>0</v>
      </c>
      <c r="AQ119" s="67">
        <f t="shared" si="17"/>
        <v>0</v>
      </c>
      <c r="AR119" s="67">
        <f t="shared" si="18"/>
        <v>0</v>
      </c>
      <c r="AS119" s="67">
        <f t="shared" si="19"/>
        <v>0</v>
      </c>
      <c r="AT119" s="67">
        <f t="shared" si="20"/>
        <v>0</v>
      </c>
      <c r="AU119" s="67">
        <f t="shared" si="21"/>
        <v>0</v>
      </c>
      <c r="AW119" s="256">
        <v>5</v>
      </c>
      <c r="AX119" s="67">
        <f t="shared" si="26"/>
        <v>25</v>
      </c>
      <c r="AY119" s="76">
        <f t="shared" si="27"/>
        <v>0</v>
      </c>
      <c r="AZ119" s="67">
        <f t="shared" si="22"/>
        <v>0</v>
      </c>
      <c r="BA119" s="76">
        <f t="shared" si="25"/>
        <v>0</v>
      </c>
      <c r="BC119" s="67">
        <f t="shared" si="23"/>
        <v>0</v>
      </c>
      <c r="BD119" s="67">
        <f t="shared" si="24"/>
        <v>0</v>
      </c>
    </row>
    <row r="120" spans="1:56">
      <c r="A120" s="67">
        <v>263</v>
      </c>
      <c r="B120" s="8" t="s">
        <v>5</v>
      </c>
      <c r="C120" s="8" t="s">
        <v>42</v>
      </c>
      <c r="D120" s="8" t="s">
        <v>6</v>
      </c>
      <c r="E120" s="269"/>
      <c r="F120" s="20"/>
      <c r="G120" s="20"/>
      <c r="H120" s="20"/>
      <c r="I120" s="20"/>
      <c r="J120" s="20"/>
      <c r="K120" s="20"/>
      <c r="L120" s="270"/>
      <c r="M120" s="269"/>
      <c r="N120" s="20"/>
      <c r="O120" s="20"/>
      <c r="P120" s="20"/>
      <c r="Q120" s="20"/>
      <c r="R120" s="20"/>
      <c r="S120" s="20"/>
      <c r="T120" s="270"/>
      <c r="U120" s="269"/>
      <c r="V120" s="20"/>
      <c r="W120" s="20"/>
      <c r="X120" s="20"/>
      <c r="Y120" s="20"/>
      <c r="Z120" s="20"/>
      <c r="AA120" s="20"/>
      <c r="AB120" s="270"/>
      <c r="AC120" s="269"/>
      <c r="AD120" s="20"/>
      <c r="AE120" s="20"/>
      <c r="AF120" s="20"/>
      <c r="AG120" s="20"/>
      <c r="AH120" s="20"/>
      <c r="AI120" s="20"/>
      <c r="AJ120" s="270"/>
      <c r="AK120" s="67">
        <v>263</v>
      </c>
      <c r="AL120" s="67">
        <v>1</v>
      </c>
      <c r="AO120" s="67">
        <f t="shared" si="15"/>
        <v>0</v>
      </c>
      <c r="AP120" s="67">
        <f t="shared" si="16"/>
        <v>0</v>
      </c>
      <c r="AQ120" s="67">
        <f t="shared" si="17"/>
        <v>0</v>
      </c>
      <c r="AR120" s="67">
        <f t="shared" si="18"/>
        <v>0</v>
      </c>
      <c r="AS120" s="67">
        <f t="shared" si="19"/>
        <v>0</v>
      </c>
      <c r="AT120" s="67">
        <f t="shared" si="20"/>
        <v>0</v>
      </c>
      <c r="AU120" s="67">
        <f t="shared" si="21"/>
        <v>0</v>
      </c>
      <c r="AW120" s="256">
        <v>32</v>
      </c>
      <c r="AX120" s="67">
        <f t="shared" si="26"/>
        <v>160</v>
      </c>
      <c r="AY120" s="76">
        <f t="shared" si="27"/>
        <v>0</v>
      </c>
      <c r="AZ120" s="67">
        <f t="shared" si="22"/>
        <v>0</v>
      </c>
      <c r="BA120" s="76">
        <f t="shared" si="25"/>
        <v>0</v>
      </c>
      <c r="BC120" s="67">
        <f t="shared" si="23"/>
        <v>0</v>
      </c>
      <c r="BD120" s="67">
        <f t="shared" si="24"/>
        <v>0</v>
      </c>
    </row>
    <row r="121" spans="1:56">
      <c r="A121" s="67">
        <v>266</v>
      </c>
      <c r="B121" s="8" t="s">
        <v>197</v>
      </c>
      <c r="C121" s="8" t="s">
        <v>357</v>
      </c>
      <c r="E121" s="269"/>
      <c r="F121" s="20"/>
      <c r="G121" s="20"/>
      <c r="H121" s="20"/>
      <c r="I121" s="20"/>
      <c r="J121" s="20"/>
      <c r="K121" s="20"/>
      <c r="L121" s="270"/>
      <c r="M121" s="269"/>
      <c r="N121" s="20"/>
      <c r="O121" s="20"/>
      <c r="P121" s="20"/>
      <c r="Q121" s="20"/>
      <c r="R121" s="20"/>
      <c r="S121" s="20"/>
      <c r="T121" s="270"/>
      <c r="U121" s="269"/>
      <c r="V121" s="20" t="s">
        <v>442</v>
      </c>
      <c r="W121" s="20"/>
      <c r="X121" s="20"/>
      <c r="Y121" s="20"/>
      <c r="Z121" s="20"/>
      <c r="AA121" s="20"/>
      <c r="AB121" s="270"/>
      <c r="AC121" s="269"/>
      <c r="AD121" s="20"/>
      <c r="AE121" s="20"/>
      <c r="AF121" s="20"/>
      <c r="AG121" s="20"/>
      <c r="AH121" s="20"/>
      <c r="AI121" s="20"/>
      <c r="AJ121" s="270"/>
      <c r="AK121" s="67">
        <v>266</v>
      </c>
      <c r="AM121" s="67">
        <v>1</v>
      </c>
      <c r="AO121" s="67">
        <f t="shared" si="15"/>
        <v>1</v>
      </c>
      <c r="AP121" s="67">
        <f t="shared" si="16"/>
        <v>1</v>
      </c>
      <c r="AQ121" s="67">
        <f t="shared" si="17"/>
        <v>0</v>
      </c>
      <c r="AR121" s="67">
        <f t="shared" si="18"/>
        <v>1</v>
      </c>
      <c r="AS121" s="67">
        <f t="shared" si="19"/>
        <v>1</v>
      </c>
      <c r="AT121" s="67">
        <f t="shared" si="20"/>
        <v>1</v>
      </c>
      <c r="AU121" s="67">
        <f t="shared" si="21"/>
        <v>5</v>
      </c>
      <c r="AW121" s="256">
        <v>22</v>
      </c>
      <c r="AX121" s="67">
        <f t="shared" si="26"/>
        <v>110</v>
      </c>
      <c r="AY121" s="76">
        <f t="shared" si="27"/>
        <v>4.5454545454545456E-2</v>
      </c>
      <c r="AZ121" s="67">
        <f t="shared" si="22"/>
        <v>1</v>
      </c>
      <c r="BA121" s="76">
        <f t="shared" si="25"/>
        <v>4.5454545454545456E-2</v>
      </c>
      <c r="BC121" s="67">
        <f t="shared" si="23"/>
        <v>0</v>
      </c>
      <c r="BD121" s="67">
        <f t="shared" si="24"/>
        <v>1</v>
      </c>
    </row>
    <row r="122" spans="1:56">
      <c r="A122" s="8">
        <v>267</v>
      </c>
      <c r="B122" s="8" t="s">
        <v>73</v>
      </c>
      <c r="C122" s="8" t="s">
        <v>165</v>
      </c>
      <c r="D122" s="8" t="s">
        <v>6</v>
      </c>
      <c r="E122" s="271"/>
      <c r="F122" s="5"/>
      <c r="G122" s="5"/>
      <c r="H122" s="5"/>
      <c r="I122" s="5"/>
      <c r="J122" s="5"/>
      <c r="K122" s="5"/>
      <c r="L122" s="272"/>
      <c r="M122" s="271"/>
      <c r="N122" s="5"/>
      <c r="O122" s="5"/>
      <c r="P122" s="5" t="s">
        <v>434</v>
      </c>
      <c r="Q122" s="5"/>
      <c r="R122" s="5"/>
      <c r="S122" s="5"/>
      <c r="T122" s="272"/>
      <c r="U122" s="271"/>
      <c r="V122" s="5" t="s">
        <v>431</v>
      </c>
      <c r="W122" s="5"/>
      <c r="X122" s="5"/>
      <c r="Y122" s="5"/>
      <c r="Z122" s="5"/>
      <c r="AA122" s="5"/>
      <c r="AB122" s="272"/>
      <c r="AC122" s="271"/>
      <c r="AD122" s="5"/>
      <c r="AE122" s="5"/>
      <c r="AF122" s="5"/>
      <c r="AG122" s="5"/>
      <c r="AH122" s="5"/>
      <c r="AI122" s="5"/>
      <c r="AJ122" s="272"/>
      <c r="AK122" s="8">
        <v>267</v>
      </c>
      <c r="AL122" s="8"/>
      <c r="AM122" s="8">
        <v>1</v>
      </c>
      <c r="AN122" s="8"/>
      <c r="AO122" s="67">
        <f t="shared" si="15"/>
        <v>1</v>
      </c>
      <c r="AP122" s="67">
        <f t="shared" si="16"/>
        <v>0</v>
      </c>
      <c r="AQ122" s="67">
        <f t="shared" si="17"/>
        <v>0</v>
      </c>
      <c r="AR122" s="67">
        <f t="shared" si="18"/>
        <v>1</v>
      </c>
      <c r="AS122" s="67">
        <f t="shared" si="19"/>
        <v>0</v>
      </c>
      <c r="AT122" s="67">
        <f t="shared" si="20"/>
        <v>0</v>
      </c>
      <c r="AU122" s="67">
        <f t="shared" si="21"/>
        <v>2</v>
      </c>
      <c r="AW122" s="256">
        <v>22</v>
      </c>
      <c r="AX122" s="67">
        <f t="shared" si="26"/>
        <v>110</v>
      </c>
      <c r="AY122" s="76">
        <f t="shared" si="27"/>
        <v>1.8181818181818181E-2</v>
      </c>
      <c r="AZ122" s="67">
        <f t="shared" si="22"/>
        <v>2</v>
      </c>
      <c r="BA122" s="76">
        <f t="shared" si="25"/>
        <v>9.0909090909090912E-2</v>
      </c>
      <c r="BC122" s="67">
        <f t="shared" si="23"/>
        <v>1</v>
      </c>
      <c r="BD122" s="67">
        <f t="shared" si="24"/>
        <v>1</v>
      </c>
    </row>
    <row r="123" spans="1:56" s="8" customFormat="1">
      <c r="A123" s="67">
        <v>270</v>
      </c>
      <c r="B123" s="8" t="s">
        <v>197</v>
      </c>
      <c r="C123" s="8" t="s">
        <v>357</v>
      </c>
      <c r="D123" s="67"/>
      <c r="E123" s="269"/>
      <c r="F123" s="20"/>
      <c r="G123" s="20"/>
      <c r="H123" s="20"/>
      <c r="I123" s="20"/>
      <c r="J123" s="20"/>
      <c r="K123" s="20"/>
      <c r="L123" s="270"/>
      <c r="M123" s="269"/>
      <c r="N123" s="20"/>
      <c r="O123" s="20"/>
      <c r="P123" s="20"/>
      <c r="Q123" s="20"/>
      <c r="R123" s="20"/>
      <c r="S123" s="20"/>
      <c r="T123" s="270"/>
      <c r="U123" s="269"/>
      <c r="V123" s="20"/>
      <c r="W123" s="20"/>
      <c r="X123" s="20"/>
      <c r="Y123" s="20"/>
      <c r="Z123" s="20"/>
      <c r="AA123" s="20"/>
      <c r="AB123" s="270"/>
      <c r="AC123" s="269"/>
      <c r="AD123" s="20"/>
      <c r="AE123" s="20"/>
      <c r="AF123" s="20"/>
      <c r="AG123" s="20"/>
      <c r="AH123" s="20"/>
      <c r="AI123" s="20"/>
      <c r="AJ123" s="270"/>
      <c r="AK123" s="67">
        <v>270</v>
      </c>
      <c r="AL123" s="67">
        <v>1</v>
      </c>
      <c r="AM123" s="67"/>
      <c r="AN123" s="67"/>
      <c r="AO123" s="67">
        <f t="shared" si="15"/>
        <v>0</v>
      </c>
      <c r="AP123" s="67">
        <f t="shared" si="16"/>
        <v>0</v>
      </c>
      <c r="AQ123" s="67">
        <f t="shared" si="17"/>
        <v>0</v>
      </c>
      <c r="AR123" s="67">
        <f t="shared" si="18"/>
        <v>0</v>
      </c>
      <c r="AS123" s="67">
        <f t="shared" si="19"/>
        <v>0</v>
      </c>
      <c r="AT123" s="67">
        <f t="shared" si="20"/>
        <v>0</v>
      </c>
      <c r="AU123" s="67">
        <f t="shared" si="21"/>
        <v>0</v>
      </c>
      <c r="AW123" s="256">
        <v>19</v>
      </c>
      <c r="AX123" s="67">
        <f t="shared" si="26"/>
        <v>95</v>
      </c>
      <c r="AY123" s="76">
        <f t="shared" si="27"/>
        <v>0</v>
      </c>
      <c r="AZ123" s="67">
        <f t="shared" si="22"/>
        <v>0</v>
      </c>
      <c r="BA123" s="76">
        <f t="shared" si="25"/>
        <v>0</v>
      </c>
      <c r="BB123" s="67"/>
      <c r="BC123" s="67">
        <f t="shared" si="23"/>
        <v>0</v>
      </c>
      <c r="BD123" s="67">
        <f t="shared" si="24"/>
        <v>0</v>
      </c>
    </row>
    <row r="124" spans="1:56">
      <c r="A124" s="67">
        <v>271</v>
      </c>
      <c r="B124" s="8" t="s">
        <v>62</v>
      </c>
      <c r="C124" s="8" t="s">
        <v>42</v>
      </c>
      <c r="D124" s="8" t="s">
        <v>6</v>
      </c>
      <c r="E124" s="269"/>
      <c r="F124" s="20"/>
      <c r="G124" s="5" t="s">
        <v>435</v>
      </c>
      <c r="H124" s="20"/>
      <c r="I124" s="20"/>
      <c r="J124" s="20" t="s">
        <v>434</v>
      </c>
      <c r="K124" s="20" t="s">
        <v>451</v>
      </c>
      <c r="L124" s="270"/>
      <c r="M124" s="269"/>
      <c r="N124" s="20" t="s">
        <v>435</v>
      </c>
      <c r="O124" s="20"/>
      <c r="P124" s="20"/>
      <c r="Q124" s="20" t="s">
        <v>446</v>
      </c>
      <c r="R124" s="20"/>
      <c r="S124" s="20"/>
      <c r="T124" s="270"/>
      <c r="U124" s="269"/>
      <c r="V124" s="20"/>
      <c r="W124" s="20"/>
      <c r="X124" s="20"/>
      <c r="Y124" s="20" t="s">
        <v>434</v>
      </c>
      <c r="Z124" s="20" t="s">
        <v>435</v>
      </c>
      <c r="AA124" s="20"/>
      <c r="AB124" s="270"/>
      <c r="AC124" s="269"/>
      <c r="AD124" s="20"/>
      <c r="AE124" s="20"/>
      <c r="AF124" s="20"/>
      <c r="AG124" s="20"/>
      <c r="AH124" s="20"/>
      <c r="AI124" s="20"/>
      <c r="AJ124" s="270"/>
      <c r="AK124" s="67">
        <v>271</v>
      </c>
      <c r="AM124" s="67">
        <v>1</v>
      </c>
      <c r="AO124" s="67">
        <f t="shared" si="15"/>
        <v>0</v>
      </c>
      <c r="AP124" s="67">
        <f t="shared" si="16"/>
        <v>1</v>
      </c>
      <c r="AQ124" s="67">
        <f t="shared" si="17"/>
        <v>1</v>
      </c>
      <c r="AR124" s="67">
        <f t="shared" si="18"/>
        <v>4</v>
      </c>
      <c r="AS124" s="67">
        <f t="shared" si="19"/>
        <v>5</v>
      </c>
      <c r="AT124" s="67">
        <f t="shared" si="20"/>
        <v>1</v>
      </c>
      <c r="AU124" s="67">
        <f t="shared" si="21"/>
        <v>12</v>
      </c>
      <c r="AW124" s="256">
        <v>22</v>
      </c>
      <c r="AX124" s="67">
        <f t="shared" si="26"/>
        <v>110</v>
      </c>
      <c r="AY124" s="76">
        <f t="shared" si="27"/>
        <v>0.10909090909090909</v>
      </c>
      <c r="AZ124" s="67">
        <f t="shared" si="22"/>
        <v>7</v>
      </c>
      <c r="BA124" s="76">
        <f t="shared" si="25"/>
        <v>0.31818181818181818</v>
      </c>
      <c r="BC124" s="67">
        <f t="shared" si="23"/>
        <v>5</v>
      </c>
      <c r="BD124" s="67">
        <f t="shared" si="24"/>
        <v>2</v>
      </c>
    </row>
    <row r="125" spans="1:56">
      <c r="A125" s="67">
        <v>272</v>
      </c>
      <c r="B125" s="8" t="s">
        <v>41</v>
      </c>
      <c r="C125" s="8" t="s">
        <v>42</v>
      </c>
      <c r="D125" s="8" t="s">
        <v>6</v>
      </c>
      <c r="E125" s="269"/>
      <c r="F125" s="20"/>
      <c r="G125" s="20"/>
      <c r="H125" s="20" t="s">
        <v>434</v>
      </c>
      <c r="I125" s="20"/>
      <c r="J125" s="20"/>
      <c r="K125" s="20"/>
      <c r="L125" s="270"/>
      <c r="M125" s="269"/>
      <c r="N125" s="20"/>
      <c r="O125" s="20"/>
      <c r="P125" s="20"/>
      <c r="Q125" s="20"/>
      <c r="R125" s="20"/>
      <c r="S125" s="20"/>
      <c r="T125" s="270"/>
      <c r="U125" s="269"/>
      <c r="V125" s="20"/>
      <c r="W125" s="20"/>
      <c r="X125" s="20" t="s">
        <v>463</v>
      </c>
      <c r="Y125" s="20"/>
      <c r="Z125" s="20"/>
      <c r="AA125" s="20"/>
      <c r="AB125" s="270"/>
      <c r="AC125" s="269"/>
      <c r="AD125" s="20"/>
      <c r="AE125" s="20"/>
      <c r="AF125" s="20"/>
      <c r="AG125" s="20" t="s">
        <v>435</v>
      </c>
      <c r="AH125" s="20"/>
      <c r="AI125" s="20"/>
      <c r="AJ125" s="270"/>
      <c r="AK125" s="67">
        <v>272</v>
      </c>
      <c r="AM125" s="67">
        <v>1</v>
      </c>
      <c r="AO125" s="67">
        <f t="shared" si="15"/>
        <v>0</v>
      </c>
      <c r="AP125" s="67">
        <f t="shared" si="16"/>
        <v>1</v>
      </c>
      <c r="AQ125" s="67">
        <f t="shared" si="17"/>
        <v>0</v>
      </c>
      <c r="AR125" s="67">
        <f t="shared" si="18"/>
        <v>1</v>
      </c>
      <c r="AS125" s="67">
        <f t="shared" si="19"/>
        <v>2</v>
      </c>
      <c r="AT125" s="67">
        <f t="shared" si="20"/>
        <v>0</v>
      </c>
      <c r="AU125" s="67">
        <f t="shared" si="21"/>
        <v>4</v>
      </c>
      <c r="AW125" s="256">
        <v>16</v>
      </c>
      <c r="AX125" s="67">
        <f t="shared" si="26"/>
        <v>80</v>
      </c>
      <c r="AY125" s="76">
        <f t="shared" si="27"/>
        <v>0.05</v>
      </c>
      <c r="AZ125" s="67">
        <f t="shared" si="22"/>
        <v>3</v>
      </c>
      <c r="BA125" s="76">
        <f t="shared" si="25"/>
        <v>0.1875</v>
      </c>
      <c r="BC125" s="67">
        <f t="shared" si="23"/>
        <v>1</v>
      </c>
      <c r="BD125" s="67">
        <f t="shared" si="24"/>
        <v>2</v>
      </c>
    </row>
    <row r="126" spans="1:56">
      <c r="A126" s="67">
        <v>273</v>
      </c>
      <c r="B126" s="67" t="s">
        <v>5</v>
      </c>
      <c r="C126" s="8" t="s">
        <v>42</v>
      </c>
      <c r="D126" s="67" t="s">
        <v>42</v>
      </c>
      <c r="E126" s="269"/>
      <c r="F126" s="5" t="s">
        <v>454</v>
      </c>
      <c r="G126" s="20"/>
      <c r="H126" s="20"/>
      <c r="I126" s="20" t="s">
        <v>434</v>
      </c>
      <c r="J126" s="20" t="s">
        <v>451</v>
      </c>
      <c r="K126" s="20"/>
      <c r="L126" s="270"/>
      <c r="M126" s="269"/>
      <c r="N126" s="20"/>
      <c r="O126" s="20"/>
      <c r="P126" s="20"/>
      <c r="Q126" s="20" t="s">
        <v>434</v>
      </c>
      <c r="R126" s="20"/>
      <c r="S126" s="20"/>
      <c r="T126" s="270"/>
      <c r="U126" s="269" t="s">
        <v>436</v>
      </c>
      <c r="V126" s="20"/>
      <c r="W126" s="20" t="s">
        <v>442</v>
      </c>
      <c r="X126" s="20"/>
      <c r="Y126" s="20"/>
      <c r="Z126" s="20"/>
      <c r="AA126" s="20"/>
      <c r="AB126" s="270"/>
      <c r="AC126" s="269"/>
      <c r="AD126" s="20"/>
      <c r="AE126" s="20"/>
      <c r="AF126" s="20"/>
      <c r="AG126" s="20" t="s">
        <v>435</v>
      </c>
      <c r="AH126" s="20" t="s">
        <v>442</v>
      </c>
      <c r="AI126" s="20"/>
      <c r="AJ126" s="270" t="s">
        <v>442</v>
      </c>
      <c r="AK126" s="67">
        <v>273</v>
      </c>
      <c r="AM126" s="67">
        <v>1</v>
      </c>
      <c r="AO126" s="67">
        <f t="shared" si="15"/>
        <v>3</v>
      </c>
      <c r="AP126" s="67">
        <f t="shared" si="16"/>
        <v>4</v>
      </c>
      <c r="AQ126" s="67">
        <f t="shared" si="17"/>
        <v>1</v>
      </c>
      <c r="AR126" s="67">
        <f t="shared" si="18"/>
        <v>6</v>
      </c>
      <c r="AS126" s="67">
        <f t="shared" si="19"/>
        <v>6</v>
      </c>
      <c r="AT126" s="67">
        <f t="shared" si="20"/>
        <v>6</v>
      </c>
      <c r="AU126" s="67">
        <f t="shared" si="21"/>
        <v>26</v>
      </c>
      <c r="AW126" s="256">
        <v>28</v>
      </c>
      <c r="AX126" s="67">
        <f t="shared" si="26"/>
        <v>140</v>
      </c>
      <c r="AY126" s="76">
        <f t="shared" si="27"/>
        <v>0.18571428571428572</v>
      </c>
      <c r="AZ126" s="67">
        <f t="shared" si="22"/>
        <v>9</v>
      </c>
      <c r="BA126" s="76">
        <f t="shared" si="25"/>
        <v>0.32142857142857145</v>
      </c>
      <c r="BC126" s="67">
        <f t="shared" si="23"/>
        <v>4</v>
      </c>
      <c r="BD126" s="67">
        <f t="shared" si="24"/>
        <v>5</v>
      </c>
    </row>
    <row r="127" spans="1:56">
      <c r="A127" s="67">
        <v>280</v>
      </c>
      <c r="B127" s="8" t="s">
        <v>123</v>
      </c>
      <c r="C127" s="8" t="s">
        <v>366</v>
      </c>
      <c r="D127" s="8" t="s">
        <v>42</v>
      </c>
      <c r="E127" s="269" t="s">
        <v>434</v>
      </c>
      <c r="F127" s="5" t="s">
        <v>442</v>
      </c>
      <c r="G127" s="20"/>
      <c r="H127" s="20"/>
      <c r="I127" s="20"/>
      <c r="J127" s="20"/>
      <c r="K127" s="20"/>
      <c r="L127" s="270"/>
      <c r="M127" s="269"/>
      <c r="N127" s="20" t="s">
        <v>435</v>
      </c>
      <c r="O127" s="20"/>
      <c r="P127" s="20"/>
      <c r="Q127" s="20"/>
      <c r="R127" s="20"/>
      <c r="S127" s="20" t="s">
        <v>442</v>
      </c>
      <c r="T127" s="270"/>
      <c r="U127" s="269" t="s">
        <v>464</v>
      </c>
      <c r="V127" s="20"/>
      <c r="W127" s="20" t="s">
        <v>442</v>
      </c>
      <c r="X127" s="20"/>
      <c r="Y127" s="20"/>
      <c r="Z127" s="20"/>
      <c r="AA127" s="20"/>
      <c r="AB127" s="270"/>
      <c r="AC127" s="269"/>
      <c r="AD127" s="20"/>
      <c r="AE127" s="20"/>
      <c r="AF127" s="20"/>
      <c r="AG127" s="20"/>
      <c r="AH127" s="20"/>
      <c r="AI127" s="20"/>
      <c r="AJ127" s="270" t="s">
        <v>431</v>
      </c>
      <c r="AK127" s="67">
        <v>280</v>
      </c>
      <c r="AM127" s="67">
        <v>1</v>
      </c>
      <c r="AO127" s="67">
        <f t="shared" si="15"/>
        <v>5</v>
      </c>
      <c r="AP127" s="67">
        <f t="shared" si="16"/>
        <v>3</v>
      </c>
      <c r="AQ127" s="67">
        <f t="shared" si="17"/>
        <v>0</v>
      </c>
      <c r="AR127" s="67">
        <f t="shared" si="18"/>
        <v>5</v>
      </c>
      <c r="AS127" s="67">
        <f t="shared" si="19"/>
        <v>4</v>
      </c>
      <c r="AT127" s="67">
        <f t="shared" si="20"/>
        <v>3</v>
      </c>
      <c r="AU127" s="67">
        <f t="shared" si="21"/>
        <v>20</v>
      </c>
      <c r="AW127" s="256">
        <v>24</v>
      </c>
      <c r="AX127" s="67">
        <f t="shared" si="26"/>
        <v>120</v>
      </c>
      <c r="AY127" s="76">
        <f t="shared" si="27"/>
        <v>0.16666666666666666</v>
      </c>
      <c r="AZ127" s="67">
        <f t="shared" si="22"/>
        <v>7</v>
      </c>
      <c r="BA127" s="76">
        <f t="shared" si="25"/>
        <v>0.29166666666666669</v>
      </c>
      <c r="BC127" s="67">
        <f t="shared" si="23"/>
        <v>4</v>
      </c>
      <c r="BD127" s="67">
        <f t="shared" si="24"/>
        <v>3</v>
      </c>
    </row>
    <row r="128" spans="1:56">
      <c r="A128" s="67">
        <v>283</v>
      </c>
      <c r="B128" s="67" t="s">
        <v>74</v>
      </c>
      <c r="C128" s="8" t="s">
        <v>346</v>
      </c>
      <c r="E128" s="269"/>
      <c r="F128" s="20"/>
      <c r="G128" s="20"/>
      <c r="H128" s="20"/>
      <c r="I128" s="20"/>
      <c r="J128" s="20"/>
      <c r="K128" s="20"/>
      <c r="L128" s="270"/>
      <c r="M128" s="269"/>
      <c r="N128" s="20"/>
      <c r="O128" s="20"/>
      <c r="P128" s="20"/>
      <c r="Q128" s="20"/>
      <c r="R128" s="20"/>
      <c r="S128" s="20"/>
      <c r="T128" s="270"/>
      <c r="U128" s="269"/>
      <c r="V128" s="20"/>
      <c r="W128" s="20"/>
      <c r="X128" s="20"/>
      <c r="Y128" s="20"/>
      <c r="Z128" s="20"/>
      <c r="AA128" s="20"/>
      <c r="AB128" s="270"/>
      <c r="AC128" s="269"/>
      <c r="AD128" s="20"/>
      <c r="AE128" s="20"/>
      <c r="AF128" s="20"/>
      <c r="AG128" s="20"/>
      <c r="AH128" s="20"/>
      <c r="AI128" s="20"/>
      <c r="AJ128" s="270"/>
      <c r="AK128" s="67">
        <v>283</v>
      </c>
      <c r="AL128" s="67">
        <v>1</v>
      </c>
      <c r="AO128" s="67">
        <f t="shared" si="15"/>
        <v>0</v>
      </c>
      <c r="AP128" s="67">
        <f t="shared" si="16"/>
        <v>0</v>
      </c>
      <c r="AQ128" s="67">
        <f t="shared" si="17"/>
        <v>0</v>
      </c>
      <c r="AR128" s="67">
        <f t="shared" si="18"/>
        <v>0</v>
      </c>
      <c r="AS128" s="67">
        <f t="shared" si="19"/>
        <v>0</v>
      </c>
      <c r="AT128" s="67">
        <f t="shared" si="20"/>
        <v>0</v>
      </c>
      <c r="AU128" s="67">
        <f t="shared" si="21"/>
        <v>0</v>
      </c>
      <c r="AW128" s="256">
        <v>2</v>
      </c>
      <c r="AX128" s="67">
        <f t="shared" si="26"/>
        <v>10</v>
      </c>
      <c r="AY128" s="76">
        <f t="shared" si="27"/>
        <v>0</v>
      </c>
      <c r="AZ128" s="67">
        <f t="shared" si="22"/>
        <v>0</v>
      </c>
      <c r="BA128" s="76">
        <f t="shared" si="25"/>
        <v>0</v>
      </c>
      <c r="BC128" s="67">
        <f t="shared" si="23"/>
        <v>0</v>
      </c>
      <c r="BD128" s="67">
        <f t="shared" si="24"/>
        <v>0</v>
      </c>
    </row>
    <row r="129" spans="1:56">
      <c r="A129" s="67">
        <v>286</v>
      </c>
      <c r="B129" s="67" t="s">
        <v>63</v>
      </c>
      <c r="C129" s="8" t="s">
        <v>346</v>
      </c>
      <c r="E129" s="269"/>
      <c r="F129" s="20"/>
      <c r="G129" s="20"/>
      <c r="H129" s="20"/>
      <c r="I129" s="20"/>
      <c r="J129" s="20"/>
      <c r="K129" s="20"/>
      <c r="L129" s="270"/>
      <c r="M129" s="269"/>
      <c r="N129" s="20"/>
      <c r="O129" s="20"/>
      <c r="P129" s="20"/>
      <c r="Q129" s="20"/>
      <c r="R129" s="20"/>
      <c r="S129" s="20"/>
      <c r="T129" s="270"/>
      <c r="U129" s="269"/>
      <c r="V129" s="20"/>
      <c r="W129" s="20"/>
      <c r="X129" s="20"/>
      <c r="Y129" s="20"/>
      <c r="Z129" s="20"/>
      <c r="AA129" s="20"/>
      <c r="AB129" s="270"/>
      <c r="AC129" s="269"/>
      <c r="AD129" s="20"/>
      <c r="AE129" s="20"/>
      <c r="AF129" s="20"/>
      <c r="AG129" s="20"/>
      <c r="AH129" s="20"/>
      <c r="AI129" s="20"/>
      <c r="AJ129" s="270"/>
      <c r="AK129" s="67">
        <v>286</v>
      </c>
      <c r="AL129" s="67">
        <v>1</v>
      </c>
      <c r="AO129" s="67">
        <f t="shared" si="15"/>
        <v>0</v>
      </c>
      <c r="AP129" s="67">
        <f t="shared" si="16"/>
        <v>0</v>
      </c>
      <c r="AQ129" s="67">
        <f t="shared" si="17"/>
        <v>0</v>
      </c>
      <c r="AR129" s="67">
        <f t="shared" si="18"/>
        <v>0</v>
      </c>
      <c r="AS129" s="67">
        <f t="shared" si="19"/>
        <v>0</v>
      </c>
      <c r="AT129" s="67">
        <f t="shared" si="20"/>
        <v>0</v>
      </c>
      <c r="AU129" s="67">
        <f t="shared" si="21"/>
        <v>0</v>
      </c>
      <c r="AW129" s="256">
        <v>12</v>
      </c>
      <c r="AX129" s="67">
        <f t="shared" si="26"/>
        <v>60</v>
      </c>
      <c r="AY129" s="76">
        <f t="shared" si="27"/>
        <v>0</v>
      </c>
      <c r="AZ129" s="67">
        <f t="shared" si="22"/>
        <v>0</v>
      </c>
      <c r="BA129" s="76">
        <f t="shared" si="25"/>
        <v>0</v>
      </c>
      <c r="BC129" s="67">
        <f t="shared" si="23"/>
        <v>0</v>
      </c>
      <c r="BD129" s="67">
        <f t="shared" si="24"/>
        <v>0</v>
      </c>
    </row>
    <row r="130" spans="1:56">
      <c r="A130" s="67">
        <v>287</v>
      </c>
      <c r="B130" s="67" t="s">
        <v>71</v>
      </c>
      <c r="C130" s="8" t="s">
        <v>452</v>
      </c>
      <c r="D130" s="67" t="s">
        <v>42</v>
      </c>
      <c r="E130" s="269"/>
      <c r="F130" s="20"/>
      <c r="G130" s="20"/>
      <c r="H130" s="20"/>
      <c r="I130" s="20"/>
      <c r="J130" s="20"/>
      <c r="K130" s="20"/>
      <c r="L130" s="270"/>
      <c r="M130" s="269"/>
      <c r="N130" s="20"/>
      <c r="O130" s="20"/>
      <c r="P130" s="20"/>
      <c r="Q130" s="20"/>
      <c r="R130" s="20"/>
      <c r="S130" s="20"/>
      <c r="T130" s="270"/>
      <c r="U130" s="269"/>
      <c r="V130" s="20"/>
      <c r="W130" s="20"/>
      <c r="X130" s="20"/>
      <c r="Y130" s="20"/>
      <c r="Z130" s="20"/>
      <c r="AA130" s="20"/>
      <c r="AB130" s="270"/>
      <c r="AC130" s="269"/>
      <c r="AD130" s="20"/>
      <c r="AE130" s="20"/>
      <c r="AF130" s="20"/>
      <c r="AG130" s="20"/>
      <c r="AH130" s="20"/>
      <c r="AI130" s="20"/>
      <c r="AJ130" s="270"/>
      <c r="AK130" s="67">
        <v>287</v>
      </c>
      <c r="AL130" s="67">
        <v>1</v>
      </c>
      <c r="AO130" s="67">
        <f t="shared" si="15"/>
        <v>0</v>
      </c>
      <c r="AP130" s="67">
        <f t="shared" si="16"/>
        <v>0</v>
      </c>
      <c r="AQ130" s="67">
        <f t="shared" si="17"/>
        <v>0</v>
      </c>
      <c r="AR130" s="67">
        <f t="shared" si="18"/>
        <v>0</v>
      </c>
      <c r="AS130" s="67">
        <f t="shared" si="19"/>
        <v>0</v>
      </c>
      <c r="AT130" s="67">
        <f t="shared" si="20"/>
        <v>0</v>
      </c>
      <c r="AU130" s="67">
        <f t="shared" si="21"/>
        <v>0</v>
      </c>
      <c r="AW130" s="256">
        <v>27</v>
      </c>
      <c r="AX130" s="67">
        <f t="shared" si="26"/>
        <v>135</v>
      </c>
      <c r="AY130" s="76">
        <f t="shared" si="27"/>
        <v>0</v>
      </c>
      <c r="AZ130" s="67">
        <f t="shared" si="22"/>
        <v>0</v>
      </c>
      <c r="BA130" s="76">
        <f t="shared" si="25"/>
        <v>0</v>
      </c>
      <c r="BC130" s="67">
        <f t="shared" si="23"/>
        <v>0</v>
      </c>
      <c r="BD130" s="67">
        <f t="shared" si="24"/>
        <v>0</v>
      </c>
    </row>
    <row r="131" spans="1:56">
      <c r="A131" s="67">
        <v>288</v>
      </c>
      <c r="B131" s="67" t="s">
        <v>71</v>
      </c>
      <c r="C131" s="8" t="s">
        <v>366</v>
      </c>
      <c r="D131" s="67" t="s">
        <v>42</v>
      </c>
      <c r="E131" s="269"/>
      <c r="F131" s="20"/>
      <c r="G131" s="20"/>
      <c r="H131" s="20"/>
      <c r="I131" s="20" t="s">
        <v>447</v>
      </c>
      <c r="J131" s="20"/>
      <c r="K131" s="20"/>
      <c r="L131" s="270"/>
      <c r="M131" s="269"/>
      <c r="N131" s="20"/>
      <c r="O131" s="20"/>
      <c r="P131" s="20" t="s">
        <v>447</v>
      </c>
      <c r="Q131" s="20"/>
      <c r="R131" s="20"/>
      <c r="S131" s="20"/>
      <c r="T131" s="270"/>
      <c r="U131" s="269"/>
      <c r="V131" s="20"/>
      <c r="W131" s="20"/>
      <c r="X131" s="20"/>
      <c r="Y131" s="20"/>
      <c r="Z131" s="20" t="s">
        <v>435</v>
      </c>
      <c r="AA131" s="20"/>
      <c r="AB131" s="270"/>
      <c r="AC131" s="269"/>
      <c r="AD131" s="20"/>
      <c r="AE131" s="20"/>
      <c r="AF131" s="20"/>
      <c r="AG131" s="20"/>
      <c r="AH131" s="20"/>
      <c r="AI131" s="20"/>
      <c r="AJ131" s="270"/>
      <c r="AK131" s="67">
        <v>288</v>
      </c>
      <c r="AM131" s="67">
        <v>1</v>
      </c>
      <c r="AO131" s="67">
        <f t="shared" si="15"/>
        <v>0</v>
      </c>
      <c r="AP131" s="67">
        <f t="shared" si="16"/>
        <v>0</v>
      </c>
      <c r="AQ131" s="67">
        <f t="shared" si="17"/>
        <v>0</v>
      </c>
      <c r="AR131" s="67">
        <f t="shared" si="18"/>
        <v>2</v>
      </c>
      <c r="AS131" s="67">
        <f t="shared" si="19"/>
        <v>1</v>
      </c>
      <c r="AT131" s="67">
        <f t="shared" si="20"/>
        <v>2</v>
      </c>
      <c r="AU131" s="67">
        <f t="shared" si="21"/>
        <v>5</v>
      </c>
      <c r="AW131" s="256">
        <v>32</v>
      </c>
      <c r="AX131" s="67">
        <f t="shared" si="26"/>
        <v>160</v>
      </c>
      <c r="AY131" s="76">
        <f t="shared" si="27"/>
        <v>3.125E-2</v>
      </c>
      <c r="AZ131" s="67">
        <f t="shared" si="22"/>
        <v>3</v>
      </c>
      <c r="BA131" s="76">
        <f t="shared" si="25"/>
        <v>9.375E-2</v>
      </c>
      <c r="BC131" s="67">
        <f t="shared" si="23"/>
        <v>2</v>
      </c>
      <c r="BD131" s="67">
        <f t="shared" si="24"/>
        <v>1</v>
      </c>
    </row>
    <row r="132" spans="1:56">
      <c r="A132" s="67">
        <v>291</v>
      </c>
      <c r="B132" s="67" t="s">
        <v>80</v>
      </c>
      <c r="C132" s="8" t="s">
        <v>346</v>
      </c>
      <c r="E132" s="269"/>
      <c r="F132" s="20"/>
      <c r="G132" s="20"/>
      <c r="H132" s="20"/>
      <c r="I132" s="20"/>
      <c r="J132" s="20"/>
      <c r="K132" s="20"/>
      <c r="L132" s="270"/>
      <c r="M132" s="269"/>
      <c r="N132" s="20"/>
      <c r="O132" s="20"/>
      <c r="P132" s="20"/>
      <c r="Q132" s="20"/>
      <c r="R132" s="20"/>
      <c r="S132" s="20"/>
      <c r="T132" s="270"/>
      <c r="U132" s="269"/>
      <c r="V132" s="20"/>
      <c r="W132" s="20"/>
      <c r="X132" s="20"/>
      <c r="Y132" s="20"/>
      <c r="Z132" s="20"/>
      <c r="AA132" s="20"/>
      <c r="AB132" s="270"/>
      <c r="AC132" s="269"/>
      <c r="AD132" s="20"/>
      <c r="AE132" s="20"/>
      <c r="AF132" s="20"/>
      <c r="AG132" s="20"/>
      <c r="AH132" s="20"/>
      <c r="AI132" s="20"/>
      <c r="AJ132" s="270"/>
      <c r="AK132" s="67">
        <v>291</v>
      </c>
      <c r="AL132" s="67">
        <v>1</v>
      </c>
      <c r="AO132" s="67">
        <f t="shared" ref="AO132:AO195" si="28">COUNTIF(E132:AJ132,"*b*")</f>
        <v>0</v>
      </c>
      <c r="AP132" s="67">
        <f t="shared" ref="AP132:AP195" si="29">COUNTIF(E132:AJ132,"*l*")</f>
        <v>0</v>
      </c>
      <c r="AQ132" s="67">
        <f t="shared" ref="AQ132:AQ195" si="30">COUNTIF(E132:AJ132,"*h*")</f>
        <v>0</v>
      </c>
      <c r="AR132" s="67">
        <f t="shared" ref="AR132:AR195" si="31">COUNTIF(E132:AJ132,"*m*")</f>
        <v>0</v>
      </c>
      <c r="AS132" s="67">
        <f t="shared" ref="AS132:AS195" si="32">COUNTIF(E132:AJ132,"*d*")</f>
        <v>0</v>
      </c>
      <c r="AT132" s="67">
        <f t="shared" ref="AT132:AT195" si="33">COUNTIF(E132:AJ132,"*o*")</f>
        <v>0</v>
      </c>
      <c r="AU132" s="67">
        <f t="shared" ref="AU132:AU195" si="34">SUM(AO132:AT132)</f>
        <v>0</v>
      </c>
      <c r="AW132" s="256">
        <v>12</v>
      </c>
      <c r="AX132" s="67">
        <f t="shared" si="26"/>
        <v>60</v>
      </c>
      <c r="AY132" s="76">
        <f t="shared" si="27"/>
        <v>0</v>
      </c>
      <c r="AZ132" s="67">
        <f t="shared" ref="AZ132:AZ195" si="35">COUNTA(E132:AJ132)</f>
        <v>0</v>
      </c>
      <c r="BA132" s="76">
        <f t="shared" si="25"/>
        <v>0</v>
      </c>
      <c r="BB132" s="273" t="s">
        <v>465</v>
      </c>
      <c r="BC132" s="67">
        <f t="shared" ref="BC132:BC195" si="36">COUNTA(E132:T132)</f>
        <v>0</v>
      </c>
      <c r="BD132" s="67">
        <f t="shared" ref="BD132:BD195" si="37">COUNTA(U132:AJ132)</f>
        <v>0</v>
      </c>
    </row>
    <row r="133" spans="1:56">
      <c r="A133" s="67">
        <v>292</v>
      </c>
      <c r="B133" s="67" t="s">
        <v>74</v>
      </c>
      <c r="C133" s="8" t="s">
        <v>346</v>
      </c>
      <c r="E133" s="269"/>
      <c r="F133" s="20"/>
      <c r="G133" s="20"/>
      <c r="H133" s="20"/>
      <c r="I133" s="20"/>
      <c r="J133" s="20"/>
      <c r="K133" s="20"/>
      <c r="L133" s="270"/>
      <c r="M133" s="269"/>
      <c r="N133" s="20"/>
      <c r="O133" s="20"/>
      <c r="P133" s="20"/>
      <c r="Q133" s="20"/>
      <c r="R133" s="20"/>
      <c r="S133" s="20"/>
      <c r="T133" s="270"/>
      <c r="U133" s="269"/>
      <c r="V133" s="20"/>
      <c r="W133" s="20"/>
      <c r="X133" s="20"/>
      <c r="Y133" s="20"/>
      <c r="Z133" s="20"/>
      <c r="AA133" s="20"/>
      <c r="AB133" s="270"/>
      <c r="AC133" s="269"/>
      <c r="AD133" s="20"/>
      <c r="AE133" s="20"/>
      <c r="AF133" s="20"/>
      <c r="AG133" s="20"/>
      <c r="AH133" s="20"/>
      <c r="AI133" s="20"/>
      <c r="AJ133" s="270"/>
      <c r="AK133" s="67">
        <v>292</v>
      </c>
      <c r="AL133" s="67">
        <v>1</v>
      </c>
      <c r="AO133" s="67">
        <f t="shared" si="28"/>
        <v>0</v>
      </c>
      <c r="AP133" s="67">
        <f t="shared" si="29"/>
        <v>0</v>
      </c>
      <c r="AQ133" s="67">
        <f t="shared" si="30"/>
        <v>0</v>
      </c>
      <c r="AR133" s="67">
        <f t="shared" si="31"/>
        <v>0</v>
      </c>
      <c r="AS133" s="67">
        <f t="shared" si="32"/>
        <v>0</v>
      </c>
      <c r="AT133" s="67">
        <f t="shared" si="33"/>
        <v>0</v>
      </c>
      <c r="AU133" s="67">
        <f t="shared" si="34"/>
        <v>0</v>
      </c>
      <c r="AW133" s="256">
        <v>12</v>
      </c>
      <c r="AX133" s="67">
        <f t="shared" si="26"/>
        <v>60</v>
      </c>
      <c r="AY133" s="76">
        <f t="shared" si="27"/>
        <v>0</v>
      </c>
      <c r="AZ133" s="67">
        <f t="shared" si="35"/>
        <v>0</v>
      </c>
      <c r="BA133" s="76">
        <f t="shared" ref="BA133:BA196" si="38">AZ133/AW133</f>
        <v>0</v>
      </c>
      <c r="BC133" s="67">
        <f t="shared" si="36"/>
        <v>0</v>
      </c>
      <c r="BD133" s="67">
        <f t="shared" si="37"/>
        <v>0</v>
      </c>
    </row>
    <row r="134" spans="1:56">
      <c r="A134" s="67">
        <v>293</v>
      </c>
      <c r="B134" s="67" t="s">
        <v>106</v>
      </c>
      <c r="C134" s="8" t="s">
        <v>349</v>
      </c>
      <c r="D134" s="67" t="s">
        <v>6</v>
      </c>
      <c r="E134" s="269"/>
      <c r="F134" s="20"/>
      <c r="G134" s="20"/>
      <c r="H134" s="20"/>
      <c r="I134" s="20"/>
      <c r="J134" s="20"/>
      <c r="K134" s="20"/>
      <c r="L134" s="270"/>
      <c r="M134" s="269"/>
      <c r="N134" s="20"/>
      <c r="O134" s="20"/>
      <c r="P134" s="20"/>
      <c r="Q134" s="20"/>
      <c r="R134" s="20"/>
      <c r="S134" s="20"/>
      <c r="T134" s="270"/>
      <c r="U134" s="269"/>
      <c r="V134" s="20"/>
      <c r="W134" s="20"/>
      <c r="X134" s="20"/>
      <c r="Y134" s="20"/>
      <c r="Z134" s="20"/>
      <c r="AA134" s="20"/>
      <c r="AB134" s="270"/>
      <c r="AC134" s="269"/>
      <c r="AD134" s="20"/>
      <c r="AE134" s="20"/>
      <c r="AF134" s="20"/>
      <c r="AG134" s="20"/>
      <c r="AH134" s="20"/>
      <c r="AI134" s="20"/>
      <c r="AJ134" s="270"/>
      <c r="AK134" s="67">
        <v>293</v>
      </c>
      <c r="AL134" s="67">
        <v>1</v>
      </c>
      <c r="AO134" s="67">
        <f t="shared" si="28"/>
        <v>0</v>
      </c>
      <c r="AP134" s="67">
        <f t="shared" si="29"/>
        <v>0</v>
      </c>
      <c r="AQ134" s="67">
        <f t="shared" si="30"/>
        <v>0</v>
      </c>
      <c r="AR134" s="67">
        <f t="shared" si="31"/>
        <v>0</v>
      </c>
      <c r="AS134" s="67">
        <f t="shared" si="32"/>
        <v>0</v>
      </c>
      <c r="AT134" s="67">
        <f t="shared" si="33"/>
        <v>0</v>
      </c>
      <c r="AU134" s="67">
        <f t="shared" si="34"/>
        <v>0</v>
      </c>
      <c r="AW134" s="256">
        <v>31</v>
      </c>
      <c r="AX134" s="67">
        <f t="shared" si="26"/>
        <v>155</v>
      </c>
      <c r="AY134" s="76">
        <f t="shared" si="27"/>
        <v>0</v>
      </c>
      <c r="AZ134" s="67">
        <f t="shared" si="35"/>
        <v>0</v>
      </c>
      <c r="BA134" s="76">
        <f t="shared" si="38"/>
        <v>0</v>
      </c>
      <c r="BC134" s="67">
        <f t="shared" si="36"/>
        <v>0</v>
      </c>
      <c r="BD134" s="67">
        <f t="shared" si="37"/>
        <v>0</v>
      </c>
    </row>
    <row r="135" spans="1:56">
      <c r="A135" s="67">
        <v>299</v>
      </c>
      <c r="B135" s="67" t="s">
        <v>63</v>
      </c>
      <c r="C135" s="8" t="s">
        <v>346</v>
      </c>
      <c r="E135" s="269"/>
      <c r="F135" s="20"/>
      <c r="G135" s="20"/>
      <c r="H135" s="20"/>
      <c r="I135" s="20"/>
      <c r="J135" s="20"/>
      <c r="K135" s="20"/>
      <c r="L135" s="270"/>
      <c r="M135" s="269"/>
      <c r="N135" s="20"/>
      <c r="O135" s="20"/>
      <c r="P135" s="20"/>
      <c r="Q135" s="20"/>
      <c r="R135" s="20"/>
      <c r="S135" s="20"/>
      <c r="T135" s="270"/>
      <c r="U135" s="269"/>
      <c r="V135" s="20"/>
      <c r="W135" s="20"/>
      <c r="X135" s="20"/>
      <c r="Y135" s="20"/>
      <c r="Z135" s="20"/>
      <c r="AA135" s="20"/>
      <c r="AB135" s="270"/>
      <c r="AC135" s="269"/>
      <c r="AD135" s="20"/>
      <c r="AE135" s="20"/>
      <c r="AF135" s="20"/>
      <c r="AG135" s="20"/>
      <c r="AH135" s="20"/>
      <c r="AI135" s="20"/>
      <c r="AJ135" s="270"/>
      <c r="AK135" s="67">
        <v>299</v>
      </c>
      <c r="AL135" s="67">
        <v>1</v>
      </c>
      <c r="AO135" s="67">
        <f t="shared" si="28"/>
        <v>0</v>
      </c>
      <c r="AP135" s="67">
        <f t="shared" si="29"/>
        <v>0</v>
      </c>
      <c r="AQ135" s="67">
        <f t="shared" si="30"/>
        <v>0</v>
      </c>
      <c r="AR135" s="67">
        <f t="shared" si="31"/>
        <v>0</v>
      </c>
      <c r="AS135" s="67">
        <f t="shared" si="32"/>
        <v>0</v>
      </c>
      <c r="AT135" s="67">
        <f t="shared" si="33"/>
        <v>0</v>
      </c>
      <c r="AU135" s="67">
        <f t="shared" si="34"/>
        <v>0</v>
      </c>
      <c r="AW135" s="256">
        <v>5</v>
      </c>
      <c r="AX135" s="67">
        <f t="shared" si="26"/>
        <v>25</v>
      </c>
      <c r="AY135" s="76">
        <f t="shared" si="27"/>
        <v>0</v>
      </c>
      <c r="AZ135" s="67">
        <f t="shared" si="35"/>
        <v>0</v>
      </c>
      <c r="BA135" s="76">
        <f t="shared" si="38"/>
        <v>0</v>
      </c>
      <c r="BC135" s="67">
        <f t="shared" si="36"/>
        <v>0</v>
      </c>
      <c r="BD135" s="67">
        <f t="shared" si="37"/>
        <v>0</v>
      </c>
    </row>
    <row r="136" spans="1:56">
      <c r="A136" s="67">
        <v>301</v>
      </c>
      <c r="B136" s="67" t="s">
        <v>123</v>
      </c>
      <c r="C136" s="8" t="s">
        <v>366</v>
      </c>
      <c r="D136" s="67" t="s">
        <v>42</v>
      </c>
      <c r="E136" s="269"/>
      <c r="F136" s="20"/>
      <c r="G136" s="5" t="s">
        <v>435</v>
      </c>
      <c r="H136" s="5" t="s">
        <v>446</v>
      </c>
      <c r="I136" s="5" t="s">
        <v>442</v>
      </c>
      <c r="J136" s="5" t="s">
        <v>435</v>
      </c>
      <c r="K136" s="20"/>
      <c r="L136" s="270"/>
      <c r="M136" s="269"/>
      <c r="N136" s="20"/>
      <c r="O136" s="20" t="s">
        <v>435</v>
      </c>
      <c r="P136" s="20" t="s">
        <v>434</v>
      </c>
      <c r="Q136" s="20"/>
      <c r="R136" s="20"/>
      <c r="S136" s="20"/>
      <c r="T136" s="270"/>
      <c r="U136" s="269"/>
      <c r="V136" s="20" t="s">
        <v>461</v>
      </c>
      <c r="W136" s="20" t="s">
        <v>461</v>
      </c>
      <c r="X136" s="20"/>
      <c r="Y136" s="20"/>
      <c r="Z136" s="20"/>
      <c r="AA136" s="20"/>
      <c r="AB136" s="270"/>
      <c r="AC136" s="269"/>
      <c r="AD136" s="20"/>
      <c r="AE136" s="20"/>
      <c r="AF136" s="20"/>
      <c r="AG136" s="20"/>
      <c r="AH136" s="20"/>
      <c r="AI136" s="20"/>
      <c r="AJ136" s="270"/>
      <c r="AK136" s="67">
        <v>301</v>
      </c>
      <c r="AM136" s="67">
        <v>1</v>
      </c>
      <c r="AO136" s="67">
        <f t="shared" si="28"/>
        <v>3</v>
      </c>
      <c r="AP136" s="67">
        <f t="shared" si="29"/>
        <v>1</v>
      </c>
      <c r="AQ136" s="67">
        <f t="shared" si="30"/>
        <v>0</v>
      </c>
      <c r="AR136" s="67">
        <f t="shared" si="31"/>
        <v>3</v>
      </c>
      <c r="AS136" s="67">
        <f t="shared" si="32"/>
        <v>7</v>
      </c>
      <c r="AT136" s="67">
        <f t="shared" si="33"/>
        <v>1</v>
      </c>
      <c r="AU136" s="67">
        <f t="shared" si="34"/>
        <v>15</v>
      </c>
      <c r="AW136" s="256">
        <v>21</v>
      </c>
      <c r="AX136" s="67">
        <f t="shared" si="26"/>
        <v>105</v>
      </c>
      <c r="AY136" s="76">
        <f t="shared" si="27"/>
        <v>0.14285714285714285</v>
      </c>
      <c r="AZ136" s="67">
        <f t="shared" si="35"/>
        <v>8</v>
      </c>
      <c r="BA136" s="76">
        <f t="shared" si="38"/>
        <v>0.38095238095238093</v>
      </c>
      <c r="BC136" s="67">
        <f t="shared" si="36"/>
        <v>6</v>
      </c>
      <c r="BD136" s="67">
        <f t="shared" si="37"/>
        <v>2</v>
      </c>
    </row>
    <row r="137" spans="1:56">
      <c r="A137" s="67">
        <v>302</v>
      </c>
      <c r="B137" s="67" t="s">
        <v>41</v>
      </c>
      <c r="C137" s="8" t="s">
        <v>42</v>
      </c>
      <c r="D137" s="67" t="s">
        <v>42</v>
      </c>
      <c r="E137" s="269"/>
      <c r="F137" s="5" t="s">
        <v>435</v>
      </c>
      <c r="G137" s="20"/>
      <c r="H137" s="20"/>
      <c r="I137" s="20"/>
      <c r="J137" s="20"/>
      <c r="K137" s="20"/>
      <c r="L137" s="270"/>
      <c r="M137" s="269"/>
      <c r="N137" s="20"/>
      <c r="O137" s="20"/>
      <c r="P137" s="20"/>
      <c r="Q137" s="20"/>
      <c r="R137" s="20" t="s">
        <v>434</v>
      </c>
      <c r="S137" s="20"/>
      <c r="T137" s="270"/>
      <c r="U137" s="269"/>
      <c r="V137" s="20"/>
      <c r="W137" s="20"/>
      <c r="X137" s="20"/>
      <c r="Y137" s="20"/>
      <c r="Z137" s="20"/>
      <c r="AA137" s="20"/>
      <c r="AB137" s="270"/>
      <c r="AC137" s="269"/>
      <c r="AD137" s="20"/>
      <c r="AE137" s="20"/>
      <c r="AF137" s="20"/>
      <c r="AG137" s="20"/>
      <c r="AH137" s="20" t="s">
        <v>435</v>
      </c>
      <c r="AI137" s="20" t="s">
        <v>431</v>
      </c>
      <c r="AJ137" s="270"/>
      <c r="AK137" s="67">
        <v>302</v>
      </c>
      <c r="AM137" s="67">
        <v>1</v>
      </c>
      <c r="AO137" s="67">
        <f t="shared" si="28"/>
        <v>1</v>
      </c>
      <c r="AP137" s="67">
        <f t="shared" si="29"/>
        <v>0</v>
      </c>
      <c r="AQ137" s="67">
        <f t="shared" si="30"/>
        <v>0</v>
      </c>
      <c r="AR137" s="67">
        <f t="shared" si="31"/>
        <v>1</v>
      </c>
      <c r="AS137" s="67">
        <f t="shared" si="32"/>
        <v>2</v>
      </c>
      <c r="AT137" s="67">
        <f t="shared" si="33"/>
        <v>0</v>
      </c>
      <c r="AU137" s="67">
        <f t="shared" si="34"/>
        <v>4</v>
      </c>
      <c r="AW137" s="256">
        <v>31</v>
      </c>
      <c r="AX137" s="67">
        <f t="shared" si="26"/>
        <v>155</v>
      </c>
      <c r="AY137" s="76">
        <f t="shared" si="27"/>
        <v>2.5806451612903226E-2</v>
      </c>
      <c r="AZ137" s="67">
        <f t="shared" si="35"/>
        <v>4</v>
      </c>
      <c r="BA137" s="76">
        <f t="shared" si="38"/>
        <v>0.12903225806451613</v>
      </c>
      <c r="BC137" s="67">
        <f t="shared" si="36"/>
        <v>2</v>
      </c>
      <c r="BD137" s="67">
        <f t="shared" si="37"/>
        <v>2</v>
      </c>
    </row>
    <row r="138" spans="1:56">
      <c r="A138" s="67">
        <v>303</v>
      </c>
      <c r="B138" s="67" t="s">
        <v>136</v>
      </c>
      <c r="C138" s="8" t="s">
        <v>12</v>
      </c>
      <c r="D138" s="67" t="s">
        <v>42</v>
      </c>
      <c r="E138" s="269"/>
      <c r="F138" s="20"/>
      <c r="G138" s="20"/>
      <c r="H138" s="20"/>
      <c r="I138" s="20"/>
      <c r="J138" s="20"/>
      <c r="K138" s="20"/>
      <c r="L138" s="270"/>
      <c r="M138" s="269"/>
      <c r="N138" s="20"/>
      <c r="O138" s="20"/>
      <c r="P138" s="20"/>
      <c r="Q138" s="20"/>
      <c r="R138" s="20"/>
      <c r="S138" s="20"/>
      <c r="T138" s="270"/>
      <c r="U138" s="269"/>
      <c r="V138" s="20"/>
      <c r="W138" s="20"/>
      <c r="X138" s="20"/>
      <c r="Y138" s="20"/>
      <c r="Z138" s="20"/>
      <c r="AA138" s="20"/>
      <c r="AB138" s="270"/>
      <c r="AC138" s="269"/>
      <c r="AD138" s="20"/>
      <c r="AE138" s="20"/>
      <c r="AF138" s="20"/>
      <c r="AG138" s="20"/>
      <c r="AH138" s="20"/>
      <c r="AI138" s="20"/>
      <c r="AJ138" s="270"/>
      <c r="AK138" s="67">
        <v>303</v>
      </c>
      <c r="AL138" s="67">
        <v>1</v>
      </c>
      <c r="AO138" s="67">
        <f t="shared" si="28"/>
        <v>0</v>
      </c>
      <c r="AP138" s="67">
        <f t="shared" si="29"/>
        <v>0</v>
      </c>
      <c r="AQ138" s="67">
        <f t="shared" si="30"/>
        <v>0</v>
      </c>
      <c r="AR138" s="67">
        <f t="shared" si="31"/>
        <v>0</v>
      </c>
      <c r="AS138" s="67">
        <f t="shared" si="32"/>
        <v>0</v>
      </c>
      <c r="AT138" s="67">
        <f t="shared" si="33"/>
        <v>0</v>
      </c>
      <c r="AU138" s="67">
        <f t="shared" si="34"/>
        <v>0</v>
      </c>
      <c r="AW138" s="256">
        <v>32</v>
      </c>
      <c r="AX138" s="67">
        <f t="shared" si="26"/>
        <v>160</v>
      </c>
      <c r="AY138" s="76">
        <f t="shared" si="27"/>
        <v>0</v>
      </c>
      <c r="AZ138" s="67">
        <f t="shared" si="35"/>
        <v>0</v>
      </c>
      <c r="BA138" s="76">
        <f t="shared" si="38"/>
        <v>0</v>
      </c>
      <c r="BC138" s="67">
        <f t="shared" si="36"/>
        <v>0</v>
      </c>
      <c r="BD138" s="67">
        <f t="shared" si="37"/>
        <v>0</v>
      </c>
    </row>
    <row r="139" spans="1:56">
      <c r="A139" s="67">
        <v>304</v>
      </c>
      <c r="B139" s="67" t="s">
        <v>93</v>
      </c>
      <c r="C139" s="8" t="s">
        <v>12</v>
      </c>
      <c r="D139" s="67" t="s">
        <v>42</v>
      </c>
      <c r="E139" s="269"/>
      <c r="F139" s="20"/>
      <c r="G139" s="20"/>
      <c r="H139" s="20"/>
      <c r="I139" s="20"/>
      <c r="J139" s="20"/>
      <c r="K139" s="20"/>
      <c r="L139" s="270"/>
      <c r="M139" s="269"/>
      <c r="N139" s="20"/>
      <c r="O139" s="20"/>
      <c r="P139" s="20"/>
      <c r="Q139" s="20"/>
      <c r="R139" s="20"/>
      <c r="S139" s="20"/>
      <c r="T139" s="270"/>
      <c r="U139" s="269"/>
      <c r="V139" s="20"/>
      <c r="W139" s="20"/>
      <c r="X139" s="20"/>
      <c r="Y139" s="20"/>
      <c r="Z139" s="20"/>
      <c r="AA139" s="20"/>
      <c r="AB139" s="270"/>
      <c r="AC139" s="269"/>
      <c r="AD139" s="20"/>
      <c r="AE139" s="20"/>
      <c r="AF139" s="20"/>
      <c r="AG139" s="20"/>
      <c r="AH139" s="20"/>
      <c r="AI139" s="20"/>
      <c r="AJ139" s="270"/>
      <c r="AK139" s="67">
        <v>304</v>
      </c>
      <c r="AL139" s="67">
        <v>1</v>
      </c>
      <c r="AN139" s="67" t="s">
        <v>466</v>
      </c>
      <c r="AO139" s="67">
        <f t="shared" si="28"/>
        <v>0</v>
      </c>
      <c r="AP139" s="67">
        <f t="shared" si="29"/>
        <v>0</v>
      </c>
      <c r="AQ139" s="67">
        <f t="shared" si="30"/>
        <v>0</v>
      </c>
      <c r="AR139" s="67">
        <f t="shared" si="31"/>
        <v>0</v>
      </c>
      <c r="AS139" s="67">
        <f t="shared" si="32"/>
        <v>0</v>
      </c>
      <c r="AT139" s="67">
        <f t="shared" si="33"/>
        <v>0</v>
      </c>
      <c r="AU139" s="67">
        <f t="shared" si="34"/>
        <v>0</v>
      </c>
      <c r="AW139" s="256">
        <v>28</v>
      </c>
      <c r="AX139" s="67">
        <f t="shared" si="26"/>
        <v>140</v>
      </c>
      <c r="AY139" s="76">
        <f t="shared" si="27"/>
        <v>0</v>
      </c>
      <c r="AZ139" s="67">
        <f t="shared" si="35"/>
        <v>0</v>
      </c>
      <c r="BA139" s="76">
        <f t="shared" si="38"/>
        <v>0</v>
      </c>
      <c r="BC139" s="67">
        <f t="shared" si="36"/>
        <v>0</v>
      </c>
      <c r="BD139" s="67">
        <f t="shared" si="37"/>
        <v>0</v>
      </c>
    </row>
    <row r="140" spans="1:56">
      <c r="A140" s="67">
        <v>308</v>
      </c>
      <c r="B140" s="67" t="s">
        <v>123</v>
      </c>
      <c r="C140" s="8" t="s">
        <v>366</v>
      </c>
      <c r="D140" s="67" t="s">
        <v>6</v>
      </c>
      <c r="E140" s="269"/>
      <c r="F140" s="5" t="s">
        <v>435</v>
      </c>
      <c r="G140" s="20"/>
      <c r="H140" s="20"/>
      <c r="I140" s="20"/>
      <c r="J140" s="20"/>
      <c r="K140" s="20" t="s">
        <v>435</v>
      </c>
      <c r="L140" s="270"/>
      <c r="M140" s="269"/>
      <c r="N140" s="20"/>
      <c r="O140" s="20"/>
      <c r="P140" s="20"/>
      <c r="Q140" s="20" t="s">
        <v>435</v>
      </c>
      <c r="R140" s="20"/>
      <c r="S140" s="20"/>
      <c r="T140" s="270" t="s">
        <v>434</v>
      </c>
      <c r="U140" s="269" t="s">
        <v>436</v>
      </c>
      <c r="V140" s="20"/>
      <c r="W140" s="20" t="s">
        <v>442</v>
      </c>
      <c r="X140" s="20"/>
      <c r="Y140" s="20"/>
      <c r="Z140" s="20"/>
      <c r="AA140" s="20"/>
      <c r="AB140" s="270" t="s">
        <v>435</v>
      </c>
      <c r="AC140" s="269"/>
      <c r="AD140" s="20" t="s">
        <v>435</v>
      </c>
      <c r="AE140" s="20" t="s">
        <v>435</v>
      </c>
      <c r="AF140" s="5" t="s">
        <v>434</v>
      </c>
      <c r="AG140" s="20"/>
      <c r="AH140" s="20"/>
      <c r="AI140" s="20"/>
      <c r="AJ140" s="270"/>
      <c r="AK140" s="67">
        <v>308</v>
      </c>
      <c r="AM140" s="67">
        <v>1</v>
      </c>
      <c r="AO140" s="67">
        <f t="shared" si="28"/>
        <v>1</v>
      </c>
      <c r="AP140" s="67">
        <f t="shared" si="29"/>
        <v>1</v>
      </c>
      <c r="AQ140" s="67">
        <f t="shared" si="30"/>
        <v>0</v>
      </c>
      <c r="AR140" s="67">
        <f t="shared" si="31"/>
        <v>3</v>
      </c>
      <c r="AS140" s="67">
        <f t="shared" si="32"/>
        <v>7</v>
      </c>
      <c r="AT140" s="67">
        <f t="shared" si="33"/>
        <v>2</v>
      </c>
      <c r="AU140" s="67">
        <f t="shared" si="34"/>
        <v>14</v>
      </c>
      <c r="AW140" s="256">
        <v>20</v>
      </c>
      <c r="AX140" s="67">
        <f t="shared" si="26"/>
        <v>100</v>
      </c>
      <c r="AY140" s="76">
        <f t="shared" si="27"/>
        <v>0.14000000000000001</v>
      </c>
      <c r="AZ140" s="67">
        <f t="shared" si="35"/>
        <v>10</v>
      </c>
      <c r="BA140" s="76">
        <f t="shared" si="38"/>
        <v>0.5</v>
      </c>
      <c r="BC140" s="67">
        <f t="shared" si="36"/>
        <v>4</v>
      </c>
      <c r="BD140" s="67">
        <f t="shared" si="37"/>
        <v>6</v>
      </c>
    </row>
    <row r="141" spans="1:56">
      <c r="A141" s="67">
        <v>311</v>
      </c>
      <c r="B141" s="8" t="s">
        <v>130</v>
      </c>
      <c r="C141" s="8" t="s">
        <v>357</v>
      </c>
      <c r="E141" s="269"/>
      <c r="F141" s="20"/>
      <c r="G141" s="20"/>
      <c r="H141" s="20"/>
      <c r="I141" s="20"/>
      <c r="J141" s="20"/>
      <c r="K141" s="20"/>
      <c r="L141" s="270"/>
      <c r="M141" s="269"/>
      <c r="N141" s="20"/>
      <c r="O141" s="20"/>
      <c r="P141" s="20"/>
      <c r="Q141" s="20"/>
      <c r="R141" s="20"/>
      <c r="S141" s="20"/>
      <c r="T141" s="270"/>
      <c r="U141" s="269"/>
      <c r="V141" s="20"/>
      <c r="W141" s="20"/>
      <c r="X141" s="20"/>
      <c r="Y141" s="20"/>
      <c r="Z141" s="20"/>
      <c r="AA141" s="20"/>
      <c r="AB141" s="270"/>
      <c r="AC141" s="269"/>
      <c r="AD141" s="20"/>
      <c r="AE141" s="20"/>
      <c r="AF141" s="20"/>
      <c r="AG141" s="20"/>
      <c r="AH141" s="20"/>
      <c r="AI141" s="20"/>
      <c r="AJ141" s="270"/>
      <c r="AK141" s="67">
        <v>311</v>
      </c>
      <c r="AL141" s="67">
        <v>1</v>
      </c>
      <c r="AO141" s="67">
        <f t="shared" si="28"/>
        <v>0</v>
      </c>
      <c r="AP141" s="67">
        <f t="shared" si="29"/>
        <v>0</v>
      </c>
      <c r="AQ141" s="67">
        <f t="shared" si="30"/>
        <v>0</v>
      </c>
      <c r="AR141" s="67">
        <f t="shared" si="31"/>
        <v>0</v>
      </c>
      <c r="AS141" s="67">
        <f t="shared" si="32"/>
        <v>0</v>
      </c>
      <c r="AT141" s="67">
        <f t="shared" si="33"/>
        <v>0</v>
      </c>
      <c r="AU141" s="67">
        <f t="shared" si="34"/>
        <v>0</v>
      </c>
      <c r="AW141" s="256">
        <v>19</v>
      </c>
      <c r="AX141" s="67">
        <f t="shared" si="26"/>
        <v>95</v>
      </c>
      <c r="AY141" s="76">
        <f t="shared" si="27"/>
        <v>0</v>
      </c>
      <c r="AZ141" s="67">
        <f t="shared" si="35"/>
        <v>0</v>
      </c>
      <c r="BA141" s="76">
        <f t="shared" si="38"/>
        <v>0</v>
      </c>
      <c r="BC141" s="67">
        <f t="shared" si="36"/>
        <v>0</v>
      </c>
      <c r="BD141" s="67">
        <f t="shared" si="37"/>
        <v>0</v>
      </c>
    </row>
    <row r="142" spans="1:56">
      <c r="A142" s="67">
        <v>315</v>
      </c>
      <c r="B142" s="8" t="s">
        <v>71</v>
      </c>
      <c r="C142" s="8" t="s">
        <v>366</v>
      </c>
      <c r="D142" s="67" t="s">
        <v>42</v>
      </c>
      <c r="E142" s="269" t="s">
        <v>434</v>
      </c>
      <c r="F142" s="5" t="s">
        <v>461</v>
      </c>
      <c r="G142" s="20"/>
      <c r="H142" s="20"/>
      <c r="I142" s="20"/>
      <c r="J142" s="20"/>
      <c r="K142" s="20"/>
      <c r="L142" s="270"/>
      <c r="M142" s="269"/>
      <c r="N142" s="20" t="s">
        <v>435</v>
      </c>
      <c r="O142" s="20"/>
      <c r="P142" s="20" t="s">
        <v>446</v>
      </c>
      <c r="Q142" s="20" t="s">
        <v>442</v>
      </c>
      <c r="R142" s="5" t="s">
        <v>442</v>
      </c>
      <c r="S142" s="5" t="s">
        <v>462</v>
      </c>
      <c r="T142" s="270" t="s">
        <v>464</v>
      </c>
      <c r="U142" s="269" t="s">
        <v>442</v>
      </c>
      <c r="V142" s="5" t="s">
        <v>467</v>
      </c>
      <c r="W142" s="5" t="s">
        <v>461</v>
      </c>
      <c r="X142" s="5" t="s">
        <v>434</v>
      </c>
      <c r="Y142" s="5" t="s">
        <v>435</v>
      </c>
      <c r="Z142" s="20"/>
      <c r="AA142" s="20"/>
      <c r="AB142" s="270"/>
      <c r="AC142" s="269"/>
      <c r="AD142" s="20"/>
      <c r="AE142" s="20"/>
      <c r="AF142" s="20"/>
      <c r="AG142" s="20"/>
      <c r="AH142" s="20"/>
      <c r="AI142" s="20" t="s">
        <v>435</v>
      </c>
      <c r="AJ142" s="270"/>
      <c r="AK142" s="67">
        <v>315</v>
      </c>
      <c r="AM142" s="67">
        <v>1</v>
      </c>
      <c r="AO142" s="67">
        <f t="shared" si="28"/>
        <v>8</v>
      </c>
      <c r="AP142" s="67">
        <f t="shared" si="29"/>
        <v>4</v>
      </c>
      <c r="AQ142" s="67">
        <f t="shared" si="30"/>
        <v>0</v>
      </c>
      <c r="AR142" s="67">
        <f t="shared" si="31"/>
        <v>8</v>
      </c>
      <c r="AS142" s="67">
        <f t="shared" si="32"/>
        <v>11</v>
      </c>
      <c r="AT142" s="67">
        <f t="shared" si="33"/>
        <v>3</v>
      </c>
      <c r="AU142" s="67">
        <f t="shared" si="34"/>
        <v>34</v>
      </c>
      <c r="AW142" s="256">
        <v>26</v>
      </c>
      <c r="AX142" s="67">
        <f t="shared" si="26"/>
        <v>130</v>
      </c>
      <c r="AY142" s="76">
        <f t="shared" si="27"/>
        <v>0.26153846153846155</v>
      </c>
      <c r="AZ142" s="67">
        <f t="shared" si="35"/>
        <v>14</v>
      </c>
      <c r="BA142" s="76">
        <f t="shared" si="38"/>
        <v>0.53846153846153844</v>
      </c>
      <c r="BC142" s="67">
        <f t="shared" si="36"/>
        <v>8</v>
      </c>
      <c r="BD142" s="67">
        <f t="shared" si="37"/>
        <v>6</v>
      </c>
    </row>
    <row r="143" spans="1:56">
      <c r="A143" s="67">
        <v>321</v>
      </c>
      <c r="B143" s="8" t="s">
        <v>54</v>
      </c>
      <c r="C143" s="8" t="s">
        <v>345</v>
      </c>
      <c r="E143" s="269"/>
      <c r="F143" s="20"/>
      <c r="G143" s="20"/>
      <c r="H143" s="20"/>
      <c r="I143" s="20"/>
      <c r="J143" s="20"/>
      <c r="K143" s="20"/>
      <c r="L143" s="270"/>
      <c r="M143" s="269"/>
      <c r="N143" s="20"/>
      <c r="O143" s="20"/>
      <c r="P143" s="20"/>
      <c r="Q143" s="20"/>
      <c r="R143" s="20"/>
      <c r="S143" s="20"/>
      <c r="T143" s="270"/>
      <c r="U143" s="269"/>
      <c r="V143" s="20"/>
      <c r="W143" s="20"/>
      <c r="X143" s="20"/>
      <c r="Y143" s="20"/>
      <c r="Z143" s="20"/>
      <c r="AA143" s="20"/>
      <c r="AB143" s="270"/>
      <c r="AC143" s="269"/>
      <c r="AD143" s="20"/>
      <c r="AE143" s="20"/>
      <c r="AF143" s="20"/>
      <c r="AG143" s="20"/>
      <c r="AH143" s="20"/>
      <c r="AI143" s="20"/>
      <c r="AJ143" s="270"/>
      <c r="AK143" s="67">
        <v>321</v>
      </c>
      <c r="AL143" s="67">
        <v>1</v>
      </c>
      <c r="AO143" s="67">
        <f t="shared" si="28"/>
        <v>0</v>
      </c>
      <c r="AP143" s="67">
        <f t="shared" si="29"/>
        <v>0</v>
      </c>
      <c r="AQ143" s="67">
        <f t="shared" si="30"/>
        <v>0</v>
      </c>
      <c r="AR143" s="67">
        <f t="shared" si="31"/>
        <v>0</v>
      </c>
      <c r="AS143" s="67">
        <f t="shared" si="32"/>
        <v>0</v>
      </c>
      <c r="AT143" s="67">
        <f t="shared" si="33"/>
        <v>0</v>
      </c>
      <c r="AU143" s="67">
        <f t="shared" si="34"/>
        <v>0</v>
      </c>
      <c r="AW143" s="256">
        <v>7</v>
      </c>
      <c r="AX143" s="67">
        <f t="shared" si="26"/>
        <v>35</v>
      </c>
      <c r="AY143" s="76">
        <f t="shared" si="27"/>
        <v>0</v>
      </c>
      <c r="AZ143" s="67">
        <f t="shared" si="35"/>
        <v>0</v>
      </c>
      <c r="BA143" s="76">
        <f t="shared" si="38"/>
        <v>0</v>
      </c>
      <c r="BC143" s="67">
        <f t="shared" si="36"/>
        <v>0</v>
      </c>
      <c r="BD143" s="67">
        <f t="shared" si="37"/>
        <v>0</v>
      </c>
    </row>
    <row r="144" spans="1:56">
      <c r="A144" s="67">
        <v>331</v>
      </c>
      <c r="B144" s="8" t="s">
        <v>240</v>
      </c>
      <c r="C144" s="8" t="s">
        <v>42</v>
      </c>
      <c r="D144" s="67" t="s">
        <v>42</v>
      </c>
      <c r="E144" s="269"/>
      <c r="F144" s="20"/>
      <c r="G144" s="20"/>
      <c r="H144" s="20"/>
      <c r="I144" s="20" t="s">
        <v>468</v>
      </c>
      <c r="J144" s="20"/>
      <c r="K144" s="20"/>
      <c r="L144" s="270"/>
      <c r="M144" s="269"/>
      <c r="N144" s="20"/>
      <c r="O144" s="20"/>
      <c r="P144" s="20"/>
      <c r="Q144" s="20"/>
      <c r="R144" s="20"/>
      <c r="S144" s="20"/>
      <c r="T144" s="270" t="s">
        <v>453</v>
      </c>
      <c r="U144" s="269" t="s">
        <v>431</v>
      </c>
      <c r="V144" s="20" t="s">
        <v>435</v>
      </c>
      <c r="W144" s="20"/>
      <c r="X144" s="20"/>
      <c r="Y144" s="20"/>
      <c r="Z144" s="20"/>
      <c r="AA144" s="20"/>
      <c r="AB144" s="270"/>
      <c r="AC144" s="269"/>
      <c r="AD144" s="20"/>
      <c r="AE144" s="20"/>
      <c r="AF144" s="20"/>
      <c r="AG144" s="20"/>
      <c r="AH144" s="20"/>
      <c r="AI144" s="20" t="s">
        <v>435</v>
      </c>
      <c r="AJ144" s="270" t="s">
        <v>434</v>
      </c>
      <c r="AK144" s="67">
        <v>331</v>
      </c>
      <c r="AM144" s="67">
        <v>1</v>
      </c>
      <c r="AO144" s="67">
        <f t="shared" si="28"/>
        <v>2</v>
      </c>
      <c r="AP144" s="67">
        <f t="shared" si="29"/>
        <v>0</v>
      </c>
      <c r="AQ144" s="67">
        <f t="shared" si="30"/>
        <v>0</v>
      </c>
      <c r="AR144" s="67">
        <f t="shared" si="31"/>
        <v>2</v>
      </c>
      <c r="AS144" s="67">
        <f t="shared" si="32"/>
        <v>3</v>
      </c>
      <c r="AT144" s="67">
        <f t="shared" si="33"/>
        <v>2</v>
      </c>
      <c r="AU144" s="67">
        <f t="shared" si="34"/>
        <v>9</v>
      </c>
      <c r="AW144" s="256">
        <v>24</v>
      </c>
      <c r="AX144" s="67">
        <f t="shared" si="26"/>
        <v>120</v>
      </c>
      <c r="AY144" s="76">
        <f t="shared" si="27"/>
        <v>7.4999999999999997E-2</v>
      </c>
      <c r="AZ144" s="67">
        <f t="shared" si="35"/>
        <v>6</v>
      </c>
      <c r="BA144" s="76">
        <f t="shared" si="38"/>
        <v>0.25</v>
      </c>
      <c r="BC144" s="67">
        <f t="shared" si="36"/>
        <v>2</v>
      </c>
      <c r="BD144" s="67">
        <f t="shared" si="37"/>
        <v>4</v>
      </c>
    </row>
    <row r="145" spans="1:56">
      <c r="A145" s="8">
        <v>334</v>
      </c>
      <c r="B145" s="8" t="s">
        <v>5</v>
      </c>
      <c r="C145" s="8" t="s">
        <v>42</v>
      </c>
      <c r="D145" s="8" t="s">
        <v>6</v>
      </c>
      <c r="E145" s="269"/>
      <c r="F145" s="20"/>
      <c r="G145" s="5" t="s">
        <v>469</v>
      </c>
      <c r="H145" s="20"/>
      <c r="I145" s="20"/>
      <c r="J145" s="20"/>
      <c r="K145" s="20" t="s">
        <v>435</v>
      </c>
      <c r="L145" s="270"/>
      <c r="M145" s="269"/>
      <c r="N145" s="20"/>
      <c r="O145" s="20"/>
      <c r="P145" s="20"/>
      <c r="Q145" s="20"/>
      <c r="R145" s="20"/>
      <c r="S145" s="20" t="s">
        <v>431</v>
      </c>
      <c r="T145" s="270"/>
      <c r="U145" s="269"/>
      <c r="V145" s="20"/>
      <c r="W145" s="20"/>
      <c r="X145" s="20"/>
      <c r="Y145" s="20"/>
      <c r="Z145" s="20"/>
      <c r="AA145" s="20"/>
      <c r="AB145" s="270"/>
      <c r="AC145" s="269"/>
      <c r="AD145" s="20"/>
      <c r="AE145" s="20"/>
      <c r="AF145" s="20"/>
      <c r="AG145" s="20"/>
      <c r="AH145" s="20"/>
      <c r="AI145" s="20"/>
      <c r="AJ145" s="270"/>
      <c r="AK145" s="8">
        <v>334</v>
      </c>
      <c r="AL145" s="8"/>
      <c r="AM145" s="8">
        <v>1</v>
      </c>
      <c r="AN145" s="8"/>
      <c r="AO145" s="67">
        <f t="shared" si="28"/>
        <v>2</v>
      </c>
      <c r="AP145" s="67">
        <f t="shared" si="29"/>
        <v>1</v>
      </c>
      <c r="AQ145" s="67">
        <f t="shared" si="30"/>
        <v>0</v>
      </c>
      <c r="AR145" s="67">
        <f t="shared" si="31"/>
        <v>1</v>
      </c>
      <c r="AS145" s="67">
        <f t="shared" si="32"/>
        <v>2</v>
      </c>
      <c r="AT145" s="67">
        <f t="shared" si="33"/>
        <v>1</v>
      </c>
      <c r="AU145" s="67">
        <f t="shared" si="34"/>
        <v>7</v>
      </c>
      <c r="AW145" s="256">
        <v>28</v>
      </c>
      <c r="AX145" s="67">
        <f t="shared" si="26"/>
        <v>140</v>
      </c>
      <c r="AY145" s="76">
        <f t="shared" si="27"/>
        <v>0.05</v>
      </c>
      <c r="AZ145" s="67">
        <f t="shared" si="35"/>
        <v>3</v>
      </c>
      <c r="BA145" s="76">
        <f t="shared" si="38"/>
        <v>0.10714285714285714</v>
      </c>
      <c r="BC145" s="67">
        <f t="shared" si="36"/>
        <v>3</v>
      </c>
      <c r="BD145" s="67">
        <f t="shared" si="37"/>
        <v>0</v>
      </c>
    </row>
    <row r="146" spans="1:56">
      <c r="A146" s="67">
        <v>335</v>
      </c>
      <c r="B146" s="8" t="s">
        <v>74</v>
      </c>
      <c r="C146" s="8" t="s">
        <v>346</v>
      </c>
      <c r="E146" s="269"/>
      <c r="F146" s="20"/>
      <c r="G146" s="20"/>
      <c r="H146" s="20"/>
      <c r="I146" s="20"/>
      <c r="J146" s="20"/>
      <c r="K146" s="20"/>
      <c r="L146" s="270"/>
      <c r="M146" s="269"/>
      <c r="N146" s="20"/>
      <c r="O146" s="20"/>
      <c r="P146" s="20"/>
      <c r="Q146" s="20"/>
      <c r="R146" s="20"/>
      <c r="S146" s="20"/>
      <c r="T146" s="270"/>
      <c r="U146" s="269"/>
      <c r="V146" s="20"/>
      <c r="W146" s="20"/>
      <c r="X146" s="20"/>
      <c r="Y146" s="20"/>
      <c r="Z146" s="20"/>
      <c r="AA146" s="20"/>
      <c r="AB146" s="270"/>
      <c r="AC146" s="269"/>
      <c r="AD146" s="20"/>
      <c r="AE146" s="20"/>
      <c r="AF146" s="20"/>
      <c r="AG146" s="20"/>
      <c r="AH146" s="20"/>
      <c r="AI146" s="20"/>
      <c r="AJ146" s="270"/>
      <c r="AK146" s="67">
        <v>335</v>
      </c>
      <c r="AL146" s="67">
        <v>1</v>
      </c>
      <c r="AO146" s="67">
        <f t="shared" si="28"/>
        <v>0</v>
      </c>
      <c r="AP146" s="67">
        <f t="shared" si="29"/>
        <v>0</v>
      </c>
      <c r="AQ146" s="67">
        <f t="shared" si="30"/>
        <v>0</v>
      </c>
      <c r="AR146" s="67">
        <f t="shared" si="31"/>
        <v>0</v>
      </c>
      <c r="AS146" s="67">
        <f t="shared" si="32"/>
        <v>0</v>
      </c>
      <c r="AT146" s="67">
        <f t="shared" si="33"/>
        <v>0</v>
      </c>
      <c r="AU146" s="67">
        <f t="shared" si="34"/>
        <v>0</v>
      </c>
      <c r="AW146" s="256">
        <v>8</v>
      </c>
      <c r="AX146" s="67">
        <f t="shared" si="26"/>
        <v>40</v>
      </c>
      <c r="AY146" s="76">
        <f t="shared" si="27"/>
        <v>0</v>
      </c>
      <c r="AZ146" s="67">
        <f t="shared" si="35"/>
        <v>0</v>
      </c>
      <c r="BA146" s="76">
        <f t="shared" si="38"/>
        <v>0</v>
      </c>
      <c r="BC146" s="67">
        <f t="shared" si="36"/>
        <v>0</v>
      </c>
      <c r="BD146" s="67">
        <f t="shared" si="37"/>
        <v>0</v>
      </c>
    </row>
    <row r="147" spans="1:56">
      <c r="A147" s="67">
        <v>336</v>
      </c>
      <c r="B147" s="8" t="s">
        <v>55</v>
      </c>
      <c r="C147" s="8" t="s">
        <v>346</v>
      </c>
      <c r="E147" s="269"/>
      <c r="F147" s="20"/>
      <c r="G147" s="20"/>
      <c r="H147" s="20"/>
      <c r="I147" s="20"/>
      <c r="J147" s="20"/>
      <c r="K147" s="20"/>
      <c r="L147" s="270"/>
      <c r="M147" s="269"/>
      <c r="N147" s="20"/>
      <c r="O147" s="20"/>
      <c r="P147" s="20"/>
      <c r="Q147" s="20"/>
      <c r="R147" s="20"/>
      <c r="S147" s="20"/>
      <c r="T147" s="270"/>
      <c r="U147" s="269"/>
      <c r="V147" s="20"/>
      <c r="W147" s="20"/>
      <c r="X147" s="20"/>
      <c r="Y147" s="20"/>
      <c r="Z147" s="20"/>
      <c r="AA147" s="20"/>
      <c r="AB147" s="270"/>
      <c r="AC147" s="269"/>
      <c r="AD147" s="20"/>
      <c r="AE147" s="20"/>
      <c r="AF147" s="20"/>
      <c r="AG147" s="20"/>
      <c r="AH147" s="20"/>
      <c r="AI147" s="20"/>
      <c r="AJ147" s="270"/>
      <c r="AK147" s="67">
        <v>336</v>
      </c>
      <c r="AL147" s="67">
        <v>1</v>
      </c>
      <c r="AO147" s="67">
        <f t="shared" si="28"/>
        <v>0</v>
      </c>
      <c r="AP147" s="67">
        <f t="shared" si="29"/>
        <v>0</v>
      </c>
      <c r="AQ147" s="67">
        <f t="shared" si="30"/>
        <v>0</v>
      </c>
      <c r="AR147" s="67">
        <f t="shared" si="31"/>
        <v>0</v>
      </c>
      <c r="AS147" s="67">
        <f t="shared" si="32"/>
        <v>0</v>
      </c>
      <c r="AT147" s="67">
        <f t="shared" si="33"/>
        <v>0</v>
      </c>
      <c r="AU147" s="67">
        <f t="shared" si="34"/>
        <v>0</v>
      </c>
      <c r="AW147" s="256">
        <v>16</v>
      </c>
      <c r="AX147" s="67">
        <f t="shared" si="26"/>
        <v>80</v>
      </c>
      <c r="AY147" s="76">
        <f t="shared" si="27"/>
        <v>0</v>
      </c>
      <c r="AZ147" s="67">
        <f t="shared" si="35"/>
        <v>0</v>
      </c>
      <c r="BA147" s="76">
        <f t="shared" si="38"/>
        <v>0</v>
      </c>
      <c r="BC147" s="67">
        <f t="shared" si="36"/>
        <v>0</v>
      </c>
      <c r="BD147" s="67">
        <f t="shared" si="37"/>
        <v>0</v>
      </c>
    </row>
    <row r="148" spans="1:56">
      <c r="A148" s="67">
        <v>339</v>
      </c>
      <c r="B148" s="8" t="s">
        <v>91</v>
      </c>
      <c r="C148" s="8" t="s">
        <v>470</v>
      </c>
      <c r="D148" s="67" t="s">
        <v>42</v>
      </c>
      <c r="E148" s="269"/>
      <c r="F148" s="20"/>
      <c r="G148" s="20"/>
      <c r="H148" s="20"/>
      <c r="I148" s="20"/>
      <c r="J148" s="20"/>
      <c r="K148" s="20"/>
      <c r="L148" s="270"/>
      <c r="M148" s="269"/>
      <c r="N148" s="20"/>
      <c r="O148" s="20"/>
      <c r="P148" s="20"/>
      <c r="Q148" s="20"/>
      <c r="R148" s="20"/>
      <c r="S148" s="20"/>
      <c r="T148" s="270"/>
      <c r="U148" s="269"/>
      <c r="V148" s="20"/>
      <c r="W148" s="20"/>
      <c r="X148" s="20"/>
      <c r="Y148" s="20"/>
      <c r="Z148" s="20"/>
      <c r="AA148" s="20"/>
      <c r="AB148" s="270"/>
      <c r="AC148" s="269"/>
      <c r="AD148" s="20"/>
      <c r="AE148" s="20"/>
      <c r="AF148" s="20"/>
      <c r="AG148" s="20"/>
      <c r="AH148" s="20"/>
      <c r="AI148" s="20"/>
      <c r="AJ148" s="270"/>
      <c r="AK148" s="67">
        <v>339</v>
      </c>
      <c r="AL148" s="67">
        <v>1</v>
      </c>
      <c r="AO148" s="67">
        <f t="shared" si="28"/>
        <v>0</v>
      </c>
      <c r="AP148" s="67">
        <f t="shared" si="29"/>
        <v>0</v>
      </c>
      <c r="AQ148" s="67">
        <f t="shared" si="30"/>
        <v>0</v>
      </c>
      <c r="AR148" s="67">
        <f t="shared" si="31"/>
        <v>0</v>
      </c>
      <c r="AS148" s="67">
        <f t="shared" si="32"/>
        <v>0</v>
      </c>
      <c r="AT148" s="67">
        <f t="shared" si="33"/>
        <v>0</v>
      </c>
      <c r="AU148" s="67">
        <f t="shared" si="34"/>
        <v>0</v>
      </c>
      <c r="AW148" s="256">
        <v>31</v>
      </c>
      <c r="AX148" s="67">
        <f t="shared" si="26"/>
        <v>155</v>
      </c>
      <c r="AY148" s="76">
        <f t="shared" si="27"/>
        <v>0</v>
      </c>
      <c r="AZ148" s="67">
        <f t="shared" si="35"/>
        <v>0</v>
      </c>
      <c r="BA148" s="76">
        <f t="shared" si="38"/>
        <v>0</v>
      </c>
      <c r="BC148" s="67">
        <f t="shared" si="36"/>
        <v>0</v>
      </c>
      <c r="BD148" s="67">
        <f t="shared" si="37"/>
        <v>0</v>
      </c>
    </row>
    <row r="149" spans="1:56">
      <c r="A149" s="67">
        <v>340</v>
      </c>
      <c r="B149" s="8" t="s">
        <v>44</v>
      </c>
      <c r="C149" s="8" t="s">
        <v>349</v>
      </c>
      <c r="D149" s="8" t="s">
        <v>6</v>
      </c>
      <c r="E149" s="269"/>
      <c r="F149" s="20"/>
      <c r="G149" s="20"/>
      <c r="H149" s="20"/>
      <c r="I149" s="20"/>
      <c r="J149" s="20"/>
      <c r="K149" s="20"/>
      <c r="L149" s="270"/>
      <c r="M149" s="269"/>
      <c r="N149" s="20"/>
      <c r="O149" s="20" t="s">
        <v>451</v>
      </c>
      <c r="P149" s="20" t="s">
        <v>442</v>
      </c>
      <c r="Q149" s="20"/>
      <c r="R149" s="20"/>
      <c r="S149" s="20"/>
      <c r="T149" s="270"/>
      <c r="U149" s="269"/>
      <c r="V149" s="20"/>
      <c r="W149" s="20"/>
      <c r="X149" s="20"/>
      <c r="Y149" s="20"/>
      <c r="Z149" s="20"/>
      <c r="AA149" s="20"/>
      <c r="AB149" s="270"/>
      <c r="AC149" s="269"/>
      <c r="AD149" s="20"/>
      <c r="AE149" s="20"/>
      <c r="AF149" s="20"/>
      <c r="AG149" s="20"/>
      <c r="AH149" s="20"/>
      <c r="AI149" s="20"/>
      <c r="AJ149" s="270"/>
      <c r="AK149" s="67">
        <v>340</v>
      </c>
      <c r="AM149" s="67">
        <v>1</v>
      </c>
      <c r="AO149" s="67">
        <f t="shared" si="28"/>
        <v>1</v>
      </c>
      <c r="AP149" s="67">
        <f t="shared" si="29"/>
        <v>2</v>
      </c>
      <c r="AQ149" s="67">
        <f t="shared" si="30"/>
        <v>1</v>
      </c>
      <c r="AR149" s="67">
        <f t="shared" si="31"/>
        <v>2</v>
      </c>
      <c r="AS149" s="67">
        <f t="shared" si="32"/>
        <v>2</v>
      </c>
      <c r="AT149" s="67">
        <f t="shared" si="33"/>
        <v>2</v>
      </c>
      <c r="AU149" s="67">
        <f t="shared" si="34"/>
        <v>10</v>
      </c>
      <c r="AW149" s="256">
        <v>10</v>
      </c>
      <c r="AX149" s="67">
        <f t="shared" si="26"/>
        <v>50</v>
      </c>
      <c r="AY149" s="76">
        <f t="shared" si="27"/>
        <v>0.2</v>
      </c>
      <c r="AZ149" s="67">
        <f t="shared" si="35"/>
        <v>2</v>
      </c>
      <c r="BA149" s="76">
        <f t="shared" si="38"/>
        <v>0.2</v>
      </c>
      <c r="BC149" s="67">
        <f t="shared" si="36"/>
        <v>2</v>
      </c>
      <c r="BD149" s="67">
        <f t="shared" si="37"/>
        <v>0</v>
      </c>
    </row>
    <row r="150" spans="1:56">
      <c r="A150" s="67">
        <v>343</v>
      </c>
      <c r="B150" s="8" t="s">
        <v>216</v>
      </c>
      <c r="C150" s="8" t="s">
        <v>42</v>
      </c>
      <c r="D150" s="8" t="s">
        <v>6</v>
      </c>
      <c r="E150" s="269"/>
      <c r="F150" s="20"/>
      <c r="G150" s="20"/>
      <c r="H150" s="20"/>
      <c r="I150" s="20"/>
      <c r="J150" s="20"/>
      <c r="K150" s="20"/>
      <c r="L150" s="270"/>
      <c r="M150" s="269"/>
      <c r="N150" s="20"/>
      <c r="O150" s="20"/>
      <c r="P150" s="20"/>
      <c r="Q150" s="20"/>
      <c r="R150" s="20"/>
      <c r="S150" s="20" t="s">
        <v>436</v>
      </c>
      <c r="T150" s="270"/>
      <c r="U150" s="269"/>
      <c r="V150" s="20"/>
      <c r="W150" s="20"/>
      <c r="X150" s="20"/>
      <c r="Y150" s="20"/>
      <c r="Z150" s="20"/>
      <c r="AA150" s="20"/>
      <c r="AB150" s="270"/>
      <c r="AC150" s="269"/>
      <c r="AD150" s="20"/>
      <c r="AE150" s="20"/>
      <c r="AF150" s="20"/>
      <c r="AG150" s="20"/>
      <c r="AH150" s="20" t="s">
        <v>436</v>
      </c>
      <c r="AI150" s="20"/>
      <c r="AJ150" s="270"/>
      <c r="AK150" s="67">
        <v>343</v>
      </c>
      <c r="AM150" s="67">
        <v>1</v>
      </c>
      <c r="AO150" s="67">
        <f t="shared" si="28"/>
        <v>0</v>
      </c>
      <c r="AP150" s="67">
        <f t="shared" si="29"/>
        <v>0</v>
      </c>
      <c r="AQ150" s="67">
        <f t="shared" si="30"/>
        <v>0</v>
      </c>
      <c r="AR150" s="67">
        <f t="shared" si="31"/>
        <v>0</v>
      </c>
      <c r="AS150" s="67">
        <f t="shared" si="32"/>
        <v>0</v>
      </c>
      <c r="AT150" s="67">
        <f t="shared" si="33"/>
        <v>2</v>
      </c>
      <c r="AU150" s="67">
        <f t="shared" si="34"/>
        <v>2</v>
      </c>
      <c r="AW150" s="256">
        <v>31</v>
      </c>
      <c r="AX150" s="67">
        <f t="shared" si="26"/>
        <v>155</v>
      </c>
      <c r="AY150" s="76">
        <f t="shared" si="27"/>
        <v>1.2903225806451613E-2</v>
      </c>
      <c r="AZ150" s="67">
        <f t="shared" si="35"/>
        <v>2</v>
      </c>
      <c r="BA150" s="76">
        <f t="shared" si="38"/>
        <v>6.4516129032258063E-2</v>
      </c>
      <c r="BC150" s="67">
        <f t="shared" si="36"/>
        <v>1</v>
      </c>
      <c r="BD150" s="67">
        <f t="shared" si="37"/>
        <v>1</v>
      </c>
    </row>
    <row r="151" spans="1:56">
      <c r="A151" s="67">
        <v>344</v>
      </c>
      <c r="B151" s="8" t="s">
        <v>63</v>
      </c>
      <c r="C151" s="8" t="s">
        <v>346</v>
      </c>
      <c r="E151" s="269"/>
      <c r="F151" s="20"/>
      <c r="G151" s="20"/>
      <c r="H151" s="20"/>
      <c r="I151" s="20"/>
      <c r="J151" s="20"/>
      <c r="K151" s="20"/>
      <c r="L151" s="270"/>
      <c r="M151" s="269"/>
      <c r="N151" s="20"/>
      <c r="O151" s="20"/>
      <c r="P151" s="20"/>
      <c r="Q151" s="20"/>
      <c r="R151" s="20"/>
      <c r="S151" s="20"/>
      <c r="T151" s="270"/>
      <c r="U151" s="269"/>
      <c r="V151" s="20"/>
      <c r="W151" s="20"/>
      <c r="X151" s="20"/>
      <c r="Y151" s="20"/>
      <c r="Z151" s="20"/>
      <c r="AA151" s="20"/>
      <c r="AB151" s="270"/>
      <c r="AC151" s="269"/>
      <c r="AD151" s="20"/>
      <c r="AE151" s="20"/>
      <c r="AF151" s="20"/>
      <c r="AG151" s="20"/>
      <c r="AH151" s="20"/>
      <c r="AI151" s="20"/>
      <c r="AJ151" s="270"/>
      <c r="AK151" s="67">
        <v>344</v>
      </c>
      <c r="AL151" s="67">
        <v>1</v>
      </c>
      <c r="AO151" s="67">
        <f t="shared" si="28"/>
        <v>0</v>
      </c>
      <c r="AP151" s="67">
        <f t="shared" si="29"/>
        <v>0</v>
      </c>
      <c r="AQ151" s="67">
        <f t="shared" si="30"/>
        <v>0</v>
      </c>
      <c r="AR151" s="67">
        <f t="shared" si="31"/>
        <v>0</v>
      </c>
      <c r="AS151" s="67">
        <f t="shared" si="32"/>
        <v>0</v>
      </c>
      <c r="AT151" s="67">
        <f t="shared" si="33"/>
        <v>0</v>
      </c>
      <c r="AU151" s="67">
        <f t="shared" si="34"/>
        <v>0</v>
      </c>
      <c r="AW151" s="256">
        <v>15</v>
      </c>
      <c r="AX151" s="67">
        <f t="shared" si="26"/>
        <v>75</v>
      </c>
      <c r="AY151" s="76">
        <f t="shared" si="27"/>
        <v>0</v>
      </c>
      <c r="AZ151" s="67">
        <f t="shared" si="35"/>
        <v>0</v>
      </c>
      <c r="BA151" s="76">
        <f t="shared" si="38"/>
        <v>0</v>
      </c>
      <c r="BC151" s="67">
        <f t="shared" si="36"/>
        <v>0</v>
      </c>
      <c r="BD151" s="67">
        <f t="shared" si="37"/>
        <v>0</v>
      </c>
    </row>
    <row r="152" spans="1:56">
      <c r="A152" s="67">
        <v>345</v>
      </c>
      <c r="B152" s="8" t="s">
        <v>59</v>
      </c>
      <c r="C152" s="8" t="s">
        <v>346</v>
      </c>
      <c r="E152" s="269"/>
      <c r="F152" s="20"/>
      <c r="G152" s="20"/>
      <c r="H152" s="20"/>
      <c r="I152" s="20"/>
      <c r="J152" s="20"/>
      <c r="K152" s="20"/>
      <c r="L152" s="270"/>
      <c r="M152" s="269"/>
      <c r="N152" s="20"/>
      <c r="O152" s="20"/>
      <c r="P152" s="20"/>
      <c r="Q152" s="20"/>
      <c r="R152" s="20"/>
      <c r="S152" s="20"/>
      <c r="T152" s="270"/>
      <c r="U152" s="269"/>
      <c r="V152" s="20"/>
      <c r="W152" s="20"/>
      <c r="X152" s="20"/>
      <c r="Y152" s="20" t="s">
        <v>435</v>
      </c>
      <c r="Z152" s="20"/>
      <c r="AA152" s="20"/>
      <c r="AB152" s="270"/>
      <c r="AC152" s="269"/>
      <c r="AD152" s="20"/>
      <c r="AE152" s="20"/>
      <c r="AF152" s="20"/>
      <c r="AG152" s="20"/>
      <c r="AH152" s="20"/>
      <c r="AI152" s="20"/>
      <c r="AJ152" s="270"/>
      <c r="AK152" s="67">
        <v>345</v>
      </c>
      <c r="AM152" s="67">
        <v>1</v>
      </c>
      <c r="AO152" s="67">
        <f t="shared" si="28"/>
        <v>0</v>
      </c>
      <c r="AP152" s="67">
        <f t="shared" si="29"/>
        <v>0</v>
      </c>
      <c r="AQ152" s="67">
        <f t="shared" si="30"/>
        <v>0</v>
      </c>
      <c r="AR152" s="67">
        <f t="shared" si="31"/>
        <v>0</v>
      </c>
      <c r="AS152" s="67">
        <f t="shared" si="32"/>
        <v>1</v>
      </c>
      <c r="AT152" s="67">
        <f t="shared" si="33"/>
        <v>0</v>
      </c>
      <c r="AU152" s="67">
        <f t="shared" si="34"/>
        <v>1</v>
      </c>
      <c r="AW152" s="256">
        <v>16</v>
      </c>
      <c r="AX152" s="67">
        <f t="shared" si="26"/>
        <v>80</v>
      </c>
      <c r="AY152" s="76">
        <f t="shared" si="27"/>
        <v>1.2500000000000001E-2</v>
      </c>
      <c r="AZ152" s="67">
        <f t="shared" si="35"/>
        <v>1</v>
      </c>
      <c r="BA152" s="76">
        <f t="shared" si="38"/>
        <v>6.25E-2</v>
      </c>
      <c r="BC152" s="67">
        <f t="shared" si="36"/>
        <v>0</v>
      </c>
      <c r="BD152" s="67">
        <f t="shared" si="37"/>
        <v>1</v>
      </c>
    </row>
    <row r="153" spans="1:56">
      <c r="A153" s="67">
        <v>346</v>
      </c>
      <c r="B153" s="8" t="s">
        <v>5</v>
      </c>
      <c r="C153" s="8" t="s">
        <v>42</v>
      </c>
      <c r="D153" s="8" t="s">
        <v>6</v>
      </c>
      <c r="E153" s="269" t="s">
        <v>431</v>
      </c>
      <c r="F153" s="20"/>
      <c r="G153" s="20"/>
      <c r="H153" s="20"/>
      <c r="I153" s="20" t="s">
        <v>447</v>
      </c>
      <c r="J153" s="20"/>
      <c r="K153" s="20"/>
      <c r="L153" s="270"/>
      <c r="M153" s="269"/>
      <c r="N153" s="20"/>
      <c r="O153" s="20"/>
      <c r="P153" s="20"/>
      <c r="Q153" s="20" t="s">
        <v>442</v>
      </c>
      <c r="R153" s="20" t="s">
        <v>434</v>
      </c>
      <c r="S153" s="20" t="s">
        <v>435</v>
      </c>
      <c r="T153" s="270"/>
      <c r="U153" s="269"/>
      <c r="V153" s="5" t="s">
        <v>435</v>
      </c>
      <c r="W153" s="20"/>
      <c r="X153" s="20"/>
      <c r="Y153" s="20"/>
      <c r="Z153" s="20"/>
      <c r="AA153" s="20"/>
      <c r="AB153" s="270"/>
      <c r="AC153" s="269"/>
      <c r="AD153" s="20"/>
      <c r="AE153" s="20"/>
      <c r="AF153" s="20"/>
      <c r="AG153" s="20"/>
      <c r="AH153" s="20" t="s">
        <v>435</v>
      </c>
      <c r="AI153" s="20"/>
      <c r="AJ153" s="270"/>
      <c r="AK153" s="67">
        <v>346</v>
      </c>
      <c r="AM153" s="67">
        <v>1</v>
      </c>
      <c r="AO153" s="67">
        <f t="shared" si="28"/>
        <v>2</v>
      </c>
      <c r="AP153" s="67">
        <f t="shared" si="29"/>
        <v>1</v>
      </c>
      <c r="AQ153" s="67">
        <f t="shared" si="30"/>
        <v>0</v>
      </c>
      <c r="AR153" s="67">
        <f t="shared" si="31"/>
        <v>3</v>
      </c>
      <c r="AS153" s="67">
        <f t="shared" si="32"/>
        <v>4</v>
      </c>
      <c r="AT153" s="67">
        <f t="shared" si="33"/>
        <v>2</v>
      </c>
      <c r="AU153" s="67">
        <f t="shared" si="34"/>
        <v>12</v>
      </c>
      <c r="AW153" s="256">
        <v>30</v>
      </c>
      <c r="AX153" s="67">
        <f t="shared" si="26"/>
        <v>150</v>
      </c>
      <c r="AY153" s="76">
        <f t="shared" si="27"/>
        <v>0.08</v>
      </c>
      <c r="AZ153" s="67">
        <f t="shared" si="35"/>
        <v>7</v>
      </c>
      <c r="BA153" s="76">
        <f t="shared" si="38"/>
        <v>0.23333333333333334</v>
      </c>
      <c r="BC153" s="67">
        <f t="shared" si="36"/>
        <v>5</v>
      </c>
      <c r="BD153" s="67">
        <f t="shared" si="37"/>
        <v>2</v>
      </c>
    </row>
    <row r="154" spans="1:56">
      <c r="A154" s="67">
        <v>347</v>
      </c>
      <c r="B154" s="8" t="s">
        <v>141</v>
      </c>
      <c r="C154" s="8" t="s">
        <v>346</v>
      </c>
      <c r="E154" s="269"/>
      <c r="F154" s="20"/>
      <c r="G154" s="20"/>
      <c r="H154" s="20"/>
      <c r="I154" s="20"/>
      <c r="J154" s="20"/>
      <c r="K154" s="20"/>
      <c r="L154" s="270"/>
      <c r="M154" s="269"/>
      <c r="N154" s="20"/>
      <c r="O154" s="20"/>
      <c r="P154" s="20"/>
      <c r="Q154" s="20"/>
      <c r="R154" s="20"/>
      <c r="S154" s="20"/>
      <c r="T154" s="270"/>
      <c r="U154" s="269"/>
      <c r="V154" s="20"/>
      <c r="W154" s="20"/>
      <c r="X154" s="20"/>
      <c r="Y154" s="20"/>
      <c r="Z154" s="20"/>
      <c r="AA154" s="20"/>
      <c r="AB154" s="270"/>
      <c r="AC154" s="269"/>
      <c r="AD154" s="20"/>
      <c r="AE154" s="20"/>
      <c r="AF154" s="20"/>
      <c r="AG154" s="20"/>
      <c r="AH154" s="20"/>
      <c r="AI154" s="20"/>
      <c r="AJ154" s="270"/>
      <c r="AK154" s="67">
        <v>347</v>
      </c>
      <c r="AL154" s="67">
        <v>1</v>
      </c>
      <c r="AO154" s="67">
        <f t="shared" si="28"/>
        <v>0</v>
      </c>
      <c r="AP154" s="67">
        <f t="shared" si="29"/>
        <v>0</v>
      </c>
      <c r="AQ154" s="67">
        <f t="shared" si="30"/>
        <v>0</v>
      </c>
      <c r="AR154" s="67">
        <f t="shared" si="31"/>
        <v>0</v>
      </c>
      <c r="AS154" s="67">
        <f t="shared" si="32"/>
        <v>0</v>
      </c>
      <c r="AT154" s="67">
        <f t="shared" si="33"/>
        <v>0</v>
      </c>
      <c r="AU154" s="67">
        <f t="shared" si="34"/>
        <v>0</v>
      </c>
      <c r="AW154" s="256">
        <v>11</v>
      </c>
      <c r="AX154" s="67">
        <f t="shared" si="26"/>
        <v>55</v>
      </c>
      <c r="AY154" s="76">
        <f t="shared" si="27"/>
        <v>0</v>
      </c>
      <c r="AZ154" s="67">
        <f t="shared" si="35"/>
        <v>0</v>
      </c>
      <c r="BA154" s="76">
        <f t="shared" si="38"/>
        <v>0</v>
      </c>
      <c r="BC154" s="67">
        <f t="shared" si="36"/>
        <v>0</v>
      </c>
      <c r="BD154" s="67">
        <f t="shared" si="37"/>
        <v>0</v>
      </c>
    </row>
    <row r="155" spans="1:56">
      <c r="A155" s="67">
        <v>348</v>
      </c>
      <c r="B155" s="8" t="s">
        <v>106</v>
      </c>
      <c r="C155" s="8" t="s">
        <v>349</v>
      </c>
      <c r="D155" s="8" t="s">
        <v>6</v>
      </c>
      <c r="E155" s="269"/>
      <c r="F155" s="20"/>
      <c r="G155" s="20"/>
      <c r="H155" s="20"/>
      <c r="I155" s="20"/>
      <c r="J155" s="20"/>
      <c r="K155" s="20"/>
      <c r="L155" s="270"/>
      <c r="M155" s="269"/>
      <c r="N155" s="20"/>
      <c r="O155" s="20" t="s">
        <v>451</v>
      </c>
      <c r="P155" s="20"/>
      <c r="Q155" s="20" t="s">
        <v>446</v>
      </c>
      <c r="R155" s="20" t="s">
        <v>468</v>
      </c>
      <c r="S155" s="20"/>
      <c r="T155" s="270"/>
      <c r="U155" s="269"/>
      <c r="V155" s="20"/>
      <c r="W155" s="20"/>
      <c r="X155" s="20"/>
      <c r="Y155" s="20" t="s">
        <v>446</v>
      </c>
      <c r="Z155" s="20" t="s">
        <v>433</v>
      </c>
      <c r="AA155" s="20"/>
      <c r="AB155" s="270"/>
      <c r="AC155" s="269"/>
      <c r="AD155" s="20"/>
      <c r="AE155" s="20" t="s">
        <v>433</v>
      </c>
      <c r="AF155" s="20" t="s">
        <v>445</v>
      </c>
      <c r="AG155" s="20"/>
      <c r="AH155" s="20"/>
      <c r="AI155" s="20"/>
      <c r="AJ155" s="270"/>
      <c r="AK155" s="67">
        <v>348</v>
      </c>
      <c r="AM155" s="67">
        <v>1</v>
      </c>
      <c r="AO155" s="67">
        <f t="shared" si="28"/>
        <v>0</v>
      </c>
      <c r="AP155" s="67">
        <f t="shared" si="29"/>
        <v>1</v>
      </c>
      <c r="AQ155" s="67">
        <f t="shared" si="30"/>
        <v>3</v>
      </c>
      <c r="AR155" s="67">
        <f t="shared" si="31"/>
        <v>5</v>
      </c>
      <c r="AS155" s="67">
        <f t="shared" si="32"/>
        <v>5</v>
      </c>
      <c r="AT155" s="67">
        <f t="shared" si="33"/>
        <v>3</v>
      </c>
      <c r="AU155" s="67">
        <f t="shared" si="34"/>
        <v>17</v>
      </c>
      <c r="AW155" s="256">
        <v>10</v>
      </c>
      <c r="AX155" s="67">
        <f t="shared" si="26"/>
        <v>50</v>
      </c>
      <c r="AY155" s="76">
        <f t="shared" si="27"/>
        <v>0.34</v>
      </c>
      <c r="AZ155" s="67">
        <f t="shared" si="35"/>
        <v>7</v>
      </c>
      <c r="BA155" s="76">
        <f t="shared" si="38"/>
        <v>0.7</v>
      </c>
      <c r="BC155" s="67">
        <f t="shared" si="36"/>
        <v>3</v>
      </c>
      <c r="BD155" s="67">
        <f t="shared" si="37"/>
        <v>4</v>
      </c>
    </row>
    <row r="156" spans="1:56">
      <c r="A156" s="67">
        <v>349</v>
      </c>
      <c r="B156" s="8" t="s">
        <v>103</v>
      </c>
      <c r="C156" s="8" t="s">
        <v>357</v>
      </c>
      <c r="D156" s="8" t="s">
        <v>15</v>
      </c>
      <c r="E156" s="269"/>
      <c r="F156" s="20"/>
      <c r="G156" s="20"/>
      <c r="H156" s="20"/>
      <c r="I156" s="20"/>
      <c r="J156" s="20"/>
      <c r="K156" s="20"/>
      <c r="L156" s="270"/>
      <c r="M156" s="269"/>
      <c r="N156" s="20"/>
      <c r="O156" s="20"/>
      <c r="P156" s="20"/>
      <c r="Q156" s="20"/>
      <c r="R156" s="20"/>
      <c r="S156" s="20"/>
      <c r="T156" s="270"/>
      <c r="U156" s="269"/>
      <c r="V156" s="20"/>
      <c r="W156" s="20"/>
      <c r="X156" s="20"/>
      <c r="Y156" s="20"/>
      <c r="Z156" s="20"/>
      <c r="AA156" s="20"/>
      <c r="AB156" s="270"/>
      <c r="AC156" s="269"/>
      <c r="AD156" s="20"/>
      <c r="AE156" s="20"/>
      <c r="AF156" s="20"/>
      <c r="AG156" s="20"/>
      <c r="AH156" s="20"/>
      <c r="AI156" s="20"/>
      <c r="AJ156" s="270"/>
      <c r="AK156" s="67">
        <v>349</v>
      </c>
      <c r="AL156" s="67">
        <v>1</v>
      </c>
      <c r="AO156" s="67">
        <f t="shared" si="28"/>
        <v>0</v>
      </c>
      <c r="AP156" s="67">
        <f t="shared" si="29"/>
        <v>0</v>
      </c>
      <c r="AQ156" s="67">
        <f t="shared" si="30"/>
        <v>0</v>
      </c>
      <c r="AR156" s="67">
        <f t="shared" si="31"/>
        <v>0</v>
      </c>
      <c r="AS156" s="67">
        <f t="shared" si="32"/>
        <v>0</v>
      </c>
      <c r="AT156" s="67">
        <f t="shared" si="33"/>
        <v>0</v>
      </c>
      <c r="AU156" s="67">
        <f t="shared" si="34"/>
        <v>0</v>
      </c>
      <c r="AW156" s="256">
        <v>27</v>
      </c>
      <c r="AX156" s="67">
        <f t="shared" si="26"/>
        <v>135</v>
      </c>
      <c r="AY156" s="76">
        <f t="shared" si="27"/>
        <v>0</v>
      </c>
      <c r="AZ156" s="67">
        <f t="shared" si="35"/>
        <v>0</v>
      </c>
      <c r="BA156" s="76">
        <f t="shared" si="38"/>
        <v>0</v>
      </c>
      <c r="BC156" s="67">
        <f t="shared" si="36"/>
        <v>0</v>
      </c>
      <c r="BD156" s="67">
        <f t="shared" si="37"/>
        <v>0</v>
      </c>
    </row>
    <row r="157" spans="1:56">
      <c r="A157" s="67">
        <v>350</v>
      </c>
      <c r="B157" s="8" t="s">
        <v>80</v>
      </c>
      <c r="C157" s="8" t="s">
        <v>346</v>
      </c>
      <c r="E157" s="269"/>
      <c r="F157" s="20"/>
      <c r="G157" s="20"/>
      <c r="H157" s="20"/>
      <c r="I157" s="20"/>
      <c r="J157" s="20"/>
      <c r="K157" s="20"/>
      <c r="L157" s="270"/>
      <c r="M157" s="269"/>
      <c r="N157" s="20"/>
      <c r="O157" s="20"/>
      <c r="P157" s="20"/>
      <c r="Q157" s="20"/>
      <c r="R157" s="20"/>
      <c r="S157" s="20"/>
      <c r="T157" s="270"/>
      <c r="U157" s="269"/>
      <c r="V157" s="20"/>
      <c r="W157" s="20"/>
      <c r="X157" s="20"/>
      <c r="Y157" s="20"/>
      <c r="Z157" s="20"/>
      <c r="AA157" s="20"/>
      <c r="AB157" s="270"/>
      <c r="AC157" s="269"/>
      <c r="AD157" s="20"/>
      <c r="AE157" s="20"/>
      <c r="AF157" s="20"/>
      <c r="AG157" s="20"/>
      <c r="AH157" s="20"/>
      <c r="AI157" s="20"/>
      <c r="AJ157" s="270"/>
      <c r="AK157" s="67">
        <v>350</v>
      </c>
      <c r="AL157" s="67">
        <v>1</v>
      </c>
      <c r="AO157" s="67">
        <f t="shared" si="28"/>
        <v>0</v>
      </c>
      <c r="AP157" s="67">
        <f t="shared" si="29"/>
        <v>0</v>
      </c>
      <c r="AQ157" s="67">
        <f t="shared" si="30"/>
        <v>0</v>
      </c>
      <c r="AR157" s="67">
        <f t="shared" si="31"/>
        <v>0</v>
      </c>
      <c r="AS157" s="67">
        <f t="shared" si="32"/>
        <v>0</v>
      </c>
      <c r="AT157" s="67">
        <f t="shared" si="33"/>
        <v>0</v>
      </c>
      <c r="AU157" s="67">
        <f t="shared" si="34"/>
        <v>0</v>
      </c>
      <c r="AW157" s="256">
        <v>17</v>
      </c>
      <c r="AX157" s="67">
        <f t="shared" si="26"/>
        <v>85</v>
      </c>
      <c r="AY157" s="76">
        <f t="shared" si="27"/>
        <v>0</v>
      </c>
      <c r="AZ157" s="67">
        <f t="shared" si="35"/>
        <v>0</v>
      </c>
      <c r="BA157" s="76">
        <f t="shared" si="38"/>
        <v>0</v>
      </c>
      <c r="BC157" s="67">
        <f t="shared" si="36"/>
        <v>0</v>
      </c>
      <c r="BD157" s="67">
        <f t="shared" si="37"/>
        <v>0</v>
      </c>
    </row>
    <row r="158" spans="1:56">
      <c r="A158" s="67">
        <v>351</v>
      </c>
      <c r="B158" s="8" t="s">
        <v>106</v>
      </c>
      <c r="C158" s="8" t="s">
        <v>349</v>
      </c>
      <c r="D158" s="8" t="s">
        <v>6</v>
      </c>
      <c r="E158" s="269"/>
      <c r="F158" s="20"/>
      <c r="G158" s="20"/>
      <c r="H158" s="20"/>
      <c r="I158" s="20"/>
      <c r="J158" s="20"/>
      <c r="K158" s="20"/>
      <c r="L158" s="270"/>
      <c r="M158" s="269"/>
      <c r="N158" s="20"/>
      <c r="O158" s="20"/>
      <c r="P158" s="20"/>
      <c r="Q158" s="20"/>
      <c r="R158" s="20"/>
      <c r="S158" s="20"/>
      <c r="T158" s="270"/>
      <c r="U158" s="269"/>
      <c r="V158" s="20"/>
      <c r="W158" s="20"/>
      <c r="X158" s="20"/>
      <c r="Y158" s="20"/>
      <c r="Z158" s="20"/>
      <c r="AA158" s="20"/>
      <c r="AB158" s="270"/>
      <c r="AC158" s="269"/>
      <c r="AD158" s="20"/>
      <c r="AE158" s="20"/>
      <c r="AF158" s="20"/>
      <c r="AG158" s="20"/>
      <c r="AH158" s="20"/>
      <c r="AI158" s="20"/>
      <c r="AJ158" s="270"/>
      <c r="AK158" s="67">
        <v>351</v>
      </c>
      <c r="AL158" s="67">
        <v>1</v>
      </c>
      <c r="AO158" s="67">
        <f t="shared" si="28"/>
        <v>0</v>
      </c>
      <c r="AP158" s="67">
        <f t="shared" si="29"/>
        <v>0</v>
      </c>
      <c r="AQ158" s="67">
        <f t="shared" si="30"/>
        <v>0</v>
      </c>
      <c r="AR158" s="67">
        <f t="shared" si="31"/>
        <v>0</v>
      </c>
      <c r="AS158" s="67">
        <f t="shared" si="32"/>
        <v>0</v>
      </c>
      <c r="AT158" s="67">
        <f t="shared" si="33"/>
        <v>0</v>
      </c>
      <c r="AU158" s="67">
        <f t="shared" si="34"/>
        <v>0</v>
      </c>
      <c r="AW158" s="256">
        <v>29</v>
      </c>
      <c r="AX158" s="67">
        <f t="shared" si="26"/>
        <v>145</v>
      </c>
      <c r="AY158" s="76">
        <f t="shared" si="27"/>
        <v>0</v>
      </c>
      <c r="AZ158" s="67">
        <f t="shared" si="35"/>
        <v>0</v>
      </c>
      <c r="BA158" s="76">
        <f t="shared" si="38"/>
        <v>0</v>
      </c>
      <c r="BC158" s="67">
        <f t="shared" si="36"/>
        <v>0</v>
      </c>
      <c r="BD158" s="67">
        <f t="shared" si="37"/>
        <v>0</v>
      </c>
    </row>
    <row r="159" spans="1:56">
      <c r="A159" s="67">
        <v>354</v>
      </c>
      <c r="B159" s="8" t="s">
        <v>136</v>
      </c>
      <c r="C159" s="8" t="s">
        <v>12</v>
      </c>
      <c r="D159" s="8" t="s">
        <v>77</v>
      </c>
      <c r="E159" s="269"/>
      <c r="F159" s="20"/>
      <c r="G159" s="20"/>
      <c r="H159" s="20"/>
      <c r="I159" s="20"/>
      <c r="J159" s="20"/>
      <c r="K159" s="20"/>
      <c r="L159" s="270"/>
      <c r="M159" s="269"/>
      <c r="N159" s="20"/>
      <c r="O159" s="20"/>
      <c r="P159" s="20"/>
      <c r="Q159" s="20"/>
      <c r="R159" s="20"/>
      <c r="S159" s="20"/>
      <c r="T159" s="270"/>
      <c r="U159" s="269"/>
      <c r="V159" s="20"/>
      <c r="W159" s="20"/>
      <c r="X159" s="20"/>
      <c r="Y159" s="20"/>
      <c r="Z159" s="20"/>
      <c r="AA159" s="20"/>
      <c r="AB159" s="270"/>
      <c r="AC159" s="269"/>
      <c r="AD159" s="20"/>
      <c r="AE159" s="20"/>
      <c r="AF159" s="20" t="s">
        <v>431</v>
      </c>
      <c r="AG159" s="20"/>
      <c r="AH159" s="20"/>
      <c r="AI159" s="20"/>
      <c r="AJ159" s="270"/>
      <c r="AK159" s="67">
        <v>354</v>
      </c>
      <c r="AM159" s="67">
        <v>1</v>
      </c>
      <c r="AO159" s="67">
        <f t="shared" si="28"/>
        <v>1</v>
      </c>
      <c r="AP159" s="67">
        <f t="shared" si="29"/>
        <v>0</v>
      </c>
      <c r="AQ159" s="67">
        <f t="shared" si="30"/>
        <v>0</v>
      </c>
      <c r="AR159" s="67">
        <f t="shared" si="31"/>
        <v>0</v>
      </c>
      <c r="AS159" s="67">
        <f t="shared" si="32"/>
        <v>0</v>
      </c>
      <c r="AT159" s="67">
        <f t="shared" si="33"/>
        <v>0</v>
      </c>
      <c r="AU159" s="67">
        <f t="shared" si="34"/>
        <v>1</v>
      </c>
      <c r="AW159" s="256">
        <v>31</v>
      </c>
      <c r="AX159" s="67">
        <f t="shared" si="26"/>
        <v>155</v>
      </c>
      <c r="AY159" s="76">
        <f t="shared" si="27"/>
        <v>6.4516129032258064E-3</v>
      </c>
      <c r="AZ159" s="67">
        <f t="shared" si="35"/>
        <v>1</v>
      </c>
      <c r="BA159" s="76">
        <f t="shared" si="38"/>
        <v>3.2258064516129031E-2</v>
      </c>
      <c r="BC159" s="67">
        <f t="shared" si="36"/>
        <v>0</v>
      </c>
      <c r="BD159" s="67">
        <f t="shared" si="37"/>
        <v>1</v>
      </c>
    </row>
    <row r="160" spans="1:56">
      <c r="A160" s="67">
        <v>358</v>
      </c>
      <c r="B160" s="8" t="s">
        <v>136</v>
      </c>
      <c r="C160" s="8" t="s">
        <v>12</v>
      </c>
      <c r="D160" s="8" t="s">
        <v>42</v>
      </c>
      <c r="E160" s="269"/>
      <c r="F160" s="20"/>
      <c r="G160" s="20"/>
      <c r="H160" s="20"/>
      <c r="I160" s="20"/>
      <c r="J160" s="20"/>
      <c r="K160" s="20"/>
      <c r="L160" s="270"/>
      <c r="M160" s="269"/>
      <c r="N160" s="20"/>
      <c r="O160" s="20"/>
      <c r="P160" s="20"/>
      <c r="Q160" s="20"/>
      <c r="R160" s="20"/>
      <c r="S160" s="20"/>
      <c r="T160" s="270"/>
      <c r="U160" s="269"/>
      <c r="V160" s="20"/>
      <c r="W160" s="20"/>
      <c r="X160" s="20"/>
      <c r="Y160" s="20"/>
      <c r="Z160" s="20"/>
      <c r="AA160" s="20"/>
      <c r="AB160" s="270"/>
      <c r="AC160" s="269"/>
      <c r="AD160" s="20"/>
      <c r="AE160" s="20"/>
      <c r="AF160" s="20"/>
      <c r="AG160" s="20"/>
      <c r="AH160" s="20"/>
      <c r="AI160" s="20"/>
      <c r="AJ160" s="270"/>
      <c r="AK160" s="67">
        <v>358</v>
      </c>
      <c r="AL160" s="67">
        <v>1</v>
      </c>
      <c r="AO160" s="67">
        <f t="shared" si="28"/>
        <v>0</v>
      </c>
      <c r="AP160" s="67">
        <f t="shared" si="29"/>
        <v>0</v>
      </c>
      <c r="AQ160" s="67">
        <f t="shared" si="30"/>
        <v>0</v>
      </c>
      <c r="AR160" s="67">
        <f t="shared" si="31"/>
        <v>0</v>
      </c>
      <c r="AS160" s="67">
        <f t="shared" si="32"/>
        <v>0</v>
      </c>
      <c r="AT160" s="67">
        <f t="shared" si="33"/>
        <v>0</v>
      </c>
      <c r="AU160" s="67">
        <f t="shared" si="34"/>
        <v>0</v>
      </c>
      <c r="AW160" s="256">
        <v>31</v>
      </c>
      <c r="AX160" s="67">
        <f t="shared" si="26"/>
        <v>155</v>
      </c>
      <c r="AY160" s="76">
        <f t="shared" si="27"/>
        <v>0</v>
      </c>
      <c r="AZ160" s="67">
        <f t="shared" si="35"/>
        <v>0</v>
      </c>
      <c r="BA160" s="76">
        <f t="shared" si="38"/>
        <v>0</v>
      </c>
      <c r="BC160" s="67">
        <f t="shared" si="36"/>
        <v>0</v>
      </c>
      <c r="BD160" s="67">
        <f t="shared" si="37"/>
        <v>0</v>
      </c>
    </row>
    <row r="161" spans="1:56">
      <c r="A161" s="67">
        <v>359</v>
      </c>
      <c r="B161" s="8" t="s">
        <v>78</v>
      </c>
      <c r="C161" s="8" t="s">
        <v>359</v>
      </c>
      <c r="E161" s="269"/>
      <c r="F161" s="20"/>
      <c r="G161" s="20"/>
      <c r="H161" s="20"/>
      <c r="I161" s="20"/>
      <c r="J161" s="20"/>
      <c r="K161" s="20"/>
      <c r="L161" s="270"/>
      <c r="M161" s="269"/>
      <c r="N161" s="20"/>
      <c r="O161" s="20"/>
      <c r="P161" s="20"/>
      <c r="Q161" s="20"/>
      <c r="R161" s="20"/>
      <c r="S161" s="20"/>
      <c r="T161" s="270"/>
      <c r="U161" s="269"/>
      <c r="V161" s="20"/>
      <c r="W161" s="20"/>
      <c r="X161" s="20"/>
      <c r="Y161" s="20"/>
      <c r="Z161" s="20"/>
      <c r="AA161" s="20"/>
      <c r="AB161" s="270"/>
      <c r="AC161" s="269"/>
      <c r="AD161" s="20"/>
      <c r="AE161" s="20"/>
      <c r="AF161" s="20"/>
      <c r="AG161" s="20"/>
      <c r="AH161" s="20"/>
      <c r="AI161" s="20"/>
      <c r="AJ161" s="270"/>
      <c r="AK161" s="67">
        <v>359</v>
      </c>
      <c r="AL161" s="67">
        <v>1</v>
      </c>
      <c r="AO161" s="67">
        <f t="shared" si="28"/>
        <v>0</v>
      </c>
      <c r="AP161" s="67">
        <f t="shared" si="29"/>
        <v>0</v>
      </c>
      <c r="AQ161" s="67">
        <f t="shared" si="30"/>
        <v>0</v>
      </c>
      <c r="AR161" s="67">
        <f t="shared" si="31"/>
        <v>0</v>
      </c>
      <c r="AS161" s="67">
        <f t="shared" si="32"/>
        <v>0</v>
      </c>
      <c r="AT161" s="67">
        <f t="shared" si="33"/>
        <v>0</v>
      </c>
      <c r="AU161" s="67">
        <f t="shared" si="34"/>
        <v>0</v>
      </c>
      <c r="AW161" s="256">
        <v>15</v>
      </c>
      <c r="AX161" s="67">
        <f t="shared" si="26"/>
        <v>75</v>
      </c>
      <c r="AY161" s="76">
        <f t="shared" si="27"/>
        <v>0</v>
      </c>
      <c r="AZ161" s="67">
        <f t="shared" si="35"/>
        <v>0</v>
      </c>
      <c r="BA161" s="76">
        <f t="shared" si="38"/>
        <v>0</v>
      </c>
      <c r="BC161" s="67">
        <f t="shared" si="36"/>
        <v>0</v>
      </c>
      <c r="BD161" s="67">
        <f t="shared" si="37"/>
        <v>0</v>
      </c>
    </row>
    <row r="162" spans="1:56">
      <c r="A162" s="67">
        <v>360</v>
      </c>
      <c r="B162" s="8" t="s">
        <v>71</v>
      </c>
      <c r="C162" s="8" t="s">
        <v>366</v>
      </c>
      <c r="D162" s="8" t="s">
        <v>77</v>
      </c>
      <c r="E162" s="269"/>
      <c r="F162" s="5" t="s">
        <v>442</v>
      </c>
      <c r="G162" s="20"/>
      <c r="H162" s="20"/>
      <c r="I162" s="20" t="s">
        <v>442</v>
      </c>
      <c r="J162" s="20" t="s">
        <v>435</v>
      </c>
      <c r="K162" s="20"/>
      <c r="L162" s="270"/>
      <c r="M162" s="269"/>
      <c r="N162" s="20"/>
      <c r="O162" s="20"/>
      <c r="P162" s="20"/>
      <c r="Q162" s="20"/>
      <c r="R162" s="20" t="s">
        <v>443</v>
      </c>
      <c r="S162" s="20"/>
      <c r="T162" s="270"/>
      <c r="U162" s="269"/>
      <c r="V162" s="20"/>
      <c r="W162" s="20"/>
      <c r="X162" s="20"/>
      <c r="Y162" s="20"/>
      <c r="Z162" s="20"/>
      <c r="AA162" s="20"/>
      <c r="AB162" s="270"/>
      <c r="AC162" s="269"/>
      <c r="AD162" s="20"/>
      <c r="AE162" s="20"/>
      <c r="AF162" s="20" t="s">
        <v>435</v>
      </c>
      <c r="AG162" s="20"/>
      <c r="AH162" s="20" t="s">
        <v>442</v>
      </c>
      <c r="AI162" s="20" t="s">
        <v>471</v>
      </c>
      <c r="AJ162" s="270"/>
      <c r="AK162" s="67">
        <v>360</v>
      </c>
      <c r="AM162" s="67">
        <v>1</v>
      </c>
      <c r="AO162" s="67">
        <f t="shared" si="28"/>
        <v>4</v>
      </c>
      <c r="AP162" s="67">
        <f t="shared" si="29"/>
        <v>4</v>
      </c>
      <c r="AQ162" s="67">
        <f t="shared" si="30"/>
        <v>0</v>
      </c>
      <c r="AR162" s="67">
        <f t="shared" si="31"/>
        <v>3</v>
      </c>
      <c r="AS162" s="67">
        <f t="shared" si="32"/>
        <v>7</v>
      </c>
      <c r="AT162" s="67">
        <f t="shared" si="33"/>
        <v>4</v>
      </c>
      <c r="AU162" s="67">
        <f t="shared" si="34"/>
        <v>22</v>
      </c>
      <c r="AW162" s="256">
        <v>24</v>
      </c>
      <c r="AX162" s="67">
        <f t="shared" si="26"/>
        <v>120</v>
      </c>
      <c r="AY162" s="76">
        <f t="shared" si="27"/>
        <v>0.18333333333333332</v>
      </c>
      <c r="AZ162" s="67">
        <f t="shared" si="35"/>
        <v>7</v>
      </c>
      <c r="BA162" s="76">
        <f t="shared" si="38"/>
        <v>0.29166666666666669</v>
      </c>
      <c r="BC162" s="67">
        <f t="shared" si="36"/>
        <v>4</v>
      </c>
      <c r="BD162" s="67">
        <f t="shared" si="37"/>
        <v>3</v>
      </c>
    </row>
    <row r="163" spans="1:56">
      <c r="A163" s="67">
        <v>361</v>
      </c>
      <c r="B163" s="8" t="s">
        <v>55</v>
      </c>
      <c r="C163" s="8" t="s">
        <v>346</v>
      </c>
      <c r="E163" s="269"/>
      <c r="F163" s="20"/>
      <c r="G163" s="20"/>
      <c r="H163" s="20"/>
      <c r="I163" s="20"/>
      <c r="J163" s="20"/>
      <c r="K163" s="20"/>
      <c r="L163" s="270"/>
      <c r="M163" s="269"/>
      <c r="N163" s="20"/>
      <c r="O163" s="20"/>
      <c r="P163" s="20"/>
      <c r="Q163" s="20"/>
      <c r="R163" s="20"/>
      <c r="S163" s="20"/>
      <c r="T163" s="270"/>
      <c r="U163" s="269"/>
      <c r="V163" s="20"/>
      <c r="W163" s="20"/>
      <c r="X163" s="20"/>
      <c r="Y163" s="20"/>
      <c r="Z163" s="20"/>
      <c r="AA163" s="20"/>
      <c r="AB163" s="270"/>
      <c r="AC163" s="269"/>
      <c r="AD163" s="20"/>
      <c r="AE163" s="20"/>
      <c r="AF163" s="20"/>
      <c r="AG163" s="20"/>
      <c r="AH163" s="20"/>
      <c r="AI163" s="20"/>
      <c r="AJ163" s="270"/>
      <c r="AK163" s="67">
        <v>361</v>
      </c>
      <c r="AL163" s="67">
        <v>1</v>
      </c>
      <c r="AO163" s="67">
        <f t="shared" si="28"/>
        <v>0</v>
      </c>
      <c r="AP163" s="67">
        <f t="shared" si="29"/>
        <v>0</v>
      </c>
      <c r="AQ163" s="67">
        <f t="shared" si="30"/>
        <v>0</v>
      </c>
      <c r="AR163" s="67">
        <f t="shared" si="31"/>
        <v>0</v>
      </c>
      <c r="AS163" s="67">
        <f t="shared" si="32"/>
        <v>0</v>
      </c>
      <c r="AT163" s="67">
        <f t="shared" si="33"/>
        <v>0</v>
      </c>
      <c r="AU163" s="67">
        <f t="shared" si="34"/>
        <v>0</v>
      </c>
      <c r="AW163" s="256">
        <v>18</v>
      </c>
      <c r="AX163" s="67">
        <f t="shared" ref="AX163:AX226" si="39">5*AW163</f>
        <v>90</v>
      </c>
      <c r="AY163" s="76">
        <f t="shared" ref="AY163:AY226" si="40">AU163/AX163</f>
        <v>0</v>
      </c>
      <c r="AZ163" s="67">
        <f t="shared" si="35"/>
        <v>0</v>
      </c>
      <c r="BA163" s="76">
        <f t="shared" si="38"/>
        <v>0</v>
      </c>
      <c r="BC163" s="67">
        <f t="shared" si="36"/>
        <v>0</v>
      </c>
      <c r="BD163" s="67">
        <f t="shared" si="37"/>
        <v>0</v>
      </c>
    </row>
    <row r="164" spans="1:56">
      <c r="A164" s="67">
        <v>363</v>
      </c>
      <c r="B164" s="8" t="s">
        <v>216</v>
      </c>
      <c r="C164" s="8" t="s">
        <v>42</v>
      </c>
      <c r="D164" s="8" t="s">
        <v>6</v>
      </c>
      <c r="E164" s="269"/>
      <c r="F164" s="20"/>
      <c r="G164" s="5" t="s">
        <v>435</v>
      </c>
      <c r="H164" s="20"/>
      <c r="I164" s="20"/>
      <c r="J164" s="20"/>
      <c r="K164" s="20"/>
      <c r="L164" s="270"/>
      <c r="M164" s="269" t="s">
        <v>434</v>
      </c>
      <c r="N164" s="20" t="s">
        <v>435</v>
      </c>
      <c r="O164" s="20"/>
      <c r="P164" s="20"/>
      <c r="Q164" s="20"/>
      <c r="R164" s="20"/>
      <c r="S164" s="20" t="s">
        <v>461</v>
      </c>
      <c r="T164" s="270" t="s">
        <v>472</v>
      </c>
      <c r="U164" s="269"/>
      <c r="V164" s="20"/>
      <c r="W164" s="20"/>
      <c r="X164" s="20"/>
      <c r="Y164" s="20"/>
      <c r="Z164" s="20"/>
      <c r="AA164" s="20"/>
      <c r="AB164" s="270"/>
      <c r="AC164" s="269"/>
      <c r="AD164" s="20"/>
      <c r="AE164" s="20"/>
      <c r="AF164" s="20"/>
      <c r="AG164" s="20"/>
      <c r="AH164" s="20"/>
      <c r="AI164" s="20" t="s">
        <v>431</v>
      </c>
      <c r="AJ164" s="270"/>
      <c r="AK164" s="67">
        <v>363</v>
      </c>
      <c r="AM164" s="67">
        <v>1</v>
      </c>
      <c r="AO164" s="67">
        <f t="shared" si="28"/>
        <v>3</v>
      </c>
      <c r="AP164" s="67">
        <f t="shared" si="29"/>
        <v>0</v>
      </c>
      <c r="AQ164" s="67">
        <f t="shared" si="30"/>
        <v>0</v>
      </c>
      <c r="AR164" s="67">
        <f t="shared" si="31"/>
        <v>2</v>
      </c>
      <c r="AS164" s="67">
        <f t="shared" si="32"/>
        <v>3</v>
      </c>
      <c r="AT164" s="67">
        <f t="shared" si="33"/>
        <v>1</v>
      </c>
      <c r="AU164" s="67">
        <f t="shared" si="34"/>
        <v>9</v>
      </c>
      <c r="AW164" s="256">
        <v>30</v>
      </c>
      <c r="AX164" s="67">
        <f t="shared" si="39"/>
        <v>150</v>
      </c>
      <c r="AY164" s="76">
        <f t="shared" si="40"/>
        <v>0.06</v>
      </c>
      <c r="AZ164" s="67">
        <f t="shared" si="35"/>
        <v>6</v>
      </c>
      <c r="BA164" s="76">
        <f t="shared" si="38"/>
        <v>0.2</v>
      </c>
      <c r="BC164" s="67">
        <f t="shared" si="36"/>
        <v>5</v>
      </c>
      <c r="BD164" s="67">
        <f t="shared" si="37"/>
        <v>1</v>
      </c>
    </row>
    <row r="165" spans="1:56">
      <c r="A165" s="67">
        <v>365</v>
      </c>
      <c r="B165" s="8" t="s">
        <v>197</v>
      </c>
      <c r="C165" s="8" t="s">
        <v>357</v>
      </c>
      <c r="E165" s="269"/>
      <c r="F165" s="20"/>
      <c r="G165" s="20"/>
      <c r="H165" s="20"/>
      <c r="I165" s="20"/>
      <c r="J165" s="20"/>
      <c r="K165" s="20"/>
      <c r="L165" s="270"/>
      <c r="M165" s="269"/>
      <c r="N165" s="20"/>
      <c r="O165" s="20"/>
      <c r="P165" s="20"/>
      <c r="Q165" s="20"/>
      <c r="R165" s="20"/>
      <c r="S165" s="20"/>
      <c r="T165" s="270"/>
      <c r="U165" s="269"/>
      <c r="V165" s="20"/>
      <c r="W165" s="20"/>
      <c r="X165" s="20"/>
      <c r="Y165" s="20"/>
      <c r="Z165" s="20"/>
      <c r="AA165" s="20"/>
      <c r="AB165" s="270"/>
      <c r="AC165" s="269"/>
      <c r="AD165" s="20"/>
      <c r="AE165" s="20"/>
      <c r="AF165" s="20"/>
      <c r="AG165" s="20"/>
      <c r="AH165" s="20"/>
      <c r="AI165" s="20"/>
      <c r="AJ165" s="270"/>
      <c r="AK165" s="67">
        <v>365</v>
      </c>
      <c r="AL165" s="67">
        <v>1</v>
      </c>
      <c r="AO165" s="67">
        <f t="shared" si="28"/>
        <v>0</v>
      </c>
      <c r="AP165" s="67">
        <f t="shared" si="29"/>
        <v>0</v>
      </c>
      <c r="AQ165" s="67">
        <f t="shared" si="30"/>
        <v>0</v>
      </c>
      <c r="AR165" s="67">
        <f t="shared" si="31"/>
        <v>0</v>
      </c>
      <c r="AS165" s="67">
        <f t="shared" si="32"/>
        <v>0</v>
      </c>
      <c r="AT165" s="67">
        <f t="shared" si="33"/>
        <v>0</v>
      </c>
      <c r="AU165" s="67">
        <f t="shared" si="34"/>
        <v>0</v>
      </c>
      <c r="AW165" s="256">
        <v>7</v>
      </c>
      <c r="AX165" s="67">
        <f t="shared" si="39"/>
        <v>35</v>
      </c>
      <c r="AY165" s="76">
        <f t="shared" si="40"/>
        <v>0</v>
      </c>
      <c r="AZ165" s="67">
        <f t="shared" si="35"/>
        <v>0</v>
      </c>
      <c r="BA165" s="76">
        <f t="shared" si="38"/>
        <v>0</v>
      </c>
      <c r="BC165" s="67">
        <f t="shared" si="36"/>
        <v>0</v>
      </c>
      <c r="BD165" s="67">
        <f t="shared" si="37"/>
        <v>0</v>
      </c>
    </row>
    <row r="166" spans="1:56">
      <c r="A166" s="67">
        <v>367</v>
      </c>
      <c r="B166" s="8" t="s">
        <v>80</v>
      </c>
      <c r="C166" s="8" t="s">
        <v>346</v>
      </c>
      <c r="E166" s="269"/>
      <c r="F166" s="20"/>
      <c r="G166" s="20"/>
      <c r="H166" s="20"/>
      <c r="I166" s="20"/>
      <c r="J166" s="20"/>
      <c r="K166" s="20"/>
      <c r="L166" s="270"/>
      <c r="M166" s="269"/>
      <c r="N166" s="20"/>
      <c r="O166" s="20"/>
      <c r="P166" s="20"/>
      <c r="Q166" s="20"/>
      <c r="R166" s="20"/>
      <c r="S166" s="20"/>
      <c r="T166" s="270"/>
      <c r="U166" s="269"/>
      <c r="V166" s="20"/>
      <c r="W166" s="20"/>
      <c r="X166" s="20"/>
      <c r="Y166" s="20"/>
      <c r="Z166" s="20"/>
      <c r="AA166" s="20"/>
      <c r="AB166" s="270"/>
      <c r="AC166" s="269"/>
      <c r="AD166" s="20"/>
      <c r="AE166" s="20"/>
      <c r="AF166" s="20"/>
      <c r="AG166" s="20"/>
      <c r="AH166" s="20"/>
      <c r="AI166" s="20"/>
      <c r="AJ166" s="270"/>
      <c r="AK166" s="67">
        <v>367</v>
      </c>
      <c r="AL166" s="67">
        <v>1</v>
      </c>
      <c r="AO166" s="67">
        <f t="shared" si="28"/>
        <v>0</v>
      </c>
      <c r="AP166" s="67">
        <f t="shared" si="29"/>
        <v>0</v>
      </c>
      <c r="AQ166" s="67">
        <f t="shared" si="30"/>
        <v>0</v>
      </c>
      <c r="AR166" s="67">
        <f t="shared" si="31"/>
        <v>0</v>
      </c>
      <c r="AS166" s="67">
        <f t="shared" si="32"/>
        <v>0</v>
      </c>
      <c r="AT166" s="67">
        <f t="shared" si="33"/>
        <v>0</v>
      </c>
      <c r="AU166" s="67">
        <f t="shared" si="34"/>
        <v>0</v>
      </c>
      <c r="AW166" s="256">
        <v>11</v>
      </c>
      <c r="AX166" s="67">
        <f t="shared" si="39"/>
        <v>55</v>
      </c>
      <c r="AY166" s="76">
        <f t="shared" si="40"/>
        <v>0</v>
      </c>
      <c r="AZ166" s="67">
        <f t="shared" si="35"/>
        <v>0</v>
      </c>
      <c r="BA166" s="76">
        <f t="shared" si="38"/>
        <v>0</v>
      </c>
      <c r="BC166" s="67">
        <f t="shared" si="36"/>
        <v>0</v>
      </c>
      <c r="BD166" s="67">
        <f t="shared" si="37"/>
        <v>0</v>
      </c>
    </row>
    <row r="167" spans="1:56">
      <c r="A167" s="67">
        <v>371</v>
      </c>
      <c r="B167" s="8" t="s">
        <v>73</v>
      </c>
      <c r="C167" s="8" t="s">
        <v>165</v>
      </c>
      <c r="D167" s="8" t="s">
        <v>42</v>
      </c>
      <c r="E167" s="269"/>
      <c r="F167" s="20"/>
      <c r="G167" s="20"/>
      <c r="H167" s="20"/>
      <c r="I167" s="20"/>
      <c r="J167" s="20"/>
      <c r="K167" s="20"/>
      <c r="L167" s="270"/>
      <c r="M167" s="269"/>
      <c r="N167" s="20"/>
      <c r="O167" s="20"/>
      <c r="P167" s="20"/>
      <c r="Q167" s="20"/>
      <c r="R167" s="5" t="s">
        <v>454</v>
      </c>
      <c r="S167" s="20"/>
      <c r="T167" s="270"/>
      <c r="U167" s="269"/>
      <c r="V167" s="20"/>
      <c r="W167" s="20"/>
      <c r="X167" s="20"/>
      <c r="Y167" s="20"/>
      <c r="Z167" s="20"/>
      <c r="AA167" s="20"/>
      <c r="AB167" s="270"/>
      <c r="AC167" s="269"/>
      <c r="AD167" s="20"/>
      <c r="AE167" s="20"/>
      <c r="AF167" s="20"/>
      <c r="AG167" s="20"/>
      <c r="AH167" s="20"/>
      <c r="AI167" s="20"/>
      <c r="AJ167" s="270"/>
      <c r="AK167" s="67">
        <v>371</v>
      </c>
      <c r="AM167" s="67">
        <v>1</v>
      </c>
      <c r="AO167" s="67">
        <f t="shared" si="28"/>
        <v>0</v>
      </c>
      <c r="AP167" s="67">
        <f t="shared" si="29"/>
        <v>0</v>
      </c>
      <c r="AQ167" s="67">
        <f t="shared" si="30"/>
        <v>0</v>
      </c>
      <c r="AR167" s="67">
        <f t="shared" si="31"/>
        <v>0</v>
      </c>
      <c r="AS167" s="67">
        <f t="shared" si="32"/>
        <v>1</v>
      </c>
      <c r="AT167" s="67">
        <f t="shared" si="33"/>
        <v>1</v>
      </c>
      <c r="AU167" s="67">
        <f t="shared" si="34"/>
        <v>2</v>
      </c>
      <c r="AW167" s="256">
        <v>32</v>
      </c>
      <c r="AX167" s="67">
        <f t="shared" si="39"/>
        <v>160</v>
      </c>
      <c r="AY167" s="76">
        <f t="shared" si="40"/>
        <v>1.2500000000000001E-2</v>
      </c>
      <c r="AZ167" s="67">
        <f t="shared" si="35"/>
        <v>1</v>
      </c>
      <c r="BA167" s="76">
        <f t="shared" si="38"/>
        <v>3.125E-2</v>
      </c>
      <c r="BC167" s="67">
        <f t="shared" si="36"/>
        <v>1</v>
      </c>
      <c r="BD167" s="67">
        <f t="shared" si="37"/>
        <v>0</v>
      </c>
    </row>
    <row r="168" spans="1:56">
      <c r="A168" s="67">
        <v>375</v>
      </c>
      <c r="B168" s="8" t="s">
        <v>44</v>
      </c>
      <c r="C168" s="8" t="s">
        <v>349</v>
      </c>
      <c r="D168" s="8" t="s">
        <v>6</v>
      </c>
      <c r="E168" s="269"/>
      <c r="F168" s="20"/>
      <c r="G168" s="20"/>
      <c r="H168" s="20"/>
      <c r="I168" s="20"/>
      <c r="J168" s="20"/>
      <c r="K168" s="20"/>
      <c r="L168" s="270"/>
      <c r="M168" s="269"/>
      <c r="N168" s="20"/>
      <c r="O168" s="20"/>
      <c r="P168" s="20"/>
      <c r="Q168" s="20"/>
      <c r="R168" s="20"/>
      <c r="S168" s="20"/>
      <c r="T168" s="270"/>
      <c r="U168" s="269"/>
      <c r="V168" s="20"/>
      <c r="W168" s="20"/>
      <c r="X168" s="20"/>
      <c r="Y168" s="20"/>
      <c r="Z168" s="20"/>
      <c r="AA168" s="20"/>
      <c r="AB168" s="270"/>
      <c r="AC168" s="269"/>
      <c r="AD168" s="20"/>
      <c r="AE168" s="20"/>
      <c r="AF168" s="20"/>
      <c r="AG168" s="20"/>
      <c r="AH168" s="20"/>
      <c r="AI168" s="20"/>
      <c r="AJ168" s="270"/>
      <c r="AK168" s="67">
        <v>375</v>
      </c>
      <c r="AL168" s="67">
        <v>1</v>
      </c>
      <c r="AO168" s="67">
        <f t="shared" si="28"/>
        <v>0</v>
      </c>
      <c r="AP168" s="67">
        <f t="shared" si="29"/>
        <v>0</v>
      </c>
      <c r="AQ168" s="67">
        <f t="shared" si="30"/>
        <v>0</v>
      </c>
      <c r="AR168" s="67">
        <f t="shared" si="31"/>
        <v>0</v>
      </c>
      <c r="AS168" s="67">
        <f t="shared" si="32"/>
        <v>0</v>
      </c>
      <c r="AT168" s="67">
        <f t="shared" si="33"/>
        <v>0</v>
      </c>
      <c r="AU168" s="67">
        <f t="shared" si="34"/>
        <v>0</v>
      </c>
      <c r="AW168" s="256">
        <v>11</v>
      </c>
      <c r="AX168" s="67">
        <f t="shared" si="39"/>
        <v>55</v>
      </c>
      <c r="AY168" s="76">
        <f t="shared" si="40"/>
        <v>0</v>
      </c>
      <c r="AZ168" s="67">
        <f t="shared" si="35"/>
        <v>0</v>
      </c>
      <c r="BA168" s="76">
        <f t="shared" si="38"/>
        <v>0</v>
      </c>
      <c r="BC168" s="67">
        <f t="shared" si="36"/>
        <v>0</v>
      </c>
      <c r="BD168" s="67">
        <f t="shared" si="37"/>
        <v>0</v>
      </c>
    </row>
    <row r="169" spans="1:56">
      <c r="A169" s="67">
        <v>376</v>
      </c>
      <c r="B169" s="8" t="s">
        <v>106</v>
      </c>
      <c r="C169" s="8" t="s">
        <v>349</v>
      </c>
      <c r="D169" s="8" t="s">
        <v>6</v>
      </c>
      <c r="E169" s="269"/>
      <c r="F169" s="20"/>
      <c r="G169" s="5" t="s">
        <v>442</v>
      </c>
      <c r="H169" s="20"/>
      <c r="I169" s="20"/>
      <c r="J169" s="20"/>
      <c r="K169" s="20"/>
      <c r="L169" s="270"/>
      <c r="M169" s="269"/>
      <c r="N169" s="20"/>
      <c r="O169" s="20"/>
      <c r="P169" s="20"/>
      <c r="Q169" s="20"/>
      <c r="R169" s="20"/>
      <c r="S169" s="20"/>
      <c r="T169" s="270"/>
      <c r="U169" s="269"/>
      <c r="V169" s="20"/>
      <c r="W169" s="20"/>
      <c r="X169" s="20"/>
      <c r="Y169" s="20"/>
      <c r="Z169" s="20"/>
      <c r="AA169" s="20"/>
      <c r="AB169" s="270"/>
      <c r="AC169" s="269"/>
      <c r="AD169" s="20"/>
      <c r="AE169" s="20"/>
      <c r="AF169" s="20"/>
      <c r="AG169" s="20" t="s">
        <v>446</v>
      </c>
      <c r="AH169" s="20"/>
      <c r="AI169" s="20"/>
      <c r="AJ169" s="270"/>
      <c r="AK169" s="67">
        <v>376</v>
      </c>
      <c r="AM169" s="67">
        <v>1</v>
      </c>
      <c r="AO169" s="67">
        <f t="shared" si="28"/>
        <v>1</v>
      </c>
      <c r="AP169" s="67">
        <f t="shared" si="29"/>
        <v>1</v>
      </c>
      <c r="AQ169" s="67">
        <f t="shared" si="30"/>
        <v>0</v>
      </c>
      <c r="AR169" s="67">
        <f t="shared" si="31"/>
        <v>2</v>
      </c>
      <c r="AS169" s="67">
        <f t="shared" si="32"/>
        <v>2</v>
      </c>
      <c r="AT169" s="67">
        <f t="shared" si="33"/>
        <v>1</v>
      </c>
      <c r="AU169" s="67">
        <f t="shared" si="34"/>
        <v>7</v>
      </c>
      <c r="AW169" s="256">
        <v>2</v>
      </c>
      <c r="AX169" s="67">
        <f t="shared" si="39"/>
        <v>10</v>
      </c>
      <c r="AY169" s="76">
        <f t="shared" si="40"/>
        <v>0.7</v>
      </c>
      <c r="AZ169" s="67">
        <f t="shared" si="35"/>
        <v>2</v>
      </c>
      <c r="BA169" s="76">
        <f t="shared" si="38"/>
        <v>1</v>
      </c>
      <c r="BC169" s="67">
        <f t="shared" si="36"/>
        <v>1</v>
      </c>
      <c r="BD169" s="67">
        <f t="shared" si="37"/>
        <v>1</v>
      </c>
    </row>
    <row r="170" spans="1:56">
      <c r="A170" s="67">
        <v>377</v>
      </c>
      <c r="B170" s="8" t="s">
        <v>62</v>
      </c>
      <c r="C170" s="8" t="s">
        <v>42</v>
      </c>
      <c r="D170" s="8" t="s">
        <v>6</v>
      </c>
      <c r="E170" s="269" t="s">
        <v>434</v>
      </c>
      <c r="F170" s="5" t="s">
        <v>434</v>
      </c>
      <c r="G170" s="20"/>
      <c r="H170" s="20"/>
      <c r="I170" s="5" t="s">
        <v>435</v>
      </c>
      <c r="J170" s="20"/>
      <c r="K170" s="20"/>
      <c r="L170" s="270"/>
      <c r="M170" s="269"/>
      <c r="N170" s="20"/>
      <c r="O170" s="20"/>
      <c r="P170" s="20"/>
      <c r="Q170" s="20"/>
      <c r="R170" s="20"/>
      <c r="S170" s="20" t="s">
        <v>435</v>
      </c>
      <c r="T170" s="270" t="s">
        <v>434</v>
      </c>
      <c r="U170" s="269"/>
      <c r="V170" s="20"/>
      <c r="W170" s="20"/>
      <c r="X170" s="20"/>
      <c r="Y170" s="20"/>
      <c r="Z170" s="20"/>
      <c r="AA170" s="20"/>
      <c r="AB170" s="270"/>
      <c r="AC170" s="269"/>
      <c r="AD170" s="20"/>
      <c r="AE170" s="20"/>
      <c r="AF170" s="20"/>
      <c r="AG170" s="20"/>
      <c r="AH170" s="20" t="s">
        <v>442</v>
      </c>
      <c r="AI170" s="20" t="s">
        <v>473</v>
      </c>
      <c r="AJ170" s="270"/>
      <c r="AK170" s="67">
        <v>377</v>
      </c>
      <c r="AM170" s="67">
        <v>1</v>
      </c>
      <c r="AO170" s="67">
        <f t="shared" si="28"/>
        <v>1</v>
      </c>
      <c r="AP170" s="67">
        <f t="shared" si="29"/>
        <v>2</v>
      </c>
      <c r="AQ170" s="67">
        <f t="shared" si="30"/>
        <v>0</v>
      </c>
      <c r="AR170" s="67">
        <f t="shared" si="31"/>
        <v>4</v>
      </c>
      <c r="AS170" s="67">
        <f t="shared" si="32"/>
        <v>3</v>
      </c>
      <c r="AT170" s="67">
        <f t="shared" si="33"/>
        <v>2</v>
      </c>
      <c r="AU170" s="67">
        <f t="shared" si="34"/>
        <v>12</v>
      </c>
      <c r="AW170" s="256">
        <v>28</v>
      </c>
      <c r="AX170" s="67">
        <f t="shared" si="39"/>
        <v>140</v>
      </c>
      <c r="AY170" s="76">
        <f t="shared" si="40"/>
        <v>8.5714285714285715E-2</v>
      </c>
      <c r="AZ170" s="67">
        <f t="shared" si="35"/>
        <v>7</v>
      </c>
      <c r="BA170" s="76">
        <f t="shared" si="38"/>
        <v>0.25</v>
      </c>
      <c r="BC170" s="67">
        <f t="shared" si="36"/>
        <v>5</v>
      </c>
      <c r="BD170" s="67">
        <f t="shared" si="37"/>
        <v>2</v>
      </c>
    </row>
    <row r="171" spans="1:56">
      <c r="A171" s="67">
        <v>380</v>
      </c>
      <c r="B171" s="8" t="s">
        <v>136</v>
      </c>
      <c r="C171" s="8" t="s">
        <v>12</v>
      </c>
      <c r="D171" s="8" t="s">
        <v>42</v>
      </c>
      <c r="E171" s="269"/>
      <c r="F171" s="20"/>
      <c r="G171" s="20"/>
      <c r="H171" s="20"/>
      <c r="I171" s="20"/>
      <c r="J171" s="20"/>
      <c r="K171" s="20"/>
      <c r="L171" s="270"/>
      <c r="M171" s="269"/>
      <c r="N171" s="20"/>
      <c r="O171" s="20"/>
      <c r="P171" s="20"/>
      <c r="Q171" s="20"/>
      <c r="R171" s="20"/>
      <c r="S171" s="20"/>
      <c r="T171" s="270"/>
      <c r="U171" s="269"/>
      <c r="V171" s="20"/>
      <c r="W171" s="20"/>
      <c r="X171" s="20"/>
      <c r="Y171" s="20"/>
      <c r="Z171" s="20"/>
      <c r="AA171" s="20"/>
      <c r="AB171" s="270"/>
      <c r="AC171" s="269"/>
      <c r="AD171" s="20"/>
      <c r="AE171" s="20"/>
      <c r="AF171" s="20"/>
      <c r="AG171" s="20"/>
      <c r="AH171" s="20"/>
      <c r="AI171" s="20"/>
      <c r="AJ171" s="270"/>
      <c r="AK171" s="67">
        <v>380</v>
      </c>
      <c r="AL171" s="67">
        <v>1</v>
      </c>
      <c r="AO171" s="67">
        <f t="shared" si="28"/>
        <v>0</v>
      </c>
      <c r="AP171" s="67">
        <f t="shared" si="29"/>
        <v>0</v>
      </c>
      <c r="AQ171" s="67">
        <f t="shared" si="30"/>
        <v>0</v>
      </c>
      <c r="AR171" s="67">
        <f t="shared" si="31"/>
        <v>0</v>
      </c>
      <c r="AS171" s="67">
        <f t="shared" si="32"/>
        <v>0</v>
      </c>
      <c r="AT171" s="67">
        <f t="shared" si="33"/>
        <v>0</v>
      </c>
      <c r="AU171" s="67">
        <f t="shared" si="34"/>
        <v>0</v>
      </c>
      <c r="AW171" s="256">
        <v>30</v>
      </c>
      <c r="AX171" s="67">
        <f t="shared" si="39"/>
        <v>150</v>
      </c>
      <c r="AY171" s="76">
        <f t="shared" si="40"/>
        <v>0</v>
      </c>
      <c r="AZ171" s="67">
        <f t="shared" si="35"/>
        <v>0</v>
      </c>
      <c r="BA171" s="76">
        <f t="shared" si="38"/>
        <v>0</v>
      </c>
      <c r="BC171" s="67">
        <f t="shared" si="36"/>
        <v>0</v>
      </c>
      <c r="BD171" s="67">
        <f t="shared" si="37"/>
        <v>0</v>
      </c>
    </row>
    <row r="172" spans="1:56">
      <c r="A172" s="67">
        <v>386</v>
      </c>
      <c r="B172" s="8" t="s">
        <v>80</v>
      </c>
      <c r="C172" s="8" t="s">
        <v>346</v>
      </c>
      <c r="E172" s="269"/>
      <c r="F172" s="20"/>
      <c r="G172" s="20"/>
      <c r="H172" s="20"/>
      <c r="I172" s="20"/>
      <c r="J172" s="20"/>
      <c r="K172" s="20"/>
      <c r="L172" s="270"/>
      <c r="M172" s="269"/>
      <c r="N172" s="20"/>
      <c r="O172" s="20"/>
      <c r="P172" s="20"/>
      <c r="Q172" s="20"/>
      <c r="R172" s="20"/>
      <c r="S172" s="20"/>
      <c r="T172" s="270"/>
      <c r="U172" s="269"/>
      <c r="V172" s="20"/>
      <c r="W172" s="20"/>
      <c r="X172" s="20"/>
      <c r="Y172" s="20"/>
      <c r="Z172" s="20"/>
      <c r="AA172" s="20"/>
      <c r="AB172" s="270"/>
      <c r="AC172" s="269"/>
      <c r="AD172" s="20"/>
      <c r="AE172" s="20"/>
      <c r="AF172" s="20"/>
      <c r="AG172" s="20"/>
      <c r="AH172" s="20"/>
      <c r="AI172" s="20"/>
      <c r="AJ172" s="270"/>
      <c r="AK172" s="67">
        <v>386</v>
      </c>
      <c r="AL172" s="67">
        <v>1</v>
      </c>
      <c r="AO172" s="67">
        <f t="shared" si="28"/>
        <v>0</v>
      </c>
      <c r="AP172" s="67">
        <f t="shared" si="29"/>
        <v>0</v>
      </c>
      <c r="AQ172" s="67">
        <f t="shared" si="30"/>
        <v>0</v>
      </c>
      <c r="AR172" s="67">
        <f t="shared" si="31"/>
        <v>0</v>
      </c>
      <c r="AS172" s="67">
        <f t="shared" si="32"/>
        <v>0</v>
      </c>
      <c r="AT172" s="67">
        <f t="shared" si="33"/>
        <v>0</v>
      </c>
      <c r="AU172" s="67">
        <f t="shared" si="34"/>
        <v>0</v>
      </c>
      <c r="AW172" s="256">
        <v>16</v>
      </c>
      <c r="AX172" s="67">
        <f t="shared" si="39"/>
        <v>80</v>
      </c>
      <c r="AY172" s="76">
        <f t="shared" si="40"/>
        <v>0</v>
      </c>
      <c r="AZ172" s="67">
        <f t="shared" si="35"/>
        <v>0</v>
      </c>
      <c r="BA172" s="76">
        <f t="shared" si="38"/>
        <v>0</v>
      </c>
      <c r="BC172" s="67">
        <f t="shared" si="36"/>
        <v>0</v>
      </c>
      <c r="BD172" s="67">
        <f t="shared" si="37"/>
        <v>0</v>
      </c>
    </row>
    <row r="173" spans="1:56">
      <c r="A173" s="67">
        <v>392</v>
      </c>
      <c r="B173" s="8" t="s">
        <v>80</v>
      </c>
      <c r="C173" s="8" t="s">
        <v>346</v>
      </c>
      <c r="E173" s="269"/>
      <c r="F173" s="20"/>
      <c r="G173" s="20"/>
      <c r="H173" s="20"/>
      <c r="I173" s="20"/>
      <c r="J173" s="20"/>
      <c r="K173" s="20"/>
      <c r="L173" s="270"/>
      <c r="M173" s="269"/>
      <c r="N173" s="20"/>
      <c r="O173" s="20"/>
      <c r="P173" s="20"/>
      <c r="Q173" s="20"/>
      <c r="R173" s="20"/>
      <c r="S173" s="20"/>
      <c r="T173" s="270"/>
      <c r="U173" s="269"/>
      <c r="V173" s="20"/>
      <c r="W173" s="20"/>
      <c r="X173" s="20"/>
      <c r="Y173" s="20"/>
      <c r="Z173" s="20"/>
      <c r="AA173" s="20"/>
      <c r="AB173" s="270"/>
      <c r="AC173" s="269"/>
      <c r="AD173" s="20"/>
      <c r="AE173" s="20"/>
      <c r="AF173" s="20"/>
      <c r="AG173" s="20"/>
      <c r="AH173" s="20"/>
      <c r="AI173" s="20"/>
      <c r="AJ173" s="270"/>
      <c r="AK173" s="67">
        <v>392</v>
      </c>
      <c r="AL173" s="67">
        <v>1</v>
      </c>
      <c r="AO173" s="67">
        <f t="shared" si="28"/>
        <v>0</v>
      </c>
      <c r="AP173" s="67">
        <f t="shared" si="29"/>
        <v>0</v>
      </c>
      <c r="AQ173" s="67">
        <f t="shared" si="30"/>
        <v>0</v>
      </c>
      <c r="AR173" s="67">
        <f t="shared" si="31"/>
        <v>0</v>
      </c>
      <c r="AS173" s="67">
        <f t="shared" si="32"/>
        <v>0</v>
      </c>
      <c r="AT173" s="67">
        <f t="shared" si="33"/>
        <v>0</v>
      </c>
      <c r="AU173" s="67">
        <f t="shared" si="34"/>
        <v>0</v>
      </c>
      <c r="AW173" s="256">
        <v>16</v>
      </c>
      <c r="AX173" s="67">
        <f t="shared" si="39"/>
        <v>80</v>
      </c>
      <c r="AY173" s="76">
        <f t="shared" si="40"/>
        <v>0</v>
      </c>
      <c r="AZ173" s="67">
        <f t="shared" si="35"/>
        <v>0</v>
      </c>
      <c r="BA173" s="76">
        <f t="shared" si="38"/>
        <v>0</v>
      </c>
      <c r="BC173" s="67">
        <f t="shared" si="36"/>
        <v>0</v>
      </c>
      <c r="BD173" s="67">
        <f t="shared" si="37"/>
        <v>0</v>
      </c>
    </row>
    <row r="174" spans="1:56">
      <c r="A174" s="8">
        <v>401</v>
      </c>
      <c r="B174" s="8" t="s">
        <v>123</v>
      </c>
      <c r="C174" s="8" t="s">
        <v>366</v>
      </c>
      <c r="D174" s="8" t="s">
        <v>42</v>
      </c>
      <c r="E174" s="269"/>
      <c r="F174" s="20"/>
      <c r="G174" s="20"/>
      <c r="H174" s="20"/>
      <c r="I174" s="20" t="s">
        <v>442</v>
      </c>
      <c r="J174" s="20" t="s">
        <v>451</v>
      </c>
      <c r="K174" s="20"/>
      <c r="L174" s="270"/>
      <c r="M174" s="269"/>
      <c r="N174" s="20"/>
      <c r="O174" s="20" t="s">
        <v>454</v>
      </c>
      <c r="P174" s="20"/>
      <c r="Q174" s="20"/>
      <c r="R174" s="20" t="s">
        <v>442</v>
      </c>
      <c r="S174" s="20"/>
      <c r="T174" s="270"/>
      <c r="U174" s="269"/>
      <c r="V174" s="20"/>
      <c r="W174" s="20"/>
      <c r="X174" s="20" t="s">
        <v>435</v>
      </c>
      <c r="Y174" s="20"/>
      <c r="Z174" s="20"/>
      <c r="AA174" s="20"/>
      <c r="AB174" s="270"/>
      <c r="AC174" s="269"/>
      <c r="AD174" s="20"/>
      <c r="AE174" s="20"/>
      <c r="AF174" s="20" t="s">
        <v>442</v>
      </c>
      <c r="AG174" s="20"/>
      <c r="AH174" s="20"/>
      <c r="AI174" s="20"/>
      <c r="AJ174" s="270"/>
      <c r="AK174" s="8">
        <v>401</v>
      </c>
      <c r="AL174" s="8"/>
      <c r="AM174" s="8">
        <v>1</v>
      </c>
      <c r="AN174" s="8"/>
      <c r="AO174" s="67">
        <f t="shared" si="28"/>
        <v>3</v>
      </c>
      <c r="AP174" s="67">
        <f t="shared" si="29"/>
        <v>4</v>
      </c>
      <c r="AQ174" s="67">
        <f t="shared" si="30"/>
        <v>1</v>
      </c>
      <c r="AR174" s="67">
        <f t="shared" si="31"/>
        <v>4</v>
      </c>
      <c r="AS174" s="67">
        <f t="shared" si="32"/>
        <v>6</v>
      </c>
      <c r="AT174" s="67">
        <f t="shared" si="33"/>
        <v>5</v>
      </c>
      <c r="AU174" s="67">
        <f t="shared" si="34"/>
        <v>23</v>
      </c>
      <c r="AW174" s="256">
        <v>23</v>
      </c>
      <c r="AX174" s="67">
        <f t="shared" si="39"/>
        <v>115</v>
      </c>
      <c r="AY174" s="76">
        <f t="shared" si="40"/>
        <v>0.2</v>
      </c>
      <c r="AZ174" s="67">
        <f t="shared" si="35"/>
        <v>6</v>
      </c>
      <c r="BA174" s="76">
        <f t="shared" si="38"/>
        <v>0.2608695652173913</v>
      </c>
      <c r="BC174" s="67">
        <f t="shared" si="36"/>
        <v>4</v>
      </c>
      <c r="BD174" s="67">
        <f t="shared" si="37"/>
        <v>2</v>
      </c>
    </row>
    <row r="175" spans="1:56">
      <c r="A175" s="67">
        <v>402</v>
      </c>
      <c r="B175" s="8" t="s">
        <v>88</v>
      </c>
      <c r="C175" s="8" t="s">
        <v>12</v>
      </c>
      <c r="D175" s="8" t="s">
        <v>6</v>
      </c>
      <c r="E175" s="269"/>
      <c r="F175" s="20"/>
      <c r="G175" s="20"/>
      <c r="H175" s="20"/>
      <c r="I175" s="20"/>
      <c r="J175" s="20"/>
      <c r="K175" s="20"/>
      <c r="L175" s="270"/>
      <c r="M175" s="269"/>
      <c r="N175" s="20"/>
      <c r="O175" s="20"/>
      <c r="P175" s="20"/>
      <c r="Q175" s="20"/>
      <c r="R175" s="20" t="s">
        <v>434</v>
      </c>
      <c r="S175" s="20"/>
      <c r="T175" s="270"/>
      <c r="U175" s="269"/>
      <c r="V175" s="20"/>
      <c r="W175" s="20"/>
      <c r="X175" s="20"/>
      <c r="Y175" s="20"/>
      <c r="Z175" s="20"/>
      <c r="AA175" s="20"/>
      <c r="AB175" s="270"/>
      <c r="AC175" s="269"/>
      <c r="AD175" s="20"/>
      <c r="AE175" s="20"/>
      <c r="AF175" s="20"/>
      <c r="AG175" s="20"/>
      <c r="AH175" s="20"/>
      <c r="AI175" s="20"/>
      <c r="AJ175" s="270"/>
      <c r="AK175" s="67">
        <v>402</v>
      </c>
      <c r="AM175" s="67">
        <v>1</v>
      </c>
      <c r="AO175" s="67">
        <f t="shared" si="28"/>
        <v>0</v>
      </c>
      <c r="AP175" s="67">
        <f t="shared" si="29"/>
        <v>0</v>
      </c>
      <c r="AQ175" s="67">
        <f t="shared" si="30"/>
        <v>0</v>
      </c>
      <c r="AR175" s="67">
        <f t="shared" si="31"/>
        <v>1</v>
      </c>
      <c r="AS175" s="67">
        <f t="shared" si="32"/>
        <v>0</v>
      </c>
      <c r="AT175" s="67">
        <f t="shared" si="33"/>
        <v>0</v>
      </c>
      <c r="AU175" s="67">
        <f t="shared" si="34"/>
        <v>1</v>
      </c>
      <c r="AW175" s="256">
        <v>32</v>
      </c>
      <c r="AX175" s="67">
        <f t="shared" si="39"/>
        <v>160</v>
      </c>
      <c r="AY175" s="76">
        <f t="shared" si="40"/>
        <v>6.2500000000000003E-3</v>
      </c>
      <c r="AZ175" s="67">
        <f t="shared" si="35"/>
        <v>1</v>
      </c>
      <c r="BA175" s="76">
        <f t="shared" si="38"/>
        <v>3.125E-2</v>
      </c>
      <c r="BC175" s="67">
        <f t="shared" si="36"/>
        <v>1</v>
      </c>
      <c r="BD175" s="67">
        <f t="shared" si="37"/>
        <v>0</v>
      </c>
    </row>
    <row r="176" spans="1:56">
      <c r="A176" s="67">
        <v>412</v>
      </c>
      <c r="B176" s="8" t="s">
        <v>41</v>
      </c>
      <c r="C176" s="8" t="s">
        <v>42</v>
      </c>
      <c r="D176" s="8" t="s">
        <v>42</v>
      </c>
      <c r="E176" s="269"/>
      <c r="F176" s="20"/>
      <c r="G176" s="20"/>
      <c r="H176" s="20"/>
      <c r="I176" s="20"/>
      <c r="J176" s="20"/>
      <c r="K176" s="20"/>
      <c r="L176" s="270"/>
      <c r="M176" s="269"/>
      <c r="N176" s="20"/>
      <c r="O176" s="20"/>
      <c r="P176" s="20"/>
      <c r="Q176" s="20"/>
      <c r="R176" s="20"/>
      <c r="S176" s="20"/>
      <c r="T176" s="270"/>
      <c r="U176" s="269"/>
      <c r="V176" s="20" t="s">
        <v>436</v>
      </c>
      <c r="W176" s="20"/>
      <c r="X176" s="20"/>
      <c r="Y176" s="20"/>
      <c r="Z176" s="20"/>
      <c r="AA176" s="20"/>
      <c r="AB176" s="270"/>
      <c r="AC176" s="269"/>
      <c r="AD176" s="20"/>
      <c r="AE176" s="20"/>
      <c r="AF176" s="20"/>
      <c r="AG176" s="20"/>
      <c r="AH176" s="20" t="s">
        <v>435</v>
      </c>
      <c r="AI176" s="20"/>
      <c r="AJ176" s="270"/>
      <c r="AK176" s="67">
        <v>412</v>
      </c>
      <c r="AM176" s="67">
        <v>1</v>
      </c>
      <c r="AO176" s="67">
        <f t="shared" si="28"/>
        <v>0</v>
      </c>
      <c r="AP176" s="67">
        <f t="shared" si="29"/>
        <v>0</v>
      </c>
      <c r="AQ176" s="67">
        <f t="shared" si="30"/>
        <v>0</v>
      </c>
      <c r="AR176" s="67">
        <f t="shared" si="31"/>
        <v>0</v>
      </c>
      <c r="AS176" s="67">
        <f t="shared" si="32"/>
        <v>1</v>
      </c>
      <c r="AT176" s="67">
        <f t="shared" si="33"/>
        <v>1</v>
      </c>
      <c r="AU176" s="67">
        <f t="shared" si="34"/>
        <v>2</v>
      </c>
      <c r="AW176" s="256">
        <v>29</v>
      </c>
      <c r="AX176" s="67">
        <f t="shared" si="39"/>
        <v>145</v>
      </c>
      <c r="AY176" s="76">
        <f t="shared" si="40"/>
        <v>1.3793103448275862E-2</v>
      </c>
      <c r="AZ176" s="67">
        <f t="shared" si="35"/>
        <v>2</v>
      </c>
      <c r="BA176" s="76">
        <f t="shared" si="38"/>
        <v>6.8965517241379309E-2</v>
      </c>
      <c r="BC176" s="67">
        <f t="shared" si="36"/>
        <v>0</v>
      </c>
      <c r="BD176" s="67">
        <f t="shared" si="37"/>
        <v>2</v>
      </c>
    </row>
    <row r="177" spans="1:56">
      <c r="A177" s="67">
        <v>414</v>
      </c>
      <c r="B177" s="8" t="s">
        <v>62</v>
      </c>
      <c r="C177" s="8" t="s">
        <v>42</v>
      </c>
      <c r="D177" s="8" t="s">
        <v>42</v>
      </c>
      <c r="E177" s="269"/>
      <c r="F177" s="20"/>
      <c r="G177" s="5" t="s">
        <v>434</v>
      </c>
      <c r="H177" s="5" t="s">
        <v>435</v>
      </c>
      <c r="I177" s="20"/>
      <c r="J177" s="20"/>
      <c r="K177" s="20"/>
      <c r="L177" s="270"/>
      <c r="M177" s="269"/>
      <c r="N177" s="20"/>
      <c r="O177" s="20"/>
      <c r="P177" s="20"/>
      <c r="Q177" s="20"/>
      <c r="R177" s="20"/>
      <c r="S177" s="20"/>
      <c r="T177" s="270"/>
      <c r="U177" s="269"/>
      <c r="V177" s="20"/>
      <c r="W177" s="20" t="s">
        <v>434</v>
      </c>
      <c r="X177" s="20" t="s">
        <v>435</v>
      </c>
      <c r="Y177" s="20"/>
      <c r="Z177" s="20"/>
      <c r="AA177" s="20"/>
      <c r="AB177" s="270"/>
      <c r="AC177" s="269"/>
      <c r="AD177" s="20"/>
      <c r="AE177" s="20"/>
      <c r="AF177" s="20"/>
      <c r="AG177" s="20"/>
      <c r="AH177" s="20" t="s">
        <v>434</v>
      </c>
      <c r="AI177" s="20"/>
      <c r="AJ177" s="270"/>
      <c r="AK177" s="67">
        <v>414</v>
      </c>
      <c r="AM177" s="67">
        <v>1</v>
      </c>
      <c r="AO177" s="67">
        <f t="shared" si="28"/>
        <v>0</v>
      </c>
      <c r="AP177" s="67">
        <f t="shared" si="29"/>
        <v>0</v>
      </c>
      <c r="AQ177" s="67">
        <f t="shared" si="30"/>
        <v>0</v>
      </c>
      <c r="AR177" s="67">
        <f t="shared" si="31"/>
        <v>3</v>
      </c>
      <c r="AS177" s="67">
        <f t="shared" si="32"/>
        <v>2</v>
      </c>
      <c r="AT177" s="67">
        <f t="shared" si="33"/>
        <v>0</v>
      </c>
      <c r="AU177" s="67">
        <f t="shared" si="34"/>
        <v>5</v>
      </c>
      <c r="AW177" s="256">
        <v>32</v>
      </c>
      <c r="AX177" s="67">
        <f t="shared" si="39"/>
        <v>160</v>
      </c>
      <c r="AY177" s="76">
        <f t="shared" si="40"/>
        <v>3.125E-2</v>
      </c>
      <c r="AZ177" s="67">
        <f t="shared" si="35"/>
        <v>5</v>
      </c>
      <c r="BA177" s="76">
        <f t="shared" si="38"/>
        <v>0.15625</v>
      </c>
      <c r="BC177" s="67">
        <f t="shared" si="36"/>
        <v>2</v>
      </c>
      <c r="BD177" s="67">
        <f t="shared" si="37"/>
        <v>3</v>
      </c>
    </row>
    <row r="178" spans="1:56">
      <c r="A178" s="67">
        <v>417</v>
      </c>
      <c r="B178" s="8" t="s">
        <v>78</v>
      </c>
      <c r="C178" s="8" t="s">
        <v>359</v>
      </c>
      <c r="E178" s="269"/>
      <c r="F178" s="20"/>
      <c r="G178" s="20"/>
      <c r="H178" s="20"/>
      <c r="I178" s="20"/>
      <c r="J178" s="20"/>
      <c r="K178" s="20"/>
      <c r="L178" s="270"/>
      <c r="M178" s="269"/>
      <c r="N178" s="20"/>
      <c r="O178" s="20"/>
      <c r="P178" s="20"/>
      <c r="Q178" s="20"/>
      <c r="R178" s="20"/>
      <c r="S178" s="20"/>
      <c r="T178" s="270"/>
      <c r="U178" s="269"/>
      <c r="V178" s="20"/>
      <c r="W178" s="20"/>
      <c r="X178" s="20"/>
      <c r="Y178" s="20"/>
      <c r="Z178" s="20"/>
      <c r="AA178" s="20"/>
      <c r="AB178" s="270"/>
      <c r="AC178" s="269"/>
      <c r="AD178" s="20"/>
      <c r="AE178" s="20"/>
      <c r="AF178" s="20"/>
      <c r="AG178" s="20"/>
      <c r="AH178" s="20"/>
      <c r="AI178" s="20"/>
      <c r="AJ178" s="270"/>
      <c r="AK178" s="67">
        <v>417</v>
      </c>
      <c r="AL178" s="67">
        <v>1</v>
      </c>
      <c r="AO178" s="67">
        <f t="shared" si="28"/>
        <v>0</v>
      </c>
      <c r="AP178" s="67">
        <f t="shared" si="29"/>
        <v>0</v>
      </c>
      <c r="AQ178" s="67">
        <f t="shared" si="30"/>
        <v>0</v>
      </c>
      <c r="AR178" s="67">
        <f t="shared" si="31"/>
        <v>0</v>
      </c>
      <c r="AS178" s="67">
        <f t="shared" si="32"/>
        <v>0</v>
      </c>
      <c r="AT178" s="67">
        <f t="shared" si="33"/>
        <v>0</v>
      </c>
      <c r="AU178" s="67">
        <f t="shared" si="34"/>
        <v>0</v>
      </c>
      <c r="AW178" s="256">
        <v>23</v>
      </c>
      <c r="AX178" s="67">
        <f t="shared" si="39"/>
        <v>115</v>
      </c>
      <c r="AY178" s="76">
        <f t="shared" si="40"/>
        <v>0</v>
      </c>
      <c r="AZ178" s="67">
        <f t="shared" si="35"/>
        <v>0</v>
      </c>
      <c r="BA178" s="76">
        <f t="shared" si="38"/>
        <v>0</v>
      </c>
      <c r="BC178" s="67">
        <f t="shared" si="36"/>
        <v>0</v>
      </c>
      <c r="BD178" s="67">
        <f t="shared" si="37"/>
        <v>0</v>
      </c>
    </row>
    <row r="179" spans="1:56">
      <c r="A179" s="67">
        <v>418</v>
      </c>
      <c r="B179" s="8" t="s">
        <v>80</v>
      </c>
      <c r="C179" s="8" t="s">
        <v>346</v>
      </c>
      <c r="E179" s="269"/>
      <c r="F179" s="20"/>
      <c r="G179" s="20"/>
      <c r="H179" s="20"/>
      <c r="I179" s="20" t="s">
        <v>435</v>
      </c>
      <c r="J179" s="20"/>
      <c r="K179" s="20"/>
      <c r="L179" s="270"/>
      <c r="M179" s="269"/>
      <c r="N179" s="20"/>
      <c r="O179" s="20"/>
      <c r="P179" s="20" t="s">
        <v>435</v>
      </c>
      <c r="Q179" s="20"/>
      <c r="R179" s="20"/>
      <c r="S179" s="20"/>
      <c r="T179" s="270"/>
      <c r="U179" s="269"/>
      <c r="V179" s="20"/>
      <c r="W179" s="20"/>
      <c r="X179" s="20"/>
      <c r="Y179" s="20"/>
      <c r="Z179" s="20"/>
      <c r="AA179" s="20"/>
      <c r="AB179" s="270"/>
      <c r="AC179" s="269"/>
      <c r="AD179" s="20"/>
      <c r="AE179" s="20"/>
      <c r="AF179" s="20"/>
      <c r="AG179" s="20"/>
      <c r="AH179" s="20"/>
      <c r="AI179" s="20"/>
      <c r="AJ179" s="270"/>
      <c r="AK179" s="67">
        <v>418</v>
      </c>
      <c r="AM179" s="67">
        <v>1</v>
      </c>
      <c r="AO179" s="67">
        <f t="shared" si="28"/>
        <v>0</v>
      </c>
      <c r="AP179" s="67">
        <f t="shared" si="29"/>
        <v>0</v>
      </c>
      <c r="AQ179" s="67">
        <f t="shared" si="30"/>
        <v>0</v>
      </c>
      <c r="AR179" s="67">
        <f t="shared" si="31"/>
        <v>0</v>
      </c>
      <c r="AS179" s="67">
        <f t="shared" si="32"/>
        <v>2</v>
      </c>
      <c r="AT179" s="67">
        <f t="shared" si="33"/>
        <v>0</v>
      </c>
      <c r="AU179" s="67">
        <f t="shared" si="34"/>
        <v>2</v>
      </c>
      <c r="AW179" s="256">
        <v>19</v>
      </c>
      <c r="AX179" s="67">
        <f t="shared" si="39"/>
        <v>95</v>
      </c>
      <c r="AY179" s="76">
        <f t="shared" si="40"/>
        <v>2.1052631578947368E-2</v>
      </c>
      <c r="AZ179" s="67">
        <f t="shared" si="35"/>
        <v>2</v>
      </c>
      <c r="BA179" s="76">
        <f t="shared" si="38"/>
        <v>0.10526315789473684</v>
      </c>
      <c r="BC179" s="67">
        <f t="shared" si="36"/>
        <v>2</v>
      </c>
      <c r="BD179" s="67">
        <f t="shared" si="37"/>
        <v>0</v>
      </c>
    </row>
    <row r="180" spans="1:56">
      <c r="A180" s="67">
        <v>419</v>
      </c>
      <c r="B180" s="8" t="s">
        <v>123</v>
      </c>
      <c r="C180" s="8" t="s">
        <v>366</v>
      </c>
      <c r="D180" s="8" t="s">
        <v>6</v>
      </c>
      <c r="E180" s="269"/>
      <c r="F180" s="20"/>
      <c r="G180" s="20"/>
      <c r="H180" s="20"/>
      <c r="I180" s="20"/>
      <c r="J180" s="20"/>
      <c r="K180" s="20"/>
      <c r="L180" s="270"/>
      <c r="M180" s="269"/>
      <c r="N180" s="20"/>
      <c r="O180" s="20"/>
      <c r="P180" s="20"/>
      <c r="Q180" s="20"/>
      <c r="R180" s="20"/>
      <c r="S180" s="20" t="s">
        <v>431</v>
      </c>
      <c r="T180" s="270"/>
      <c r="U180" s="269"/>
      <c r="V180" s="20"/>
      <c r="W180" s="20"/>
      <c r="X180" s="20"/>
      <c r="Y180" s="20"/>
      <c r="Z180" s="20"/>
      <c r="AA180" s="20"/>
      <c r="AB180" s="270"/>
      <c r="AC180" s="269"/>
      <c r="AD180" s="20"/>
      <c r="AE180" s="20"/>
      <c r="AF180" s="20"/>
      <c r="AG180" s="20"/>
      <c r="AH180" s="5" t="s">
        <v>435</v>
      </c>
      <c r="AI180" s="20"/>
      <c r="AJ180" s="270"/>
      <c r="AK180" s="67">
        <v>419</v>
      </c>
      <c r="AM180" s="67">
        <v>1</v>
      </c>
      <c r="AO180" s="67">
        <f t="shared" si="28"/>
        <v>1</v>
      </c>
      <c r="AP180" s="67">
        <f t="shared" si="29"/>
        <v>0</v>
      </c>
      <c r="AQ180" s="67">
        <f t="shared" si="30"/>
        <v>0</v>
      </c>
      <c r="AR180" s="67">
        <f t="shared" si="31"/>
        <v>0</v>
      </c>
      <c r="AS180" s="67">
        <f t="shared" si="32"/>
        <v>1</v>
      </c>
      <c r="AT180" s="67">
        <f t="shared" si="33"/>
        <v>0</v>
      </c>
      <c r="AU180" s="67">
        <f t="shared" si="34"/>
        <v>2</v>
      </c>
      <c r="AW180" s="256">
        <v>27</v>
      </c>
      <c r="AX180" s="67">
        <f t="shared" si="39"/>
        <v>135</v>
      </c>
      <c r="AY180" s="76">
        <f t="shared" si="40"/>
        <v>1.4814814814814815E-2</v>
      </c>
      <c r="AZ180" s="67">
        <f t="shared" si="35"/>
        <v>2</v>
      </c>
      <c r="BA180" s="76">
        <f t="shared" si="38"/>
        <v>7.407407407407407E-2</v>
      </c>
      <c r="BC180" s="67">
        <f t="shared" si="36"/>
        <v>1</v>
      </c>
      <c r="BD180" s="67">
        <f t="shared" si="37"/>
        <v>1</v>
      </c>
    </row>
    <row r="181" spans="1:56">
      <c r="A181" s="67">
        <v>421</v>
      </c>
      <c r="B181" s="8" t="s">
        <v>41</v>
      </c>
      <c r="C181" s="8" t="s">
        <v>42</v>
      </c>
      <c r="D181" s="8" t="s">
        <v>6</v>
      </c>
      <c r="E181" s="269"/>
      <c r="F181" s="20"/>
      <c r="G181" s="20"/>
      <c r="H181" s="20"/>
      <c r="I181" s="20"/>
      <c r="J181" s="20"/>
      <c r="K181" s="20"/>
      <c r="L181" s="270"/>
      <c r="M181" s="269"/>
      <c r="N181" s="20"/>
      <c r="O181" s="20"/>
      <c r="P181" s="20"/>
      <c r="Q181" s="20"/>
      <c r="R181" s="20"/>
      <c r="S181" s="20"/>
      <c r="T181" s="270"/>
      <c r="U181" s="269"/>
      <c r="V181" s="20"/>
      <c r="W181" s="20"/>
      <c r="X181" s="20"/>
      <c r="Y181" s="20"/>
      <c r="Z181" s="20"/>
      <c r="AA181" s="20"/>
      <c r="AB181" s="270"/>
      <c r="AC181" s="269"/>
      <c r="AD181" s="20"/>
      <c r="AE181" s="20"/>
      <c r="AF181" s="20"/>
      <c r="AG181" s="20"/>
      <c r="AH181" s="20"/>
      <c r="AI181" s="20"/>
      <c r="AJ181" s="270"/>
      <c r="AK181" s="67">
        <v>421</v>
      </c>
      <c r="AL181" s="67">
        <v>1</v>
      </c>
      <c r="AO181" s="67">
        <f t="shared" si="28"/>
        <v>0</v>
      </c>
      <c r="AP181" s="67">
        <f t="shared" si="29"/>
        <v>0</v>
      </c>
      <c r="AQ181" s="67">
        <f t="shared" si="30"/>
        <v>0</v>
      </c>
      <c r="AR181" s="67">
        <f t="shared" si="31"/>
        <v>0</v>
      </c>
      <c r="AS181" s="67">
        <f t="shared" si="32"/>
        <v>0</v>
      </c>
      <c r="AT181" s="67">
        <f t="shared" si="33"/>
        <v>0</v>
      </c>
      <c r="AU181" s="67">
        <f t="shared" si="34"/>
        <v>0</v>
      </c>
      <c r="AW181" s="256">
        <v>32</v>
      </c>
      <c r="AX181" s="67">
        <f t="shared" si="39"/>
        <v>160</v>
      </c>
      <c r="AY181" s="76">
        <f t="shared" si="40"/>
        <v>0</v>
      </c>
      <c r="AZ181" s="67">
        <f t="shared" si="35"/>
        <v>0</v>
      </c>
      <c r="BA181" s="76">
        <f t="shared" si="38"/>
        <v>0</v>
      </c>
      <c r="BC181" s="67">
        <f t="shared" si="36"/>
        <v>0</v>
      </c>
      <c r="BD181" s="67">
        <f t="shared" si="37"/>
        <v>0</v>
      </c>
    </row>
    <row r="182" spans="1:56">
      <c r="A182" s="67">
        <v>424</v>
      </c>
      <c r="B182" s="8" t="s">
        <v>63</v>
      </c>
      <c r="C182" s="8" t="s">
        <v>346</v>
      </c>
      <c r="E182" s="269"/>
      <c r="F182" s="20"/>
      <c r="G182" s="20"/>
      <c r="H182" s="20"/>
      <c r="I182" s="20"/>
      <c r="J182" s="20"/>
      <c r="K182" s="20"/>
      <c r="L182" s="270"/>
      <c r="M182" s="269"/>
      <c r="N182" s="20"/>
      <c r="O182" s="20"/>
      <c r="P182" s="20"/>
      <c r="Q182" s="20"/>
      <c r="R182" s="20"/>
      <c r="S182" s="20"/>
      <c r="T182" s="270"/>
      <c r="U182" s="269"/>
      <c r="V182" s="20"/>
      <c r="W182" s="20"/>
      <c r="X182" s="20"/>
      <c r="Y182" s="20"/>
      <c r="Z182" s="20"/>
      <c r="AA182" s="20"/>
      <c r="AB182" s="270"/>
      <c r="AC182" s="269"/>
      <c r="AD182" s="20"/>
      <c r="AE182" s="20"/>
      <c r="AF182" s="20"/>
      <c r="AG182" s="20"/>
      <c r="AH182" s="20"/>
      <c r="AI182" s="20"/>
      <c r="AJ182" s="270"/>
      <c r="AK182" s="67">
        <v>424</v>
      </c>
      <c r="AL182" s="67">
        <v>1</v>
      </c>
      <c r="AO182" s="67">
        <f t="shared" si="28"/>
        <v>0</v>
      </c>
      <c r="AP182" s="67">
        <f t="shared" si="29"/>
        <v>0</v>
      </c>
      <c r="AQ182" s="67">
        <f t="shared" si="30"/>
        <v>0</v>
      </c>
      <c r="AR182" s="67">
        <f t="shared" si="31"/>
        <v>0</v>
      </c>
      <c r="AS182" s="67">
        <f t="shared" si="32"/>
        <v>0</v>
      </c>
      <c r="AT182" s="67">
        <f t="shared" si="33"/>
        <v>0</v>
      </c>
      <c r="AU182" s="67">
        <f t="shared" si="34"/>
        <v>0</v>
      </c>
      <c r="AW182" s="256">
        <v>8</v>
      </c>
      <c r="AX182" s="67">
        <f t="shared" si="39"/>
        <v>40</v>
      </c>
      <c r="AY182" s="76">
        <f t="shared" si="40"/>
        <v>0</v>
      </c>
      <c r="AZ182" s="67">
        <f t="shared" si="35"/>
        <v>0</v>
      </c>
      <c r="BA182" s="76">
        <f t="shared" si="38"/>
        <v>0</v>
      </c>
      <c r="BC182" s="67">
        <f t="shared" si="36"/>
        <v>0</v>
      </c>
      <c r="BD182" s="67">
        <f t="shared" si="37"/>
        <v>0</v>
      </c>
    </row>
    <row r="183" spans="1:56">
      <c r="A183" s="67">
        <v>425</v>
      </c>
      <c r="B183" s="8" t="s">
        <v>63</v>
      </c>
      <c r="C183" s="8" t="s">
        <v>346</v>
      </c>
      <c r="E183" s="269"/>
      <c r="F183" s="20"/>
      <c r="G183" s="20"/>
      <c r="H183" s="20"/>
      <c r="I183" s="20"/>
      <c r="J183" s="20"/>
      <c r="K183" s="20"/>
      <c r="L183" s="270"/>
      <c r="M183" s="269"/>
      <c r="N183" s="20"/>
      <c r="O183" s="20"/>
      <c r="P183" s="20"/>
      <c r="Q183" s="20"/>
      <c r="R183" s="20"/>
      <c r="S183" s="20"/>
      <c r="T183" s="270"/>
      <c r="U183" s="269"/>
      <c r="V183" s="20"/>
      <c r="W183" s="20"/>
      <c r="X183" s="20"/>
      <c r="Y183" s="20"/>
      <c r="Z183" s="20"/>
      <c r="AA183" s="20"/>
      <c r="AB183" s="270"/>
      <c r="AC183" s="269"/>
      <c r="AD183" s="20"/>
      <c r="AE183" s="20"/>
      <c r="AF183" s="20"/>
      <c r="AG183" s="20"/>
      <c r="AH183" s="20"/>
      <c r="AI183" s="20"/>
      <c r="AJ183" s="270"/>
      <c r="AK183" s="67">
        <v>425</v>
      </c>
      <c r="AL183" s="67">
        <v>1</v>
      </c>
      <c r="AO183" s="67">
        <f t="shared" si="28"/>
        <v>0</v>
      </c>
      <c r="AP183" s="67">
        <f t="shared" si="29"/>
        <v>0</v>
      </c>
      <c r="AQ183" s="67">
        <f t="shared" si="30"/>
        <v>0</v>
      </c>
      <c r="AR183" s="67">
        <f t="shared" si="31"/>
        <v>0</v>
      </c>
      <c r="AS183" s="67">
        <f t="shared" si="32"/>
        <v>0</v>
      </c>
      <c r="AT183" s="67">
        <f t="shared" si="33"/>
        <v>0</v>
      </c>
      <c r="AU183" s="67">
        <f t="shared" si="34"/>
        <v>0</v>
      </c>
      <c r="AW183" s="256">
        <v>7</v>
      </c>
      <c r="AX183" s="67">
        <f t="shared" si="39"/>
        <v>35</v>
      </c>
      <c r="AY183" s="76">
        <f t="shared" si="40"/>
        <v>0</v>
      </c>
      <c r="AZ183" s="67">
        <f t="shared" si="35"/>
        <v>0</v>
      </c>
      <c r="BA183" s="76">
        <f t="shared" si="38"/>
        <v>0</v>
      </c>
      <c r="BC183" s="67">
        <f t="shared" si="36"/>
        <v>0</v>
      </c>
      <c r="BD183" s="67">
        <f t="shared" si="37"/>
        <v>0</v>
      </c>
    </row>
    <row r="184" spans="1:56">
      <c r="A184" s="67">
        <v>426</v>
      </c>
      <c r="B184" s="8" t="s">
        <v>44</v>
      </c>
      <c r="C184" s="8" t="s">
        <v>349</v>
      </c>
      <c r="D184" s="8" t="s">
        <v>6</v>
      </c>
      <c r="E184" s="269"/>
      <c r="F184" s="20"/>
      <c r="G184" s="20"/>
      <c r="H184" s="20"/>
      <c r="I184" s="20"/>
      <c r="J184" s="20"/>
      <c r="K184" s="20"/>
      <c r="L184" s="270"/>
      <c r="M184" s="269"/>
      <c r="N184" s="20" t="s">
        <v>435</v>
      </c>
      <c r="O184" s="20"/>
      <c r="P184" s="20"/>
      <c r="Q184" s="20"/>
      <c r="R184" s="20"/>
      <c r="S184" s="20"/>
      <c r="T184" s="270" t="s">
        <v>442</v>
      </c>
      <c r="U184" s="269"/>
      <c r="V184" s="20"/>
      <c r="W184" s="20"/>
      <c r="X184" s="20" t="s">
        <v>434</v>
      </c>
      <c r="Y184" s="20"/>
      <c r="Z184" s="20"/>
      <c r="AA184" s="20"/>
      <c r="AB184" s="270"/>
      <c r="AC184" s="269"/>
      <c r="AD184" s="20"/>
      <c r="AE184" s="20"/>
      <c r="AF184" s="20"/>
      <c r="AG184" s="20"/>
      <c r="AH184" s="20"/>
      <c r="AI184" s="20" t="s">
        <v>461</v>
      </c>
      <c r="AJ184" s="270" t="s">
        <v>431</v>
      </c>
      <c r="AK184" s="67">
        <v>426</v>
      </c>
      <c r="AM184" s="67">
        <v>1</v>
      </c>
      <c r="AO184" s="67">
        <f t="shared" si="28"/>
        <v>3</v>
      </c>
      <c r="AP184" s="67">
        <f t="shared" si="29"/>
        <v>1</v>
      </c>
      <c r="AQ184" s="67">
        <f t="shared" si="30"/>
        <v>0</v>
      </c>
      <c r="AR184" s="67">
        <f t="shared" si="31"/>
        <v>2</v>
      </c>
      <c r="AS184" s="67">
        <f t="shared" si="32"/>
        <v>3</v>
      </c>
      <c r="AT184" s="67">
        <f t="shared" si="33"/>
        <v>1</v>
      </c>
      <c r="AU184" s="67">
        <f t="shared" si="34"/>
        <v>10</v>
      </c>
      <c r="AW184" s="256">
        <v>5</v>
      </c>
      <c r="AX184" s="67">
        <f t="shared" si="39"/>
        <v>25</v>
      </c>
      <c r="AY184" s="76">
        <f t="shared" si="40"/>
        <v>0.4</v>
      </c>
      <c r="AZ184" s="67">
        <f t="shared" si="35"/>
        <v>5</v>
      </c>
      <c r="BA184" s="76">
        <f t="shared" si="38"/>
        <v>1</v>
      </c>
      <c r="BC184" s="67">
        <f t="shared" si="36"/>
        <v>2</v>
      </c>
      <c r="BD184" s="67">
        <f t="shared" si="37"/>
        <v>3</v>
      </c>
    </row>
    <row r="185" spans="1:56">
      <c r="A185" s="67">
        <v>429</v>
      </c>
      <c r="B185" s="8" t="s">
        <v>73</v>
      </c>
      <c r="C185" s="8" t="s">
        <v>165</v>
      </c>
      <c r="D185" s="8" t="s">
        <v>6</v>
      </c>
      <c r="E185" s="269"/>
      <c r="F185" s="20"/>
      <c r="G185" s="20"/>
      <c r="H185" s="20"/>
      <c r="I185" s="20"/>
      <c r="J185" s="20"/>
      <c r="K185" s="20"/>
      <c r="L185" s="270"/>
      <c r="M185" s="269"/>
      <c r="N185" s="20"/>
      <c r="O185" s="20"/>
      <c r="P185" s="20"/>
      <c r="Q185" s="20"/>
      <c r="R185" s="20"/>
      <c r="S185" s="20"/>
      <c r="T185" s="270"/>
      <c r="U185" s="269"/>
      <c r="V185" s="20"/>
      <c r="W185" s="20"/>
      <c r="X185" s="20"/>
      <c r="Y185" s="20"/>
      <c r="Z185" s="20"/>
      <c r="AA185" s="20"/>
      <c r="AB185" s="270"/>
      <c r="AC185" s="269"/>
      <c r="AD185" s="20"/>
      <c r="AE185" s="20"/>
      <c r="AF185" s="20"/>
      <c r="AG185" s="20"/>
      <c r="AH185" s="20"/>
      <c r="AI185" s="20"/>
      <c r="AJ185" s="270"/>
      <c r="AK185" s="67">
        <v>429</v>
      </c>
      <c r="AL185" s="67">
        <v>1</v>
      </c>
      <c r="AO185" s="67">
        <f t="shared" si="28"/>
        <v>0</v>
      </c>
      <c r="AP185" s="67">
        <f t="shared" si="29"/>
        <v>0</v>
      </c>
      <c r="AQ185" s="67">
        <f t="shared" si="30"/>
        <v>0</v>
      </c>
      <c r="AR185" s="67">
        <f t="shared" si="31"/>
        <v>0</v>
      </c>
      <c r="AS185" s="67">
        <f t="shared" si="32"/>
        <v>0</v>
      </c>
      <c r="AT185" s="67">
        <f t="shared" si="33"/>
        <v>0</v>
      </c>
      <c r="AU185" s="67">
        <f t="shared" si="34"/>
        <v>0</v>
      </c>
      <c r="AW185" s="256">
        <v>32</v>
      </c>
      <c r="AX185" s="67">
        <f t="shared" si="39"/>
        <v>160</v>
      </c>
      <c r="AY185" s="76">
        <f t="shared" si="40"/>
        <v>0</v>
      </c>
      <c r="AZ185" s="67">
        <f t="shared" si="35"/>
        <v>0</v>
      </c>
      <c r="BA185" s="76">
        <f t="shared" si="38"/>
        <v>0</v>
      </c>
      <c r="BC185" s="67">
        <f t="shared" si="36"/>
        <v>0</v>
      </c>
      <c r="BD185" s="67">
        <f t="shared" si="37"/>
        <v>0</v>
      </c>
    </row>
    <row r="186" spans="1:56">
      <c r="A186" s="67">
        <v>434</v>
      </c>
      <c r="B186" s="8" t="s">
        <v>56</v>
      </c>
      <c r="C186" s="8" t="s">
        <v>360</v>
      </c>
      <c r="E186" s="269"/>
      <c r="F186" s="20"/>
      <c r="G186" s="20"/>
      <c r="H186" s="20"/>
      <c r="I186" s="20"/>
      <c r="J186" s="20"/>
      <c r="K186" s="20"/>
      <c r="L186" s="270"/>
      <c r="M186" s="269"/>
      <c r="N186" s="20"/>
      <c r="O186" s="20"/>
      <c r="P186" s="20"/>
      <c r="Q186" s="20"/>
      <c r="R186" s="20"/>
      <c r="S186" s="20"/>
      <c r="T186" s="270"/>
      <c r="U186" s="269"/>
      <c r="V186" s="20"/>
      <c r="W186" s="20"/>
      <c r="X186" s="20"/>
      <c r="Y186" s="20"/>
      <c r="Z186" s="20"/>
      <c r="AA186" s="20"/>
      <c r="AB186" s="270"/>
      <c r="AC186" s="269"/>
      <c r="AD186" s="20"/>
      <c r="AE186" s="20"/>
      <c r="AF186" s="20"/>
      <c r="AG186" s="20"/>
      <c r="AH186" s="20"/>
      <c r="AI186" s="20"/>
      <c r="AJ186" s="270"/>
      <c r="AK186" s="67">
        <v>434</v>
      </c>
      <c r="AL186" s="67">
        <v>1</v>
      </c>
      <c r="AO186" s="67">
        <f t="shared" si="28"/>
        <v>0</v>
      </c>
      <c r="AP186" s="67">
        <f t="shared" si="29"/>
        <v>0</v>
      </c>
      <c r="AQ186" s="67">
        <f t="shared" si="30"/>
        <v>0</v>
      </c>
      <c r="AR186" s="67">
        <f t="shared" si="31"/>
        <v>0</v>
      </c>
      <c r="AS186" s="67">
        <f t="shared" si="32"/>
        <v>0</v>
      </c>
      <c r="AT186" s="67">
        <f t="shared" si="33"/>
        <v>0</v>
      </c>
      <c r="AU186" s="67">
        <f t="shared" si="34"/>
        <v>0</v>
      </c>
      <c r="AW186" s="256">
        <v>4</v>
      </c>
      <c r="AX186" s="67">
        <f t="shared" si="39"/>
        <v>20</v>
      </c>
      <c r="AY186" s="76">
        <f t="shared" si="40"/>
        <v>0</v>
      </c>
      <c r="AZ186" s="67">
        <f t="shared" si="35"/>
        <v>0</v>
      </c>
      <c r="BA186" s="76">
        <f t="shared" si="38"/>
        <v>0</v>
      </c>
      <c r="BC186" s="67">
        <f t="shared" si="36"/>
        <v>0</v>
      </c>
      <c r="BD186" s="67">
        <f t="shared" si="37"/>
        <v>0</v>
      </c>
    </row>
    <row r="187" spans="1:56">
      <c r="A187" s="67">
        <v>435</v>
      </c>
      <c r="B187" s="8" t="s">
        <v>201</v>
      </c>
      <c r="C187" s="8" t="s">
        <v>357</v>
      </c>
      <c r="D187" s="8" t="s">
        <v>15</v>
      </c>
      <c r="E187" s="269"/>
      <c r="F187" s="20"/>
      <c r="G187" s="20"/>
      <c r="H187" s="20"/>
      <c r="I187" s="20"/>
      <c r="J187" s="20"/>
      <c r="K187" s="20"/>
      <c r="L187" s="270"/>
      <c r="M187" s="269"/>
      <c r="N187" s="20"/>
      <c r="O187" s="20"/>
      <c r="P187" s="20"/>
      <c r="Q187" s="20"/>
      <c r="R187" s="20" t="s">
        <v>432</v>
      </c>
      <c r="S187" s="20"/>
      <c r="T187" s="270"/>
      <c r="U187" s="269"/>
      <c r="V187" s="20"/>
      <c r="W187" s="20" t="s">
        <v>474</v>
      </c>
      <c r="X187" s="20"/>
      <c r="Y187" s="20"/>
      <c r="Z187" s="20"/>
      <c r="AA187" s="20"/>
      <c r="AB187" s="270"/>
      <c r="AC187" s="269"/>
      <c r="AD187" s="20"/>
      <c r="AE187" s="20"/>
      <c r="AF187" s="20"/>
      <c r="AG187" s="20"/>
      <c r="AH187" s="5" t="s">
        <v>432</v>
      </c>
      <c r="AI187" s="20"/>
      <c r="AJ187" s="270"/>
      <c r="AK187" s="67">
        <v>435</v>
      </c>
      <c r="AM187" s="67">
        <v>1</v>
      </c>
      <c r="AO187" s="67">
        <f t="shared" si="28"/>
        <v>1</v>
      </c>
      <c r="AP187" s="67">
        <f t="shared" si="29"/>
        <v>3</v>
      </c>
      <c r="AQ187" s="67">
        <f t="shared" si="30"/>
        <v>0</v>
      </c>
      <c r="AR187" s="67">
        <f t="shared" si="31"/>
        <v>1</v>
      </c>
      <c r="AS187" s="67">
        <f t="shared" si="32"/>
        <v>0</v>
      </c>
      <c r="AT187" s="67">
        <f t="shared" si="33"/>
        <v>0</v>
      </c>
      <c r="AU187" s="67">
        <f t="shared" si="34"/>
        <v>5</v>
      </c>
      <c r="AW187" s="256">
        <v>27</v>
      </c>
      <c r="AX187" s="67">
        <f t="shared" si="39"/>
        <v>135</v>
      </c>
      <c r="AY187" s="76">
        <f t="shared" si="40"/>
        <v>3.7037037037037035E-2</v>
      </c>
      <c r="AZ187" s="67">
        <f t="shared" si="35"/>
        <v>3</v>
      </c>
      <c r="BA187" s="76">
        <f t="shared" si="38"/>
        <v>0.1111111111111111</v>
      </c>
      <c r="BC187" s="67">
        <f t="shared" si="36"/>
        <v>1</v>
      </c>
      <c r="BD187" s="67">
        <f t="shared" si="37"/>
        <v>2</v>
      </c>
    </row>
    <row r="188" spans="1:56">
      <c r="A188" s="67">
        <v>436</v>
      </c>
      <c r="B188" s="8" t="s">
        <v>44</v>
      </c>
      <c r="C188" s="8" t="s">
        <v>349</v>
      </c>
      <c r="D188" s="8" t="s">
        <v>6</v>
      </c>
      <c r="E188" s="269"/>
      <c r="F188" s="20"/>
      <c r="G188" s="5" t="s">
        <v>434</v>
      </c>
      <c r="H188" s="20"/>
      <c r="I188" s="20" t="s">
        <v>435</v>
      </c>
      <c r="J188" s="20"/>
      <c r="K188" s="20"/>
      <c r="L188" s="270"/>
      <c r="M188" s="269"/>
      <c r="N188" s="20"/>
      <c r="O188" s="20"/>
      <c r="P188" s="20"/>
      <c r="Q188" s="20"/>
      <c r="R188" s="20"/>
      <c r="S188" s="20"/>
      <c r="T188" s="270"/>
      <c r="U188" s="269"/>
      <c r="V188" s="20"/>
      <c r="W188" s="20"/>
      <c r="X188" s="20" t="s">
        <v>442</v>
      </c>
      <c r="Y188" s="20"/>
      <c r="Z188" s="20"/>
      <c r="AA188" s="20"/>
      <c r="AB188" s="270"/>
      <c r="AC188" s="269"/>
      <c r="AD188" s="20"/>
      <c r="AE188" s="20"/>
      <c r="AF188" s="20"/>
      <c r="AG188" s="20"/>
      <c r="AH188" s="20"/>
      <c r="AI188" s="20" t="s">
        <v>444</v>
      </c>
      <c r="AJ188" s="270"/>
      <c r="AK188" s="67">
        <v>436</v>
      </c>
      <c r="AM188" s="67">
        <v>1</v>
      </c>
      <c r="AO188" s="67">
        <f t="shared" si="28"/>
        <v>2</v>
      </c>
      <c r="AP188" s="67">
        <f t="shared" si="29"/>
        <v>2</v>
      </c>
      <c r="AQ188" s="67">
        <f t="shared" si="30"/>
        <v>0</v>
      </c>
      <c r="AR188" s="67">
        <f t="shared" si="31"/>
        <v>3</v>
      </c>
      <c r="AS188" s="67">
        <f t="shared" si="32"/>
        <v>2</v>
      </c>
      <c r="AT188" s="67">
        <f t="shared" si="33"/>
        <v>2</v>
      </c>
      <c r="AU188" s="67">
        <f t="shared" si="34"/>
        <v>11</v>
      </c>
      <c r="AW188" s="256">
        <v>20</v>
      </c>
      <c r="AX188" s="67">
        <f t="shared" si="39"/>
        <v>100</v>
      </c>
      <c r="AY188" s="76">
        <f t="shared" si="40"/>
        <v>0.11</v>
      </c>
      <c r="AZ188" s="67">
        <f t="shared" si="35"/>
        <v>4</v>
      </c>
      <c r="BA188" s="76">
        <f t="shared" si="38"/>
        <v>0.2</v>
      </c>
      <c r="BC188" s="67">
        <f t="shared" si="36"/>
        <v>2</v>
      </c>
      <c r="BD188" s="67">
        <f t="shared" si="37"/>
        <v>2</v>
      </c>
    </row>
    <row r="189" spans="1:56">
      <c r="A189" s="67">
        <v>437</v>
      </c>
      <c r="B189" s="8" t="s">
        <v>68</v>
      </c>
      <c r="C189" s="8" t="s">
        <v>357</v>
      </c>
      <c r="E189" s="269"/>
      <c r="F189" s="20"/>
      <c r="G189" s="20"/>
      <c r="H189" s="20" t="s">
        <v>434</v>
      </c>
      <c r="I189" s="20" t="s">
        <v>435</v>
      </c>
      <c r="J189" s="20"/>
      <c r="K189" s="20"/>
      <c r="L189" s="270"/>
      <c r="M189" s="269"/>
      <c r="N189" s="20"/>
      <c r="O189" s="20"/>
      <c r="P189" s="20" t="s">
        <v>435</v>
      </c>
      <c r="Q189" s="20" t="s">
        <v>434</v>
      </c>
      <c r="R189" s="20"/>
      <c r="S189" s="20"/>
      <c r="T189" s="270"/>
      <c r="U189" s="269"/>
      <c r="V189" s="20"/>
      <c r="W189" s="20"/>
      <c r="X189" s="20"/>
      <c r="Y189" s="20"/>
      <c r="Z189" s="20"/>
      <c r="AA189" s="20"/>
      <c r="AB189" s="270"/>
      <c r="AC189" s="269"/>
      <c r="AD189" s="20"/>
      <c r="AE189" s="20"/>
      <c r="AF189" s="20"/>
      <c r="AG189" s="20"/>
      <c r="AH189" s="20"/>
      <c r="AI189" s="20"/>
      <c r="AJ189" s="270"/>
      <c r="AK189" s="67">
        <v>437</v>
      </c>
      <c r="AM189" s="67">
        <v>1</v>
      </c>
      <c r="AO189" s="67">
        <f t="shared" si="28"/>
        <v>0</v>
      </c>
      <c r="AP189" s="67">
        <f t="shared" si="29"/>
        <v>0</v>
      </c>
      <c r="AQ189" s="67">
        <f t="shared" si="30"/>
        <v>0</v>
      </c>
      <c r="AR189" s="67">
        <f t="shared" si="31"/>
        <v>2</v>
      </c>
      <c r="AS189" s="67">
        <f t="shared" si="32"/>
        <v>2</v>
      </c>
      <c r="AT189" s="67">
        <f t="shared" si="33"/>
        <v>0</v>
      </c>
      <c r="AU189" s="67">
        <f t="shared" si="34"/>
        <v>4</v>
      </c>
      <c r="AW189" s="256">
        <v>24</v>
      </c>
      <c r="AX189" s="67">
        <f t="shared" si="39"/>
        <v>120</v>
      </c>
      <c r="AY189" s="76">
        <f t="shared" si="40"/>
        <v>3.3333333333333333E-2</v>
      </c>
      <c r="AZ189" s="67">
        <f t="shared" si="35"/>
        <v>4</v>
      </c>
      <c r="BA189" s="76">
        <f t="shared" si="38"/>
        <v>0.16666666666666666</v>
      </c>
      <c r="BC189" s="67">
        <f t="shared" si="36"/>
        <v>4</v>
      </c>
      <c r="BD189" s="67">
        <f t="shared" si="37"/>
        <v>0</v>
      </c>
    </row>
    <row r="190" spans="1:56">
      <c r="A190" s="67">
        <v>440</v>
      </c>
      <c r="B190" s="8" t="s">
        <v>5</v>
      </c>
      <c r="C190" s="8" t="s">
        <v>42</v>
      </c>
      <c r="D190" s="8" t="s">
        <v>42</v>
      </c>
      <c r="E190" s="269"/>
      <c r="F190" s="20"/>
      <c r="G190" s="20"/>
      <c r="H190" s="20"/>
      <c r="I190" s="20"/>
      <c r="J190" s="20"/>
      <c r="K190" s="20"/>
      <c r="L190" s="270"/>
      <c r="M190" s="269"/>
      <c r="N190" s="20"/>
      <c r="O190" s="20" t="s">
        <v>435</v>
      </c>
      <c r="P190" s="20" t="s">
        <v>435</v>
      </c>
      <c r="Q190" s="20"/>
      <c r="R190" s="20" t="s">
        <v>442</v>
      </c>
      <c r="S190" s="20"/>
      <c r="T190" s="270"/>
      <c r="U190" s="269"/>
      <c r="V190" s="20"/>
      <c r="W190" s="20"/>
      <c r="X190" s="20"/>
      <c r="Y190" s="20"/>
      <c r="Z190" s="20"/>
      <c r="AA190" s="20"/>
      <c r="AB190" s="270"/>
      <c r="AC190" s="269"/>
      <c r="AD190" s="20"/>
      <c r="AE190" s="20"/>
      <c r="AF190" s="20"/>
      <c r="AG190" s="20"/>
      <c r="AH190" s="20"/>
      <c r="AI190" s="20"/>
      <c r="AJ190" s="270"/>
      <c r="AK190" s="67">
        <v>440</v>
      </c>
      <c r="AM190" s="67">
        <v>1</v>
      </c>
      <c r="AO190" s="67">
        <f t="shared" si="28"/>
        <v>1</v>
      </c>
      <c r="AP190" s="67">
        <f t="shared" si="29"/>
        <v>1</v>
      </c>
      <c r="AQ190" s="67">
        <f t="shared" si="30"/>
        <v>0</v>
      </c>
      <c r="AR190" s="67">
        <f t="shared" si="31"/>
        <v>1</v>
      </c>
      <c r="AS190" s="67">
        <f t="shared" si="32"/>
        <v>3</v>
      </c>
      <c r="AT190" s="67">
        <f t="shared" si="33"/>
        <v>1</v>
      </c>
      <c r="AU190" s="67">
        <f t="shared" si="34"/>
        <v>7</v>
      </c>
      <c r="AW190" s="256">
        <v>26</v>
      </c>
      <c r="AX190" s="67">
        <f t="shared" si="39"/>
        <v>130</v>
      </c>
      <c r="AY190" s="76">
        <f t="shared" si="40"/>
        <v>5.3846153846153849E-2</v>
      </c>
      <c r="AZ190" s="67">
        <f t="shared" si="35"/>
        <v>3</v>
      </c>
      <c r="BA190" s="76">
        <f t="shared" si="38"/>
        <v>0.11538461538461539</v>
      </c>
      <c r="BC190" s="67">
        <f t="shared" si="36"/>
        <v>3</v>
      </c>
      <c r="BD190" s="67">
        <f t="shared" si="37"/>
        <v>0</v>
      </c>
    </row>
    <row r="191" spans="1:56">
      <c r="A191" s="67" t="s">
        <v>271</v>
      </c>
      <c r="B191" s="8" t="s">
        <v>55</v>
      </c>
      <c r="C191" s="8" t="s">
        <v>346</v>
      </c>
      <c r="E191" s="269"/>
      <c r="F191" s="20"/>
      <c r="G191" s="20"/>
      <c r="H191" s="20"/>
      <c r="I191" s="20"/>
      <c r="J191" s="20"/>
      <c r="K191" s="20"/>
      <c r="L191" s="270"/>
      <c r="M191" s="269"/>
      <c r="N191" s="20"/>
      <c r="O191" s="20"/>
      <c r="P191" s="20"/>
      <c r="Q191" s="20"/>
      <c r="R191" s="20"/>
      <c r="S191" s="20"/>
      <c r="T191" s="270"/>
      <c r="U191" s="269"/>
      <c r="V191" s="20"/>
      <c r="W191" s="20"/>
      <c r="X191" s="20" t="s">
        <v>436</v>
      </c>
      <c r="Y191" s="20"/>
      <c r="Z191" s="20"/>
      <c r="AA191" s="20"/>
      <c r="AB191" s="270"/>
      <c r="AC191" s="269"/>
      <c r="AD191" s="20"/>
      <c r="AE191" s="20"/>
      <c r="AF191" s="20"/>
      <c r="AG191" s="20"/>
      <c r="AH191" s="20"/>
      <c r="AI191" s="20"/>
      <c r="AJ191" s="270"/>
      <c r="AK191" s="67" t="s">
        <v>271</v>
      </c>
      <c r="AM191" s="67">
        <v>1</v>
      </c>
      <c r="AO191" s="67">
        <f t="shared" si="28"/>
        <v>0</v>
      </c>
      <c r="AP191" s="67">
        <f t="shared" si="29"/>
        <v>0</v>
      </c>
      <c r="AQ191" s="67">
        <f t="shared" si="30"/>
        <v>0</v>
      </c>
      <c r="AR191" s="67">
        <f t="shared" si="31"/>
        <v>0</v>
      </c>
      <c r="AS191" s="67">
        <f t="shared" si="32"/>
        <v>0</v>
      </c>
      <c r="AT191" s="67">
        <f t="shared" si="33"/>
        <v>1</v>
      </c>
      <c r="AU191" s="67">
        <f t="shared" si="34"/>
        <v>1</v>
      </c>
      <c r="AW191" s="256">
        <v>20</v>
      </c>
      <c r="AX191" s="67">
        <f t="shared" si="39"/>
        <v>100</v>
      </c>
      <c r="AY191" s="76">
        <f t="shared" si="40"/>
        <v>0.01</v>
      </c>
      <c r="AZ191" s="67">
        <f t="shared" si="35"/>
        <v>1</v>
      </c>
      <c r="BA191" s="76">
        <f t="shared" si="38"/>
        <v>0.05</v>
      </c>
      <c r="BC191" s="67">
        <f t="shared" si="36"/>
        <v>0</v>
      </c>
      <c r="BD191" s="67">
        <f t="shared" si="37"/>
        <v>1</v>
      </c>
    </row>
    <row r="192" spans="1:56">
      <c r="A192" s="67">
        <v>444</v>
      </c>
      <c r="B192" s="8" t="s">
        <v>44</v>
      </c>
      <c r="C192" s="8" t="s">
        <v>349</v>
      </c>
      <c r="D192" s="8" t="s">
        <v>6</v>
      </c>
      <c r="E192" s="269"/>
      <c r="F192" s="5" t="s">
        <v>431</v>
      </c>
      <c r="G192" s="5" t="s">
        <v>435</v>
      </c>
      <c r="H192" s="20"/>
      <c r="I192" s="5" t="s">
        <v>435</v>
      </c>
      <c r="J192" s="20"/>
      <c r="K192" s="20"/>
      <c r="L192" s="270"/>
      <c r="M192" s="269"/>
      <c r="N192" s="20"/>
      <c r="O192" s="20"/>
      <c r="P192" s="20"/>
      <c r="Q192" s="20"/>
      <c r="R192" s="20"/>
      <c r="S192" s="20"/>
      <c r="T192" s="270"/>
      <c r="U192" s="269"/>
      <c r="V192" s="20"/>
      <c r="W192" s="20"/>
      <c r="X192" s="20"/>
      <c r="Y192" s="20"/>
      <c r="Z192" s="20"/>
      <c r="AA192" s="20"/>
      <c r="AB192" s="270"/>
      <c r="AC192" s="269"/>
      <c r="AD192" s="20"/>
      <c r="AE192" s="20"/>
      <c r="AF192" s="20" t="s">
        <v>431</v>
      </c>
      <c r="AG192" s="20"/>
      <c r="AH192" s="20"/>
      <c r="AI192" s="20"/>
      <c r="AJ192" s="270"/>
      <c r="AK192" s="67">
        <v>444</v>
      </c>
      <c r="AM192" s="67">
        <v>1</v>
      </c>
      <c r="AO192" s="67">
        <f t="shared" si="28"/>
        <v>2</v>
      </c>
      <c r="AP192" s="67">
        <f t="shared" si="29"/>
        <v>0</v>
      </c>
      <c r="AQ192" s="67">
        <f t="shared" si="30"/>
        <v>0</v>
      </c>
      <c r="AR192" s="67">
        <f t="shared" si="31"/>
        <v>0</v>
      </c>
      <c r="AS192" s="67">
        <f t="shared" si="32"/>
        <v>2</v>
      </c>
      <c r="AT192" s="67">
        <f t="shared" si="33"/>
        <v>0</v>
      </c>
      <c r="AU192" s="67">
        <f t="shared" si="34"/>
        <v>4</v>
      </c>
      <c r="AW192" s="256">
        <v>12</v>
      </c>
      <c r="AX192" s="67">
        <f t="shared" si="39"/>
        <v>60</v>
      </c>
      <c r="AY192" s="76">
        <f t="shared" si="40"/>
        <v>6.6666666666666666E-2</v>
      </c>
      <c r="AZ192" s="67">
        <f t="shared" si="35"/>
        <v>4</v>
      </c>
      <c r="BA192" s="76">
        <f t="shared" si="38"/>
        <v>0.33333333333333331</v>
      </c>
      <c r="BC192" s="67">
        <f t="shared" si="36"/>
        <v>3</v>
      </c>
      <c r="BD192" s="67">
        <f t="shared" si="37"/>
        <v>1</v>
      </c>
    </row>
    <row r="193" spans="1:56">
      <c r="A193" s="67">
        <v>445</v>
      </c>
      <c r="B193" s="8" t="s">
        <v>106</v>
      </c>
      <c r="C193" s="8" t="s">
        <v>349</v>
      </c>
      <c r="D193" s="8" t="s">
        <v>6</v>
      </c>
      <c r="E193" s="269"/>
      <c r="F193" s="20"/>
      <c r="G193" s="20"/>
      <c r="H193" s="20"/>
      <c r="I193" s="20"/>
      <c r="J193" s="20"/>
      <c r="K193" s="20"/>
      <c r="L193" s="270"/>
      <c r="M193" s="269"/>
      <c r="N193" s="20"/>
      <c r="O193" s="20"/>
      <c r="P193" s="20"/>
      <c r="Q193" s="20"/>
      <c r="R193" s="20"/>
      <c r="S193" s="20"/>
      <c r="T193" s="270"/>
      <c r="U193" s="269"/>
      <c r="V193" s="20"/>
      <c r="W193" s="20"/>
      <c r="X193" s="20"/>
      <c r="Y193" s="20"/>
      <c r="Z193" s="20"/>
      <c r="AA193" s="20"/>
      <c r="AB193" s="270"/>
      <c r="AC193" s="269"/>
      <c r="AD193" s="20"/>
      <c r="AE193" s="20" t="s">
        <v>454</v>
      </c>
      <c r="AF193" s="20"/>
      <c r="AG193" s="20"/>
      <c r="AH193" s="20"/>
      <c r="AI193" s="20"/>
      <c r="AJ193" s="270"/>
      <c r="AK193" s="67">
        <v>445</v>
      </c>
      <c r="AM193" s="67">
        <v>1</v>
      </c>
      <c r="AO193" s="67">
        <f t="shared" si="28"/>
        <v>0</v>
      </c>
      <c r="AP193" s="67">
        <f t="shared" si="29"/>
        <v>0</v>
      </c>
      <c r="AQ193" s="67">
        <f t="shared" si="30"/>
        <v>0</v>
      </c>
      <c r="AR193" s="67">
        <f t="shared" si="31"/>
        <v>0</v>
      </c>
      <c r="AS193" s="67">
        <f t="shared" si="32"/>
        <v>1</v>
      </c>
      <c r="AT193" s="67">
        <f t="shared" si="33"/>
        <v>1</v>
      </c>
      <c r="AU193" s="67">
        <f t="shared" si="34"/>
        <v>2</v>
      </c>
      <c r="AW193" s="256">
        <v>28</v>
      </c>
      <c r="AX193" s="67">
        <f t="shared" si="39"/>
        <v>140</v>
      </c>
      <c r="AY193" s="76">
        <f t="shared" si="40"/>
        <v>1.4285714285714285E-2</v>
      </c>
      <c r="AZ193" s="67">
        <f t="shared" si="35"/>
        <v>1</v>
      </c>
      <c r="BA193" s="76">
        <f t="shared" si="38"/>
        <v>3.5714285714285712E-2</v>
      </c>
      <c r="BC193" s="67">
        <f t="shared" si="36"/>
        <v>0</v>
      </c>
      <c r="BD193" s="67">
        <f t="shared" si="37"/>
        <v>1</v>
      </c>
    </row>
    <row r="194" spans="1:56">
      <c r="A194" s="67">
        <v>449</v>
      </c>
      <c r="B194" s="8" t="s">
        <v>62</v>
      </c>
      <c r="C194" s="8" t="s">
        <v>42</v>
      </c>
      <c r="D194" s="8" t="s">
        <v>42</v>
      </c>
      <c r="E194" s="269"/>
      <c r="F194" s="5" t="s">
        <v>435</v>
      </c>
      <c r="G194" s="5" t="s">
        <v>442</v>
      </c>
      <c r="H194" s="20"/>
      <c r="I194" s="20"/>
      <c r="J194" s="20"/>
      <c r="K194" s="20"/>
      <c r="L194" s="270"/>
      <c r="M194" s="269"/>
      <c r="N194" s="20"/>
      <c r="O194" s="20"/>
      <c r="P194" s="20"/>
      <c r="Q194" s="20"/>
      <c r="R194" s="20" t="s">
        <v>442</v>
      </c>
      <c r="S194" s="20" t="s">
        <v>435</v>
      </c>
      <c r="T194" s="270"/>
      <c r="U194" s="269"/>
      <c r="V194" s="20" t="s">
        <v>435</v>
      </c>
      <c r="W194" s="20"/>
      <c r="X194" s="20"/>
      <c r="Y194" s="20"/>
      <c r="Z194" s="20"/>
      <c r="AA194" s="20"/>
      <c r="AB194" s="270"/>
      <c r="AC194" s="269"/>
      <c r="AD194" s="20"/>
      <c r="AE194" s="20"/>
      <c r="AF194" s="20"/>
      <c r="AG194" s="20"/>
      <c r="AH194" s="20"/>
      <c r="AI194" s="20"/>
      <c r="AJ194" s="270"/>
      <c r="AK194" s="67">
        <v>449</v>
      </c>
      <c r="AM194" s="67">
        <v>1</v>
      </c>
      <c r="AO194" s="67">
        <f t="shared" si="28"/>
        <v>2</v>
      </c>
      <c r="AP194" s="67">
        <f t="shared" si="29"/>
        <v>2</v>
      </c>
      <c r="AQ194" s="67">
        <f t="shared" si="30"/>
        <v>0</v>
      </c>
      <c r="AR194" s="67">
        <f t="shared" si="31"/>
        <v>2</v>
      </c>
      <c r="AS194" s="67">
        <f t="shared" si="32"/>
        <v>5</v>
      </c>
      <c r="AT194" s="67">
        <f t="shared" si="33"/>
        <v>2</v>
      </c>
      <c r="AU194" s="67">
        <f t="shared" si="34"/>
        <v>13</v>
      </c>
      <c r="AW194" s="256">
        <v>30</v>
      </c>
      <c r="AX194" s="67">
        <f t="shared" si="39"/>
        <v>150</v>
      </c>
      <c r="AY194" s="76">
        <f t="shared" si="40"/>
        <v>8.666666666666667E-2</v>
      </c>
      <c r="AZ194" s="67">
        <f t="shared" si="35"/>
        <v>5</v>
      </c>
      <c r="BA194" s="76">
        <f t="shared" si="38"/>
        <v>0.16666666666666666</v>
      </c>
      <c r="BC194" s="67">
        <f t="shared" si="36"/>
        <v>4</v>
      </c>
      <c r="BD194" s="67">
        <f t="shared" si="37"/>
        <v>1</v>
      </c>
    </row>
    <row r="195" spans="1:56">
      <c r="A195" s="67">
        <v>450</v>
      </c>
      <c r="B195" s="8" t="s">
        <v>73</v>
      </c>
      <c r="C195" s="8" t="s">
        <v>165</v>
      </c>
      <c r="D195" s="8" t="s">
        <v>6</v>
      </c>
      <c r="E195" s="269"/>
      <c r="F195" s="20"/>
      <c r="G195" s="20"/>
      <c r="H195" s="20"/>
      <c r="I195" s="20"/>
      <c r="J195" s="20"/>
      <c r="K195" s="20"/>
      <c r="L195" s="270"/>
      <c r="M195" s="269"/>
      <c r="N195" s="20"/>
      <c r="O195" s="20"/>
      <c r="P195" s="20"/>
      <c r="Q195" s="20"/>
      <c r="R195" s="20"/>
      <c r="S195" s="20"/>
      <c r="T195" s="270"/>
      <c r="U195" s="269"/>
      <c r="V195" s="20"/>
      <c r="W195" s="20"/>
      <c r="X195" s="20"/>
      <c r="Y195" s="20"/>
      <c r="Z195" s="20"/>
      <c r="AA195" s="20"/>
      <c r="AB195" s="270"/>
      <c r="AC195" s="269"/>
      <c r="AD195" s="20"/>
      <c r="AE195" s="20"/>
      <c r="AF195" s="20"/>
      <c r="AG195" s="20"/>
      <c r="AH195" s="20"/>
      <c r="AI195" s="20" t="s">
        <v>436</v>
      </c>
      <c r="AJ195" s="270"/>
      <c r="AK195" s="67">
        <v>450</v>
      </c>
      <c r="AM195" s="67">
        <v>1</v>
      </c>
      <c r="AO195" s="67">
        <f t="shared" si="28"/>
        <v>0</v>
      </c>
      <c r="AP195" s="67">
        <f t="shared" si="29"/>
        <v>0</v>
      </c>
      <c r="AQ195" s="67">
        <f t="shared" si="30"/>
        <v>0</v>
      </c>
      <c r="AR195" s="67">
        <f t="shared" si="31"/>
        <v>0</v>
      </c>
      <c r="AS195" s="67">
        <f t="shared" si="32"/>
        <v>0</v>
      </c>
      <c r="AT195" s="67">
        <f t="shared" si="33"/>
        <v>1</v>
      </c>
      <c r="AU195" s="67">
        <f t="shared" si="34"/>
        <v>1</v>
      </c>
      <c r="AW195" s="256">
        <v>28</v>
      </c>
      <c r="AX195" s="67">
        <f t="shared" si="39"/>
        <v>140</v>
      </c>
      <c r="AY195" s="76">
        <f t="shared" si="40"/>
        <v>7.1428571428571426E-3</v>
      </c>
      <c r="AZ195" s="67">
        <f t="shared" si="35"/>
        <v>1</v>
      </c>
      <c r="BA195" s="76">
        <f t="shared" si="38"/>
        <v>3.5714285714285712E-2</v>
      </c>
      <c r="BC195" s="67">
        <f t="shared" si="36"/>
        <v>0</v>
      </c>
      <c r="BD195" s="67">
        <f t="shared" si="37"/>
        <v>1</v>
      </c>
    </row>
    <row r="196" spans="1:56">
      <c r="A196" s="67">
        <v>452</v>
      </c>
      <c r="B196" s="8" t="s">
        <v>63</v>
      </c>
      <c r="C196" s="8" t="s">
        <v>346</v>
      </c>
      <c r="E196" s="269"/>
      <c r="F196" s="20"/>
      <c r="G196" s="20"/>
      <c r="H196" s="20"/>
      <c r="I196" s="20"/>
      <c r="J196" s="20"/>
      <c r="K196" s="20"/>
      <c r="L196" s="270"/>
      <c r="M196" s="269"/>
      <c r="N196" s="20"/>
      <c r="O196" s="20"/>
      <c r="P196" s="20"/>
      <c r="Q196" s="20"/>
      <c r="R196" s="20"/>
      <c r="S196" s="20"/>
      <c r="T196" s="270"/>
      <c r="U196" s="269"/>
      <c r="V196" s="20"/>
      <c r="W196" s="20"/>
      <c r="X196" s="20"/>
      <c r="Y196" s="20"/>
      <c r="Z196" s="20"/>
      <c r="AA196" s="20"/>
      <c r="AB196" s="270"/>
      <c r="AC196" s="269"/>
      <c r="AD196" s="20"/>
      <c r="AE196" s="20"/>
      <c r="AF196" s="20"/>
      <c r="AG196" s="20"/>
      <c r="AH196" s="20"/>
      <c r="AI196" s="20"/>
      <c r="AJ196" s="270"/>
      <c r="AK196" s="67">
        <v>452</v>
      </c>
      <c r="AL196" s="67">
        <v>1</v>
      </c>
      <c r="AO196" s="67">
        <f t="shared" ref="AO196:AO254" si="41">COUNTIF(E196:AJ196,"*b*")</f>
        <v>0</v>
      </c>
      <c r="AP196" s="67">
        <f t="shared" ref="AP196:AP254" si="42">COUNTIF(E196:AJ196,"*l*")</f>
        <v>0</v>
      </c>
      <c r="AQ196" s="67">
        <f t="shared" ref="AQ196:AQ254" si="43">COUNTIF(E196:AJ196,"*h*")</f>
        <v>0</v>
      </c>
      <c r="AR196" s="67">
        <f t="shared" ref="AR196:AR254" si="44">COUNTIF(E196:AJ196,"*m*")</f>
        <v>0</v>
      </c>
      <c r="AS196" s="67">
        <f t="shared" ref="AS196:AS254" si="45">COUNTIF(E196:AJ196,"*d*")</f>
        <v>0</v>
      </c>
      <c r="AT196" s="67">
        <f t="shared" ref="AT196:AT254" si="46">COUNTIF(E196:AJ196,"*o*")</f>
        <v>0</v>
      </c>
      <c r="AU196" s="67">
        <f t="shared" ref="AU196:AU254" si="47">SUM(AO196:AT196)</f>
        <v>0</v>
      </c>
      <c r="AW196" s="256">
        <v>10</v>
      </c>
      <c r="AX196" s="67">
        <f t="shared" si="39"/>
        <v>50</v>
      </c>
      <c r="AY196" s="76">
        <f t="shared" si="40"/>
        <v>0</v>
      </c>
      <c r="AZ196" s="67">
        <f t="shared" ref="AZ196:AZ254" si="48">COUNTA(E196:AJ196)</f>
        <v>0</v>
      </c>
      <c r="BA196" s="76">
        <f t="shared" si="38"/>
        <v>0</v>
      </c>
      <c r="BC196" s="67">
        <f t="shared" ref="BC196:BC254" si="49">COUNTA(E196:T196)</f>
        <v>0</v>
      </c>
      <c r="BD196" s="67">
        <f t="shared" ref="BD196:BD254" si="50">COUNTA(U196:AJ196)</f>
        <v>0</v>
      </c>
    </row>
    <row r="197" spans="1:56">
      <c r="A197" s="67">
        <v>454</v>
      </c>
      <c r="B197" s="8" t="s">
        <v>88</v>
      </c>
      <c r="C197" s="8" t="s">
        <v>12</v>
      </c>
      <c r="D197" s="67" t="s">
        <v>42</v>
      </c>
      <c r="E197" s="269"/>
      <c r="F197" s="20"/>
      <c r="G197" s="20"/>
      <c r="H197" s="20"/>
      <c r="I197" s="20"/>
      <c r="J197" s="20"/>
      <c r="K197" s="20"/>
      <c r="L197" s="270"/>
      <c r="M197" s="269"/>
      <c r="N197" s="20"/>
      <c r="O197" s="20"/>
      <c r="P197" s="20"/>
      <c r="Q197" s="20" t="s">
        <v>435</v>
      </c>
      <c r="R197" s="20" t="s">
        <v>434</v>
      </c>
      <c r="S197" s="20"/>
      <c r="T197" s="270"/>
      <c r="U197" s="269"/>
      <c r="V197" s="20"/>
      <c r="W197" s="20" t="s">
        <v>446</v>
      </c>
      <c r="X197" s="20"/>
      <c r="Y197" s="20"/>
      <c r="Z197" s="20"/>
      <c r="AA197" s="20"/>
      <c r="AB197" s="270"/>
      <c r="AC197" s="269"/>
      <c r="AD197" s="20"/>
      <c r="AE197" s="20"/>
      <c r="AF197" s="20"/>
      <c r="AG197" s="20"/>
      <c r="AH197" s="20"/>
      <c r="AI197" s="20"/>
      <c r="AJ197" s="270"/>
      <c r="AK197" s="67">
        <v>454</v>
      </c>
      <c r="AM197" s="67">
        <v>1</v>
      </c>
      <c r="AO197" s="67">
        <f t="shared" si="41"/>
        <v>0</v>
      </c>
      <c r="AP197" s="67">
        <f t="shared" si="42"/>
        <v>0</v>
      </c>
      <c r="AQ197" s="67">
        <f t="shared" si="43"/>
        <v>0</v>
      </c>
      <c r="AR197" s="67">
        <f t="shared" si="44"/>
        <v>2</v>
      </c>
      <c r="AS197" s="67">
        <f t="shared" si="45"/>
        <v>2</v>
      </c>
      <c r="AT197" s="67">
        <f t="shared" si="46"/>
        <v>0</v>
      </c>
      <c r="AU197" s="67">
        <f t="shared" si="47"/>
        <v>4</v>
      </c>
      <c r="AW197" s="256">
        <v>32</v>
      </c>
      <c r="AX197" s="67">
        <f t="shared" si="39"/>
        <v>160</v>
      </c>
      <c r="AY197" s="76">
        <f t="shared" si="40"/>
        <v>2.5000000000000001E-2</v>
      </c>
      <c r="AZ197" s="67">
        <f t="shared" si="48"/>
        <v>3</v>
      </c>
      <c r="BA197" s="76">
        <f t="shared" ref="BA197:BA255" si="51">AZ197/AW197</f>
        <v>9.375E-2</v>
      </c>
      <c r="BC197" s="67">
        <f t="shared" si="49"/>
        <v>2</v>
      </c>
      <c r="BD197" s="67">
        <f t="shared" si="50"/>
        <v>1</v>
      </c>
    </row>
    <row r="198" spans="1:56">
      <c r="A198" s="67">
        <v>459</v>
      </c>
      <c r="B198" s="8" t="s">
        <v>201</v>
      </c>
      <c r="C198" s="8" t="s">
        <v>357</v>
      </c>
      <c r="D198" s="8" t="s">
        <v>42</v>
      </c>
      <c r="E198" s="269"/>
      <c r="F198" s="20"/>
      <c r="G198" s="20"/>
      <c r="H198" s="20"/>
      <c r="I198" s="20"/>
      <c r="J198" s="20"/>
      <c r="K198" s="20"/>
      <c r="L198" s="270"/>
      <c r="M198" s="269"/>
      <c r="N198" s="20"/>
      <c r="O198" s="20"/>
      <c r="P198" s="20"/>
      <c r="Q198" s="20"/>
      <c r="R198" s="20"/>
      <c r="S198" s="20"/>
      <c r="T198" s="270"/>
      <c r="U198" s="269"/>
      <c r="V198" s="20"/>
      <c r="W198" s="20"/>
      <c r="X198" s="20"/>
      <c r="Y198" s="20"/>
      <c r="Z198" s="20"/>
      <c r="AA198" s="20"/>
      <c r="AB198" s="270"/>
      <c r="AC198" s="269"/>
      <c r="AD198" s="20"/>
      <c r="AE198" s="20"/>
      <c r="AF198" s="20"/>
      <c r="AG198" s="20"/>
      <c r="AH198" s="20"/>
      <c r="AI198" s="20"/>
      <c r="AJ198" s="270"/>
      <c r="AK198" s="67">
        <v>459</v>
      </c>
      <c r="AL198" s="67">
        <v>1</v>
      </c>
      <c r="AO198" s="67">
        <f t="shared" si="41"/>
        <v>0</v>
      </c>
      <c r="AP198" s="67">
        <f t="shared" si="42"/>
        <v>0</v>
      </c>
      <c r="AQ198" s="67">
        <f t="shared" si="43"/>
        <v>0</v>
      </c>
      <c r="AR198" s="67">
        <f t="shared" si="44"/>
        <v>0</v>
      </c>
      <c r="AS198" s="67">
        <f t="shared" si="45"/>
        <v>0</v>
      </c>
      <c r="AT198" s="67">
        <f t="shared" si="46"/>
        <v>0</v>
      </c>
      <c r="AU198" s="67">
        <f t="shared" si="47"/>
        <v>0</v>
      </c>
      <c r="AW198" s="256">
        <v>28</v>
      </c>
      <c r="AX198" s="67">
        <f t="shared" si="39"/>
        <v>140</v>
      </c>
      <c r="AY198" s="76">
        <f t="shared" si="40"/>
        <v>0</v>
      </c>
      <c r="AZ198" s="67">
        <f t="shared" si="48"/>
        <v>0</v>
      </c>
      <c r="BA198" s="76">
        <f t="shared" si="51"/>
        <v>0</v>
      </c>
      <c r="BC198" s="67">
        <f t="shared" si="49"/>
        <v>0</v>
      </c>
      <c r="BD198" s="67">
        <f t="shared" si="50"/>
        <v>0</v>
      </c>
    </row>
    <row r="199" spans="1:56">
      <c r="A199" s="67">
        <v>464</v>
      </c>
      <c r="B199" s="8" t="s">
        <v>99</v>
      </c>
      <c r="C199" s="8" t="s">
        <v>346</v>
      </c>
      <c r="E199" s="269"/>
      <c r="F199" s="20"/>
      <c r="G199" s="20"/>
      <c r="H199" s="20"/>
      <c r="I199" s="20" t="s">
        <v>435</v>
      </c>
      <c r="J199" s="20"/>
      <c r="K199" s="20"/>
      <c r="L199" s="270"/>
      <c r="M199" s="269"/>
      <c r="N199" s="20"/>
      <c r="O199" s="20"/>
      <c r="P199" s="20"/>
      <c r="Q199" s="20"/>
      <c r="R199" s="20"/>
      <c r="S199" s="20"/>
      <c r="T199" s="270"/>
      <c r="U199" s="269"/>
      <c r="V199" s="20"/>
      <c r="W199" s="20"/>
      <c r="X199" s="20"/>
      <c r="Y199" s="20"/>
      <c r="Z199" s="20"/>
      <c r="AA199" s="20"/>
      <c r="AB199" s="270"/>
      <c r="AC199" s="269"/>
      <c r="AD199" s="20"/>
      <c r="AE199" s="20"/>
      <c r="AF199" s="20" t="s">
        <v>435</v>
      </c>
      <c r="AG199" s="20"/>
      <c r="AH199" s="20"/>
      <c r="AI199" s="20"/>
      <c r="AJ199" s="270"/>
      <c r="AK199" s="67">
        <v>464</v>
      </c>
      <c r="AM199" s="67">
        <v>1</v>
      </c>
      <c r="AO199" s="67">
        <f t="shared" si="41"/>
        <v>0</v>
      </c>
      <c r="AP199" s="67">
        <f t="shared" si="42"/>
        <v>0</v>
      </c>
      <c r="AQ199" s="67">
        <f t="shared" si="43"/>
        <v>0</v>
      </c>
      <c r="AR199" s="67">
        <f t="shared" si="44"/>
        <v>0</v>
      </c>
      <c r="AS199" s="67">
        <f t="shared" si="45"/>
        <v>2</v>
      </c>
      <c r="AT199" s="67">
        <f t="shared" si="46"/>
        <v>0</v>
      </c>
      <c r="AU199" s="67">
        <f t="shared" si="47"/>
        <v>2</v>
      </c>
      <c r="AW199" s="256">
        <v>24</v>
      </c>
      <c r="AX199" s="67">
        <f t="shared" si="39"/>
        <v>120</v>
      </c>
      <c r="AY199" s="76">
        <f t="shared" si="40"/>
        <v>1.6666666666666666E-2</v>
      </c>
      <c r="AZ199" s="67">
        <f t="shared" si="48"/>
        <v>2</v>
      </c>
      <c r="BA199" s="76">
        <f t="shared" si="51"/>
        <v>8.3333333333333329E-2</v>
      </c>
      <c r="BC199" s="67">
        <f t="shared" si="49"/>
        <v>1</v>
      </c>
      <c r="BD199" s="67">
        <f t="shared" si="50"/>
        <v>1</v>
      </c>
    </row>
    <row r="200" spans="1:56">
      <c r="A200" s="67">
        <v>466</v>
      </c>
      <c r="B200" s="8" t="s">
        <v>41</v>
      </c>
      <c r="C200" s="8" t="s">
        <v>42</v>
      </c>
      <c r="D200" s="8" t="s">
        <v>6</v>
      </c>
      <c r="E200" s="269" t="s">
        <v>431</v>
      </c>
      <c r="F200" s="20"/>
      <c r="G200" s="20"/>
      <c r="H200" s="20"/>
      <c r="I200" s="20"/>
      <c r="J200" s="20"/>
      <c r="K200" s="20"/>
      <c r="L200" s="270"/>
      <c r="M200" s="269"/>
      <c r="N200" s="20"/>
      <c r="O200" s="20"/>
      <c r="P200" s="20"/>
      <c r="Q200" s="20"/>
      <c r="R200" s="20"/>
      <c r="S200" s="20" t="s">
        <v>434</v>
      </c>
      <c r="T200" s="270"/>
      <c r="U200" s="269"/>
      <c r="V200" s="20" t="s">
        <v>436</v>
      </c>
      <c r="W200" s="20" t="s">
        <v>460</v>
      </c>
      <c r="X200" s="20"/>
      <c r="Y200" s="20"/>
      <c r="Z200" s="20"/>
      <c r="AA200" s="20"/>
      <c r="AB200" s="270"/>
      <c r="AC200" s="269"/>
      <c r="AD200" s="20"/>
      <c r="AE200" s="20"/>
      <c r="AF200" s="20"/>
      <c r="AG200" s="20" t="s">
        <v>435</v>
      </c>
      <c r="AH200" s="20" t="s">
        <v>446</v>
      </c>
      <c r="AI200" s="20"/>
      <c r="AJ200" s="270"/>
      <c r="AK200" s="67">
        <v>466</v>
      </c>
      <c r="AM200" s="67">
        <v>1</v>
      </c>
      <c r="AO200" s="67">
        <f t="shared" si="41"/>
        <v>1</v>
      </c>
      <c r="AP200" s="67">
        <f t="shared" si="42"/>
        <v>1</v>
      </c>
      <c r="AQ200" s="67">
        <f t="shared" si="43"/>
        <v>0</v>
      </c>
      <c r="AR200" s="67">
        <f t="shared" si="44"/>
        <v>3</v>
      </c>
      <c r="AS200" s="67">
        <f t="shared" si="45"/>
        <v>2</v>
      </c>
      <c r="AT200" s="67">
        <f t="shared" si="46"/>
        <v>1</v>
      </c>
      <c r="AU200" s="67">
        <f t="shared" si="47"/>
        <v>8</v>
      </c>
      <c r="AW200" s="256">
        <v>29</v>
      </c>
      <c r="AX200" s="67">
        <f t="shared" si="39"/>
        <v>145</v>
      </c>
      <c r="AY200" s="76">
        <f t="shared" si="40"/>
        <v>5.5172413793103448E-2</v>
      </c>
      <c r="AZ200" s="67">
        <f t="shared" si="48"/>
        <v>6</v>
      </c>
      <c r="BA200" s="76">
        <f t="shared" si="51"/>
        <v>0.20689655172413793</v>
      </c>
      <c r="BC200" s="67">
        <f t="shared" si="49"/>
        <v>2</v>
      </c>
      <c r="BD200" s="67">
        <f t="shared" si="50"/>
        <v>4</v>
      </c>
    </row>
    <row r="201" spans="1:56">
      <c r="A201" s="67">
        <v>467</v>
      </c>
      <c r="B201" s="8" t="s">
        <v>41</v>
      </c>
      <c r="C201" s="8" t="s">
        <v>42</v>
      </c>
      <c r="D201" s="8" t="s">
        <v>6</v>
      </c>
      <c r="E201" s="269"/>
      <c r="F201" s="20"/>
      <c r="G201" s="20"/>
      <c r="H201" s="20" t="s">
        <v>434</v>
      </c>
      <c r="I201" s="20"/>
      <c r="J201" s="20"/>
      <c r="K201" s="20"/>
      <c r="L201" s="270"/>
      <c r="M201" s="269"/>
      <c r="N201" s="20"/>
      <c r="O201" s="20"/>
      <c r="P201" s="20"/>
      <c r="Q201" s="20" t="s">
        <v>434</v>
      </c>
      <c r="R201" s="20"/>
      <c r="S201" s="20" t="s">
        <v>436</v>
      </c>
      <c r="T201" s="270" t="s">
        <v>436</v>
      </c>
      <c r="U201" s="269" t="s">
        <v>431</v>
      </c>
      <c r="V201" s="5" t="s">
        <v>453</v>
      </c>
      <c r="W201" s="5" t="s">
        <v>442</v>
      </c>
      <c r="X201" s="20"/>
      <c r="Y201" s="20"/>
      <c r="Z201" s="20"/>
      <c r="AA201" s="20"/>
      <c r="AB201" s="270"/>
      <c r="AC201" s="269"/>
      <c r="AD201" s="20"/>
      <c r="AE201" s="20"/>
      <c r="AF201" s="20"/>
      <c r="AG201" s="20"/>
      <c r="AH201" s="20"/>
      <c r="AI201" s="20"/>
      <c r="AJ201" s="270" t="s">
        <v>453</v>
      </c>
      <c r="AK201" s="67">
        <v>467</v>
      </c>
      <c r="AM201" s="67">
        <v>1</v>
      </c>
      <c r="AO201" s="67">
        <f t="shared" si="41"/>
        <v>4</v>
      </c>
      <c r="AP201" s="67">
        <f t="shared" si="42"/>
        <v>1</v>
      </c>
      <c r="AQ201" s="67">
        <f t="shared" si="43"/>
        <v>0</v>
      </c>
      <c r="AR201" s="67">
        <f t="shared" si="44"/>
        <v>3</v>
      </c>
      <c r="AS201" s="67">
        <f t="shared" si="45"/>
        <v>1</v>
      </c>
      <c r="AT201" s="67">
        <f t="shared" si="46"/>
        <v>5</v>
      </c>
      <c r="AU201" s="67">
        <f t="shared" si="47"/>
        <v>14</v>
      </c>
      <c r="AW201" s="256">
        <v>32</v>
      </c>
      <c r="AX201" s="67">
        <f t="shared" si="39"/>
        <v>160</v>
      </c>
      <c r="AY201" s="76">
        <f t="shared" si="40"/>
        <v>8.7499999999999994E-2</v>
      </c>
      <c r="AZ201" s="67">
        <f t="shared" si="48"/>
        <v>8</v>
      </c>
      <c r="BA201" s="76">
        <f t="shared" si="51"/>
        <v>0.25</v>
      </c>
      <c r="BC201" s="67">
        <f t="shared" si="49"/>
        <v>4</v>
      </c>
      <c r="BD201" s="67">
        <f t="shared" si="50"/>
        <v>4</v>
      </c>
    </row>
    <row r="202" spans="1:56">
      <c r="A202" s="67">
        <v>468</v>
      </c>
      <c r="B202" s="8" t="s">
        <v>282</v>
      </c>
      <c r="C202" s="8" t="s">
        <v>358</v>
      </c>
      <c r="D202" s="8" t="s">
        <v>6</v>
      </c>
      <c r="E202" s="269"/>
      <c r="F202" s="20"/>
      <c r="G202" s="20"/>
      <c r="H202" s="20"/>
      <c r="I202" s="20"/>
      <c r="J202" s="20"/>
      <c r="K202" s="20"/>
      <c r="L202" s="270"/>
      <c r="M202" s="269"/>
      <c r="N202" s="20"/>
      <c r="O202" s="20"/>
      <c r="P202" s="20"/>
      <c r="Q202" s="20"/>
      <c r="R202" s="20"/>
      <c r="S202" s="20"/>
      <c r="T202" s="270"/>
      <c r="U202" s="269"/>
      <c r="V202" s="20"/>
      <c r="W202" s="20"/>
      <c r="X202" s="20"/>
      <c r="Y202" s="20"/>
      <c r="Z202" s="20"/>
      <c r="AA202" s="20"/>
      <c r="AB202" s="270"/>
      <c r="AC202" s="269"/>
      <c r="AD202" s="20"/>
      <c r="AE202" s="20"/>
      <c r="AF202" s="20"/>
      <c r="AG202" s="20"/>
      <c r="AH202" s="20"/>
      <c r="AI202" s="20"/>
      <c r="AJ202" s="270"/>
      <c r="AK202" s="67">
        <v>468</v>
      </c>
      <c r="AL202" s="67">
        <v>1</v>
      </c>
      <c r="AO202" s="67">
        <f t="shared" si="41"/>
        <v>0</v>
      </c>
      <c r="AP202" s="67">
        <f t="shared" si="42"/>
        <v>0</v>
      </c>
      <c r="AQ202" s="67">
        <f t="shared" si="43"/>
        <v>0</v>
      </c>
      <c r="AR202" s="67">
        <f t="shared" si="44"/>
        <v>0</v>
      </c>
      <c r="AS202" s="67">
        <f t="shared" si="45"/>
        <v>0</v>
      </c>
      <c r="AT202" s="67">
        <f t="shared" si="46"/>
        <v>0</v>
      </c>
      <c r="AU202" s="67">
        <f t="shared" si="47"/>
        <v>0</v>
      </c>
      <c r="AW202" s="256">
        <v>28</v>
      </c>
      <c r="AX202" s="67">
        <f t="shared" si="39"/>
        <v>140</v>
      </c>
      <c r="AY202" s="76">
        <f t="shared" si="40"/>
        <v>0</v>
      </c>
      <c r="AZ202" s="67">
        <f t="shared" si="48"/>
        <v>0</v>
      </c>
      <c r="BA202" s="76">
        <f t="shared" si="51"/>
        <v>0</v>
      </c>
      <c r="BC202" s="67">
        <f t="shared" si="49"/>
        <v>0</v>
      </c>
      <c r="BD202" s="67">
        <f t="shared" si="50"/>
        <v>0</v>
      </c>
    </row>
    <row r="203" spans="1:56">
      <c r="A203" s="67">
        <v>469</v>
      </c>
      <c r="B203" s="8" t="s">
        <v>44</v>
      </c>
      <c r="C203" s="8" t="s">
        <v>349</v>
      </c>
      <c r="D203" s="8" t="s">
        <v>42</v>
      </c>
      <c r="E203" s="269"/>
      <c r="F203" s="20"/>
      <c r="G203" s="20"/>
      <c r="H203" s="20"/>
      <c r="I203" s="20"/>
      <c r="J203" s="20" t="s">
        <v>451</v>
      </c>
      <c r="K203" s="20"/>
      <c r="L203" s="270"/>
      <c r="M203" s="269" t="s">
        <v>451</v>
      </c>
      <c r="N203" s="20"/>
      <c r="O203" s="20" t="s">
        <v>436</v>
      </c>
      <c r="P203" s="20" t="s">
        <v>435</v>
      </c>
      <c r="Q203" s="5" t="s">
        <v>442</v>
      </c>
      <c r="R203" s="20"/>
      <c r="S203" s="20"/>
      <c r="T203" s="270"/>
      <c r="U203" s="269"/>
      <c r="V203" s="20"/>
      <c r="W203" s="20"/>
      <c r="X203" s="20"/>
      <c r="Y203" s="20"/>
      <c r="Z203" s="20"/>
      <c r="AA203" s="20"/>
      <c r="AB203" s="270"/>
      <c r="AC203" s="269"/>
      <c r="AD203" s="20"/>
      <c r="AE203" s="20"/>
      <c r="AF203" s="20"/>
      <c r="AG203" s="20"/>
      <c r="AH203" s="20"/>
      <c r="AI203" s="20"/>
      <c r="AJ203" s="270"/>
      <c r="AK203" s="67">
        <v>469</v>
      </c>
      <c r="AM203" s="67">
        <v>1</v>
      </c>
      <c r="AO203" s="67">
        <f t="shared" si="41"/>
        <v>1</v>
      </c>
      <c r="AP203" s="67">
        <f t="shared" si="42"/>
        <v>3</v>
      </c>
      <c r="AQ203" s="67">
        <f t="shared" si="43"/>
        <v>2</v>
      </c>
      <c r="AR203" s="67">
        <f t="shared" si="44"/>
        <v>3</v>
      </c>
      <c r="AS203" s="67">
        <f t="shared" si="45"/>
        <v>4</v>
      </c>
      <c r="AT203" s="67">
        <f t="shared" si="46"/>
        <v>4</v>
      </c>
      <c r="AU203" s="67">
        <f t="shared" si="47"/>
        <v>17</v>
      </c>
      <c r="AW203" s="256">
        <v>19</v>
      </c>
      <c r="AX203" s="67">
        <f t="shared" si="39"/>
        <v>95</v>
      </c>
      <c r="AY203" s="76">
        <f t="shared" si="40"/>
        <v>0.17894736842105263</v>
      </c>
      <c r="AZ203" s="67">
        <f t="shared" si="48"/>
        <v>5</v>
      </c>
      <c r="BA203" s="76">
        <f t="shared" si="51"/>
        <v>0.26315789473684209</v>
      </c>
      <c r="BC203" s="67">
        <f t="shared" si="49"/>
        <v>5</v>
      </c>
      <c r="BD203" s="67">
        <f t="shared" si="50"/>
        <v>0</v>
      </c>
    </row>
    <row r="204" spans="1:56">
      <c r="A204" s="67">
        <v>471</v>
      </c>
      <c r="B204" s="8" t="s">
        <v>71</v>
      </c>
      <c r="C204" s="8" t="s">
        <v>366</v>
      </c>
      <c r="D204" s="8" t="s">
        <v>6</v>
      </c>
      <c r="E204" s="269"/>
      <c r="F204" s="20"/>
      <c r="G204" s="20"/>
      <c r="H204" s="20"/>
      <c r="I204" s="20"/>
      <c r="J204" s="20"/>
      <c r="K204" s="20"/>
      <c r="L204" s="270"/>
      <c r="M204" s="269"/>
      <c r="N204" s="20"/>
      <c r="O204" s="20"/>
      <c r="P204" s="20" t="s">
        <v>435</v>
      </c>
      <c r="Q204" s="20"/>
      <c r="R204" s="20"/>
      <c r="S204" s="20"/>
      <c r="T204" s="270" t="s">
        <v>436</v>
      </c>
      <c r="U204" s="269"/>
      <c r="V204" s="20"/>
      <c r="W204" s="5" t="s">
        <v>434</v>
      </c>
      <c r="X204" s="20"/>
      <c r="Y204" s="20"/>
      <c r="Z204" s="20"/>
      <c r="AA204" s="20"/>
      <c r="AB204" s="270"/>
      <c r="AC204" s="269"/>
      <c r="AD204" s="20"/>
      <c r="AE204" s="20"/>
      <c r="AF204" s="20"/>
      <c r="AG204" s="20" t="s">
        <v>435</v>
      </c>
      <c r="AH204" s="20" t="s">
        <v>447</v>
      </c>
      <c r="AI204" s="20"/>
      <c r="AJ204" s="270"/>
      <c r="AK204" s="67">
        <v>471</v>
      </c>
      <c r="AM204" s="67">
        <v>1</v>
      </c>
      <c r="AO204" s="67">
        <f t="shared" si="41"/>
        <v>0</v>
      </c>
      <c r="AP204" s="67">
        <f t="shared" si="42"/>
        <v>0</v>
      </c>
      <c r="AQ204" s="67">
        <f t="shared" si="43"/>
        <v>0</v>
      </c>
      <c r="AR204" s="67">
        <f t="shared" si="44"/>
        <v>2</v>
      </c>
      <c r="AS204" s="67">
        <f t="shared" si="45"/>
        <v>2</v>
      </c>
      <c r="AT204" s="67">
        <f t="shared" si="46"/>
        <v>2</v>
      </c>
      <c r="AU204" s="67">
        <f t="shared" si="47"/>
        <v>6</v>
      </c>
      <c r="AW204" s="256">
        <v>32</v>
      </c>
      <c r="AX204" s="67">
        <f t="shared" si="39"/>
        <v>160</v>
      </c>
      <c r="AY204" s="76">
        <f t="shared" si="40"/>
        <v>3.7499999999999999E-2</v>
      </c>
      <c r="AZ204" s="67">
        <f t="shared" si="48"/>
        <v>5</v>
      </c>
      <c r="BA204" s="76">
        <f t="shared" si="51"/>
        <v>0.15625</v>
      </c>
      <c r="BC204" s="67">
        <f t="shared" si="49"/>
        <v>2</v>
      </c>
      <c r="BD204" s="67">
        <f t="shared" si="50"/>
        <v>3</v>
      </c>
    </row>
    <row r="205" spans="1:56">
      <c r="A205" s="67">
        <v>474</v>
      </c>
      <c r="B205" s="8" t="s">
        <v>106</v>
      </c>
      <c r="C205" s="8" t="s">
        <v>349</v>
      </c>
      <c r="D205" s="8" t="s">
        <v>6</v>
      </c>
      <c r="E205" s="269"/>
      <c r="F205" s="20"/>
      <c r="G205" s="20"/>
      <c r="H205" s="20"/>
      <c r="I205" s="20"/>
      <c r="J205" s="20"/>
      <c r="K205" s="20"/>
      <c r="L205" s="270"/>
      <c r="M205" s="269"/>
      <c r="N205" s="20"/>
      <c r="O205" s="20"/>
      <c r="P205" s="20"/>
      <c r="Q205" s="20"/>
      <c r="R205" s="20"/>
      <c r="S205" s="20"/>
      <c r="T205" s="270"/>
      <c r="U205" s="269"/>
      <c r="V205" s="20"/>
      <c r="W205" s="20"/>
      <c r="X205" s="20"/>
      <c r="Y205" s="20" t="s">
        <v>431</v>
      </c>
      <c r="Z205" s="20"/>
      <c r="AA205" s="20"/>
      <c r="AB205" s="270"/>
      <c r="AC205" s="269"/>
      <c r="AD205" s="20"/>
      <c r="AE205" s="20"/>
      <c r="AF205" s="20" t="s">
        <v>461</v>
      </c>
      <c r="AG205" s="20"/>
      <c r="AH205" s="20"/>
      <c r="AI205" s="20"/>
      <c r="AJ205" s="270"/>
      <c r="AK205" s="67">
        <v>474</v>
      </c>
      <c r="AM205" s="67">
        <v>1</v>
      </c>
      <c r="AO205" s="67">
        <f t="shared" si="41"/>
        <v>2</v>
      </c>
      <c r="AP205" s="67">
        <f t="shared" si="42"/>
        <v>0</v>
      </c>
      <c r="AQ205" s="67">
        <f t="shared" si="43"/>
        <v>0</v>
      </c>
      <c r="AR205" s="67">
        <f t="shared" si="44"/>
        <v>0</v>
      </c>
      <c r="AS205" s="67">
        <f t="shared" si="45"/>
        <v>1</v>
      </c>
      <c r="AT205" s="67">
        <f t="shared" si="46"/>
        <v>0</v>
      </c>
      <c r="AU205" s="67">
        <f t="shared" si="47"/>
        <v>3</v>
      </c>
      <c r="AW205" s="256">
        <v>7</v>
      </c>
      <c r="AX205" s="67">
        <f t="shared" si="39"/>
        <v>35</v>
      </c>
      <c r="AY205" s="76">
        <f t="shared" si="40"/>
        <v>8.5714285714285715E-2</v>
      </c>
      <c r="AZ205" s="67">
        <f t="shared" si="48"/>
        <v>2</v>
      </c>
      <c r="BA205" s="76">
        <f t="shared" si="51"/>
        <v>0.2857142857142857</v>
      </c>
      <c r="BC205" s="67">
        <f t="shared" si="49"/>
        <v>0</v>
      </c>
      <c r="BD205" s="67">
        <f t="shared" si="50"/>
        <v>2</v>
      </c>
    </row>
    <row r="206" spans="1:56">
      <c r="A206" s="67">
        <v>476</v>
      </c>
      <c r="B206" s="8" t="s">
        <v>44</v>
      </c>
      <c r="C206" s="8" t="s">
        <v>349</v>
      </c>
      <c r="D206" s="8" t="s">
        <v>42</v>
      </c>
      <c r="E206" s="269"/>
      <c r="F206" s="20"/>
      <c r="G206" s="20"/>
      <c r="H206" s="20"/>
      <c r="I206" s="20"/>
      <c r="J206" s="20"/>
      <c r="K206" s="20"/>
      <c r="L206" s="270"/>
      <c r="M206" s="269"/>
      <c r="N206" s="20"/>
      <c r="O206" s="20"/>
      <c r="P206" s="20"/>
      <c r="Q206" s="20"/>
      <c r="R206" s="20"/>
      <c r="S206" s="20"/>
      <c r="T206" s="270"/>
      <c r="U206" s="269"/>
      <c r="V206" s="20"/>
      <c r="W206" s="20"/>
      <c r="X206" s="20"/>
      <c r="Y206" s="20"/>
      <c r="Z206" s="20"/>
      <c r="AA206" s="20"/>
      <c r="AB206" s="270"/>
      <c r="AC206" s="269"/>
      <c r="AD206" s="20"/>
      <c r="AE206" s="20"/>
      <c r="AF206" s="20"/>
      <c r="AG206" s="20"/>
      <c r="AH206" s="20"/>
      <c r="AI206" s="20"/>
      <c r="AJ206" s="270"/>
      <c r="AK206" s="67">
        <v>476</v>
      </c>
      <c r="AL206" s="67">
        <v>1</v>
      </c>
      <c r="AO206" s="67">
        <f t="shared" si="41"/>
        <v>0</v>
      </c>
      <c r="AP206" s="67">
        <f t="shared" si="42"/>
        <v>0</v>
      </c>
      <c r="AQ206" s="67">
        <f t="shared" si="43"/>
        <v>0</v>
      </c>
      <c r="AR206" s="67">
        <f t="shared" si="44"/>
        <v>0</v>
      </c>
      <c r="AS206" s="67">
        <f t="shared" si="45"/>
        <v>0</v>
      </c>
      <c r="AT206" s="67">
        <f t="shared" si="46"/>
        <v>0</v>
      </c>
      <c r="AU206" s="67">
        <f t="shared" si="47"/>
        <v>0</v>
      </c>
      <c r="AW206" s="256">
        <v>23</v>
      </c>
      <c r="AX206" s="67">
        <f t="shared" si="39"/>
        <v>115</v>
      </c>
      <c r="AY206" s="76">
        <f t="shared" si="40"/>
        <v>0</v>
      </c>
      <c r="AZ206" s="67">
        <f t="shared" si="48"/>
        <v>0</v>
      </c>
      <c r="BA206" s="76">
        <f t="shared" si="51"/>
        <v>0</v>
      </c>
      <c r="BC206" s="67">
        <f t="shared" si="49"/>
        <v>0</v>
      </c>
      <c r="BD206" s="67">
        <f t="shared" si="50"/>
        <v>0</v>
      </c>
    </row>
    <row r="207" spans="1:56">
      <c r="A207" s="67">
        <v>478</v>
      </c>
      <c r="B207" s="8" t="s">
        <v>62</v>
      </c>
      <c r="C207" s="8" t="s">
        <v>42</v>
      </c>
      <c r="D207" s="8" t="s">
        <v>42</v>
      </c>
      <c r="E207" s="269"/>
      <c r="F207" s="20"/>
      <c r="G207" s="20"/>
      <c r="H207" s="20"/>
      <c r="I207" s="20"/>
      <c r="J207" s="20"/>
      <c r="K207" s="20"/>
      <c r="L207" s="270"/>
      <c r="M207" s="269"/>
      <c r="N207" s="20"/>
      <c r="O207" s="20"/>
      <c r="P207" s="20" t="s">
        <v>434</v>
      </c>
      <c r="Q207" s="20"/>
      <c r="R207" s="20"/>
      <c r="S207" s="20"/>
      <c r="T207" s="270"/>
      <c r="U207" s="269" t="s">
        <v>436</v>
      </c>
      <c r="V207" s="20" t="s">
        <v>475</v>
      </c>
      <c r="W207" s="5" t="s">
        <v>434</v>
      </c>
      <c r="X207" s="5" t="s">
        <v>446</v>
      </c>
      <c r="Y207" s="5" t="s">
        <v>435</v>
      </c>
      <c r="Z207" s="20"/>
      <c r="AA207" s="20"/>
      <c r="AB207" s="270"/>
      <c r="AC207" s="269"/>
      <c r="AD207" s="20"/>
      <c r="AE207" s="20"/>
      <c r="AF207" s="20"/>
      <c r="AG207" s="20"/>
      <c r="AH207" s="20" t="s">
        <v>442</v>
      </c>
      <c r="AI207" s="20" t="s">
        <v>476</v>
      </c>
      <c r="AJ207" s="270" t="s">
        <v>436</v>
      </c>
      <c r="AK207" s="67">
        <v>478</v>
      </c>
      <c r="AM207" s="67">
        <v>1</v>
      </c>
      <c r="AO207" s="67">
        <f t="shared" si="41"/>
        <v>3</v>
      </c>
      <c r="AP207" s="67">
        <f t="shared" si="42"/>
        <v>3</v>
      </c>
      <c r="AQ207" s="67">
        <f t="shared" si="43"/>
        <v>0</v>
      </c>
      <c r="AR207" s="67">
        <f t="shared" si="44"/>
        <v>5</v>
      </c>
      <c r="AS207" s="67">
        <f t="shared" si="45"/>
        <v>4</v>
      </c>
      <c r="AT207" s="67">
        <f t="shared" si="46"/>
        <v>4</v>
      </c>
      <c r="AU207" s="67">
        <f t="shared" si="47"/>
        <v>19</v>
      </c>
      <c r="AW207" s="256">
        <v>26</v>
      </c>
      <c r="AX207" s="67">
        <f t="shared" si="39"/>
        <v>130</v>
      </c>
      <c r="AY207" s="76">
        <f t="shared" si="40"/>
        <v>0.14615384615384616</v>
      </c>
      <c r="AZ207" s="67">
        <f t="shared" si="48"/>
        <v>9</v>
      </c>
      <c r="BA207" s="76">
        <f t="shared" si="51"/>
        <v>0.34615384615384615</v>
      </c>
      <c r="BC207" s="67">
        <f t="shared" si="49"/>
        <v>1</v>
      </c>
      <c r="BD207" s="67">
        <f t="shared" si="50"/>
        <v>8</v>
      </c>
    </row>
    <row r="208" spans="1:56">
      <c r="A208" s="67">
        <v>480</v>
      </c>
      <c r="B208" s="8" t="s">
        <v>55</v>
      </c>
      <c r="C208" s="8" t="s">
        <v>346</v>
      </c>
      <c r="E208" s="269"/>
      <c r="F208" s="20"/>
      <c r="G208" s="20"/>
      <c r="H208" s="20"/>
      <c r="I208" s="20"/>
      <c r="J208" s="20"/>
      <c r="K208" s="20"/>
      <c r="L208" s="270"/>
      <c r="M208" s="269"/>
      <c r="N208" s="20"/>
      <c r="O208" s="20"/>
      <c r="P208" s="20"/>
      <c r="Q208" s="20"/>
      <c r="R208" s="20"/>
      <c r="S208" s="20"/>
      <c r="T208" s="270"/>
      <c r="U208" s="269"/>
      <c r="V208" s="20"/>
      <c r="W208" s="20"/>
      <c r="X208" s="20"/>
      <c r="Y208" s="20"/>
      <c r="Z208" s="20"/>
      <c r="AA208" s="20"/>
      <c r="AB208" s="270"/>
      <c r="AC208" s="269"/>
      <c r="AD208" s="20"/>
      <c r="AE208" s="20"/>
      <c r="AF208" s="20"/>
      <c r="AG208" s="20"/>
      <c r="AH208" s="20"/>
      <c r="AI208" s="20"/>
      <c r="AJ208" s="270"/>
      <c r="AK208" s="67">
        <v>480</v>
      </c>
      <c r="AL208" s="67">
        <v>1</v>
      </c>
      <c r="AO208" s="67">
        <f t="shared" si="41"/>
        <v>0</v>
      </c>
      <c r="AP208" s="67">
        <f t="shared" si="42"/>
        <v>0</v>
      </c>
      <c r="AQ208" s="67">
        <f t="shared" si="43"/>
        <v>0</v>
      </c>
      <c r="AR208" s="67">
        <f t="shared" si="44"/>
        <v>0</v>
      </c>
      <c r="AS208" s="67">
        <f t="shared" si="45"/>
        <v>0</v>
      </c>
      <c r="AT208" s="67">
        <f t="shared" si="46"/>
        <v>0</v>
      </c>
      <c r="AU208" s="67">
        <f t="shared" si="47"/>
        <v>0</v>
      </c>
      <c r="AW208" s="256">
        <v>19</v>
      </c>
      <c r="AX208" s="67">
        <f t="shared" si="39"/>
        <v>95</v>
      </c>
      <c r="AY208" s="76">
        <f t="shared" si="40"/>
        <v>0</v>
      </c>
      <c r="AZ208" s="67">
        <f t="shared" si="48"/>
        <v>0</v>
      </c>
      <c r="BA208" s="76">
        <f t="shared" si="51"/>
        <v>0</v>
      </c>
      <c r="BC208" s="67">
        <f t="shared" si="49"/>
        <v>0</v>
      </c>
      <c r="BD208" s="67">
        <f t="shared" si="50"/>
        <v>0</v>
      </c>
    </row>
    <row r="209" spans="1:56">
      <c r="A209" s="67" t="s">
        <v>287</v>
      </c>
      <c r="B209" s="8" t="s">
        <v>41</v>
      </c>
      <c r="C209" s="8" t="s">
        <v>42</v>
      </c>
      <c r="D209" s="8" t="s">
        <v>6</v>
      </c>
      <c r="E209" s="269"/>
      <c r="F209" s="20"/>
      <c r="G209" s="20"/>
      <c r="H209" s="20"/>
      <c r="I209" s="20"/>
      <c r="J209" s="20"/>
      <c r="K209" s="20"/>
      <c r="L209" s="270"/>
      <c r="M209" s="269"/>
      <c r="N209" s="20"/>
      <c r="O209" s="20"/>
      <c r="P209" s="20"/>
      <c r="Q209" s="20"/>
      <c r="R209" s="20"/>
      <c r="S209" s="20"/>
      <c r="T209" s="270"/>
      <c r="U209" s="269"/>
      <c r="V209" s="20"/>
      <c r="W209" s="20"/>
      <c r="X209" s="20"/>
      <c r="Y209" s="20"/>
      <c r="Z209" s="20"/>
      <c r="AA209" s="20"/>
      <c r="AB209" s="270"/>
      <c r="AC209" s="269"/>
      <c r="AD209" s="20"/>
      <c r="AE209" s="20"/>
      <c r="AF209" s="20"/>
      <c r="AG209" s="20"/>
      <c r="AH209" s="20" t="s">
        <v>435</v>
      </c>
      <c r="AI209" s="20"/>
      <c r="AJ209" s="270"/>
      <c r="AK209" s="67" t="s">
        <v>287</v>
      </c>
      <c r="AM209" s="67">
        <v>1</v>
      </c>
      <c r="AO209" s="67">
        <f t="shared" si="41"/>
        <v>0</v>
      </c>
      <c r="AP209" s="67">
        <f t="shared" si="42"/>
        <v>0</v>
      </c>
      <c r="AQ209" s="67">
        <f t="shared" si="43"/>
        <v>0</v>
      </c>
      <c r="AR209" s="67">
        <f t="shared" si="44"/>
        <v>0</v>
      </c>
      <c r="AS209" s="67">
        <f t="shared" si="45"/>
        <v>1</v>
      </c>
      <c r="AT209" s="67">
        <f t="shared" si="46"/>
        <v>0</v>
      </c>
      <c r="AU209" s="67">
        <f t="shared" si="47"/>
        <v>1</v>
      </c>
      <c r="AW209" s="256">
        <v>30</v>
      </c>
      <c r="AX209" s="67">
        <f t="shared" si="39"/>
        <v>150</v>
      </c>
      <c r="AY209" s="76">
        <f t="shared" si="40"/>
        <v>6.6666666666666671E-3</v>
      </c>
      <c r="AZ209" s="67">
        <f t="shared" si="48"/>
        <v>1</v>
      </c>
      <c r="BA209" s="76">
        <f t="shared" si="51"/>
        <v>3.3333333333333333E-2</v>
      </c>
      <c r="BC209" s="67">
        <f t="shared" si="49"/>
        <v>0</v>
      </c>
      <c r="BD209" s="67">
        <f t="shared" si="50"/>
        <v>1</v>
      </c>
    </row>
    <row r="210" spans="1:56">
      <c r="A210" s="67" t="s">
        <v>290</v>
      </c>
      <c r="B210" s="8" t="s">
        <v>5</v>
      </c>
      <c r="C210" s="8" t="s">
        <v>42</v>
      </c>
      <c r="D210" s="8" t="s">
        <v>42</v>
      </c>
      <c r="E210" s="269" t="s">
        <v>442</v>
      </c>
      <c r="F210" s="20"/>
      <c r="G210" s="20"/>
      <c r="H210" s="20"/>
      <c r="I210" s="20"/>
      <c r="J210" s="20"/>
      <c r="K210" s="20"/>
      <c r="L210" s="270"/>
      <c r="M210" s="269"/>
      <c r="N210" s="20"/>
      <c r="O210" s="20"/>
      <c r="P210" s="20"/>
      <c r="Q210" s="20"/>
      <c r="R210" s="20"/>
      <c r="S210" s="20"/>
      <c r="T210" s="270" t="s">
        <v>434</v>
      </c>
      <c r="U210" s="269"/>
      <c r="V210" s="20"/>
      <c r="W210" s="20" t="s">
        <v>442</v>
      </c>
      <c r="X210" s="20"/>
      <c r="Y210" s="20"/>
      <c r="Z210" s="20"/>
      <c r="AA210" s="20"/>
      <c r="AB210" s="270"/>
      <c r="AC210" s="269"/>
      <c r="AD210" s="20"/>
      <c r="AE210" s="20"/>
      <c r="AF210" s="20"/>
      <c r="AG210" s="20"/>
      <c r="AH210" s="20"/>
      <c r="AI210" s="20"/>
      <c r="AJ210" s="270"/>
      <c r="AK210" s="67" t="s">
        <v>290</v>
      </c>
      <c r="AM210" s="67">
        <v>1</v>
      </c>
      <c r="AO210" s="67">
        <f t="shared" si="41"/>
        <v>2</v>
      </c>
      <c r="AP210" s="67">
        <f t="shared" si="42"/>
        <v>2</v>
      </c>
      <c r="AQ210" s="67">
        <f t="shared" si="43"/>
        <v>0</v>
      </c>
      <c r="AR210" s="67">
        <f t="shared" si="44"/>
        <v>3</v>
      </c>
      <c r="AS210" s="67">
        <f t="shared" si="45"/>
        <v>2</v>
      </c>
      <c r="AT210" s="67">
        <f t="shared" si="46"/>
        <v>2</v>
      </c>
      <c r="AU210" s="67">
        <f t="shared" si="47"/>
        <v>11</v>
      </c>
      <c r="AW210" s="256">
        <v>29</v>
      </c>
      <c r="AX210" s="67">
        <f t="shared" si="39"/>
        <v>145</v>
      </c>
      <c r="AY210" s="76">
        <f t="shared" si="40"/>
        <v>7.586206896551724E-2</v>
      </c>
      <c r="AZ210" s="67">
        <f t="shared" si="48"/>
        <v>3</v>
      </c>
      <c r="BA210" s="76">
        <f t="shared" si="51"/>
        <v>0.10344827586206896</v>
      </c>
      <c r="BC210" s="67">
        <f t="shared" si="49"/>
        <v>2</v>
      </c>
      <c r="BD210" s="67">
        <f t="shared" si="50"/>
        <v>1</v>
      </c>
    </row>
    <row r="211" spans="1:56">
      <c r="A211" s="67">
        <v>489</v>
      </c>
      <c r="B211" s="8" t="s">
        <v>99</v>
      </c>
      <c r="C211" s="8" t="s">
        <v>346</v>
      </c>
      <c r="D211" s="8"/>
      <c r="E211" s="269"/>
      <c r="F211" s="20"/>
      <c r="G211" s="20"/>
      <c r="H211" s="20"/>
      <c r="I211" s="20"/>
      <c r="J211" s="20"/>
      <c r="K211" s="20"/>
      <c r="L211" s="270"/>
      <c r="M211" s="269"/>
      <c r="N211" s="20"/>
      <c r="O211" s="20"/>
      <c r="P211" s="20" t="s">
        <v>435</v>
      </c>
      <c r="Q211" s="20"/>
      <c r="R211" s="20"/>
      <c r="S211" s="20"/>
      <c r="T211" s="270"/>
      <c r="U211" s="269"/>
      <c r="V211" s="20"/>
      <c r="W211" s="20"/>
      <c r="X211" s="20"/>
      <c r="Y211" s="20"/>
      <c r="Z211" s="20"/>
      <c r="AA211" s="20"/>
      <c r="AB211" s="270"/>
      <c r="AC211" s="269"/>
      <c r="AD211" s="20"/>
      <c r="AE211" s="20"/>
      <c r="AF211" s="20"/>
      <c r="AG211" s="20"/>
      <c r="AH211" s="20"/>
      <c r="AI211" s="20"/>
      <c r="AJ211" s="270"/>
      <c r="AK211" s="67">
        <v>489</v>
      </c>
      <c r="AM211" s="67">
        <v>1</v>
      </c>
      <c r="AO211" s="67">
        <f t="shared" si="41"/>
        <v>0</v>
      </c>
      <c r="AP211" s="67">
        <f t="shared" si="42"/>
        <v>0</v>
      </c>
      <c r="AQ211" s="67">
        <f t="shared" si="43"/>
        <v>0</v>
      </c>
      <c r="AR211" s="67">
        <f t="shared" si="44"/>
        <v>0</v>
      </c>
      <c r="AS211" s="67">
        <f t="shared" si="45"/>
        <v>1</v>
      </c>
      <c r="AT211" s="67">
        <f t="shared" si="46"/>
        <v>0</v>
      </c>
      <c r="AU211" s="67">
        <f t="shared" si="47"/>
        <v>1</v>
      </c>
      <c r="AW211" s="256">
        <v>24</v>
      </c>
      <c r="AX211" s="67">
        <f t="shared" si="39"/>
        <v>120</v>
      </c>
      <c r="AY211" s="76">
        <f t="shared" si="40"/>
        <v>8.3333333333333332E-3</v>
      </c>
      <c r="AZ211" s="67">
        <f t="shared" si="48"/>
        <v>1</v>
      </c>
      <c r="BA211" s="76">
        <f t="shared" si="51"/>
        <v>4.1666666666666664E-2</v>
      </c>
      <c r="BC211" s="67">
        <f t="shared" si="49"/>
        <v>1</v>
      </c>
      <c r="BD211" s="67">
        <f t="shared" si="50"/>
        <v>0</v>
      </c>
    </row>
    <row r="212" spans="1:56">
      <c r="A212" s="67">
        <v>490</v>
      </c>
      <c r="B212" s="8" t="s">
        <v>74</v>
      </c>
      <c r="C212" s="8" t="s">
        <v>346</v>
      </c>
      <c r="E212" s="269"/>
      <c r="F212" s="20"/>
      <c r="G212" s="20"/>
      <c r="H212" s="20"/>
      <c r="I212" s="20"/>
      <c r="J212" s="20"/>
      <c r="K212" s="20"/>
      <c r="L212" s="270"/>
      <c r="M212" s="269"/>
      <c r="N212" s="20"/>
      <c r="O212" s="20"/>
      <c r="P212" s="20"/>
      <c r="Q212" s="20"/>
      <c r="R212" s="20"/>
      <c r="S212" s="20"/>
      <c r="T212" s="270"/>
      <c r="U212" s="269"/>
      <c r="V212" s="20"/>
      <c r="W212" s="20"/>
      <c r="X212" s="20"/>
      <c r="Y212" s="20"/>
      <c r="Z212" s="20"/>
      <c r="AA212" s="20"/>
      <c r="AB212" s="270"/>
      <c r="AC212" s="269"/>
      <c r="AD212" s="20"/>
      <c r="AE212" s="20"/>
      <c r="AF212" s="20"/>
      <c r="AG212" s="20"/>
      <c r="AH212" s="20"/>
      <c r="AI212" s="20"/>
      <c r="AJ212" s="270"/>
      <c r="AK212" s="67">
        <v>490</v>
      </c>
      <c r="AL212" s="67">
        <v>1</v>
      </c>
      <c r="AO212" s="67">
        <f t="shared" si="41"/>
        <v>0</v>
      </c>
      <c r="AP212" s="67">
        <f t="shared" si="42"/>
        <v>0</v>
      </c>
      <c r="AQ212" s="67">
        <f t="shared" si="43"/>
        <v>0</v>
      </c>
      <c r="AR212" s="67">
        <f t="shared" si="44"/>
        <v>0</v>
      </c>
      <c r="AS212" s="67">
        <f t="shared" si="45"/>
        <v>0</v>
      </c>
      <c r="AT212" s="67">
        <f t="shared" si="46"/>
        <v>0</v>
      </c>
      <c r="AU212" s="67">
        <f t="shared" si="47"/>
        <v>0</v>
      </c>
      <c r="AW212" s="256">
        <v>16</v>
      </c>
      <c r="AX212" s="67">
        <f t="shared" si="39"/>
        <v>80</v>
      </c>
      <c r="AY212" s="76">
        <f t="shared" si="40"/>
        <v>0</v>
      </c>
      <c r="AZ212" s="67">
        <f t="shared" si="48"/>
        <v>0</v>
      </c>
      <c r="BA212" s="76">
        <f t="shared" si="51"/>
        <v>0</v>
      </c>
      <c r="BC212" s="67">
        <f t="shared" si="49"/>
        <v>0</v>
      </c>
      <c r="BD212" s="67">
        <f t="shared" si="50"/>
        <v>0</v>
      </c>
    </row>
    <row r="213" spans="1:56">
      <c r="A213" s="67">
        <v>492</v>
      </c>
      <c r="B213" s="8" t="s">
        <v>63</v>
      </c>
      <c r="C213" s="8" t="s">
        <v>346</v>
      </c>
      <c r="E213" s="269"/>
      <c r="F213" s="20"/>
      <c r="G213" s="20"/>
      <c r="H213" s="20"/>
      <c r="I213" s="20"/>
      <c r="J213" s="20"/>
      <c r="K213" s="20"/>
      <c r="L213" s="270"/>
      <c r="M213" s="269"/>
      <c r="N213" s="20"/>
      <c r="O213" s="20"/>
      <c r="P213" s="20"/>
      <c r="Q213" s="20"/>
      <c r="R213" s="20"/>
      <c r="S213" s="20"/>
      <c r="T213" s="270"/>
      <c r="U213" s="269"/>
      <c r="V213" s="20"/>
      <c r="W213" s="20"/>
      <c r="X213" s="20"/>
      <c r="Y213" s="20"/>
      <c r="Z213" s="20"/>
      <c r="AA213" s="20"/>
      <c r="AB213" s="270"/>
      <c r="AC213" s="269"/>
      <c r="AD213" s="20"/>
      <c r="AE213" s="20"/>
      <c r="AF213" s="20"/>
      <c r="AG213" s="20"/>
      <c r="AH213" s="20"/>
      <c r="AI213" s="20"/>
      <c r="AJ213" s="270"/>
      <c r="AK213" s="67">
        <v>492</v>
      </c>
      <c r="AL213" s="67">
        <v>1</v>
      </c>
      <c r="AO213" s="67">
        <f t="shared" si="41"/>
        <v>0</v>
      </c>
      <c r="AP213" s="67">
        <f t="shared" si="42"/>
        <v>0</v>
      </c>
      <c r="AQ213" s="67">
        <f t="shared" si="43"/>
        <v>0</v>
      </c>
      <c r="AR213" s="67">
        <f t="shared" si="44"/>
        <v>0</v>
      </c>
      <c r="AS213" s="67">
        <f t="shared" si="45"/>
        <v>0</v>
      </c>
      <c r="AT213" s="67">
        <f t="shared" si="46"/>
        <v>0</v>
      </c>
      <c r="AU213" s="67">
        <f t="shared" si="47"/>
        <v>0</v>
      </c>
      <c r="AW213" s="256">
        <v>12</v>
      </c>
      <c r="AX213" s="67">
        <f t="shared" si="39"/>
        <v>60</v>
      </c>
      <c r="AY213" s="76">
        <f t="shared" si="40"/>
        <v>0</v>
      </c>
      <c r="AZ213" s="67">
        <f t="shared" si="48"/>
        <v>0</v>
      </c>
      <c r="BA213" s="76">
        <f t="shared" si="51"/>
        <v>0</v>
      </c>
      <c r="BC213" s="67">
        <f t="shared" si="49"/>
        <v>0</v>
      </c>
      <c r="BD213" s="67">
        <f t="shared" si="50"/>
        <v>0</v>
      </c>
    </row>
    <row r="214" spans="1:56">
      <c r="A214" s="67">
        <v>495</v>
      </c>
      <c r="B214" s="8" t="s">
        <v>63</v>
      </c>
      <c r="C214" s="8" t="s">
        <v>346</v>
      </c>
      <c r="E214" s="269"/>
      <c r="F214" s="20"/>
      <c r="G214" s="20"/>
      <c r="H214" s="20"/>
      <c r="I214" s="20"/>
      <c r="J214" s="20"/>
      <c r="K214" s="20"/>
      <c r="L214" s="270"/>
      <c r="M214" s="269"/>
      <c r="N214" s="20"/>
      <c r="O214" s="20"/>
      <c r="P214" s="20"/>
      <c r="Q214" s="20"/>
      <c r="R214" s="20"/>
      <c r="S214" s="20"/>
      <c r="T214" s="270"/>
      <c r="U214" s="269"/>
      <c r="V214" s="20"/>
      <c r="W214" s="20"/>
      <c r="X214" s="20"/>
      <c r="Y214" s="20"/>
      <c r="Z214" s="20"/>
      <c r="AA214" s="20"/>
      <c r="AB214" s="270"/>
      <c r="AC214" s="269"/>
      <c r="AD214" s="20"/>
      <c r="AE214" s="20"/>
      <c r="AF214" s="20"/>
      <c r="AG214" s="20"/>
      <c r="AH214" s="20"/>
      <c r="AI214" s="20"/>
      <c r="AJ214" s="270"/>
      <c r="AK214" s="67">
        <v>495</v>
      </c>
      <c r="AL214" s="67">
        <v>1</v>
      </c>
      <c r="AO214" s="67">
        <f t="shared" si="41"/>
        <v>0</v>
      </c>
      <c r="AP214" s="67">
        <f t="shared" si="42"/>
        <v>0</v>
      </c>
      <c r="AQ214" s="67">
        <f t="shared" si="43"/>
        <v>0</v>
      </c>
      <c r="AR214" s="67">
        <f t="shared" si="44"/>
        <v>0</v>
      </c>
      <c r="AS214" s="67">
        <f t="shared" si="45"/>
        <v>0</v>
      </c>
      <c r="AT214" s="67">
        <f t="shared" si="46"/>
        <v>0</v>
      </c>
      <c r="AU214" s="67">
        <f t="shared" si="47"/>
        <v>0</v>
      </c>
      <c r="AW214" s="256">
        <v>9</v>
      </c>
      <c r="AX214" s="67">
        <f t="shared" si="39"/>
        <v>45</v>
      </c>
      <c r="AY214" s="76">
        <f t="shared" si="40"/>
        <v>0</v>
      </c>
      <c r="AZ214" s="67">
        <f t="shared" si="48"/>
        <v>0</v>
      </c>
      <c r="BA214" s="76">
        <f t="shared" si="51"/>
        <v>0</v>
      </c>
      <c r="BC214" s="67">
        <f t="shared" si="49"/>
        <v>0</v>
      </c>
      <c r="BD214" s="67">
        <f t="shared" si="50"/>
        <v>0</v>
      </c>
    </row>
    <row r="215" spans="1:56">
      <c r="A215" s="67">
        <v>498</v>
      </c>
      <c r="B215" s="67" t="s">
        <v>62</v>
      </c>
      <c r="C215" s="8" t="s">
        <v>42</v>
      </c>
      <c r="D215" s="67" t="s">
        <v>42</v>
      </c>
      <c r="E215" s="269"/>
      <c r="F215" s="5" t="s">
        <v>442</v>
      </c>
      <c r="G215" s="20"/>
      <c r="H215" s="20"/>
      <c r="I215" s="20"/>
      <c r="J215" s="20"/>
      <c r="K215" s="20"/>
      <c r="L215" s="270"/>
      <c r="M215" s="269"/>
      <c r="N215" s="20"/>
      <c r="O215" s="20"/>
      <c r="P215" s="20"/>
      <c r="Q215" s="20"/>
      <c r="R215" s="20"/>
      <c r="S215" s="20"/>
      <c r="T215" s="270"/>
      <c r="U215" s="269"/>
      <c r="V215" s="20"/>
      <c r="W215" s="20"/>
      <c r="X215" s="20"/>
      <c r="Y215" s="20"/>
      <c r="Z215" s="20"/>
      <c r="AA215" s="20"/>
      <c r="AB215" s="270"/>
      <c r="AC215" s="269"/>
      <c r="AD215" s="20"/>
      <c r="AE215" s="20"/>
      <c r="AF215" s="20"/>
      <c r="AG215" s="20"/>
      <c r="AH215" s="20"/>
      <c r="AI215" s="20"/>
      <c r="AJ215" s="270"/>
      <c r="AK215" s="67">
        <v>498</v>
      </c>
      <c r="AM215" s="67">
        <v>1</v>
      </c>
      <c r="AO215" s="67">
        <f t="shared" si="41"/>
        <v>1</v>
      </c>
      <c r="AP215" s="67">
        <f t="shared" si="42"/>
        <v>1</v>
      </c>
      <c r="AQ215" s="67">
        <f t="shared" si="43"/>
        <v>0</v>
      </c>
      <c r="AR215" s="67">
        <f t="shared" si="44"/>
        <v>1</v>
      </c>
      <c r="AS215" s="67">
        <f t="shared" si="45"/>
        <v>1</v>
      </c>
      <c r="AT215" s="67">
        <f t="shared" si="46"/>
        <v>1</v>
      </c>
      <c r="AU215" s="67">
        <f t="shared" si="47"/>
        <v>5</v>
      </c>
      <c r="AW215" s="256">
        <v>24</v>
      </c>
      <c r="AX215" s="67">
        <f t="shared" si="39"/>
        <v>120</v>
      </c>
      <c r="AY215" s="76">
        <f t="shared" si="40"/>
        <v>4.1666666666666664E-2</v>
      </c>
      <c r="AZ215" s="67">
        <f t="shared" si="48"/>
        <v>1</v>
      </c>
      <c r="BA215" s="76">
        <f t="shared" si="51"/>
        <v>4.1666666666666664E-2</v>
      </c>
      <c r="BC215" s="67">
        <f t="shared" si="49"/>
        <v>1</v>
      </c>
      <c r="BD215" s="67">
        <f t="shared" si="50"/>
        <v>0</v>
      </c>
    </row>
    <row r="216" spans="1:56">
      <c r="A216" s="67">
        <v>499</v>
      </c>
      <c r="B216" s="67" t="s">
        <v>123</v>
      </c>
      <c r="C216" s="8" t="s">
        <v>366</v>
      </c>
      <c r="D216" s="67" t="s">
        <v>6</v>
      </c>
      <c r="E216" s="269"/>
      <c r="F216" s="20"/>
      <c r="G216" s="20"/>
      <c r="H216" s="20"/>
      <c r="I216" s="20" t="s">
        <v>442</v>
      </c>
      <c r="J216" s="20" t="s">
        <v>435</v>
      </c>
      <c r="K216" s="20" t="s">
        <v>434</v>
      </c>
      <c r="L216" s="270" t="s">
        <v>435</v>
      </c>
      <c r="M216" s="269"/>
      <c r="N216" s="5" t="s">
        <v>435</v>
      </c>
      <c r="O216" s="5" t="s">
        <v>451</v>
      </c>
      <c r="P216" s="5" t="s">
        <v>442</v>
      </c>
      <c r="Q216" s="20"/>
      <c r="R216" s="20"/>
      <c r="S216" s="20"/>
      <c r="T216" s="270"/>
      <c r="U216" s="269" t="s">
        <v>442</v>
      </c>
      <c r="V216" s="20" t="s">
        <v>462</v>
      </c>
      <c r="W216" s="20"/>
      <c r="X216" s="20"/>
      <c r="Y216" s="20" t="s">
        <v>434</v>
      </c>
      <c r="Z216" s="20"/>
      <c r="AA216" s="20"/>
      <c r="AB216" s="270"/>
      <c r="AC216" s="269" t="s">
        <v>435</v>
      </c>
      <c r="AD216" s="20" t="s">
        <v>434</v>
      </c>
      <c r="AE216" s="20" t="s">
        <v>435</v>
      </c>
      <c r="AF216" s="5" t="s">
        <v>434</v>
      </c>
      <c r="AG216" s="5" t="s">
        <v>446</v>
      </c>
      <c r="AH216" s="20"/>
      <c r="AI216" s="20"/>
      <c r="AJ216" s="270" t="s">
        <v>431</v>
      </c>
      <c r="AK216" s="67">
        <v>499</v>
      </c>
      <c r="AM216" s="67">
        <v>1</v>
      </c>
      <c r="AO216" s="67">
        <f t="shared" si="41"/>
        <v>5</v>
      </c>
      <c r="AP216" s="67">
        <f t="shared" si="42"/>
        <v>4</v>
      </c>
      <c r="AQ216" s="67">
        <f t="shared" si="43"/>
        <v>1</v>
      </c>
      <c r="AR216" s="67">
        <f t="shared" si="44"/>
        <v>10</v>
      </c>
      <c r="AS216" s="67">
        <f t="shared" si="45"/>
        <v>11</v>
      </c>
      <c r="AT216" s="67">
        <f t="shared" si="46"/>
        <v>4</v>
      </c>
      <c r="AU216" s="67">
        <f t="shared" si="47"/>
        <v>35</v>
      </c>
      <c r="AW216" s="256">
        <v>21</v>
      </c>
      <c r="AX216" s="67">
        <f t="shared" si="39"/>
        <v>105</v>
      </c>
      <c r="AY216" s="76">
        <f t="shared" si="40"/>
        <v>0.33333333333333331</v>
      </c>
      <c r="AZ216" s="67">
        <f t="shared" si="48"/>
        <v>16</v>
      </c>
      <c r="BA216" s="76">
        <f t="shared" si="51"/>
        <v>0.76190476190476186</v>
      </c>
      <c r="BC216" s="67">
        <f t="shared" si="49"/>
        <v>7</v>
      </c>
      <c r="BD216" s="67">
        <f t="shared" si="50"/>
        <v>9</v>
      </c>
    </row>
    <row r="217" spans="1:56">
      <c r="A217" s="67">
        <v>503</v>
      </c>
      <c r="B217" s="67" t="s">
        <v>80</v>
      </c>
      <c r="C217" s="8" t="s">
        <v>346</v>
      </c>
      <c r="E217" s="269"/>
      <c r="F217" s="20"/>
      <c r="G217" s="20"/>
      <c r="H217" s="20"/>
      <c r="I217" s="20"/>
      <c r="J217" s="20"/>
      <c r="K217" s="20"/>
      <c r="L217" s="270"/>
      <c r="M217" s="269"/>
      <c r="N217" s="20"/>
      <c r="O217" s="20"/>
      <c r="P217" s="20"/>
      <c r="Q217" s="20"/>
      <c r="R217" s="20"/>
      <c r="S217" s="20"/>
      <c r="T217" s="270"/>
      <c r="U217" s="269"/>
      <c r="V217" s="20"/>
      <c r="W217" s="20"/>
      <c r="X217" s="20"/>
      <c r="Y217" s="20"/>
      <c r="Z217" s="20"/>
      <c r="AA217" s="20"/>
      <c r="AB217" s="270"/>
      <c r="AC217" s="269"/>
      <c r="AD217" s="20"/>
      <c r="AE217" s="20"/>
      <c r="AF217" s="20"/>
      <c r="AG217" s="20"/>
      <c r="AH217" s="20"/>
      <c r="AI217" s="20"/>
      <c r="AJ217" s="270"/>
      <c r="AK217" s="67">
        <v>503</v>
      </c>
      <c r="AL217" s="67">
        <v>1</v>
      </c>
      <c r="AO217" s="67">
        <f t="shared" si="41"/>
        <v>0</v>
      </c>
      <c r="AP217" s="67">
        <f t="shared" si="42"/>
        <v>0</v>
      </c>
      <c r="AQ217" s="67">
        <f t="shared" si="43"/>
        <v>0</v>
      </c>
      <c r="AR217" s="67">
        <f t="shared" si="44"/>
        <v>0</v>
      </c>
      <c r="AS217" s="67">
        <f t="shared" si="45"/>
        <v>0</v>
      </c>
      <c r="AT217" s="67">
        <f t="shared" si="46"/>
        <v>0</v>
      </c>
      <c r="AU217" s="67">
        <f t="shared" si="47"/>
        <v>0</v>
      </c>
      <c r="AW217" s="256">
        <v>19</v>
      </c>
      <c r="AX217" s="67">
        <f t="shared" si="39"/>
        <v>95</v>
      </c>
      <c r="AY217" s="76">
        <f t="shared" si="40"/>
        <v>0</v>
      </c>
      <c r="AZ217" s="67">
        <f t="shared" si="48"/>
        <v>0</v>
      </c>
      <c r="BA217" s="76">
        <f t="shared" si="51"/>
        <v>0</v>
      </c>
      <c r="BC217" s="67">
        <f t="shared" si="49"/>
        <v>0</v>
      </c>
      <c r="BD217" s="67">
        <f t="shared" si="50"/>
        <v>0</v>
      </c>
    </row>
    <row r="218" spans="1:56">
      <c r="A218" s="67">
        <v>505</v>
      </c>
      <c r="B218" s="67" t="s">
        <v>73</v>
      </c>
      <c r="C218" s="8" t="s">
        <v>165</v>
      </c>
      <c r="D218" s="67" t="s">
        <v>42</v>
      </c>
      <c r="E218" s="269"/>
      <c r="F218" s="20"/>
      <c r="G218" s="20"/>
      <c r="H218" s="20"/>
      <c r="I218" s="20"/>
      <c r="J218" s="20"/>
      <c r="K218" s="20"/>
      <c r="L218" s="270"/>
      <c r="M218" s="269"/>
      <c r="N218" s="20"/>
      <c r="O218" s="20"/>
      <c r="P218" s="20"/>
      <c r="Q218" s="20" t="s">
        <v>442</v>
      </c>
      <c r="R218" s="20"/>
      <c r="S218" s="20"/>
      <c r="T218" s="270"/>
      <c r="U218" s="269"/>
      <c r="V218" s="20"/>
      <c r="W218" s="20"/>
      <c r="X218" s="20"/>
      <c r="Y218" s="20"/>
      <c r="Z218" s="20"/>
      <c r="AA218" s="20"/>
      <c r="AB218" s="270"/>
      <c r="AC218" s="269"/>
      <c r="AD218" s="20"/>
      <c r="AE218" s="20"/>
      <c r="AF218" s="20"/>
      <c r="AG218" s="20"/>
      <c r="AH218" s="20"/>
      <c r="AI218" s="20"/>
      <c r="AJ218" s="270"/>
      <c r="AK218" s="67">
        <v>505</v>
      </c>
      <c r="AM218" s="67">
        <v>1</v>
      </c>
      <c r="AO218" s="67">
        <f t="shared" si="41"/>
        <v>1</v>
      </c>
      <c r="AP218" s="67">
        <f t="shared" si="42"/>
        <v>1</v>
      </c>
      <c r="AQ218" s="67">
        <f t="shared" si="43"/>
        <v>0</v>
      </c>
      <c r="AR218" s="67">
        <f t="shared" si="44"/>
        <v>1</v>
      </c>
      <c r="AS218" s="67">
        <f t="shared" si="45"/>
        <v>1</v>
      </c>
      <c r="AT218" s="67">
        <f t="shared" si="46"/>
        <v>1</v>
      </c>
      <c r="AU218" s="67">
        <f t="shared" si="47"/>
        <v>5</v>
      </c>
      <c r="AW218" s="256">
        <v>31</v>
      </c>
      <c r="AX218" s="67">
        <f t="shared" si="39"/>
        <v>155</v>
      </c>
      <c r="AY218" s="76">
        <f t="shared" si="40"/>
        <v>3.2258064516129031E-2</v>
      </c>
      <c r="AZ218" s="67">
        <f t="shared" si="48"/>
        <v>1</v>
      </c>
      <c r="BA218" s="76">
        <f t="shared" si="51"/>
        <v>3.2258064516129031E-2</v>
      </c>
      <c r="BC218" s="67">
        <f t="shared" si="49"/>
        <v>1</v>
      </c>
      <c r="BD218" s="67">
        <f t="shared" si="50"/>
        <v>0</v>
      </c>
    </row>
    <row r="219" spans="1:56">
      <c r="A219" s="67">
        <v>506</v>
      </c>
      <c r="B219" s="67" t="s">
        <v>240</v>
      </c>
      <c r="C219" s="8" t="s">
        <v>42</v>
      </c>
      <c r="D219" s="67" t="s">
        <v>6</v>
      </c>
      <c r="E219" s="269"/>
      <c r="F219" s="20"/>
      <c r="G219" s="20"/>
      <c r="H219" s="20"/>
      <c r="I219" s="20"/>
      <c r="J219" s="20"/>
      <c r="K219" s="20"/>
      <c r="L219" s="270"/>
      <c r="M219" s="269"/>
      <c r="N219" s="20"/>
      <c r="O219" s="20"/>
      <c r="P219" s="20"/>
      <c r="Q219" s="20" t="s">
        <v>434</v>
      </c>
      <c r="R219" s="20" t="s">
        <v>442</v>
      </c>
      <c r="S219" s="20" t="s">
        <v>468</v>
      </c>
      <c r="T219" s="270" t="s">
        <v>434</v>
      </c>
      <c r="U219" s="269"/>
      <c r="V219" s="20"/>
      <c r="W219" s="20"/>
      <c r="X219" s="20"/>
      <c r="Y219" s="20"/>
      <c r="Z219" s="20"/>
      <c r="AA219" s="20"/>
      <c r="AB219" s="270"/>
      <c r="AC219" s="269"/>
      <c r="AD219" s="20"/>
      <c r="AE219" s="20" t="s">
        <v>451</v>
      </c>
      <c r="AF219" s="20" t="s">
        <v>442</v>
      </c>
      <c r="AG219" s="20" t="s">
        <v>442</v>
      </c>
      <c r="AH219" s="20"/>
      <c r="AI219" s="20"/>
      <c r="AJ219" s="270" t="s">
        <v>436</v>
      </c>
      <c r="AK219" s="67">
        <v>506</v>
      </c>
      <c r="AM219" s="67">
        <v>1</v>
      </c>
      <c r="AO219" s="67">
        <f t="shared" si="41"/>
        <v>3</v>
      </c>
      <c r="AP219" s="67">
        <f t="shared" si="42"/>
        <v>4</v>
      </c>
      <c r="AQ219" s="67">
        <f t="shared" si="43"/>
        <v>1</v>
      </c>
      <c r="AR219" s="67">
        <f t="shared" si="44"/>
        <v>7</v>
      </c>
      <c r="AS219" s="67">
        <f t="shared" si="45"/>
        <v>5</v>
      </c>
      <c r="AT219" s="67">
        <f t="shared" si="46"/>
        <v>6</v>
      </c>
      <c r="AU219" s="67">
        <f t="shared" si="47"/>
        <v>26</v>
      </c>
      <c r="AW219" s="256">
        <v>26</v>
      </c>
      <c r="AX219" s="67">
        <f t="shared" si="39"/>
        <v>130</v>
      </c>
      <c r="AY219" s="76">
        <f t="shared" si="40"/>
        <v>0.2</v>
      </c>
      <c r="AZ219" s="67">
        <f t="shared" si="48"/>
        <v>8</v>
      </c>
      <c r="BA219" s="76">
        <f t="shared" si="51"/>
        <v>0.30769230769230771</v>
      </c>
      <c r="BC219" s="67">
        <f t="shared" si="49"/>
        <v>4</v>
      </c>
      <c r="BD219" s="67">
        <f t="shared" si="50"/>
        <v>4</v>
      </c>
    </row>
    <row r="220" spans="1:56">
      <c r="A220" s="67">
        <v>507</v>
      </c>
      <c r="B220" s="67" t="s">
        <v>63</v>
      </c>
      <c r="C220" s="8" t="s">
        <v>346</v>
      </c>
      <c r="E220" s="269"/>
      <c r="F220" s="20"/>
      <c r="G220" s="20"/>
      <c r="H220" s="20"/>
      <c r="I220" s="20"/>
      <c r="J220" s="20"/>
      <c r="K220" s="20"/>
      <c r="L220" s="270"/>
      <c r="M220" s="269"/>
      <c r="N220" s="20"/>
      <c r="O220" s="20"/>
      <c r="P220" s="20"/>
      <c r="Q220" s="20"/>
      <c r="R220" s="20"/>
      <c r="S220" s="20"/>
      <c r="T220" s="270"/>
      <c r="U220" s="269"/>
      <c r="V220" s="20"/>
      <c r="W220" s="20"/>
      <c r="X220" s="20"/>
      <c r="Y220" s="20"/>
      <c r="Z220" s="20"/>
      <c r="AA220" s="20"/>
      <c r="AB220" s="270"/>
      <c r="AC220" s="269"/>
      <c r="AD220" s="20"/>
      <c r="AE220" s="20"/>
      <c r="AF220" s="20"/>
      <c r="AG220" s="20"/>
      <c r="AH220" s="20"/>
      <c r="AI220" s="20"/>
      <c r="AJ220" s="270"/>
      <c r="AK220" s="67">
        <v>507</v>
      </c>
      <c r="AL220" s="67">
        <v>1</v>
      </c>
      <c r="AO220" s="67">
        <f t="shared" si="41"/>
        <v>0</v>
      </c>
      <c r="AP220" s="67">
        <f t="shared" si="42"/>
        <v>0</v>
      </c>
      <c r="AQ220" s="67">
        <f t="shared" si="43"/>
        <v>0</v>
      </c>
      <c r="AR220" s="67">
        <f t="shared" si="44"/>
        <v>0</v>
      </c>
      <c r="AS220" s="67">
        <f t="shared" si="45"/>
        <v>0</v>
      </c>
      <c r="AT220" s="67">
        <f t="shared" si="46"/>
        <v>0</v>
      </c>
      <c r="AU220" s="67">
        <f t="shared" si="47"/>
        <v>0</v>
      </c>
      <c r="AW220" s="256">
        <v>8</v>
      </c>
      <c r="AX220" s="67">
        <f t="shared" si="39"/>
        <v>40</v>
      </c>
      <c r="AY220" s="76">
        <f t="shared" si="40"/>
        <v>0</v>
      </c>
      <c r="AZ220" s="67">
        <f t="shared" si="48"/>
        <v>0</v>
      </c>
      <c r="BA220" s="76">
        <f t="shared" si="51"/>
        <v>0</v>
      </c>
      <c r="BC220" s="67">
        <f t="shared" si="49"/>
        <v>0</v>
      </c>
      <c r="BD220" s="67">
        <f t="shared" si="50"/>
        <v>0</v>
      </c>
    </row>
    <row r="221" spans="1:56">
      <c r="A221" s="67">
        <v>508</v>
      </c>
      <c r="B221" s="67" t="s">
        <v>88</v>
      </c>
      <c r="C221" s="8" t="s">
        <v>12</v>
      </c>
      <c r="D221" s="67" t="s">
        <v>77</v>
      </c>
      <c r="E221" s="269"/>
      <c r="F221" s="20"/>
      <c r="G221" s="20"/>
      <c r="H221" s="20"/>
      <c r="I221" s="20"/>
      <c r="J221" s="20"/>
      <c r="K221" s="20"/>
      <c r="L221" s="270"/>
      <c r="M221" s="269"/>
      <c r="N221" s="20"/>
      <c r="O221" s="20"/>
      <c r="P221" s="20"/>
      <c r="Q221" s="20"/>
      <c r="R221" s="20"/>
      <c r="S221" s="20"/>
      <c r="T221" s="270"/>
      <c r="U221" s="269"/>
      <c r="V221" s="20"/>
      <c r="W221" s="20"/>
      <c r="X221" s="20"/>
      <c r="Y221" s="20"/>
      <c r="Z221" s="20"/>
      <c r="AA221" s="20"/>
      <c r="AB221" s="270"/>
      <c r="AC221" s="269"/>
      <c r="AD221" s="20"/>
      <c r="AE221" s="20"/>
      <c r="AF221" s="20"/>
      <c r="AG221" s="20"/>
      <c r="AH221" s="20"/>
      <c r="AI221" s="20"/>
      <c r="AJ221" s="270"/>
      <c r="AK221" s="67">
        <v>508</v>
      </c>
      <c r="AL221" s="67">
        <v>1</v>
      </c>
      <c r="AO221" s="67">
        <f t="shared" si="41"/>
        <v>0</v>
      </c>
      <c r="AP221" s="67">
        <f t="shared" si="42"/>
        <v>0</v>
      </c>
      <c r="AQ221" s="67">
        <f t="shared" si="43"/>
        <v>0</v>
      </c>
      <c r="AR221" s="67">
        <f t="shared" si="44"/>
        <v>0</v>
      </c>
      <c r="AS221" s="67">
        <f t="shared" si="45"/>
        <v>0</v>
      </c>
      <c r="AT221" s="67">
        <f t="shared" si="46"/>
        <v>0</v>
      </c>
      <c r="AU221" s="67">
        <f t="shared" si="47"/>
        <v>0</v>
      </c>
      <c r="AW221" s="256">
        <v>32</v>
      </c>
      <c r="AX221" s="67">
        <f t="shared" si="39"/>
        <v>160</v>
      </c>
      <c r="AY221" s="76">
        <f t="shared" si="40"/>
        <v>0</v>
      </c>
      <c r="AZ221" s="67">
        <f t="shared" si="48"/>
        <v>0</v>
      </c>
      <c r="BA221" s="76">
        <f t="shared" si="51"/>
        <v>0</v>
      </c>
      <c r="BC221" s="67">
        <f t="shared" si="49"/>
        <v>0</v>
      </c>
      <c r="BD221" s="67">
        <f t="shared" si="50"/>
        <v>0</v>
      </c>
    </row>
    <row r="222" spans="1:56">
      <c r="A222" s="67">
        <v>513</v>
      </c>
      <c r="B222" s="67" t="s">
        <v>73</v>
      </c>
      <c r="C222" s="8" t="s">
        <v>165</v>
      </c>
      <c r="D222" s="67" t="s">
        <v>6</v>
      </c>
      <c r="E222" s="269"/>
      <c r="F222" s="20"/>
      <c r="G222" s="5" t="s">
        <v>442</v>
      </c>
      <c r="H222" s="20"/>
      <c r="I222" s="20"/>
      <c r="J222" s="20"/>
      <c r="K222" s="20"/>
      <c r="L222" s="270"/>
      <c r="M222" s="269"/>
      <c r="N222" s="20"/>
      <c r="O222" s="20"/>
      <c r="P222" s="20"/>
      <c r="Q222" s="20"/>
      <c r="R222" s="20"/>
      <c r="S222" s="20" t="s">
        <v>434</v>
      </c>
      <c r="T222" s="270"/>
      <c r="U222" s="269"/>
      <c r="V222" s="20"/>
      <c r="W222" s="20" t="s">
        <v>477</v>
      </c>
      <c r="X222" s="20"/>
      <c r="Y222" s="20"/>
      <c r="Z222" s="20"/>
      <c r="AA222" s="20"/>
      <c r="AB222" s="270"/>
      <c r="AC222" s="269"/>
      <c r="AD222" s="20"/>
      <c r="AE222" s="20"/>
      <c r="AF222" s="20"/>
      <c r="AG222" s="20"/>
      <c r="AH222" s="20"/>
      <c r="AI222" s="20" t="s">
        <v>442</v>
      </c>
      <c r="AJ222" s="270"/>
      <c r="AK222" s="67">
        <v>513</v>
      </c>
      <c r="AM222" s="67">
        <v>1</v>
      </c>
      <c r="AO222" s="67">
        <f t="shared" si="41"/>
        <v>2</v>
      </c>
      <c r="AP222" s="67">
        <f t="shared" si="42"/>
        <v>3</v>
      </c>
      <c r="AQ222" s="67">
        <f t="shared" si="43"/>
        <v>0</v>
      </c>
      <c r="AR222" s="67">
        <f t="shared" si="44"/>
        <v>4</v>
      </c>
      <c r="AS222" s="67">
        <f t="shared" si="45"/>
        <v>2</v>
      </c>
      <c r="AT222" s="67">
        <f t="shared" si="46"/>
        <v>3</v>
      </c>
      <c r="AU222" s="67">
        <f t="shared" si="47"/>
        <v>14</v>
      </c>
      <c r="AW222" s="256">
        <v>28</v>
      </c>
      <c r="AX222" s="67">
        <f t="shared" si="39"/>
        <v>140</v>
      </c>
      <c r="AY222" s="76">
        <f t="shared" si="40"/>
        <v>0.1</v>
      </c>
      <c r="AZ222" s="67">
        <f t="shared" si="48"/>
        <v>4</v>
      </c>
      <c r="BA222" s="76">
        <f t="shared" si="51"/>
        <v>0.14285714285714285</v>
      </c>
      <c r="BC222" s="67">
        <f t="shared" si="49"/>
        <v>2</v>
      </c>
      <c r="BD222" s="67">
        <f t="shared" si="50"/>
        <v>2</v>
      </c>
    </row>
    <row r="223" spans="1:56">
      <c r="A223" s="67">
        <v>514</v>
      </c>
      <c r="B223" s="67" t="s">
        <v>99</v>
      </c>
      <c r="C223" s="8" t="s">
        <v>346</v>
      </c>
      <c r="E223" s="269"/>
      <c r="F223" s="20"/>
      <c r="G223" s="20"/>
      <c r="H223" s="20"/>
      <c r="I223" s="20"/>
      <c r="J223" s="20"/>
      <c r="K223" s="20"/>
      <c r="L223" s="270"/>
      <c r="M223" s="269"/>
      <c r="N223" s="20"/>
      <c r="O223" s="20"/>
      <c r="P223" s="20"/>
      <c r="Q223" s="20"/>
      <c r="R223" s="20"/>
      <c r="S223" s="20"/>
      <c r="T223" s="270"/>
      <c r="U223" s="269"/>
      <c r="V223" s="20"/>
      <c r="W223" s="20"/>
      <c r="X223" s="20"/>
      <c r="Y223" s="20"/>
      <c r="Z223" s="20"/>
      <c r="AA223" s="20"/>
      <c r="AB223" s="270"/>
      <c r="AC223" s="269"/>
      <c r="AD223" s="20"/>
      <c r="AE223" s="20"/>
      <c r="AF223" s="20"/>
      <c r="AG223" s="20"/>
      <c r="AH223" s="20"/>
      <c r="AI223" s="20"/>
      <c r="AJ223" s="270"/>
      <c r="AK223" s="67">
        <v>514</v>
      </c>
      <c r="AL223" s="67">
        <v>1</v>
      </c>
      <c r="AO223" s="67">
        <f t="shared" si="41"/>
        <v>0</v>
      </c>
      <c r="AP223" s="67">
        <f t="shared" si="42"/>
        <v>0</v>
      </c>
      <c r="AQ223" s="67">
        <f t="shared" si="43"/>
        <v>0</v>
      </c>
      <c r="AR223" s="67">
        <f t="shared" si="44"/>
        <v>0</v>
      </c>
      <c r="AS223" s="67">
        <f t="shared" si="45"/>
        <v>0</v>
      </c>
      <c r="AT223" s="67">
        <f t="shared" si="46"/>
        <v>0</v>
      </c>
      <c r="AU223" s="67">
        <f t="shared" si="47"/>
        <v>0</v>
      </c>
      <c r="AW223" s="256">
        <v>16</v>
      </c>
      <c r="AX223" s="67">
        <f t="shared" si="39"/>
        <v>80</v>
      </c>
      <c r="AY223" s="76">
        <f t="shared" si="40"/>
        <v>0</v>
      </c>
      <c r="AZ223" s="67">
        <f t="shared" si="48"/>
        <v>0</v>
      </c>
      <c r="BA223" s="76">
        <f t="shared" si="51"/>
        <v>0</v>
      </c>
      <c r="BC223" s="67">
        <f t="shared" si="49"/>
        <v>0</v>
      </c>
      <c r="BD223" s="67">
        <f t="shared" si="50"/>
        <v>0</v>
      </c>
    </row>
    <row r="224" spans="1:56">
      <c r="A224" s="67">
        <v>516</v>
      </c>
      <c r="B224" s="67" t="s">
        <v>99</v>
      </c>
      <c r="C224" s="8" t="s">
        <v>346</v>
      </c>
      <c r="E224" s="269"/>
      <c r="F224" s="20"/>
      <c r="G224" s="20"/>
      <c r="H224" s="20"/>
      <c r="I224" s="20"/>
      <c r="J224" s="20"/>
      <c r="K224" s="20"/>
      <c r="L224" s="270"/>
      <c r="M224" s="269"/>
      <c r="N224" s="20"/>
      <c r="O224" s="20"/>
      <c r="P224" s="20"/>
      <c r="Q224" s="20"/>
      <c r="R224" s="20"/>
      <c r="S224" s="20"/>
      <c r="T224" s="270"/>
      <c r="U224" s="269"/>
      <c r="V224" s="20"/>
      <c r="W224" s="20"/>
      <c r="X224" s="20"/>
      <c r="Y224" s="20"/>
      <c r="Z224" s="20"/>
      <c r="AA224" s="20"/>
      <c r="AB224" s="270"/>
      <c r="AC224" s="269"/>
      <c r="AD224" s="20"/>
      <c r="AE224" s="20"/>
      <c r="AF224" s="20"/>
      <c r="AG224" s="20"/>
      <c r="AH224" s="20"/>
      <c r="AI224" s="20"/>
      <c r="AJ224" s="270"/>
      <c r="AK224" s="67">
        <v>516</v>
      </c>
      <c r="AL224" s="67">
        <v>1</v>
      </c>
      <c r="AO224" s="67">
        <f t="shared" si="41"/>
        <v>0</v>
      </c>
      <c r="AP224" s="67">
        <f t="shared" si="42"/>
        <v>0</v>
      </c>
      <c r="AQ224" s="67">
        <f t="shared" si="43"/>
        <v>0</v>
      </c>
      <c r="AR224" s="67">
        <f t="shared" si="44"/>
        <v>0</v>
      </c>
      <c r="AS224" s="67">
        <f t="shared" si="45"/>
        <v>0</v>
      </c>
      <c r="AT224" s="67">
        <f t="shared" si="46"/>
        <v>0</v>
      </c>
      <c r="AU224" s="67">
        <f t="shared" si="47"/>
        <v>0</v>
      </c>
      <c r="AW224" s="256">
        <v>24</v>
      </c>
      <c r="AX224" s="67">
        <f t="shared" si="39"/>
        <v>120</v>
      </c>
      <c r="AY224" s="76">
        <f t="shared" si="40"/>
        <v>0</v>
      </c>
      <c r="AZ224" s="67">
        <f t="shared" si="48"/>
        <v>0</v>
      </c>
      <c r="BA224" s="76">
        <f t="shared" si="51"/>
        <v>0</v>
      </c>
      <c r="BC224" s="67">
        <f t="shared" si="49"/>
        <v>0</v>
      </c>
      <c r="BD224" s="67">
        <f t="shared" si="50"/>
        <v>0</v>
      </c>
    </row>
    <row r="225" spans="1:56">
      <c r="A225" s="67">
        <v>518</v>
      </c>
      <c r="B225" s="67" t="s">
        <v>99</v>
      </c>
      <c r="C225" s="8" t="s">
        <v>346</v>
      </c>
      <c r="E225" s="269"/>
      <c r="F225" s="20"/>
      <c r="G225" s="20"/>
      <c r="H225" s="20"/>
      <c r="I225" s="20"/>
      <c r="J225" s="20"/>
      <c r="K225" s="20"/>
      <c r="L225" s="270"/>
      <c r="M225" s="269"/>
      <c r="N225" s="20"/>
      <c r="O225" s="20"/>
      <c r="P225" s="20"/>
      <c r="Q225" s="20"/>
      <c r="R225" s="20"/>
      <c r="S225" s="20"/>
      <c r="T225" s="270"/>
      <c r="U225" s="269"/>
      <c r="V225" s="20"/>
      <c r="W225" s="20"/>
      <c r="X225" s="20"/>
      <c r="Y225" s="20"/>
      <c r="Z225" s="20"/>
      <c r="AA225" s="20"/>
      <c r="AB225" s="270"/>
      <c r="AC225" s="269"/>
      <c r="AD225" s="20"/>
      <c r="AE225" s="20"/>
      <c r="AF225" s="20"/>
      <c r="AG225" s="20"/>
      <c r="AH225" s="20"/>
      <c r="AI225" s="20"/>
      <c r="AJ225" s="270"/>
      <c r="AK225" s="67">
        <v>518</v>
      </c>
      <c r="AL225" s="67">
        <v>1</v>
      </c>
      <c r="AO225" s="67">
        <f t="shared" si="41"/>
        <v>0</v>
      </c>
      <c r="AP225" s="67">
        <f t="shared" si="42"/>
        <v>0</v>
      </c>
      <c r="AQ225" s="67">
        <f t="shared" si="43"/>
        <v>0</v>
      </c>
      <c r="AR225" s="67">
        <f t="shared" si="44"/>
        <v>0</v>
      </c>
      <c r="AS225" s="67">
        <f t="shared" si="45"/>
        <v>0</v>
      </c>
      <c r="AT225" s="67">
        <f t="shared" si="46"/>
        <v>0</v>
      </c>
      <c r="AU225" s="67">
        <f t="shared" si="47"/>
        <v>0</v>
      </c>
      <c r="AW225" s="256">
        <v>19</v>
      </c>
      <c r="AX225" s="67">
        <f t="shared" si="39"/>
        <v>95</v>
      </c>
      <c r="AY225" s="76">
        <f t="shared" si="40"/>
        <v>0</v>
      </c>
      <c r="AZ225" s="67">
        <f t="shared" si="48"/>
        <v>0</v>
      </c>
      <c r="BA225" s="76">
        <f t="shared" si="51"/>
        <v>0</v>
      </c>
      <c r="BC225" s="67">
        <f t="shared" si="49"/>
        <v>0</v>
      </c>
      <c r="BD225" s="67">
        <f t="shared" si="50"/>
        <v>0</v>
      </c>
    </row>
    <row r="226" spans="1:56">
      <c r="A226" s="67">
        <v>519</v>
      </c>
      <c r="B226" s="67" t="s">
        <v>62</v>
      </c>
      <c r="C226" s="8" t="s">
        <v>42</v>
      </c>
      <c r="D226" s="67" t="s">
        <v>42</v>
      </c>
      <c r="E226" s="269" t="s">
        <v>442</v>
      </c>
      <c r="F226" s="5" t="s">
        <v>461</v>
      </c>
      <c r="G226" s="20"/>
      <c r="H226" s="5" t="s">
        <v>446</v>
      </c>
      <c r="I226" s="20"/>
      <c r="J226" s="20"/>
      <c r="K226" s="20"/>
      <c r="L226" s="270"/>
      <c r="M226" s="269"/>
      <c r="N226" s="20"/>
      <c r="O226" s="20"/>
      <c r="P226" s="20"/>
      <c r="Q226" s="20"/>
      <c r="R226" s="20"/>
      <c r="S226" s="20" t="s">
        <v>435</v>
      </c>
      <c r="T226" s="270" t="s">
        <v>434</v>
      </c>
      <c r="U226" s="269" t="s">
        <v>478</v>
      </c>
      <c r="V226" s="5" t="s">
        <v>479</v>
      </c>
      <c r="W226" s="5" t="s">
        <v>434</v>
      </c>
      <c r="X226" s="5" t="s">
        <v>435</v>
      </c>
      <c r="Y226" s="20"/>
      <c r="Z226" s="20"/>
      <c r="AA226" s="20"/>
      <c r="AB226" s="270"/>
      <c r="AC226" s="269"/>
      <c r="AD226" s="20"/>
      <c r="AE226" s="20"/>
      <c r="AF226" s="20"/>
      <c r="AG226" s="20"/>
      <c r="AH226" s="20" t="s">
        <v>442</v>
      </c>
      <c r="AI226" s="20" t="s">
        <v>436</v>
      </c>
      <c r="AJ226" s="270"/>
      <c r="AK226" s="67">
        <v>519</v>
      </c>
      <c r="AM226" s="67">
        <v>1</v>
      </c>
      <c r="AO226" s="67">
        <f t="shared" si="41"/>
        <v>5</v>
      </c>
      <c r="AP226" s="67">
        <f t="shared" si="42"/>
        <v>3</v>
      </c>
      <c r="AQ226" s="67">
        <f t="shared" si="43"/>
        <v>0</v>
      </c>
      <c r="AR226" s="67">
        <f t="shared" si="44"/>
        <v>7</v>
      </c>
      <c r="AS226" s="67">
        <f t="shared" si="45"/>
        <v>6</v>
      </c>
      <c r="AT226" s="67">
        <f t="shared" si="46"/>
        <v>4</v>
      </c>
      <c r="AU226" s="67">
        <f t="shared" si="47"/>
        <v>25</v>
      </c>
      <c r="AW226" s="256">
        <v>31</v>
      </c>
      <c r="AX226" s="67">
        <f t="shared" si="39"/>
        <v>155</v>
      </c>
      <c r="AY226" s="76">
        <f t="shared" si="40"/>
        <v>0.16129032258064516</v>
      </c>
      <c r="AZ226" s="67">
        <f t="shared" si="48"/>
        <v>11</v>
      </c>
      <c r="BA226" s="76">
        <f t="shared" si="51"/>
        <v>0.35483870967741937</v>
      </c>
      <c r="BC226" s="67">
        <f t="shared" si="49"/>
        <v>5</v>
      </c>
      <c r="BD226" s="67">
        <f t="shared" si="50"/>
        <v>6</v>
      </c>
    </row>
    <row r="227" spans="1:56">
      <c r="A227" s="67">
        <v>521</v>
      </c>
      <c r="B227" s="67" t="s">
        <v>41</v>
      </c>
      <c r="C227" s="8" t="s">
        <v>42</v>
      </c>
      <c r="D227" s="67" t="s">
        <v>42</v>
      </c>
      <c r="E227" s="269"/>
      <c r="F227" s="20"/>
      <c r="G227" s="5" t="s">
        <v>442</v>
      </c>
      <c r="H227" s="20"/>
      <c r="I227" s="20"/>
      <c r="J227" s="20"/>
      <c r="K227" s="20"/>
      <c r="L227" s="270"/>
      <c r="M227" s="269"/>
      <c r="N227" s="20"/>
      <c r="O227" s="20"/>
      <c r="P227" s="20" t="s">
        <v>434</v>
      </c>
      <c r="Q227" s="20"/>
      <c r="R227" s="20"/>
      <c r="S227" s="5" t="s">
        <v>446</v>
      </c>
      <c r="T227" s="270" t="s">
        <v>434</v>
      </c>
      <c r="U227" s="269"/>
      <c r="V227" s="20"/>
      <c r="W227" s="20" t="s">
        <v>442</v>
      </c>
      <c r="X227" s="5" t="s">
        <v>431</v>
      </c>
      <c r="Y227" s="20"/>
      <c r="Z227" s="20"/>
      <c r="AA227" s="20"/>
      <c r="AB227" s="270"/>
      <c r="AC227" s="269"/>
      <c r="AD227" s="20"/>
      <c r="AE227" s="20"/>
      <c r="AF227" s="20"/>
      <c r="AG227" s="20" t="s">
        <v>435</v>
      </c>
      <c r="AH227" s="20"/>
      <c r="AI227" s="20" t="s">
        <v>436</v>
      </c>
      <c r="AJ227" s="270"/>
      <c r="AK227" s="67">
        <v>521</v>
      </c>
      <c r="AM227" s="67">
        <v>1</v>
      </c>
      <c r="AO227" s="67">
        <f t="shared" si="41"/>
        <v>3</v>
      </c>
      <c r="AP227" s="67">
        <f t="shared" si="42"/>
        <v>2</v>
      </c>
      <c r="AQ227" s="67">
        <f t="shared" si="43"/>
        <v>0</v>
      </c>
      <c r="AR227" s="67">
        <f t="shared" si="44"/>
        <v>5</v>
      </c>
      <c r="AS227" s="67">
        <f t="shared" si="45"/>
        <v>4</v>
      </c>
      <c r="AT227" s="67">
        <f t="shared" si="46"/>
        <v>3</v>
      </c>
      <c r="AU227" s="67">
        <f t="shared" si="47"/>
        <v>17</v>
      </c>
      <c r="AW227" s="256">
        <v>29</v>
      </c>
      <c r="AX227" s="67">
        <f t="shared" ref="AX227:AX254" si="52">5*AW227</f>
        <v>145</v>
      </c>
      <c r="AY227" s="76">
        <f t="shared" ref="AY227:AY255" si="53">AU227/AX227</f>
        <v>0.11724137931034483</v>
      </c>
      <c r="AZ227" s="67">
        <f t="shared" si="48"/>
        <v>8</v>
      </c>
      <c r="BA227" s="76">
        <f t="shared" si="51"/>
        <v>0.27586206896551724</v>
      </c>
      <c r="BC227" s="67">
        <f t="shared" si="49"/>
        <v>4</v>
      </c>
      <c r="BD227" s="67">
        <f t="shared" si="50"/>
        <v>4</v>
      </c>
    </row>
    <row r="228" spans="1:56">
      <c r="A228" s="67">
        <v>522</v>
      </c>
      <c r="B228" s="67" t="s">
        <v>55</v>
      </c>
      <c r="C228" s="8" t="s">
        <v>346</v>
      </c>
      <c r="E228" s="269"/>
      <c r="F228" s="20"/>
      <c r="G228" s="20"/>
      <c r="H228" s="20"/>
      <c r="I228" s="20"/>
      <c r="J228" s="20"/>
      <c r="K228" s="20"/>
      <c r="L228" s="270"/>
      <c r="M228" s="269"/>
      <c r="N228" s="20"/>
      <c r="O228" s="20"/>
      <c r="P228" s="20"/>
      <c r="Q228" s="20"/>
      <c r="R228" s="20"/>
      <c r="S228" s="20"/>
      <c r="T228" s="270"/>
      <c r="U228" s="269"/>
      <c r="V228" s="20"/>
      <c r="W228" s="20"/>
      <c r="X228" s="20"/>
      <c r="Y228" s="20"/>
      <c r="Z228" s="20"/>
      <c r="AA228" s="20"/>
      <c r="AB228" s="270"/>
      <c r="AC228" s="269"/>
      <c r="AD228" s="20"/>
      <c r="AE228" s="20"/>
      <c r="AF228" s="20"/>
      <c r="AG228" s="20"/>
      <c r="AH228" s="20"/>
      <c r="AI228" s="20"/>
      <c r="AJ228" s="270"/>
      <c r="AK228" s="67">
        <v>522</v>
      </c>
      <c r="AL228" s="67">
        <v>1</v>
      </c>
      <c r="AO228" s="67">
        <f t="shared" si="41"/>
        <v>0</v>
      </c>
      <c r="AP228" s="67">
        <f t="shared" si="42"/>
        <v>0</v>
      </c>
      <c r="AQ228" s="67">
        <f t="shared" si="43"/>
        <v>0</v>
      </c>
      <c r="AR228" s="67">
        <f t="shared" si="44"/>
        <v>0</v>
      </c>
      <c r="AS228" s="67">
        <f t="shared" si="45"/>
        <v>0</v>
      </c>
      <c r="AT228" s="67">
        <f t="shared" si="46"/>
        <v>0</v>
      </c>
      <c r="AU228" s="67">
        <f t="shared" si="47"/>
        <v>0</v>
      </c>
      <c r="AW228" s="256">
        <v>13</v>
      </c>
      <c r="AX228" s="67">
        <f t="shared" si="52"/>
        <v>65</v>
      </c>
      <c r="AY228" s="76">
        <f t="shared" si="53"/>
        <v>0</v>
      </c>
      <c r="AZ228" s="67">
        <f t="shared" si="48"/>
        <v>0</v>
      </c>
      <c r="BA228" s="76">
        <f t="shared" si="51"/>
        <v>0</v>
      </c>
      <c r="BC228" s="67">
        <f t="shared" si="49"/>
        <v>0</v>
      </c>
      <c r="BD228" s="67">
        <f t="shared" si="50"/>
        <v>0</v>
      </c>
    </row>
    <row r="229" spans="1:56">
      <c r="A229" s="67">
        <v>523</v>
      </c>
      <c r="B229" s="67" t="s">
        <v>55</v>
      </c>
      <c r="C229" s="8" t="s">
        <v>346</v>
      </c>
      <c r="E229" s="269"/>
      <c r="F229" s="20"/>
      <c r="G229" s="20"/>
      <c r="H229" s="20"/>
      <c r="I229" s="20"/>
      <c r="J229" s="20"/>
      <c r="K229" s="20"/>
      <c r="L229" s="270"/>
      <c r="M229" s="269"/>
      <c r="N229" s="20"/>
      <c r="O229" s="20"/>
      <c r="P229" s="20"/>
      <c r="Q229" s="20"/>
      <c r="R229" s="20"/>
      <c r="S229" s="20"/>
      <c r="T229" s="270"/>
      <c r="U229" s="269"/>
      <c r="V229" s="20"/>
      <c r="W229" s="20"/>
      <c r="X229" s="20"/>
      <c r="Y229" s="20"/>
      <c r="Z229" s="20"/>
      <c r="AA229" s="20"/>
      <c r="AB229" s="270"/>
      <c r="AC229" s="269"/>
      <c r="AD229" s="20"/>
      <c r="AE229" s="20"/>
      <c r="AF229" s="20"/>
      <c r="AG229" s="20"/>
      <c r="AH229" s="20"/>
      <c r="AI229" s="20"/>
      <c r="AJ229" s="270"/>
      <c r="AK229" s="67">
        <v>523</v>
      </c>
      <c r="AL229" s="67">
        <v>1</v>
      </c>
      <c r="AO229" s="67">
        <f t="shared" si="41"/>
        <v>0</v>
      </c>
      <c r="AP229" s="67">
        <f t="shared" si="42"/>
        <v>0</v>
      </c>
      <c r="AQ229" s="67">
        <f t="shared" si="43"/>
        <v>0</v>
      </c>
      <c r="AR229" s="67">
        <f t="shared" si="44"/>
        <v>0</v>
      </c>
      <c r="AS229" s="67">
        <f t="shared" si="45"/>
        <v>0</v>
      </c>
      <c r="AT229" s="67">
        <f t="shared" si="46"/>
        <v>0</v>
      </c>
      <c r="AU229" s="67">
        <f t="shared" si="47"/>
        <v>0</v>
      </c>
      <c r="AW229" s="256">
        <v>9</v>
      </c>
      <c r="AX229" s="67">
        <f t="shared" si="52"/>
        <v>45</v>
      </c>
      <c r="AY229" s="76">
        <f t="shared" si="53"/>
        <v>0</v>
      </c>
      <c r="AZ229" s="67">
        <f t="shared" si="48"/>
        <v>0</v>
      </c>
      <c r="BA229" s="76">
        <f t="shared" si="51"/>
        <v>0</v>
      </c>
      <c r="BC229" s="67">
        <f t="shared" si="49"/>
        <v>0</v>
      </c>
      <c r="BD229" s="67">
        <f t="shared" si="50"/>
        <v>0</v>
      </c>
    </row>
    <row r="230" spans="1:56">
      <c r="A230" s="67">
        <v>524</v>
      </c>
      <c r="B230" s="67" t="s">
        <v>41</v>
      </c>
      <c r="C230" s="8" t="s">
        <v>42</v>
      </c>
      <c r="D230" s="67" t="s">
        <v>6</v>
      </c>
      <c r="E230" s="269" t="s">
        <v>480</v>
      </c>
      <c r="F230" s="5" t="s">
        <v>461</v>
      </c>
      <c r="G230" s="20"/>
      <c r="H230" s="20"/>
      <c r="I230" s="20"/>
      <c r="J230" s="20"/>
      <c r="K230" s="20"/>
      <c r="L230" s="270"/>
      <c r="M230" s="269"/>
      <c r="N230" s="20"/>
      <c r="O230" s="20"/>
      <c r="P230" s="20"/>
      <c r="Q230" s="20"/>
      <c r="R230" s="20"/>
      <c r="S230" s="20"/>
      <c r="T230" s="270" t="s">
        <v>481</v>
      </c>
      <c r="U230" s="269" t="s">
        <v>434</v>
      </c>
      <c r="V230" s="20"/>
      <c r="W230" s="20"/>
      <c r="X230" s="20"/>
      <c r="Y230" s="20"/>
      <c r="Z230" s="20"/>
      <c r="AA230" s="20"/>
      <c r="AB230" s="270"/>
      <c r="AC230" s="269"/>
      <c r="AD230" s="20"/>
      <c r="AE230" s="20"/>
      <c r="AF230" s="20"/>
      <c r="AG230" s="20"/>
      <c r="AH230" s="20"/>
      <c r="AI230" s="20"/>
      <c r="AJ230" s="270"/>
      <c r="AK230" s="67">
        <v>524</v>
      </c>
      <c r="AM230" s="67">
        <v>1</v>
      </c>
      <c r="AO230" s="67">
        <f t="shared" si="41"/>
        <v>2</v>
      </c>
      <c r="AP230" s="67">
        <f t="shared" si="42"/>
        <v>1</v>
      </c>
      <c r="AQ230" s="67">
        <f t="shared" si="43"/>
        <v>0</v>
      </c>
      <c r="AR230" s="67">
        <f t="shared" si="44"/>
        <v>3</v>
      </c>
      <c r="AS230" s="67">
        <f t="shared" si="45"/>
        <v>2</v>
      </c>
      <c r="AT230" s="67">
        <f t="shared" si="46"/>
        <v>2</v>
      </c>
      <c r="AU230" s="67">
        <f t="shared" si="47"/>
        <v>10</v>
      </c>
      <c r="AW230" s="256">
        <v>29</v>
      </c>
      <c r="AX230" s="67">
        <f t="shared" si="52"/>
        <v>145</v>
      </c>
      <c r="AY230" s="76">
        <f t="shared" si="53"/>
        <v>6.8965517241379309E-2</v>
      </c>
      <c r="AZ230" s="67">
        <f t="shared" si="48"/>
        <v>4</v>
      </c>
      <c r="BA230" s="76">
        <f t="shared" si="51"/>
        <v>0.13793103448275862</v>
      </c>
      <c r="BC230" s="67">
        <f t="shared" si="49"/>
        <v>3</v>
      </c>
      <c r="BD230" s="67">
        <f t="shared" si="50"/>
        <v>1</v>
      </c>
    </row>
    <row r="231" spans="1:56">
      <c r="A231" s="67">
        <v>525</v>
      </c>
      <c r="B231" s="67" t="s">
        <v>93</v>
      </c>
      <c r="C231" s="8" t="s">
        <v>12</v>
      </c>
      <c r="D231" s="67" t="s">
        <v>6</v>
      </c>
      <c r="E231" s="269"/>
      <c r="F231" s="20"/>
      <c r="G231" s="20"/>
      <c r="H231" s="20"/>
      <c r="I231" s="20"/>
      <c r="J231" s="20"/>
      <c r="K231" s="20"/>
      <c r="L231" s="270"/>
      <c r="M231" s="269"/>
      <c r="N231" s="20"/>
      <c r="O231" s="20"/>
      <c r="P231" s="20"/>
      <c r="Q231" s="20"/>
      <c r="R231" s="20"/>
      <c r="S231" s="20"/>
      <c r="T231" s="270"/>
      <c r="U231" s="269"/>
      <c r="V231" s="20"/>
      <c r="W231" s="20"/>
      <c r="X231" s="20"/>
      <c r="Y231" s="20"/>
      <c r="Z231" s="20"/>
      <c r="AA231" s="20"/>
      <c r="AB231" s="270"/>
      <c r="AC231" s="269"/>
      <c r="AD231" s="20"/>
      <c r="AE231" s="20"/>
      <c r="AF231" s="20"/>
      <c r="AG231" s="20"/>
      <c r="AH231" s="20"/>
      <c r="AI231" s="5" t="s">
        <v>447</v>
      </c>
      <c r="AJ231" s="270"/>
      <c r="AK231" s="67">
        <v>525</v>
      </c>
      <c r="AM231" s="67">
        <v>1</v>
      </c>
      <c r="AO231" s="67">
        <f t="shared" si="41"/>
        <v>0</v>
      </c>
      <c r="AP231" s="67">
        <f t="shared" si="42"/>
        <v>0</v>
      </c>
      <c r="AQ231" s="67">
        <f t="shared" si="43"/>
        <v>0</v>
      </c>
      <c r="AR231" s="67">
        <f t="shared" si="44"/>
        <v>1</v>
      </c>
      <c r="AS231" s="67">
        <f t="shared" si="45"/>
        <v>0</v>
      </c>
      <c r="AT231" s="67">
        <f t="shared" si="46"/>
        <v>1</v>
      </c>
      <c r="AU231" s="67">
        <f t="shared" si="47"/>
        <v>2</v>
      </c>
      <c r="AW231" s="256">
        <v>28</v>
      </c>
      <c r="AX231" s="67">
        <f t="shared" si="52"/>
        <v>140</v>
      </c>
      <c r="AY231" s="76">
        <f t="shared" si="53"/>
        <v>1.4285714285714285E-2</v>
      </c>
      <c r="AZ231" s="67">
        <f t="shared" si="48"/>
        <v>1</v>
      </c>
      <c r="BA231" s="76">
        <f t="shared" si="51"/>
        <v>3.5714285714285712E-2</v>
      </c>
      <c r="BC231" s="67">
        <f t="shared" si="49"/>
        <v>0</v>
      </c>
      <c r="BD231" s="67">
        <f t="shared" si="50"/>
        <v>1</v>
      </c>
    </row>
    <row r="232" spans="1:56">
      <c r="A232" s="67">
        <v>526</v>
      </c>
      <c r="B232" s="67" t="s">
        <v>240</v>
      </c>
      <c r="C232" s="8" t="s">
        <v>42</v>
      </c>
      <c r="D232" s="67" t="s">
        <v>42</v>
      </c>
      <c r="E232" s="269"/>
      <c r="F232" s="5" t="s">
        <v>434</v>
      </c>
      <c r="G232" s="5" t="s">
        <v>435</v>
      </c>
      <c r="H232" s="20"/>
      <c r="I232" s="20"/>
      <c r="J232" s="20"/>
      <c r="K232" s="20"/>
      <c r="L232" s="270"/>
      <c r="M232" s="269"/>
      <c r="N232" s="20"/>
      <c r="O232" s="20"/>
      <c r="P232" s="20"/>
      <c r="Q232" s="20"/>
      <c r="R232" s="20" t="s">
        <v>446</v>
      </c>
      <c r="S232" s="5" t="s">
        <v>434</v>
      </c>
      <c r="T232" s="270"/>
      <c r="U232" s="269"/>
      <c r="V232" s="20"/>
      <c r="W232" s="5" t="s">
        <v>442</v>
      </c>
      <c r="X232" s="20" t="s">
        <v>435</v>
      </c>
      <c r="Y232" s="20"/>
      <c r="Z232" s="20"/>
      <c r="AA232" s="20"/>
      <c r="AB232" s="270"/>
      <c r="AC232" s="269"/>
      <c r="AD232" s="20"/>
      <c r="AE232" s="20"/>
      <c r="AF232" s="20"/>
      <c r="AG232" s="20"/>
      <c r="AH232" s="20" t="s">
        <v>446</v>
      </c>
      <c r="AI232" s="5" t="s">
        <v>434</v>
      </c>
      <c r="AJ232" s="270"/>
      <c r="AK232" s="67">
        <v>526</v>
      </c>
      <c r="AM232" s="67">
        <v>1</v>
      </c>
      <c r="AO232" s="67">
        <f t="shared" si="41"/>
        <v>1</v>
      </c>
      <c r="AP232" s="67">
        <f t="shared" si="42"/>
        <v>1</v>
      </c>
      <c r="AQ232" s="67">
        <f t="shared" si="43"/>
        <v>0</v>
      </c>
      <c r="AR232" s="67">
        <f t="shared" si="44"/>
        <v>6</v>
      </c>
      <c r="AS232" s="67">
        <f t="shared" si="45"/>
        <v>5</v>
      </c>
      <c r="AT232" s="67">
        <f t="shared" si="46"/>
        <v>1</v>
      </c>
      <c r="AU232" s="67">
        <f t="shared" si="47"/>
        <v>14</v>
      </c>
      <c r="AW232" s="256">
        <v>28</v>
      </c>
      <c r="AX232" s="67">
        <f t="shared" si="52"/>
        <v>140</v>
      </c>
      <c r="AY232" s="76">
        <f t="shared" si="53"/>
        <v>0.1</v>
      </c>
      <c r="AZ232" s="67">
        <f t="shared" si="48"/>
        <v>8</v>
      </c>
      <c r="BA232" s="76">
        <f t="shared" si="51"/>
        <v>0.2857142857142857</v>
      </c>
      <c r="BC232" s="67">
        <f t="shared" si="49"/>
        <v>4</v>
      </c>
      <c r="BD232" s="67">
        <f t="shared" si="50"/>
        <v>4</v>
      </c>
    </row>
    <row r="233" spans="1:56">
      <c r="A233" s="67">
        <v>527</v>
      </c>
      <c r="B233" s="67" t="s">
        <v>65</v>
      </c>
      <c r="C233" s="8" t="s">
        <v>12</v>
      </c>
      <c r="D233" s="67" t="s">
        <v>6</v>
      </c>
      <c r="E233" s="269"/>
      <c r="F233" s="20"/>
      <c r="G233" s="20"/>
      <c r="H233" s="20"/>
      <c r="I233" s="20"/>
      <c r="J233" s="20"/>
      <c r="K233" s="20"/>
      <c r="L233" s="270"/>
      <c r="M233" s="269"/>
      <c r="N233" s="20"/>
      <c r="O233" s="20"/>
      <c r="P233" s="20"/>
      <c r="Q233" s="20"/>
      <c r="R233" s="20"/>
      <c r="S233" s="20"/>
      <c r="T233" s="270"/>
      <c r="U233" s="269"/>
      <c r="V233" s="20"/>
      <c r="W233" s="5" t="s">
        <v>431</v>
      </c>
      <c r="X233" s="20"/>
      <c r="Y233" s="20"/>
      <c r="Z233" s="20"/>
      <c r="AA233" s="20"/>
      <c r="AB233" s="270"/>
      <c r="AC233" s="269"/>
      <c r="AD233" s="20"/>
      <c r="AE233" s="20"/>
      <c r="AF233" s="20"/>
      <c r="AG233" s="20"/>
      <c r="AH233" s="20"/>
      <c r="AI233" s="20"/>
      <c r="AJ233" s="270"/>
      <c r="AK233" s="67">
        <v>527</v>
      </c>
      <c r="AM233" s="67">
        <v>1</v>
      </c>
      <c r="AO233" s="67">
        <f t="shared" si="41"/>
        <v>1</v>
      </c>
      <c r="AP233" s="67">
        <f t="shared" si="42"/>
        <v>0</v>
      </c>
      <c r="AQ233" s="67">
        <f t="shared" si="43"/>
        <v>0</v>
      </c>
      <c r="AR233" s="67">
        <f t="shared" si="44"/>
        <v>0</v>
      </c>
      <c r="AS233" s="67">
        <f t="shared" si="45"/>
        <v>0</v>
      </c>
      <c r="AT233" s="67">
        <f t="shared" si="46"/>
        <v>0</v>
      </c>
      <c r="AU233" s="67">
        <f t="shared" si="47"/>
        <v>1</v>
      </c>
      <c r="AW233" s="256">
        <v>23</v>
      </c>
      <c r="AX233" s="67">
        <f t="shared" si="52"/>
        <v>115</v>
      </c>
      <c r="AY233" s="76">
        <f t="shared" si="53"/>
        <v>8.6956521739130436E-3</v>
      </c>
      <c r="AZ233" s="67">
        <f t="shared" si="48"/>
        <v>1</v>
      </c>
      <c r="BA233" s="76">
        <f t="shared" si="51"/>
        <v>4.3478260869565216E-2</v>
      </c>
      <c r="BC233" s="67">
        <f t="shared" si="49"/>
        <v>0</v>
      </c>
      <c r="BD233" s="67">
        <f t="shared" si="50"/>
        <v>1</v>
      </c>
    </row>
    <row r="234" spans="1:56">
      <c r="A234" s="67">
        <v>528</v>
      </c>
      <c r="B234" s="67" t="s">
        <v>75</v>
      </c>
      <c r="C234" s="8" t="s">
        <v>12</v>
      </c>
      <c r="D234" s="67" t="s">
        <v>6</v>
      </c>
      <c r="E234" s="269"/>
      <c r="F234" s="20"/>
      <c r="G234" s="20"/>
      <c r="H234" s="20"/>
      <c r="I234" s="20"/>
      <c r="J234" s="20"/>
      <c r="K234" s="20"/>
      <c r="L234" s="270"/>
      <c r="M234" s="269"/>
      <c r="N234" s="20"/>
      <c r="O234" s="20" t="s">
        <v>435</v>
      </c>
      <c r="P234" s="20" t="s">
        <v>446</v>
      </c>
      <c r="Q234" s="20" t="s">
        <v>434</v>
      </c>
      <c r="R234" s="5" t="s">
        <v>435</v>
      </c>
      <c r="S234" s="5" t="s">
        <v>446</v>
      </c>
      <c r="T234" s="270"/>
      <c r="U234" s="269"/>
      <c r="V234" s="5" t="s">
        <v>482</v>
      </c>
      <c r="W234" s="20"/>
      <c r="X234" s="20"/>
      <c r="Y234" s="20"/>
      <c r="Z234" s="20"/>
      <c r="AA234" s="20"/>
      <c r="AB234" s="270" t="s">
        <v>434</v>
      </c>
      <c r="AC234" s="269"/>
      <c r="AD234" s="20"/>
      <c r="AE234" s="20"/>
      <c r="AF234" s="20" t="s">
        <v>431</v>
      </c>
      <c r="AG234" s="20" t="s">
        <v>431</v>
      </c>
      <c r="AH234" s="20"/>
      <c r="AI234" s="5" t="s">
        <v>431</v>
      </c>
      <c r="AJ234" s="270"/>
      <c r="AK234" s="67">
        <v>528</v>
      </c>
      <c r="AM234" s="67">
        <v>1</v>
      </c>
      <c r="AO234" s="67">
        <f t="shared" si="41"/>
        <v>4</v>
      </c>
      <c r="AP234" s="67">
        <f t="shared" si="42"/>
        <v>0</v>
      </c>
      <c r="AQ234" s="67">
        <f t="shared" si="43"/>
        <v>0</v>
      </c>
      <c r="AR234" s="67">
        <f t="shared" si="44"/>
        <v>4</v>
      </c>
      <c r="AS234" s="67">
        <f t="shared" si="45"/>
        <v>5</v>
      </c>
      <c r="AT234" s="67">
        <f t="shared" si="46"/>
        <v>1</v>
      </c>
      <c r="AU234" s="67">
        <f t="shared" si="47"/>
        <v>14</v>
      </c>
      <c r="AW234" s="256">
        <v>29</v>
      </c>
      <c r="AX234" s="67">
        <f t="shared" si="52"/>
        <v>145</v>
      </c>
      <c r="AY234" s="76">
        <f t="shared" si="53"/>
        <v>9.6551724137931033E-2</v>
      </c>
      <c r="AZ234" s="67">
        <f t="shared" si="48"/>
        <v>10</v>
      </c>
      <c r="BA234" s="76">
        <f t="shared" si="51"/>
        <v>0.34482758620689657</v>
      </c>
      <c r="BC234" s="67">
        <f t="shared" si="49"/>
        <v>5</v>
      </c>
      <c r="BD234" s="67">
        <f t="shared" si="50"/>
        <v>5</v>
      </c>
    </row>
    <row r="235" spans="1:56">
      <c r="A235" s="67">
        <v>529</v>
      </c>
      <c r="B235" s="67" t="s">
        <v>62</v>
      </c>
      <c r="C235" s="8" t="s">
        <v>42</v>
      </c>
      <c r="D235" s="67" t="s">
        <v>77</v>
      </c>
      <c r="E235" s="269"/>
      <c r="F235" s="20"/>
      <c r="G235" s="20"/>
      <c r="H235" s="20"/>
      <c r="I235" s="20"/>
      <c r="J235" s="20"/>
      <c r="K235" s="20"/>
      <c r="L235" s="270"/>
      <c r="M235" s="269"/>
      <c r="N235" s="20"/>
      <c r="O235" s="20"/>
      <c r="P235" s="20"/>
      <c r="Q235" s="20"/>
      <c r="R235" s="20"/>
      <c r="S235" s="20"/>
      <c r="T235" s="270"/>
      <c r="U235" s="269"/>
      <c r="V235" s="20"/>
      <c r="W235" s="20"/>
      <c r="X235" s="20"/>
      <c r="Y235" s="20"/>
      <c r="Z235" s="20"/>
      <c r="AA235" s="20"/>
      <c r="AB235" s="270"/>
      <c r="AC235" s="269"/>
      <c r="AD235" s="20"/>
      <c r="AE235" s="20"/>
      <c r="AF235" s="20"/>
      <c r="AG235" s="20"/>
      <c r="AH235" s="20"/>
      <c r="AI235" s="20"/>
      <c r="AJ235" s="270"/>
      <c r="AK235" s="67">
        <v>529</v>
      </c>
      <c r="AL235" s="67">
        <v>1</v>
      </c>
      <c r="AO235" s="67">
        <f t="shared" si="41"/>
        <v>0</v>
      </c>
      <c r="AP235" s="67">
        <f t="shared" si="42"/>
        <v>0</v>
      </c>
      <c r="AQ235" s="67">
        <f t="shared" si="43"/>
        <v>0</v>
      </c>
      <c r="AR235" s="67">
        <f t="shared" si="44"/>
        <v>0</v>
      </c>
      <c r="AS235" s="67">
        <f t="shared" si="45"/>
        <v>0</v>
      </c>
      <c r="AT235" s="67">
        <f t="shared" si="46"/>
        <v>0</v>
      </c>
      <c r="AU235" s="67">
        <f t="shared" si="47"/>
        <v>0</v>
      </c>
      <c r="AW235" s="256">
        <v>25</v>
      </c>
      <c r="AX235" s="67">
        <f t="shared" si="52"/>
        <v>125</v>
      </c>
      <c r="AY235" s="76">
        <f t="shared" si="53"/>
        <v>0</v>
      </c>
      <c r="AZ235" s="67">
        <f t="shared" si="48"/>
        <v>0</v>
      </c>
      <c r="BA235" s="76">
        <f t="shared" si="51"/>
        <v>0</v>
      </c>
      <c r="BC235" s="67">
        <f t="shared" si="49"/>
        <v>0</v>
      </c>
      <c r="BD235" s="67">
        <f t="shared" si="50"/>
        <v>0</v>
      </c>
    </row>
    <row r="236" spans="1:56">
      <c r="A236" s="67">
        <v>530</v>
      </c>
      <c r="B236" s="67" t="s">
        <v>63</v>
      </c>
      <c r="C236" s="8" t="s">
        <v>346</v>
      </c>
      <c r="E236" s="269"/>
      <c r="F236" s="20"/>
      <c r="G236" s="20"/>
      <c r="H236" s="20"/>
      <c r="I236" s="20"/>
      <c r="J236" s="20"/>
      <c r="K236" s="20"/>
      <c r="L236" s="270"/>
      <c r="M236" s="269"/>
      <c r="N236" s="20"/>
      <c r="O236" s="20"/>
      <c r="P236" s="20"/>
      <c r="Q236" s="20"/>
      <c r="R236" s="20"/>
      <c r="S236" s="20"/>
      <c r="T236" s="270"/>
      <c r="U236" s="269"/>
      <c r="V236" s="20"/>
      <c r="W236" s="20"/>
      <c r="X236" s="20"/>
      <c r="Y236" s="20"/>
      <c r="Z236" s="20"/>
      <c r="AA236" s="20"/>
      <c r="AB236" s="270"/>
      <c r="AC236" s="269"/>
      <c r="AD236" s="20"/>
      <c r="AE236" s="20"/>
      <c r="AF236" s="20"/>
      <c r="AG236" s="20"/>
      <c r="AH236" s="20"/>
      <c r="AI236" s="20"/>
      <c r="AJ236" s="270"/>
      <c r="AK236" s="67">
        <v>530</v>
      </c>
      <c r="AL236" s="67">
        <v>1</v>
      </c>
      <c r="AO236" s="67">
        <f t="shared" si="41"/>
        <v>0</v>
      </c>
      <c r="AP236" s="67">
        <f t="shared" si="42"/>
        <v>0</v>
      </c>
      <c r="AQ236" s="67">
        <f t="shared" si="43"/>
        <v>0</v>
      </c>
      <c r="AR236" s="67">
        <f t="shared" si="44"/>
        <v>0</v>
      </c>
      <c r="AS236" s="67">
        <f t="shared" si="45"/>
        <v>0</v>
      </c>
      <c r="AT236" s="67">
        <f t="shared" si="46"/>
        <v>0</v>
      </c>
      <c r="AU236" s="67">
        <f t="shared" si="47"/>
        <v>0</v>
      </c>
      <c r="AW236" s="256">
        <v>3</v>
      </c>
      <c r="AX236" s="67">
        <f t="shared" si="52"/>
        <v>15</v>
      </c>
      <c r="AY236" s="76">
        <f t="shared" si="53"/>
        <v>0</v>
      </c>
      <c r="AZ236" s="67">
        <f t="shared" si="48"/>
        <v>0</v>
      </c>
      <c r="BA236" s="76">
        <f t="shared" si="51"/>
        <v>0</v>
      </c>
      <c r="BC236" s="67">
        <f t="shared" si="49"/>
        <v>0</v>
      </c>
      <c r="BD236" s="67">
        <f t="shared" si="50"/>
        <v>0</v>
      </c>
    </row>
    <row r="237" spans="1:56">
      <c r="A237" s="67">
        <v>531</v>
      </c>
      <c r="B237" s="67" t="s">
        <v>54</v>
      </c>
      <c r="C237" s="8" t="s">
        <v>345</v>
      </c>
      <c r="E237" s="269"/>
      <c r="F237" s="20"/>
      <c r="G237" s="20"/>
      <c r="H237" s="20"/>
      <c r="I237" s="20"/>
      <c r="J237" s="20"/>
      <c r="K237" s="20"/>
      <c r="L237" s="270"/>
      <c r="M237" s="269"/>
      <c r="N237" s="20"/>
      <c r="O237" s="20"/>
      <c r="P237" s="20"/>
      <c r="Q237" s="20"/>
      <c r="R237" s="20"/>
      <c r="S237" s="20"/>
      <c r="T237" s="270"/>
      <c r="U237" s="269"/>
      <c r="V237" s="20"/>
      <c r="W237" s="20"/>
      <c r="X237" s="20"/>
      <c r="Y237" s="20"/>
      <c r="Z237" s="20"/>
      <c r="AA237" s="20"/>
      <c r="AB237" s="270"/>
      <c r="AC237" s="269"/>
      <c r="AD237" s="20"/>
      <c r="AE237" s="20"/>
      <c r="AF237" s="20"/>
      <c r="AG237" s="20"/>
      <c r="AH237" s="20"/>
      <c r="AI237" s="20"/>
      <c r="AJ237" s="270"/>
      <c r="AK237" s="67">
        <v>531</v>
      </c>
      <c r="AL237" s="67">
        <v>1</v>
      </c>
      <c r="AO237" s="67">
        <f t="shared" si="41"/>
        <v>0</v>
      </c>
      <c r="AP237" s="67">
        <f t="shared" si="42"/>
        <v>0</v>
      </c>
      <c r="AQ237" s="67">
        <f t="shared" si="43"/>
        <v>0</v>
      </c>
      <c r="AR237" s="67">
        <f t="shared" si="44"/>
        <v>0</v>
      </c>
      <c r="AS237" s="67">
        <f t="shared" si="45"/>
        <v>0</v>
      </c>
      <c r="AT237" s="67">
        <f t="shared" si="46"/>
        <v>0</v>
      </c>
      <c r="AU237" s="67">
        <f t="shared" si="47"/>
        <v>0</v>
      </c>
      <c r="AW237" s="256">
        <v>8</v>
      </c>
      <c r="AX237" s="67">
        <f t="shared" si="52"/>
        <v>40</v>
      </c>
      <c r="AY237" s="76">
        <f t="shared" si="53"/>
        <v>0</v>
      </c>
      <c r="AZ237" s="67">
        <f t="shared" si="48"/>
        <v>0</v>
      </c>
      <c r="BA237" s="76">
        <f t="shared" si="51"/>
        <v>0</v>
      </c>
      <c r="BC237" s="67">
        <f t="shared" si="49"/>
        <v>0</v>
      </c>
      <c r="BD237" s="67">
        <f t="shared" si="50"/>
        <v>0</v>
      </c>
    </row>
    <row r="238" spans="1:56">
      <c r="A238" s="67">
        <v>539</v>
      </c>
      <c r="B238" s="67" t="s">
        <v>240</v>
      </c>
      <c r="C238" s="8" t="s">
        <v>42</v>
      </c>
      <c r="D238" s="67" t="s">
        <v>42</v>
      </c>
      <c r="E238" s="269" t="s">
        <v>483</v>
      </c>
      <c r="F238" s="20"/>
      <c r="G238" s="20"/>
      <c r="H238" s="20"/>
      <c r="I238" s="20"/>
      <c r="J238" s="20"/>
      <c r="K238" s="20"/>
      <c r="L238" s="270"/>
      <c r="M238" s="269"/>
      <c r="N238" s="20"/>
      <c r="O238" s="20"/>
      <c r="P238" s="20"/>
      <c r="Q238" s="20"/>
      <c r="R238" s="20"/>
      <c r="S238" s="20" t="s">
        <v>435</v>
      </c>
      <c r="T238" s="270" t="s">
        <v>434</v>
      </c>
      <c r="U238" s="269" t="s">
        <v>436</v>
      </c>
      <c r="V238" s="20"/>
      <c r="W238" s="20"/>
      <c r="X238" s="20"/>
      <c r="Y238" s="20"/>
      <c r="Z238" s="20"/>
      <c r="AA238" s="20"/>
      <c r="AB238" s="270"/>
      <c r="AC238" s="269"/>
      <c r="AD238" s="20"/>
      <c r="AE238" s="20"/>
      <c r="AF238" s="20"/>
      <c r="AG238" s="20"/>
      <c r="AH238" s="20" t="s">
        <v>442</v>
      </c>
      <c r="AI238" s="5" t="s">
        <v>464</v>
      </c>
      <c r="AJ238" s="270"/>
      <c r="AK238" s="67">
        <v>539</v>
      </c>
      <c r="AM238" s="67">
        <v>1</v>
      </c>
      <c r="AO238" s="67">
        <f t="shared" si="41"/>
        <v>3</v>
      </c>
      <c r="AP238" s="67">
        <f t="shared" si="42"/>
        <v>1</v>
      </c>
      <c r="AQ238" s="67">
        <f t="shared" si="43"/>
        <v>0</v>
      </c>
      <c r="AR238" s="67">
        <f t="shared" si="44"/>
        <v>4</v>
      </c>
      <c r="AS238" s="67">
        <f t="shared" si="45"/>
        <v>3</v>
      </c>
      <c r="AT238" s="67">
        <f t="shared" si="46"/>
        <v>2</v>
      </c>
      <c r="AU238" s="67">
        <f t="shared" si="47"/>
        <v>13</v>
      </c>
      <c r="AW238" s="256">
        <v>30</v>
      </c>
      <c r="AX238" s="67">
        <f t="shared" si="52"/>
        <v>150</v>
      </c>
      <c r="AY238" s="76">
        <f t="shared" si="53"/>
        <v>8.666666666666667E-2</v>
      </c>
      <c r="AZ238" s="67">
        <f t="shared" si="48"/>
        <v>6</v>
      </c>
      <c r="BA238" s="76">
        <f t="shared" si="51"/>
        <v>0.2</v>
      </c>
      <c r="BC238" s="67">
        <f t="shared" si="49"/>
        <v>3</v>
      </c>
      <c r="BD238" s="67">
        <f t="shared" si="50"/>
        <v>3</v>
      </c>
    </row>
    <row r="239" spans="1:56">
      <c r="A239" s="67">
        <v>540</v>
      </c>
      <c r="B239" s="67" t="s">
        <v>240</v>
      </c>
      <c r="C239" s="8" t="s">
        <v>42</v>
      </c>
      <c r="D239" s="67" t="s">
        <v>42</v>
      </c>
      <c r="E239" s="269" t="s">
        <v>436</v>
      </c>
      <c r="F239" s="5" t="s">
        <v>450</v>
      </c>
      <c r="G239" s="5" t="s">
        <v>468</v>
      </c>
      <c r="H239" s="5" t="s">
        <v>435</v>
      </c>
      <c r="I239" s="20"/>
      <c r="J239" s="20"/>
      <c r="K239" s="20"/>
      <c r="L239" s="270"/>
      <c r="M239" s="269"/>
      <c r="N239" s="20"/>
      <c r="O239" s="20"/>
      <c r="P239" s="20"/>
      <c r="Q239" s="20"/>
      <c r="R239" s="20"/>
      <c r="S239" s="5" t="s">
        <v>461</v>
      </c>
      <c r="T239" s="270" t="s">
        <v>457</v>
      </c>
      <c r="U239" s="269"/>
      <c r="V239" s="20" t="s">
        <v>436</v>
      </c>
      <c r="W239" s="5" t="s">
        <v>436</v>
      </c>
      <c r="X239" s="5" t="s">
        <v>435</v>
      </c>
      <c r="Y239" s="20"/>
      <c r="Z239" s="20"/>
      <c r="AA239" s="20"/>
      <c r="AB239" s="270"/>
      <c r="AC239" s="269"/>
      <c r="AD239" s="20"/>
      <c r="AE239" s="20"/>
      <c r="AF239" s="20"/>
      <c r="AG239" s="20"/>
      <c r="AH239" s="20" t="s">
        <v>434</v>
      </c>
      <c r="AI239" s="20"/>
      <c r="AJ239" s="270" t="s">
        <v>436</v>
      </c>
      <c r="AK239" s="67">
        <v>540</v>
      </c>
      <c r="AM239" s="67">
        <v>1</v>
      </c>
      <c r="AO239" s="67">
        <f t="shared" si="41"/>
        <v>2</v>
      </c>
      <c r="AP239" s="67">
        <f t="shared" si="42"/>
        <v>0</v>
      </c>
      <c r="AQ239" s="67">
        <f t="shared" si="43"/>
        <v>0</v>
      </c>
      <c r="AR239" s="67">
        <f t="shared" si="44"/>
        <v>4</v>
      </c>
      <c r="AS239" s="67">
        <f t="shared" si="45"/>
        <v>5</v>
      </c>
      <c r="AT239" s="67">
        <f t="shared" si="46"/>
        <v>5</v>
      </c>
      <c r="AU239" s="67">
        <f t="shared" si="47"/>
        <v>16</v>
      </c>
      <c r="AW239" s="256">
        <v>31</v>
      </c>
      <c r="AX239" s="67">
        <f t="shared" si="52"/>
        <v>155</v>
      </c>
      <c r="AY239" s="76">
        <f t="shared" si="53"/>
        <v>0.1032258064516129</v>
      </c>
      <c r="AZ239" s="67">
        <f t="shared" si="48"/>
        <v>11</v>
      </c>
      <c r="BA239" s="76">
        <f t="shared" si="51"/>
        <v>0.35483870967741937</v>
      </c>
      <c r="BC239" s="67">
        <f t="shared" si="49"/>
        <v>6</v>
      </c>
      <c r="BD239" s="67">
        <f t="shared" si="50"/>
        <v>5</v>
      </c>
    </row>
    <row r="240" spans="1:56">
      <c r="A240" s="67">
        <v>544</v>
      </c>
      <c r="B240" s="67" t="s">
        <v>54</v>
      </c>
      <c r="C240" s="8" t="s">
        <v>345</v>
      </c>
      <c r="E240" s="269"/>
      <c r="F240" s="20"/>
      <c r="G240" s="20"/>
      <c r="H240" s="20"/>
      <c r="I240" s="20"/>
      <c r="J240" s="20"/>
      <c r="K240" s="20"/>
      <c r="L240" s="270"/>
      <c r="M240" s="269"/>
      <c r="N240" s="20"/>
      <c r="O240" s="20"/>
      <c r="P240" s="20"/>
      <c r="Q240" s="20"/>
      <c r="R240" s="20"/>
      <c r="S240" s="20"/>
      <c r="T240" s="270"/>
      <c r="U240" s="269"/>
      <c r="V240" s="20"/>
      <c r="W240" s="20"/>
      <c r="X240" s="20"/>
      <c r="Y240" s="20"/>
      <c r="Z240" s="20"/>
      <c r="AA240" s="20"/>
      <c r="AB240" s="270"/>
      <c r="AC240" s="269"/>
      <c r="AD240" s="20"/>
      <c r="AE240" s="20"/>
      <c r="AF240" s="20"/>
      <c r="AG240" s="20"/>
      <c r="AH240" s="20"/>
      <c r="AI240" s="20"/>
      <c r="AJ240" s="270"/>
      <c r="AK240" s="67">
        <v>544</v>
      </c>
      <c r="AL240" s="67">
        <v>1</v>
      </c>
      <c r="AO240" s="67">
        <f t="shared" si="41"/>
        <v>0</v>
      </c>
      <c r="AP240" s="67">
        <f t="shared" si="42"/>
        <v>0</v>
      </c>
      <c r="AQ240" s="67">
        <f t="shared" si="43"/>
        <v>0</v>
      </c>
      <c r="AR240" s="67">
        <f t="shared" si="44"/>
        <v>0</v>
      </c>
      <c r="AS240" s="67">
        <f t="shared" si="45"/>
        <v>0</v>
      </c>
      <c r="AT240" s="67">
        <f t="shared" si="46"/>
        <v>0</v>
      </c>
      <c r="AU240" s="67">
        <f t="shared" si="47"/>
        <v>0</v>
      </c>
      <c r="AW240" s="256">
        <v>1</v>
      </c>
      <c r="AX240" s="67">
        <f t="shared" si="52"/>
        <v>5</v>
      </c>
      <c r="AY240" s="76">
        <f t="shared" si="53"/>
        <v>0</v>
      </c>
      <c r="AZ240" s="67">
        <f t="shared" si="48"/>
        <v>0</v>
      </c>
      <c r="BA240" s="76">
        <f t="shared" si="51"/>
        <v>0</v>
      </c>
      <c r="BC240" s="67">
        <f t="shared" si="49"/>
        <v>0</v>
      </c>
      <c r="BD240" s="67">
        <f t="shared" si="50"/>
        <v>0</v>
      </c>
    </row>
    <row r="241" spans="1:56">
      <c r="A241" s="67">
        <v>547</v>
      </c>
      <c r="B241" s="67" t="s">
        <v>201</v>
      </c>
      <c r="C241" s="8" t="s">
        <v>357</v>
      </c>
      <c r="E241" s="269"/>
      <c r="F241" s="20"/>
      <c r="G241" s="20"/>
      <c r="H241" s="20"/>
      <c r="I241" s="20"/>
      <c r="J241" s="20"/>
      <c r="K241" s="20"/>
      <c r="L241" s="270"/>
      <c r="M241" s="269"/>
      <c r="N241" s="20"/>
      <c r="O241" s="20"/>
      <c r="P241" s="20"/>
      <c r="Q241" s="20"/>
      <c r="R241" s="20"/>
      <c r="S241" s="20"/>
      <c r="T241" s="270"/>
      <c r="U241" s="269"/>
      <c r="V241" s="20"/>
      <c r="W241" s="20"/>
      <c r="X241" s="20"/>
      <c r="Y241" s="20"/>
      <c r="Z241" s="20"/>
      <c r="AA241" s="20"/>
      <c r="AB241" s="270"/>
      <c r="AC241" s="269"/>
      <c r="AD241" s="20"/>
      <c r="AE241" s="20"/>
      <c r="AF241" s="20"/>
      <c r="AG241" s="20"/>
      <c r="AH241" s="20"/>
      <c r="AI241" s="20"/>
      <c r="AJ241" s="270"/>
      <c r="AK241" s="67">
        <v>547</v>
      </c>
      <c r="AL241" s="67">
        <v>1</v>
      </c>
      <c r="AO241" s="67">
        <f t="shared" si="41"/>
        <v>0</v>
      </c>
      <c r="AP241" s="67">
        <f t="shared" si="42"/>
        <v>0</v>
      </c>
      <c r="AQ241" s="67">
        <f t="shared" si="43"/>
        <v>0</v>
      </c>
      <c r="AR241" s="67">
        <f t="shared" si="44"/>
        <v>0</v>
      </c>
      <c r="AS241" s="67">
        <f t="shared" si="45"/>
        <v>0</v>
      </c>
      <c r="AT241" s="67">
        <f t="shared" si="46"/>
        <v>0</v>
      </c>
      <c r="AU241" s="67">
        <f t="shared" si="47"/>
        <v>0</v>
      </c>
      <c r="AW241" s="256">
        <v>28</v>
      </c>
      <c r="AX241" s="67">
        <f t="shared" si="52"/>
        <v>140</v>
      </c>
      <c r="AY241" s="76">
        <f t="shared" si="53"/>
        <v>0</v>
      </c>
      <c r="AZ241" s="67">
        <f t="shared" si="48"/>
        <v>0</v>
      </c>
      <c r="BA241" s="76">
        <f t="shared" si="51"/>
        <v>0</v>
      </c>
      <c r="BC241" s="67">
        <f t="shared" si="49"/>
        <v>0</v>
      </c>
      <c r="BD241" s="67">
        <f t="shared" si="50"/>
        <v>0</v>
      </c>
    </row>
    <row r="242" spans="1:56">
      <c r="A242" s="67">
        <v>548</v>
      </c>
      <c r="B242" s="67" t="s">
        <v>56</v>
      </c>
      <c r="C242" s="8" t="s">
        <v>360</v>
      </c>
      <c r="E242" s="269"/>
      <c r="F242" s="20"/>
      <c r="G242" s="20"/>
      <c r="H242" s="20"/>
      <c r="I242" s="20"/>
      <c r="J242" s="20"/>
      <c r="K242" s="20"/>
      <c r="L242" s="270"/>
      <c r="M242" s="269"/>
      <c r="N242" s="20"/>
      <c r="O242" s="20"/>
      <c r="P242" s="20"/>
      <c r="Q242" s="20"/>
      <c r="R242" s="20"/>
      <c r="S242" s="20"/>
      <c r="T242" s="270"/>
      <c r="U242" s="269"/>
      <c r="V242" s="20"/>
      <c r="W242" s="20"/>
      <c r="X242" s="20"/>
      <c r="Y242" s="20"/>
      <c r="Z242" s="20"/>
      <c r="AA242" s="20"/>
      <c r="AB242" s="270"/>
      <c r="AC242" s="269"/>
      <c r="AD242" s="20"/>
      <c r="AE242" s="20"/>
      <c r="AF242" s="20"/>
      <c r="AG242" s="20"/>
      <c r="AH242" s="20"/>
      <c r="AI242" s="20"/>
      <c r="AJ242" s="270"/>
      <c r="AK242" s="67">
        <v>548</v>
      </c>
      <c r="AL242" s="67">
        <v>1</v>
      </c>
      <c r="AO242" s="67">
        <f t="shared" si="41"/>
        <v>0</v>
      </c>
      <c r="AP242" s="67">
        <f t="shared" si="42"/>
        <v>0</v>
      </c>
      <c r="AQ242" s="67">
        <f t="shared" si="43"/>
        <v>0</v>
      </c>
      <c r="AR242" s="67">
        <f t="shared" si="44"/>
        <v>0</v>
      </c>
      <c r="AS242" s="67">
        <f t="shared" si="45"/>
        <v>0</v>
      </c>
      <c r="AT242" s="67">
        <f t="shared" si="46"/>
        <v>0</v>
      </c>
      <c r="AU242" s="67">
        <f t="shared" si="47"/>
        <v>0</v>
      </c>
      <c r="AW242" s="256">
        <v>3</v>
      </c>
      <c r="AX242" s="67">
        <f t="shared" si="52"/>
        <v>15</v>
      </c>
      <c r="AY242" s="76">
        <f t="shared" si="53"/>
        <v>0</v>
      </c>
      <c r="AZ242" s="67">
        <f t="shared" si="48"/>
        <v>0</v>
      </c>
      <c r="BA242" s="76">
        <f t="shared" si="51"/>
        <v>0</v>
      </c>
      <c r="BC242" s="67">
        <f t="shared" si="49"/>
        <v>0</v>
      </c>
      <c r="BD242" s="67">
        <f t="shared" si="50"/>
        <v>0</v>
      </c>
    </row>
    <row r="243" spans="1:56">
      <c r="A243" s="67">
        <v>551</v>
      </c>
      <c r="B243" s="67" t="s">
        <v>78</v>
      </c>
      <c r="C243" s="8" t="s">
        <v>359</v>
      </c>
      <c r="E243" s="269"/>
      <c r="F243" s="20"/>
      <c r="G243" s="20"/>
      <c r="H243" s="20"/>
      <c r="I243" s="20"/>
      <c r="J243" s="20"/>
      <c r="K243" s="20"/>
      <c r="L243" s="270"/>
      <c r="M243" s="269"/>
      <c r="N243" s="20"/>
      <c r="O243" s="20" t="s">
        <v>435</v>
      </c>
      <c r="P243" s="20" t="s">
        <v>434</v>
      </c>
      <c r="Q243" s="20"/>
      <c r="R243" s="20"/>
      <c r="S243" s="20"/>
      <c r="T243" s="270"/>
      <c r="U243" s="269"/>
      <c r="V243" s="20"/>
      <c r="W243" s="20"/>
      <c r="X243" s="20"/>
      <c r="Y243" s="20"/>
      <c r="Z243" s="20"/>
      <c r="AA243" s="20"/>
      <c r="AB243" s="270"/>
      <c r="AC243" s="269"/>
      <c r="AD243" s="20"/>
      <c r="AE243" s="20"/>
      <c r="AF243" s="20"/>
      <c r="AG243" s="20"/>
      <c r="AH243" s="20"/>
      <c r="AI243" s="20"/>
      <c r="AJ243" s="270"/>
      <c r="AK243" s="67">
        <v>551</v>
      </c>
      <c r="AM243" s="67">
        <v>1</v>
      </c>
      <c r="AO243" s="67">
        <f t="shared" si="41"/>
        <v>0</v>
      </c>
      <c r="AP243" s="67">
        <f t="shared" si="42"/>
        <v>0</v>
      </c>
      <c r="AQ243" s="67">
        <f t="shared" si="43"/>
        <v>0</v>
      </c>
      <c r="AR243" s="67">
        <f t="shared" si="44"/>
        <v>1</v>
      </c>
      <c r="AS243" s="67">
        <f t="shared" si="45"/>
        <v>1</v>
      </c>
      <c r="AT243" s="67">
        <f t="shared" si="46"/>
        <v>0</v>
      </c>
      <c r="AU243" s="67">
        <f t="shared" si="47"/>
        <v>2</v>
      </c>
      <c r="AW243" s="256">
        <v>21</v>
      </c>
      <c r="AX243" s="67">
        <f t="shared" si="52"/>
        <v>105</v>
      </c>
      <c r="AY243" s="76">
        <f t="shared" si="53"/>
        <v>1.9047619047619049E-2</v>
      </c>
      <c r="AZ243" s="67">
        <f t="shared" si="48"/>
        <v>2</v>
      </c>
      <c r="BA243" s="76">
        <f t="shared" si="51"/>
        <v>9.5238095238095233E-2</v>
      </c>
      <c r="BC243" s="67">
        <f t="shared" si="49"/>
        <v>2</v>
      </c>
      <c r="BD243" s="67">
        <f t="shared" si="50"/>
        <v>0</v>
      </c>
    </row>
    <row r="244" spans="1:56">
      <c r="A244" s="67">
        <v>553</v>
      </c>
      <c r="B244" s="67" t="s">
        <v>106</v>
      </c>
      <c r="C244" s="8" t="s">
        <v>349</v>
      </c>
      <c r="D244" s="67" t="s">
        <v>6</v>
      </c>
      <c r="E244" s="269"/>
      <c r="F244" s="20"/>
      <c r="G244" s="20"/>
      <c r="H244" s="20"/>
      <c r="I244" s="20"/>
      <c r="J244" s="20"/>
      <c r="K244" s="20"/>
      <c r="L244" s="270"/>
      <c r="M244" s="269"/>
      <c r="N244" s="20"/>
      <c r="O244" s="20"/>
      <c r="P244" s="20"/>
      <c r="Q244" s="20"/>
      <c r="R244" s="20"/>
      <c r="S244" s="20"/>
      <c r="T244" s="270"/>
      <c r="U244" s="269"/>
      <c r="V244" s="20"/>
      <c r="W244" s="20"/>
      <c r="X244" s="20"/>
      <c r="Y244" s="20"/>
      <c r="Z244" s="20"/>
      <c r="AA244" s="20"/>
      <c r="AB244" s="270"/>
      <c r="AC244" s="269"/>
      <c r="AD244" s="20"/>
      <c r="AE244" s="20"/>
      <c r="AF244" s="20"/>
      <c r="AG244" s="20"/>
      <c r="AH244" s="20"/>
      <c r="AI244" s="20"/>
      <c r="AJ244" s="270"/>
      <c r="AK244" s="67">
        <v>553</v>
      </c>
      <c r="AL244" s="67">
        <v>1</v>
      </c>
      <c r="AO244" s="67">
        <f t="shared" si="41"/>
        <v>0</v>
      </c>
      <c r="AP244" s="67">
        <f t="shared" si="42"/>
        <v>0</v>
      </c>
      <c r="AQ244" s="67">
        <f t="shared" si="43"/>
        <v>0</v>
      </c>
      <c r="AR244" s="67">
        <f t="shared" si="44"/>
        <v>0</v>
      </c>
      <c r="AS244" s="67">
        <f t="shared" si="45"/>
        <v>0</v>
      </c>
      <c r="AT244" s="67">
        <f t="shared" si="46"/>
        <v>0</v>
      </c>
      <c r="AU244" s="67">
        <f t="shared" si="47"/>
        <v>0</v>
      </c>
      <c r="AW244" s="256">
        <v>6</v>
      </c>
      <c r="AX244" s="67">
        <f t="shared" si="52"/>
        <v>30</v>
      </c>
      <c r="AY244" s="76">
        <f t="shared" si="53"/>
        <v>0</v>
      </c>
      <c r="AZ244" s="67">
        <f t="shared" si="48"/>
        <v>0</v>
      </c>
      <c r="BA244" s="76">
        <f t="shared" si="51"/>
        <v>0</v>
      </c>
      <c r="BC244" s="67">
        <f t="shared" si="49"/>
        <v>0</v>
      </c>
      <c r="BD244" s="67">
        <f t="shared" si="50"/>
        <v>0</v>
      </c>
    </row>
    <row r="245" spans="1:56">
      <c r="A245" s="8">
        <v>555</v>
      </c>
      <c r="B245" s="8" t="s">
        <v>73</v>
      </c>
      <c r="C245" s="8" t="s">
        <v>165</v>
      </c>
      <c r="D245" s="8" t="s">
        <v>42</v>
      </c>
      <c r="E245" s="271"/>
      <c r="F245" s="5" t="s">
        <v>434</v>
      </c>
      <c r="G245" s="5" t="s">
        <v>435</v>
      </c>
      <c r="H245" s="5"/>
      <c r="I245" s="5"/>
      <c r="J245" s="5"/>
      <c r="K245" s="5"/>
      <c r="L245" s="272"/>
      <c r="M245" s="271"/>
      <c r="N245" s="5"/>
      <c r="O245" s="5"/>
      <c r="P245" s="5"/>
      <c r="Q245" s="5"/>
      <c r="R245" s="5"/>
      <c r="S245" s="5"/>
      <c r="T245" s="272"/>
      <c r="U245" s="271"/>
      <c r="V245" s="5"/>
      <c r="W245" s="5"/>
      <c r="X245" s="5"/>
      <c r="Y245" s="5"/>
      <c r="Z245" s="5"/>
      <c r="AA245" s="5"/>
      <c r="AB245" s="272"/>
      <c r="AC245" s="271"/>
      <c r="AD245" s="5"/>
      <c r="AE245" s="5"/>
      <c r="AF245" s="5"/>
      <c r="AG245" s="5"/>
      <c r="AH245" s="5"/>
      <c r="AI245" s="5"/>
      <c r="AJ245" s="272"/>
      <c r="AK245" s="8">
        <v>555</v>
      </c>
      <c r="AL245" s="8"/>
      <c r="AM245" s="8">
        <v>1</v>
      </c>
      <c r="AN245" s="8"/>
      <c r="AO245" s="67">
        <f t="shared" si="41"/>
        <v>0</v>
      </c>
      <c r="AP245" s="67">
        <f t="shared" si="42"/>
        <v>0</v>
      </c>
      <c r="AQ245" s="67">
        <f t="shared" si="43"/>
        <v>0</v>
      </c>
      <c r="AR245" s="67">
        <f t="shared" si="44"/>
        <v>1</v>
      </c>
      <c r="AS245" s="67">
        <f t="shared" si="45"/>
        <v>1</v>
      </c>
      <c r="AT245" s="67">
        <f t="shared" si="46"/>
        <v>0</v>
      </c>
      <c r="AU245" s="67">
        <f t="shared" si="47"/>
        <v>2</v>
      </c>
      <c r="AW245" s="256">
        <v>22</v>
      </c>
      <c r="AX245" s="67">
        <f t="shared" si="52"/>
        <v>110</v>
      </c>
      <c r="AY245" s="76">
        <f t="shared" si="53"/>
        <v>1.8181818181818181E-2</v>
      </c>
      <c r="AZ245" s="67">
        <f t="shared" si="48"/>
        <v>2</v>
      </c>
      <c r="BA245" s="76">
        <f t="shared" si="51"/>
        <v>9.0909090909090912E-2</v>
      </c>
      <c r="BC245" s="67">
        <f t="shared" si="49"/>
        <v>2</v>
      </c>
      <c r="BD245" s="67">
        <f t="shared" si="50"/>
        <v>0</v>
      </c>
    </row>
    <row r="246" spans="1:56" s="8" customFormat="1">
      <c r="A246" s="67">
        <v>559</v>
      </c>
      <c r="B246" s="67" t="s">
        <v>74</v>
      </c>
      <c r="C246" s="8" t="s">
        <v>346</v>
      </c>
      <c r="D246" s="67"/>
      <c r="E246" s="269"/>
      <c r="F246" s="20"/>
      <c r="G246" s="20"/>
      <c r="H246" s="20"/>
      <c r="I246" s="20"/>
      <c r="J246" s="20"/>
      <c r="K246" s="20"/>
      <c r="L246" s="270"/>
      <c r="M246" s="269"/>
      <c r="N246" s="20"/>
      <c r="O246" s="20"/>
      <c r="P246" s="20"/>
      <c r="Q246" s="20"/>
      <c r="R246" s="20"/>
      <c r="S246" s="20"/>
      <c r="T246" s="270"/>
      <c r="U246" s="269"/>
      <c r="V246" s="20"/>
      <c r="W246" s="20"/>
      <c r="X246" s="20"/>
      <c r="Y246" s="20"/>
      <c r="Z246" s="20"/>
      <c r="AA246" s="20"/>
      <c r="AB246" s="270"/>
      <c r="AC246" s="269"/>
      <c r="AD246" s="20"/>
      <c r="AE246" s="20"/>
      <c r="AF246" s="20"/>
      <c r="AG246" s="20"/>
      <c r="AH246" s="20"/>
      <c r="AI246" s="20"/>
      <c r="AJ246" s="270"/>
      <c r="AK246" s="67">
        <v>559</v>
      </c>
      <c r="AL246" s="67">
        <v>1</v>
      </c>
      <c r="AM246" s="67"/>
      <c r="AN246" s="67"/>
      <c r="AO246" s="67">
        <f t="shared" si="41"/>
        <v>0</v>
      </c>
      <c r="AP246" s="67">
        <f t="shared" si="42"/>
        <v>0</v>
      </c>
      <c r="AQ246" s="67">
        <f t="shared" si="43"/>
        <v>0</v>
      </c>
      <c r="AR246" s="67">
        <f t="shared" si="44"/>
        <v>0</v>
      </c>
      <c r="AS246" s="67">
        <f t="shared" si="45"/>
        <v>0</v>
      </c>
      <c r="AT246" s="67">
        <f t="shared" si="46"/>
        <v>0</v>
      </c>
      <c r="AU246" s="67">
        <f t="shared" si="47"/>
        <v>0</v>
      </c>
      <c r="AW246" s="256">
        <v>14</v>
      </c>
      <c r="AX246" s="67">
        <f t="shared" si="52"/>
        <v>70</v>
      </c>
      <c r="AY246" s="76">
        <f t="shared" si="53"/>
        <v>0</v>
      </c>
      <c r="AZ246" s="67">
        <f t="shared" si="48"/>
        <v>0</v>
      </c>
      <c r="BA246" s="76">
        <f t="shared" si="51"/>
        <v>0</v>
      </c>
      <c r="BB246" s="67"/>
      <c r="BC246" s="67">
        <f t="shared" si="49"/>
        <v>0</v>
      </c>
      <c r="BD246" s="67">
        <f t="shared" si="50"/>
        <v>0</v>
      </c>
    </row>
    <row r="247" spans="1:56">
      <c r="A247" s="67">
        <v>563</v>
      </c>
      <c r="B247" s="67" t="s">
        <v>80</v>
      </c>
      <c r="C247" s="8" t="s">
        <v>346</v>
      </c>
      <c r="E247" s="269"/>
      <c r="F247" s="20"/>
      <c r="G247" s="20"/>
      <c r="H247" s="20"/>
      <c r="I247" s="20"/>
      <c r="J247" s="20"/>
      <c r="K247" s="20"/>
      <c r="L247" s="270"/>
      <c r="M247" s="269"/>
      <c r="N247" s="20"/>
      <c r="O247" s="20"/>
      <c r="P247" s="20"/>
      <c r="Q247" s="20"/>
      <c r="R247" s="20"/>
      <c r="S247" s="20"/>
      <c r="T247" s="270"/>
      <c r="U247" s="269"/>
      <c r="V247" s="20"/>
      <c r="W247" s="20"/>
      <c r="X247" s="20"/>
      <c r="Y247" s="20"/>
      <c r="Z247" s="20"/>
      <c r="AA247" s="20"/>
      <c r="AB247" s="270"/>
      <c r="AC247" s="269"/>
      <c r="AD247" s="20"/>
      <c r="AE247" s="20"/>
      <c r="AF247" s="20"/>
      <c r="AG247" s="20"/>
      <c r="AH247" s="20"/>
      <c r="AI247" s="20"/>
      <c r="AJ247" s="270"/>
      <c r="AK247" s="67">
        <v>563</v>
      </c>
      <c r="AL247" s="67">
        <v>1</v>
      </c>
      <c r="AO247" s="67">
        <f t="shared" si="41"/>
        <v>0</v>
      </c>
      <c r="AP247" s="67">
        <f t="shared" si="42"/>
        <v>0</v>
      </c>
      <c r="AQ247" s="67">
        <f t="shared" si="43"/>
        <v>0</v>
      </c>
      <c r="AR247" s="67">
        <f t="shared" si="44"/>
        <v>0</v>
      </c>
      <c r="AS247" s="67">
        <f t="shared" si="45"/>
        <v>0</v>
      </c>
      <c r="AT247" s="67">
        <f t="shared" si="46"/>
        <v>0</v>
      </c>
      <c r="AU247" s="67">
        <f t="shared" si="47"/>
        <v>0</v>
      </c>
      <c r="AW247" s="256">
        <v>17</v>
      </c>
      <c r="AX247" s="67">
        <f t="shared" si="52"/>
        <v>85</v>
      </c>
      <c r="AY247" s="76">
        <f t="shared" si="53"/>
        <v>0</v>
      </c>
      <c r="AZ247" s="67">
        <f t="shared" si="48"/>
        <v>0</v>
      </c>
      <c r="BA247" s="76">
        <f t="shared" si="51"/>
        <v>0</v>
      </c>
      <c r="BC247" s="67">
        <f t="shared" si="49"/>
        <v>0</v>
      </c>
      <c r="BD247" s="67">
        <f t="shared" si="50"/>
        <v>0</v>
      </c>
    </row>
    <row r="248" spans="1:56">
      <c r="A248" s="67">
        <v>564</v>
      </c>
      <c r="B248" s="67" t="s">
        <v>62</v>
      </c>
      <c r="C248" s="8" t="s">
        <v>42</v>
      </c>
      <c r="D248" s="67" t="s">
        <v>6</v>
      </c>
      <c r="E248" s="269"/>
      <c r="F248" s="20"/>
      <c r="G248" s="20"/>
      <c r="H248" s="20"/>
      <c r="I248" s="20"/>
      <c r="J248" s="20" t="s">
        <v>436</v>
      </c>
      <c r="K248" s="20" t="s">
        <v>451</v>
      </c>
      <c r="L248" s="270"/>
      <c r="M248" s="269"/>
      <c r="N248" s="20"/>
      <c r="O248" s="20" t="s">
        <v>435</v>
      </c>
      <c r="P248" s="20" t="s">
        <v>442</v>
      </c>
      <c r="Q248" s="20" t="s">
        <v>435</v>
      </c>
      <c r="R248" s="5" t="s">
        <v>442</v>
      </c>
      <c r="S248" s="20"/>
      <c r="T248" s="270"/>
      <c r="U248" s="269"/>
      <c r="V248" s="20"/>
      <c r="W248" s="20"/>
      <c r="X248" s="20"/>
      <c r="Y248" s="20"/>
      <c r="Z248" s="20"/>
      <c r="AA248" s="20"/>
      <c r="AB248" s="270" t="s">
        <v>449</v>
      </c>
      <c r="AC248" s="269"/>
      <c r="AD248" s="20"/>
      <c r="AE248" s="20"/>
      <c r="AF248" s="20"/>
      <c r="AG248" s="20" t="s">
        <v>435</v>
      </c>
      <c r="AH248" s="20" t="s">
        <v>442</v>
      </c>
      <c r="AI248" s="20"/>
      <c r="AJ248" s="270"/>
      <c r="AK248" s="67">
        <v>564</v>
      </c>
      <c r="AM248" s="67">
        <v>1</v>
      </c>
      <c r="AO248" s="67">
        <f t="shared" si="41"/>
        <v>3</v>
      </c>
      <c r="AP248" s="67">
        <f t="shared" si="42"/>
        <v>4</v>
      </c>
      <c r="AQ248" s="67">
        <f t="shared" si="43"/>
        <v>1</v>
      </c>
      <c r="AR248" s="67">
        <f t="shared" si="44"/>
        <v>5</v>
      </c>
      <c r="AS248" s="67">
        <f t="shared" si="45"/>
        <v>7</v>
      </c>
      <c r="AT248" s="67">
        <f t="shared" si="46"/>
        <v>6</v>
      </c>
      <c r="AU248" s="67">
        <f t="shared" si="47"/>
        <v>26</v>
      </c>
      <c r="AW248" s="256">
        <v>29</v>
      </c>
      <c r="AX248" s="67">
        <f t="shared" si="52"/>
        <v>145</v>
      </c>
      <c r="AY248" s="76">
        <f t="shared" si="53"/>
        <v>0.1793103448275862</v>
      </c>
      <c r="AZ248" s="67">
        <f t="shared" si="48"/>
        <v>9</v>
      </c>
      <c r="BA248" s="76">
        <f t="shared" si="51"/>
        <v>0.31034482758620691</v>
      </c>
      <c r="BC248" s="67">
        <f t="shared" si="49"/>
        <v>6</v>
      </c>
      <c r="BD248" s="67">
        <f t="shared" si="50"/>
        <v>3</v>
      </c>
    </row>
    <row r="249" spans="1:56">
      <c r="A249" s="67">
        <v>567</v>
      </c>
      <c r="B249" s="67" t="s">
        <v>56</v>
      </c>
      <c r="C249" s="8" t="s">
        <v>360</v>
      </c>
      <c r="E249" s="269"/>
      <c r="F249" s="20"/>
      <c r="G249" s="20"/>
      <c r="H249" s="20"/>
      <c r="I249" s="20"/>
      <c r="J249" s="20"/>
      <c r="K249" s="20"/>
      <c r="L249" s="270"/>
      <c r="M249" s="269"/>
      <c r="N249" s="20"/>
      <c r="O249" s="20"/>
      <c r="P249" s="20"/>
      <c r="Q249" s="20"/>
      <c r="R249" s="20"/>
      <c r="S249" s="20"/>
      <c r="T249" s="270"/>
      <c r="U249" s="269"/>
      <c r="V249" s="20"/>
      <c r="W249" s="20"/>
      <c r="X249" s="20"/>
      <c r="Y249" s="20"/>
      <c r="Z249" s="20"/>
      <c r="AA249" s="20"/>
      <c r="AB249" s="270"/>
      <c r="AC249" s="269"/>
      <c r="AD249" s="20"/>
      <c r="AE249" s="20"/>
      <c r="AF249" s="20"/>
      <c r="AG249" s="20"/>
      <c r="AH249" s="20"/>
      <c r="AI249" s="20"/>
      <c r="AJ249" s="270"/>
      <c r="AK249" s="67">
        <v>567</v>
      </c>
      <c r="AL249" s="67">
        <v>1</v>
      </c>
      <c r="AO249" s="67">
        <f t="shared" si="41"/>
        <v>0</v>
      </c>
      <c r="AP249" s="67">
        <f t="shared" si="42"/>
        <v>0</v>
      </c>
      <c r="AQ249" s="67">
        <f t="shared" si="43"/>
        <v>0</v>
      </c>
      <c r="AR249" s="67">
        <f t="shared" si="44"/>
        <v>0</v>
      </c>
      <c r="AS249" s="67">
        <f t="shared" si="45"/>
        <v>0</v>
      </c>
      <c r="AT249" s="67">
        <f t="shared" si="46"/>
        <v>0</v>
      </c>
      <c r="AU249" s="67">
        <f t="shared" si="47"/>
        <v>0</v>
      </c>
      <c r="AW249" s="256">
        <v>3</v>
      </c>
      <c r="AX249" s="67">
        <f t="shared" si="52"/>
        <v>15</v>
      </c>
      <c r="AY249" s="76">
        <f t="shared" si="53"/>
        <v>0</v>
      </c>
      <c r="AZ249" s="67">
        <f t="shared" si="48"/>
        <v>0</v>
      </c>
      <c r="BA249" s="76">
        <f t="shared" si="51"/>
        <v>0</v>
      </c>
      <c r="BC249" s="67">
        <f t="shared" si="49"/>
        <v>0</v>
      </c>
      <c r="BD249" s="67">
        <f t="shared" si="50"/>
        <v>0</v>
      </c>
    </row>
    <row r="250" spans="1:56">
      <c r="A250" s="67">
        <v>568</v>
      </c>
      <c r="B250" s="67" t="s">
        <v>65</v>
      </c>
      <c r="C250" s="8" t="s">
        <v>12</v>
      </c>
      <c r="D250" s="67" t="s">
        <v>42</v>
      </c>
      <c r="E250" s="269"/>
      <c r="F250" s="20"/>
      <c r="G250" s="20"/>
      <c r="H250" s="20"/>
      <c r="I250" s="20"/>
      <c r="J250" s="20"/>
      <c r="K250" s="20"/>
      <c r="L250" s="270"/>
      <c r="M250" s="269"/>
      <c r="N250" s="20"/>
      <c r="O250" s="20"/>
      <c r="P250" s="20"/>
      <c r="Q250" s="20"/>
      <c r="R250" s="20"/>
      <c r="S250" s="20"/>
      <c r="T250" s="270"/>
      <c r="U250" s="269"/>
      <c r="V250" s="20"/>
      <c r="W250" s="20"/>
      <c r="X250" s="20"/>
      <c r="Y250" s="20"/>
      <c r="Z250" s="20"/>
      <c r="AA250" s="20"/>
      <c r="AB250" s="270"/>
      <c r="AC250" s="269"/>
      <c r="AD250" s="20"/>
      <c r="AE250" s="20"/>
      <c r="AF250" s="20"/>
      <c r="AG250" s="20"/>
      <c r="AH250" s="20"/>
      <c r="AI250" s="20"/>
      <c r="AJ250" s="270"/>
      <c r="AK250" s="67">
        <v>568</v>
      </c>
      <c r="AL250" s="67">
        <v>1</v>
      </c>
      <c r="AO250" s="67">
        <f t="shared" si="41"/>
        <v>0</v>
      </c>
      <c r="AP250" s="67">
        <f t="shared" si="42"/>
        <v>0</v>
      </c>
      <c r="AQ250" s="67">
        <f t="shared" si="43"/>
        <v>0</v>
      </c>
      <c r="AR250" s="67">
        <f t="shared" si="44"/>
        <v>0</v>
      </c>
      <c r="AS250" s="67">
        <f t="shared" si="45"/>
        <v>0</v>
      </c>
      <c r="AT250" s="67">
        <f t="shared" si="46"/>
        <v>0</v>
      </c>
      <c r="AU250" s="67">
        <f t="shared" si="47"/>
        <v>0</v>
      </c>
      <c r="AW250" s="256">
        <v>28</v>
      </c>
      <c r="AX250" s="67">
        <f t="shared" si="52"/>
        <v>140</v>
      </c>
      <c r="AY250" s="76">
        <f t="shared" si="53"/>
        <v>0</v>
      </c>
      <c r="AZ250" s="67">
        <f t="shared" si="48"/>
        <v>0</v>
      </c>
      <c r="BA250" s="76">
        <f t="shared" si="51"/>
        <v>0</v>
      </c>
      <c r="BC250" s="67">
        <f t="shared" si="49"/>
        <v>0</v>
      </c>
      <c r="BD250" s="67">
        <f t="shared" si="50"/>
        <v>0</v>
      </c>
    </row>
    <row r="251" spans="1:56">
      <c r="A251" s="67">
        <v>569</v>
      </c>
      <c r="B251" s="67" t="s">
        <v>59</v>
      </c>
      <c r="C251" s="8" t="s">
        <v>346</v>
      </c>
      <c r="E251" s="269"/>
      <c r="F251" s="20"/>
      <c r="G251" s="20"/>
      <c r="H251" s="20"/>
      <c r="I251" s="20"/>
      <c r="J251" s="20"/>
      <c r="K251" s="20"/>
      <c r="L251" s="270"/>
      <c r="M251" s="269"/>
      <c r="N251" s="20"/>
      <c r="O251" s="20"/>
      <c r="P251" s="20"/>
      <c r="Q251" s="20"/>
      <c r="R251" s="20"/>
      <c r="S251" s="20"/>
      <c r="T251" s="270"/>
      <c r="U251" s="269"/>
      <c r="V251" s="20"/>
      <c r="W251" s="20"/>
      <c r="X251" s="20"/>
      <c r="Y251" s="20"/>
      <c r="Z251" s="20"/>
      <c r="AA251" s="20"/>
      <c r="AB251" s="270"/>
      <c r="AC251" s="269"/>
      <c r="AD251" s="20"/>
      <c r="AE251" s="20"/>
      <c r="AF251" s="20"/>
      <c r="AG251" s="20"/>
      <c r="AH251" s="20"/>
      <c r="AI251" s="20"/>
      <c r="AJ251" s="270"/>
      <c r="AK251" s="67">
        <v>569</v>
      </c>
      <c r="AL251" s="67">
        <v>1</v>
      </c>
      <c r="AO251" s="67">
        <f t="shared" si="41"/>
        <v>0</v>
      </c>
      <c r="AP251" s="67">
        <f t="shared" si="42"/>
        <v>0</v>
      </c>
      <c r="AQ251" s="67">
        <f t="shared" si="43"/>
        <v>0</v>
      </c>
      <c r="AR251" s="67">
        <f t="shared" si="44"/>
        <v>0</v>
      </c>
      <c r="AS251" s="67">
        <f t="shared" si="45"/>
        <v>0</v>
      </c>
      <c r="AT251" s="67">
        <f t="shared" si="46"/>
        <v>0</v>
      </c>
      <c r="AU251" s="67">
        <f t="shared" si="47"/>
        <v>0</v>
      </c>
      <c r="AW251" s="256">
        <v>18</v>
      </c>
      <c r="AX251" s="67">
        <f t="shared" si="52"/>
        <v>90</v>
      </c>
      <c r="AY251" s="76">
        <f t="shared" si="53"/>
        <v>0</v>
      </c>
      <c r="AZ251" s="67">
        <f t="shared" si="48"/>
        <v>0</v>
      </c>
      <c r="BA251" s="76">
        <f t="shared" si="51"/>
        <v>0</v>
      </c>
      <c r="BC251" s="67">
        <f t="shared" si="49"/>
        <v>0</v>
      </c>
      <c r="BD251" s="67">
        <f t="shared" si="50"/>
        <v>0</v>
      </c>
    </row>
    <row r="252" spans="1:56">
      <c r="A252" s="67">
        <v>570</v>
      </c>
      <c r="B252" s="67" t="s">
        <v>73</v>
      </c>
      <c r="C252" s="8" t="s">
        <v>165</v>
      </c>
      <c r="D252" s="67" t="s">
        <v>6</v>
      </c>
      <c r="E252" s="269"/>
      <c r="F252" s="20"/>
      <c r="G252" s="20"/>
      <c r="H252" s="20"/>
      <c r="I252" s="20"/>
      <c r="J252" s="20"/>
      <c r="K252" s="20"/>
      <c r="L252" s="270"/>
      <c r="M252" s="269"/>
      <c r="N252" s="20"/>
      <c r="O252" s="20"/>
      <c r="P252" s="20"/>
      <c r="Q252" s="20"/>
      <c r="R252" s="20" t="s">
        <v>442</v>
      </c>
      <c r="S252" s="20"/>
      <c r="T252" s="270"/>
      <c r="U252" s="269"/>
      <c r="V252" s="20" t="s">
        <v>436</v>
      </c>
      <c r="W252" s="20"/>
      <c r="X252" s="20"/>
      <c r="Y252" s="20"/>
      <c r="Z252" s="20"/>
      <c r="AA252" s="20"/>
      <c r="AB252" s="270"/>
      <c r="AC252" s="269"/>
      <c r="AD252" s="20"/>
      <c r="AE252" s="20"/>
      <c r="AF252" s="20"/>
      <c r="AG252" s="20"/>
      <c r="AH252" s="20"/>
      <c r="AI252" s="20" t="s">
        <v>436</v>
      </c>
      <c r="AJ252" s="270"/>
      <c r="AK252" s="67">
        <v>570</v>
      </c>
      <c r="AM252" s="67">
        <v>1</v>
      </c>
      <c r="AO252" s="67">
        <f t="shared" si="41"/>
        <v>1</v>
      </c>
      <c r="AP252" s="67">
        <f t="shared" si="42"/>
        <v>1</v>
      </c>
      <c r="AQ252" s="67">
        <f t="shared" si="43"/>
        <v>0</v>
      </c>
      <c r="AR252" s="67">
        <f t="shared" si="44"/>
        <v>1</v>
      </c>
      <c r="AS252" s="67">
        <f t="shared" si="45"/>
        <v>1</v>
      </c>
      <c r="AT252" s="67">
        <f t="shared" si="46"/>
        <v>3</v>
      </c>
      <c r="AU252" s="67">
        <f t="shared" si="47"/>
        <v>7</v>
      </c>
      <c r="AW252" s="256">
        <v>27</v>
      </c>
      <c r="AX252" s="67">
        <f t="shared" si="52"/>
        <v>135</v>
      </c>
      <c r="AY252" s="76">
        <f t="shared" si="53"/>
        <v>5.185185185185185E-2</v>
      </c>
      <c r="AZ252" s="67">
        <f t="shared" si="48"/>
        <v>3</v>
      </c>
      <c r="BA252" s="76">
        <f t="shared" si="51"/>
        <v>0.1111111111111111</v>
      </c>
      <c r="BC252" s="67">
        <f t="shared" si="49"/>
        <v>1</v>
      </c>
      <c r="BD252" s="67">
        <f t="shared" si="50"/>
        <v>2</v>
      </c>
    </row>
    <row r="253" spans="1:56">
      <c r="A253" s="67">
        <v>571</v>
      </c>
      <c r="B253" s="67" t="s">
        <v>62</v>
      </c>
      <c r="C253" s="8" t="s">
        <v>42</v>
      </c>
      <c r="D253" s="67" t="s">
        <v>6</v>
      </c>
      <c r="E253" s="269"/>
      <c r="F253" s="20"/>
      <c r="G253" s="20"/>
      <c r="H253" s="20"/>
      <c r="I253" s="20"/>
      <c r="J253" s="20"/>
      <c r="K253" s="20"/>
      <c r="L253" s="270"/>
      <c r="M253" s="269"/>
      <c r="N253" s="20"/>
      <c r="O253" s="20"/>
      <c r="P253" s="20"/>
      <c r="Q253" s="20"/>
      <c r="R253" s="20"/>
      <c r="S253" s="20"/>
      <c r="T253" s="270"/>
      <c r="U253" s="269"/>
      <c r="V253" s="20"/>
      <c r="W253" s="20"/>
      <c r="X253" s="20"/>
      <c r="Y253" s="20"/>
      <c r="Z253" s="20"/>
      <c r="AA253" s="20"/>
      <c r="AB253" s="270"/>
      <c r="AC253" s="269"/>
      <c r="AD253" s="20"/>
      <c r="AE253" s="20"/>
      <c r="AF253" s="20"/>
      <c r="AG253" s="20"/>
      <c r="AH253" s="20" t="s">
        <v>442</v>
      </c>
      <c r="AI253" s="20"/>
      <c r="AJ253" s="270" t="s">
        <v>436</v>
      </c>
      <c r="AK253" s="67">
        <v>571</v>
      </c>
      <c r="AM253" s="67">
        <v>1</v>
      </c>
      <c r="AO253" s="67">
        <f t="shared" si="41"/>
        <v>1</v>
      </c>
      <c r="AP253" s="67">
        <f t="shared" si="42"/>
        <v>1</v>
      </c>
      <c r="AQ253" s="67">
        <f t="shared" si="43"/>
        <v>0</v>
      </c>
      <c r="AR253" s="67">
        <f t="shared" si="44"/>
        <v>1</v>
      </c>
      <c r="AS253" s="67">
        <f t="shared" si="45"/>
        <v>1</v>
      </c>
      <c r="AT253" s="67">
        <f t="shared" si="46"/>
        <v>2</v>
      </c>
      <c r="AU253" s="67">
        <f t="shared" si="47"/>
        <v>6</v>
      </c>
      <c r="AW253" s="256">
        <v>31</v>
      </c>
      <c r="AX253" s="67">
        <f t="shared" si="52"/>
        <v>155</v>
      </c>
      <c r="AY253" s="76">
        <f t="shared" si="53"/>
        <v>3.870967741935484E-2</v>
      </c>
      <c r="AZ253" s="67">
        <f t="shared" si="48"/>
        <v>2</v>
      </c>
      <c r="BA253" s="76">
        <f t="shared" si="51"/>
        <v>6.4516129032258063E-2</v>
      </c>
      <c r="BC253" s="67">
        <f t="shared" si="49"/>
        <v>0</v>
      </c>
      <c r="BD253" s="67">
        <f t="shared" si="50"/>
        <v>2</v>
      </c>
    </row>
    <row r="254" spans="1:56" ht="15.75" thickBot="1">
      <c r="A254" s="67">
        <v>572</v>
      </c>
      <c r="B254" s="67" t="s">
        <v>74</v>
      </c>
      <c r="C254" s="8" t="s">
        <v>346</v>
      </c>
      <c r="E254" s="274"/>
      <c r="F254" s="275"/>
      <c r="G254" s="275"/>
      <c r="H254" s="275"/>
      <c r="I254" s="275"/>
      <c r="J254" s="275"/>
      <c r="K254" s="275"/>
      <c r="L254" s="276"/>
      <c r="M254" s="274"/>
      <c r="N254" s="275"/>
      <c r="O254" s="275"/>
      <c r="P254" s="275"/>
      <c r="Q254" s="275"/>
      <c r="R254" s="275"/>
      <c r="S254" s="275"/>
      <c r="T254" s="276"/>
      <c r="U254" s="274"/>
      <c r="V254" s="275"/>
      <c r="W254" s="275"/>
      <c r="X254" s="275"/>
      <c r="Y254" s="275"/>
      <c r="Z254" s="275"/>
      <c r="AA254" s="275"/>
      <c r="AB254" s="276"/>
      <c r="AC254" s="274"/>
      <c r="AD254" s="275"/>
      <c r="AE254" s="275"/>
      <c r="AF254" s="275"/>
      <c r="AG254" s="275"/>
      <c r="AH254" s="275"/>
      <c r="AI254" s="275"/>
      <c r="AJ254" s="276"/>
      <c r="AK254" s="67">
        <v>572</v>
      </c>
      <c r="AL254" s="67">
        <v>1</v>
      </c>
      <c r="AO254" s="67">
        <f t="shared" si="41"/>
        <v>0</v>
      </c>
      <c r="AP254" s="67">
        <f t="shared" si="42"/>
        <v>0</v>
      </c>
      <c r="AQ254" s="67">
        <f t="shared" si="43"/>
        <v>0</v>
      </c>
      <c r="AR254" s="67">
        <f t="shared" si="44"/>
        <v>0</v>
      </c>
      <c r="AS254" s="67">
        <f t="shared" si="45"/>
        <v>0</v>
      </c>
      <c r="AT254" s="67">
        <f t="shared" si="46"/>
        <v>0</v>
      </c>
      <c r="AU254" s="67">
        <f t="shared" si="47"/>
        <v>0</v>
      </c>
      <c r="AW254" s="256">
        <v>18</v>
      </c>
      <c r="AX254" s="67">
        <f t="shared" si="52"/>
        <v>90</v>
      </c>
      <c r="AY254" s="76">
        <f t="shared" si="53"/>
        <v>0</v>
      </c>
      <c r="AZ254" s="67">
        <f t="shared" si="48"/>
        <v>0</v>
      </c>
      <c r="BA254" s="76">
        <f t="shared" si="51"/>
        <v>0</v>
      </c>
      <c r="BC254" s="67">
        <f t="shared" si="49"/>
        <v>0</v>
      </c>
      <c r="BD254" s="67">
        <f t="shared" si="50"/>
        <v>0</v>
      </c>
    </row>
    <row r="255" spans="1:56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  <c r="AF255" s="277"/>
      <c r="AG255" s="277"/>
      <c r="AH255" s="277"/>
      <c r="AI255" s="277"/>
      <c r="AJ255" s="277"/>
      <c r="AK255" s="278" t="s">
        <v>342</v>
      </c>
      <c r="AL255" s="278">
        <f>COUNT(AL4:AL254)</f>
        <v>125</v>
      </c>
      <c r="AM255" s="278">
        <f>SUM(AM4:AM254)</f>
        <v>126</v>
      </c>
      <c r="AN255" s="278"/>
      <c r="AO255" s="278">
        <f t="shared" ref="AO255:AU255" si="54">SUM(AO4:AO254)</f>
        <v>177</v>
      </c>
      <c r="AP255" s="278">
        <f t="shared" si="54"/>
        <v>140</v>
      </c>
      <c r="AQ255" s="278">
        <f t="shared" si="54"/>
        <v>19</v>
      </c>
      <c r="AR255" s="278">
        <f t="shared" si="54"/>
        <v>295</v>
      </c>
      <c r="AS255" s="278">
        <f t="shared" si="54"/>
        <v>320</v>
      </c>
      <c r="AT255" s="278">
        <f t="shared" si="54"/>
        <v>238</v>
      </c>
      <c r="AU255" s="278">
        <f t="shared" si="54"/>
        <v>1189</v>
      </c>
      <c r="AV255" s="279"/>
      <c r="AW255" s="278">
        <f>SUM(AW4:AW254)</f>
        <v>5174</v>
      </c>
      <c r="AX255" s="278">
        <f>SUM(AX4:AX254)</f>
        <v>25870</v>
      </c>
      <c r="AY255" s="280">
        <f t="shared" si="53"/>
        <v>4.5960572091225359E-2</v>
      </c>
      <c r="AZ255" s="278">
        <f>SUM(AZ4:AZ254)</f>
        <v>560</v>
      </c>
      <c r="BA255" s="280">
        <f t="shared" si="51"/>
        <v>0.10823347506764593</v>
      </c>
      <c r="BB255" s="278"/>
      <c r="BC255" s="278">
        <f>SUM(BC4:BC254)</f>
        <v>306</v>
      </c>
      <c r="BD255" s="278">
        <f>SUM(BD4:BD254)</f>
        <v>254</v>
      </c>
    </row>
    <row r="256" spans="1:56" s="8" customFormat="1" ht="15.75" thickBot="1">
      <c r="AL256" s="67" t="s">
        <v>484</v>
      </c>
      <c r="AM256" s="67" t="s">
        <v>485</v>
      </c>
      <c r="AW256" s="67"/>
      <c r="AX256" s="67"/>
      <c r="AY256" s="77"/>
      <c r="AZ256" s="67"/>
      <c r="BA256" s="67"/>
      <c r="BB256" s="67"/>
      <c r="BC256" s="484">
        <f>SUM(BC255:BD255)</f>
        <v>560</v>
      </c>
      <c r="BD256" s="484"/>
    </row>
    <row r="257" spans="1:56">
      <c r="A257" s="101" t="s">
        <v>431</v>
      </c>
      <c r="B257" s="101"/>
      <c r="C257" s="101">
        <f t="shared" ref="C257:C262" si="55">SUBTOTAL(9,E257:AJ257)</f>
        <v>177</v>
      </c>
      <c r="D257" s="101"/>
      <c r="E257" s="281">
        <f t="shared" ref="E257:AJ257" si="56">COUNTIF(E4:E254,"*b*")</f>
        <v>7</v>
      </c>
      <c r="F257" s="282">
        <f t="shared" si="56"/>
        <v>10</v>
      </c>
      <c r="G257" s="282">
        <f t="shared" si="56"/>
        <v>9</v>
      </c>
      <c r="H257" s="282">
        <f t="shared" si="56"/>
        <v>5</v>
      </c>
      <c r="I257" s="282">
        <f t="shared" si="56"/>
        <v>7</v>
      </c>
      <c r="J257" s="282">
        <f t="shared" si="56"/>
        <v>0</v>
      </c>
      <c r="K257" s="282">
        <f t="shared" si="56"/>
        <v>0</v>
      </c>
      <c r="L257" s="283">
        <f t="shared" si="56"/>
        <v>0</v>
      </c>
      <c r="M257" s="281">
        <f t="shared" si="56"/>
        <v>0</v>
      </c>
      <c r="N257" s="282">
        <f t="shared" si="56"/>
        <v>0</v>
      </c>
      <c r="O257" s="282">
        <f t="shared" si="56"/>
        <v>0</v>
      </c>
      <c r="P257" s="282">
        <f t="shared" si="56"/>
        <v>9</v>
      </c>
      <c r="Q257" s="282">
        <f t="shared" si="56"/>
        <v>7</v>
      </c>
      <c r="R257" s="282">
        <f t="shared" si="56"/>
        <v>13</v>
      </c>
      <c r="S257" s="282">
        <f t="shared" si="56"/>
        <v>7</v>
      </c>
      <c r="T257" s="283">
        <f t="shared" si="56"/>
        <v>8</v>
      </c>
      <c r="U257" s="281">
        <f t="shared" si="56"/>
        <v>8</v>
      </c>
      <c r="V257" s="282">
        <f t="shared" si="56"/>
        <v>13</v>
      </c>
      <c r="W257" s="282">
        <f t="shared" si="56"/>
        <v>18</v>
      </c>
      <c r="X257" s="282">
        <f t="shared" si="56"/>
        <v>4</v>
      </c>
      <c r="Y257" s="282">
        <f t="shared" si="56"/>
        <v>3</v>
      </c>
      <c r="Z257" s="282">
        <f t="shared" si="56"/>
        <v>0</v>
      </c>
      <c r="AA257" s="282">
        <f t="shared" si="56"/>
        <v>0</v>
      </c>
      <c r="AB257" s="283">
        <f t="shared" si="56"/>
        <v>0</v>
      </c>
      <c r="AC257" s="281">
        <f t="shared" si="56"/>
        <v>0</v>
      </c>
      <c r="AD257" s="282">
        <f t="shared" si="56"/>
        <v>0</v>
      </c>
      <c r="AE257" s="282">
        <f t="shared" si="56"/>
        <v>0</v>
      </c>
      <c r="AF257" s="282">
        <f t="shared" si="56"/>
        <v>8</v>
      </c>
      <c r="AG257" s="282">
        <f t="shared" si="56"/>
        <v>4</v>
      </c>
      <c r="AH257" s="282">
        <f t="shared" si="56"/>
        <v>16</v>
      </c>
      <c r="AI257" s="282">
        <f t="shared" si="56"/>
        <v>14</v>
      </c>
      <c r="AJ257" s="283">
        <f t="shared" si="56"/>
        <v>7</v>
      </c>
      <c r="AL257" s="284">
        <f t="shared" ref="AL257:AL262" si="57">SUM(E257:T257)</f>
        <v>82</v>
      </c>
      <c r="AM257" s="284">
        <f t="shared" ref="AM257:AM262" si="58">SUM(U257:AJ257)</f>
        <v>95</v>
      </c>
      <c r="AS257" s="285" t="s">
        <v>372</v>
      </c>
      <c r="AT257" s="285"/>
      <c r="AU257" s="286">
        <f>AVERAGE(AU4:AU254)</f>
        <v>4.7370517928286855</v>
      </c>
      <c r="AV257" s="286"/>
      <c r="AW257" s="286">
        <f t="shared" ref="AW257:BD257" si="59">AVERAGE(AW4:AW254)</f>
        <v>20.613545816733069</v>
      </c>
      <c r="AX257" s="286">
        <f t="shared" si="59"/>
        <v>103.06772908366534</v>
      </c>
      <c r="AY257" s="287">
        <f t="shared" si="59"/>
        <v>4.8873023267558012E-2</v>
      </c>
      <c r="AZ257" s="286">
        <f t="shared" si="59"/>
        <v>2.2310756972111552</v>
      </c>
      <c r="BA257" s="287">
        <f t="shared" si="59"/>
        <v>0.10890139198778429</v>
      </c>
      <c r="BB257" s="286"/>
      <c r="BC257" s="286">
        <f t="shared" si="59"/>
        <v>1.2191235059760956</v>
      </c>
      <c r="BD257" s="286">
        <f t="shared" si="59"/>
        <v>1.0119521912350598</v>
      </c>
    </row>
    <row r="258" spans="1:56">
      <c r="A258" s="285" t="s">
        <v>432</v>
      </c>
      <c r="B258" s="285"/>
      <c r="C258" s="285">
        <f t="shared" si="55"/>
        <v>140</v>
      </c>
      <c r="D258" s="285"/>
      <c r="E258" s="288">
        <f t="shared" ref="E258:AJ258" si="60">COUNTIF(E4:E254,"*l*")</f>
        <v>2</v>
      </c>
      <c r="F258" s="289">
        <f t="shared" si="60"/>
        <v>5</v>
      </c>
      <c r="G258" s="289">
        <f t="shared" si="60"/>
        <v>9</v>
      </c>
      <c r="H258" s="289">
        <f t="shared" si="60"/>
        <v>5</v>
      </c>
      <c r="I258" s="289">
        <f t="shared" si="60"/>
        <v>6</v>
      </c>
      <c r="J258" s="289">
        <f t="shared" si="60"/>
        <v>4</v>
      </c>
      <c r="K258" s="289">
        <f t="shared" si="60"/>
        <v>2</v>
      </c>
      <c r="L258" s="290">
        <f t="shared" si="60"/>
        <v>0</v>
      </c>
      <c r="M258" s="288">
        <f t="shared" si="60"/>
        <v>1</v>
      </c>
      <c r="N258" s="289">
        <f t="shared" si="60"/>
        <v>0</v>
      </c>
      <c r="O258" s="289">
        <f t="shared" si="60"/>
        <v>3</v>
      </c>
      <c r="P258" s="289">
        <f t="shared" si="60"/>
        <v>9</v>
      </c>
      <c r="Q258" s="289">
        <f t="shared" si="60"/>
        <v>8</v>
      </c>
      <c r="R258" s="289">
        <f t="shared" si="60"/>
        <v>14</v>
      </c>
      <c r="S258" s="289">
        <f t="shared" si="60"/>
        <v>3</v>
      </c>
      <c r="T258" s="290">
        <f t="shared" si="60"/>
        <v>4</v>
      </c>
      <c r="U258" s="288">
        <f t="shared" si="60"/>
        <v>6</v>
      </c>
      <c r="V258" s="289">
        <f t="shared" si="60"/>
        <v>5</v>
      </c>
      <c r="W258" s="289">
        <f t="shared" si="60"/>
        <v>16</v>
      </c>
      <c r="X258" s="289">
        <f t="shared" si="60"/>
        <v>4</v>
      </c>
      <c r="Y258" s="289">
        <f t="shared" si="60"/>
        <v>1</v>
      </c>
      <c r="Z258" s="289">
        <f t="shared" si="60"/>
        <v>0</v>
      </c>
      <c r="AA258" s="289">
        <f t="shared" si="60"/>
        <v>0</v>
      </c>
      <c r="AB258" s="290">
        <f t="shared" si="60"/>
        <v>0</v>
      </c>
      <c r="AC258" s="288">
        <f t="shared" si="60"/>
        <v>0</v>
      </c>
      <c r="AD258" s="289">
        <f t="shared" si="60"/>
        <v>1</v>
      </c>
      <c r="AE258" s="289">
        <f t="shared" si="60"/>
        <v>1</v>
      </c>
      <c r="AF258" s="289">
        <f t="shared" si="60"/>
        <v>4</v>
      </c>
      <c r="AG258" s="289">
        <f t="shared" si="60"/>
        <v>3</v>
      </c>
      <c r="AH258" s="289">
        <f t="shared" si="60"/>
        <v>15</v>
      </c>
      <c r="AI258" s="289">
        <f t="shared" si="60"/>
        <v>6</v>
      </c>
      <c r="AJ258" s="290">
        <f t="shared" si="60"/>
        <v>3</v>
      </c>
      <c r="AL258" s="291">
        <f t="shared" si="57"/>
        <v>75</v>
      </c>
      <c r="AM258" s="291">
        <f t="shared" si="58"/>
        <v>65</v>
      </c>
    </row>
    <row r="259" spans="1:56">
      <c r="A259" s="292" t="s">
        <v>486</v>
      </c>
      <c r="B259" s="292"/>
      <c r="C259" s="292">
        <f t="shared" si="55"/>
        <v>19</v>
      </c>
      <c r="D259" s="292"/>
      <c r="E259" s="293">
        <f t="shared" ref="E259:AJ259" si="61">COUNTIF(E4:E254,"*h*")</f>
        <v>0</v>
      </c>
      <c r="F259" s="294">
        <f t="shared" si="61"/>
        <v>0</v>
      </c>
      <c r="G259" s="294">
        <f t="shared" si="61"/>
        <v>0</v>
      </c>
      <c r="H259" s="294">
        <f t="shared" si="61"/>
        <v>0</v>
      </c>
      <c r="I259" s="294">
        <f t="shared" si="61"/>
        <v>0</v>
      </c>
      <c r="J259" s="294">
        <f t="shared" si="61"/>
        <v>4</v>
      </c>
      <c r="K259" s="294">
        <f t="shared" si="61"/>
        <v>2</v>
      </c>
      <c r="L259" s="295">
        <f t="shared" si="61"/>
        <v>2</v>
      </c>
      <c r="M259" s="293">
        <f t="shared" si="61"/>
        <v>1</v>
      </c>
      <c r="N259" s="294">
        <f t="shared" si="61"/>
        <v>0</v>
      </c>
      <c r="O259" s="294">
        <f t="shared" si="61"/>
        <v>3</v>
      </c>
      <c r="P259" s="294">
        <f t="shared" si="61"/>
        <v>0</v>
      </c>
      <c r="Q259" s="294">
        <f t="shared" si="61"/>
        <v>0</v>
      </c>
      <c r="R259" s="294">
        <f t="shared" si="61"/>
        <v>0</v>
      </c>
      <c r="S259" s="294">
        <f t="shared" si="61"/>
        <v>0</v>
      </c>
      <c r="T259" s="295">
        <f t="shared" si="61"/>
        <v>0</v>
      </c>
      <c r="U259" s="293">
        <f t="shared" si="61"/>
        <v>0</v>
      </c>
      <c r="V259" s="294">
        <f t="shared" si="61"/>
        <v>0</v>
      </c>
      <c r="W259" s="294">
        <f t="shared" si="61"/>
        <v>0</v>
      </c>
      <c r="X259" s="294">
        <f t="shared" si="61"/>
        <v>0</v>
      </c>
      <c r="Y259" s="294">
        <f t="shared" si="61"/>
        <v>0</v>
      </c>
      <c r="Z259" s="294">
        <f t="shared" si="61"/>
        <v>3</v>
      </c>
      <c r="AA259" s="294">
        <f t="shared" si="61"/>
        <v>1</v>
      </c>
      <c r="AB259" s="295">
        <f t="shared" si="61"/>
        <v>0</v>
      </c>
      <c r="AC259" s="293">
        <f t="shared" si="61"/>
        <v>0</v>
      </c>
      <c r="AD259" s="294">
        <f t="shared" si="61"/>
        <v>1</v>
      </c>
      <c r="AE259" s="294">
        <f t="shared" si="61"/>
        <v>2</v>
      </c>
      <c r="AF259" s="294">
        <f t="shared" si="61"/>
        <v>0</v>
      </c>
      <c r="AG259" s="294">
        <f t="shared" si="61"/>
        <v>0</v>
      </c>
      <c r="AH259" s="294">
        <f t="shared" si="61"/>
        <v>0</v>
      </c>
      <c r="AI259" s="294">
        <f t="shared" si="61"/>
        <v>0</v>
      </c>
      <c r="AJ259" s="295">
        <f t="shared" si="61"/>
        <v>0</v>
      </c>
      <c r="AL259" s="296">
        <f t="shared" si="57"/>
        <v>12</v>
      </c>
      <c r="AM259" s="296">
        <f t="shared" si="58"/>
        <v>7</v>
      </c>
    </row>
    <row r="260" spans="1:56">
      <c r="A260" s="297" t="s">
        <v>434</v>
      </c>
      <c r="B260" s="297"/>
      <c r="C260" s="297">
        <f t="shared" si="55"/>
        <v>295</v>
      </c>
      <c r="D260" s="297"/>
      <c r="E260" s="298">
        <f t="shared" ref="E260:AJ260" si="62">COUNTIF(E4:E254,"*m*")</f>
        <v>12</v>
      </c>
      <c r="F260" s="161">
        <f t="shared" si="62"/>
        <v>10</v>
      </c>
      <c r="G260" s="161">
        <f t="shared" si="62"/>
        <v>16</v>
      </c>
      <c r="H260" s="161">
        <f t="shared" si="62"/>
        <v>14</v>
      </c>
      <c r="I260" s="161">
        <f t="shared" si="62"/>
        <v>15</v>
      </c>
      <c r="J260" s="161">
        <f t="shared" si="62"/>
        <v>7</v>
      </c>
      <c r="K260" s="161">
        <f t="shared" si="62"/>
        <v>5</v>
      </c>
      <c r="L260" s="299">
        <f t="shared" si="62"/>
        <v>1</v>
      </c>
      <c r="M260" s="298">
        <f t="shared" si="62"/>
        <v>2</v>
      </c>
      <c r="N260" s="161">
        <f t="shared" si="62"/>
        <v>1</v>
      </c>
      <c r="O260" s="161">
        <f t="shared" si="62"/>
        <v>5</v>
      </c>
      <c r="P260" s="161">
        <f t="shared" si="62"/>
        <v>18</v>
      </c>
      <c r="Q260" s="161">
        <f t="shared" si="62"/>
        <v>18</v>
      </c>
      <c r="R260" s="161">
        <f t="shared" si="62"/>
        <v>23</v>
      </c>
      <c r="S260" s="161">
        <f t="shared" si="62"/>
        <v>13</v>
      </c>
      <c r="T260" s="299">
        <f t="shared" si="62"/>
        <v>22</v>
      </c>
      <c r="U260" s="298">
        <f t="shared" si="62"/>
        <v>8</v>
      </c>
      <c r="V260" s="161">
        <f t="shared" si="62"/>
        <v>9</v>
      </c>
      <c r="W260" s="161">
        <f t="shared" si="62"/>
        <v>25</v>
      </c>
      <c r="X260" s="161">
        <f t="shared" si="62"/>
        <v>6</v>
      </c>
      <c r="Y260" s="161">
        <f t="shared" si="62"/>
        <v>5</v>
      </c>
      <c r="Z260" s="161">
        <f t="shared" si="62"/>
        <v>2</v>
      </c>
      <c r="AA260" s="161">
        <f t="shared" si="62"/>
        <v>0</v>
      </c>
      <c r="AB260" s="299">
        <f t="shared" si="62"/>
        <v>2</v>
      </c>
      <c r="AC260" s="298">
        <f t="shared" si="62"/>
        <v>0</v>
      </c>
      <c r="AD260" s="161">
        <f t="shared" si="62"/>
        <v>2</v>
      </c>
      <c r="AE260" s="161">
        <f t="shared" si="62"/>
        <v>4</v>
      </c>
      <c r="AF260" s="161">
        <f t="shared" si="62"/>
        <v>8</v>
      </c>
      <c r="AG260" s="161">
        <f t="shared" si="62"/>
        <v>8</v>
      </c>
      <c r="AH260" s="161">
        <f t="shared" si="62"/>
        <v>22</v>
      </c>
      <c r="AI260" s="161">
        <f t="shared" si="62"/>
        <v>7</v>
      </c>
      <c r="AJ260" s="299">
        <f t="shared" si="62"/>
        <v>5</v>
      </c>
      <c r="AL260" s="300">
        <f t="shared" si="57"/>
        <v>182</v>
      </c>
      <c r="AM260" s="300">
        <f t="shared" si="58"/>
        <v>113</v>
      </c>
    </row>
    <row r="261" spans="1:56">
      <c r="A261" s="301" t="s">
        <v>435</v>
      </c>
      <c r="B261" s="301"/>
      <c r="C261" s="301">
        <f t="shared" si="55"/>
        <v>320</v>
      </c>
      <c r="D261" s="301"/>
      <c r="E261" s="302">
        <f t="shared" ref="E261:AJ261" si="63">COUNTIF(E4:E254,"*d*")</f>
        <v>4</v>
      </c>
      <c r="F261" s="162">
        <f t="shared" si="63"/>
        <v>22</v>
      </c>
      <c r="G261" s="162">
        <f t="shared" si="63"/>
        <v>18</v>
      </c>
      <c r="H261" s="162">
        <f t="shared" si="63"/>
        <v>10</v>
      </c>
      <c r="I261" s="162">
        <f t="shared" si="63"/>
        <v>15</v>
      </c>
      <c r="J261" s="162">
        <f t="shared" si="63"/>
        <v>11</v>
      </c>
      <c r="K261" s="162">
        <f t="shared" si="63"/>
        <v>6</v>
      </c>
      <c r="L261" s="303">
        <f t="shared" si="63"/>
        <v>2</v>
      </c>
      <c r="M261" s="302">
        <f t="shared" si="63"/>
        <v>1</v>
      </c>
      <c r="N261" s="162">
        <f t="shared" si="63"/>
        <v>8</v>
      </c>
      <c r="O261" s="162">
        <f t="shared" si="63"/>
        <v>12</v>
      </c>
      <c r="P261" s="162">
        <f t="shared" si="63"/>
        <v>22</v>
      </c>
      <c r="Q261" s="162">
        <f t="shared" si="63"/>
        <v>16</v>
      </c>
      <c r="R261" s="162">
        <f t="shared" si="63"/>
        <v>22</v>
      </c>
      <c r="S261" s="162">
        <f t="shared" si="63"/>
        <v>22</v>
      </c>
      <c r="T261" s="303">
        <f t="shared" si="63"/>
        <v>3</v>
      </c>
      <c r="U261" s="302">
        <f t="shared" si="63"/>
        <v>4</v>
      </c>
      <c r="V261" s="162">
        <f t="shared" si="63"/>
        <v>13</v>
      </c>
      <c r="W261" s="162">
        <f t="shared" si="63"/>
        <v>15</v>
      </c>
      <c r="X261" s="162">
        <f t="shared" si="63"/>
        <v>11</v>
      </c>
      <c r="Y261" s="162">
        <f t="shared" si="63"/>
        <v>6</v>
      </c>
      <c r="Z261" s="162">
        <f t="shared" si="63"/>
        <v>4</v>
      </c>
      <c r="AA261" s="162">
        <f t="shared" si="63"/>
        <v>2</v>
      </c>
      <c r="AB261" s="303">
        <f t="shared" si="63"/>
        <v>1</v>
      </c>
      <c r="AC261" s="302">
        <f t="shared" si="63"/>
        <v>1</v>
      </c>
      <c r="AD261" s="162">
        <f t="shared" si="63"/>
        <v>2</v>
      </c>
      <c r="AE261" s="162">
        <f t="shared" si="63"/>
        <v>5</v>
      </c>
      <c r="AF261" s="162">
        <f t="shared" si="63"/>
        <v>9</v>
      </c>
      <c r="AG261" s="162">
        <f t="shared" si="63"/>
        <v>16</v>
      </c>
      <c r="AH261" s="162">
        <f t="shared" si="63"/>
        <v>23</v>
      </c>
      <c r="AI261" s="162">
        <f t="shared" si="63"/>
        <v>11</v>
      </c>
      <c r="AJ261" s="303">
        <f t="shared" si="63"/>
        <v>3</v>
      </c>
      <c r="AL261" s="304">
        <f t="shared" si="57"/>
        <v>194</v>
      </c>
      <c r="AM261" s="304">
        <f t="shared" si="58"/>
        <v>126</v>
      </c>
    </row>
    <row r="262" spans="1:56" ht="15.75" thickBot="1">
      <c r="A262" s="305" t="s">
        <v>436</v>
      </c>
      <c r="B262" s="305"/>
      <c r="C262" s="305">
        <f t="shared" si="55"/>
        <v>238</v>
      </c>
      <c r="D262" s="305"/>
      <c r="E262" s="306">
        <f t="shared" ref="E262:AJ262" si="64">COUNTIF(E4:E254,"*o*")</f>
        <v>8</v>
      </c>
      <c r="F262" s="307">
        <f t="shared" si="64"/>
        <v>10</v>
      </c>
      <c r="G262" s="307">
        <f t="shared" si="64"/>
        <v>11</v>
      </c>
      <c r="H262" s="307">
        <f t="shared" si="64"/>
        <v>5</v>
      </c>
      <c r="I262" s="307">
        <f t="shared" si="64"/>
        <v>10</v>
      </c>
      <c r="J262" s="307">
        <f t="shared" si="64"/>
        <v>5</v>
      </c>
      <c r="K262" s="307">
        <f t="shared" si="64"/>
        <v>4</v>
      </c>
      <c r="L262" s="308">
        <f t="shared" si="64"/>
        <v>0</v>
      </c>
      <c r="M262" s="306">
        <f t="shared" si="64"/>
        <v>1</v>
      </c>
      <c r="N262" s="307">
        <f t="shared" si="64"/>
        <v>2</v>
      </c>
      <c r="O262" s="307">
        <f t="shared" si="64"/>
        <v>5</v>
      </c>
      <c r="P262" s="307">
        <f t="shared" si="64"/>
        <v>10</v>
      </c>
      <c r="Q262" s="307">
        <f t="shared" si="64"/>
        <v>11</v>
      </c>
      <c r="R262" s="307">
        <f t="shared" si="64"/>
        <v>17</v>
      </c>
      <c r="S262" s="307">
        <f t="shared" si="64"/>
        <v>11</v>
      </c>
      <c r="T262" s="308">
        <f t="shared" si="64"/>
        <v>10</v>
      </c>
      <c r="U262" s="306">
        <f t="shared" si="64"/>
        <v>14</v>
      </c>
      <c r="V262" s="307">
        <f t="shared" si="64"/>
        <v>19</v>
      </c>
      <c r="W262" s="307">
        <f t="shared" si="64"/>
        <v>18</v>
      </c>
      <c r="X262" s="307">
        <f t="shared" si="64"/>
        <v>4</v>
      </c>
      <c r="Y262" s="307">
        <f t="shared" si="64"/>
        <v>1</v>
      </c>
      <c r="Z262" s="307">
        <f t="shared" si="64"/>
        <v>0</v>
      </c>
      <c r="AA262" s="307">
        <f t="shared" si="64"/>
        <v>0</v>
      </c>
      <c r="AB262" s="308">
        <f t="shared" si="64"/>
        <v>2</v>
      </c>
      <c r="AC262" s="306">
        <f t="shared" si="64"/>
        <v>0</v>
      </c>
      <c r="AD262" s="307">
        <f t="shared" si="64"/>
        <v>1</v>
      </c>
      <c r="AE262" s="307">
        <f t="shared" si="64"/>
        <v>2</v>
      </c>
      <c r="AF262" s="307">
        <f t="shared" si="64"/>
        <v>4</v>
      </c>
      <c r="AG262" s="307">
        <f t="shared" si="64"/>
        <v>4</v>
      </c>
      <c r="AH262" s="307">
        <f t="shared" si="64"/>
        <v>21</v>
      </c>
      <c r="AI262" s="307">
        <f t="shared" si="64"/>
        <v>15</v>
      </c>
      <c r="AJ262" s="308">
        <f t="shared" si="64"/>
        <v>13</v>
      </c>
      <c r="AL262" s="309">
        <f t="shared" si="57"/>
        <v>120</v>
      </c>
      <c r="AM262" s="309">
        <f t="shared" si="58"/>
        <v>118</v>
      </c>
    </row>
    <row r="263" spans="1:56" ht="15.75" thickBot="1">
      <c r="A263" s="8"/>
      <c r="B263" s="8"/>
      <c r="C263" s="8"/>
      <c r="D263" s="8"/>
      <c r="E263" s="163"/>
      <c r="F263" s="163"/>
      <c r="G263" s="163"/>
      <c r="H263" s="163"/>
      <c r="I263" s="163"/>
      <c r="J263" s="163"/>
      <c r="K263" s="163"/>
      <c r="L263" s="163"/>
      <c r="M263" s="163"/>
      <c r="N263" s="163"/>
      <c r="O263" s="163"/>
      <c r="P263" s="163"/>
      <c r="Q263" s="163"/>
      <c r="R263" s="163"/>
      <c r="S263" s="163"/>
      <c r="T263" s="163"/>
      <c r="U263" s="163"/>
      <c r="V263" s="163"/>
      <c r="W263" s="163"/>
      <c r="X263" s="163"/>
      <c r="Y263" s="163"/>
      <c r="Z263" s="163"/>
      <c r="AA263" s="163"/>
      <c r="AB263" s="163"/>
      <c r="AC263" s="163"/>
      <c r="AD263" s="163"/>
      <c r="AE263" s="163"/>
      <c r="AF263" s="163"/>
      <c r="AG263" s="163"/>
      <c r="AH263" s="163"/>
      <c r="AI263" s="163"/>
      <c r="AJ263" s="163"/>
      <c r="AK263" s="8"/>
      <c r="AL263" s="67" t="s">
        <v>484</v>
      </c>
      <c r="AM263" s="67" t="s">
        <v>485</v>
      </c>
      <c r="AN263" s="8"/>
      <c r="AO263" s="8"/>
      <c r="AP263" s="8"/>
      <c r="AQ263" s="8"/>
      <c r="AR263" s="8"/>
      <c r="AS263" s="8"/>
      <c r="AT263" s="8"/>
      <c r="AU263" s="8"/>
    </row>
    <row r="264" spans="1:56" s="8" customFormat="1">
      <c r="A264" s="310" t="s">
        <v>375</v>
      </c>
      <c r="B264" s="310"/>
      <c r="C264" s="310">
        <f>SUM(C257:C262)</f>
        <v>1189</v>
      </c>
      <c r="D264" s="310"/>
      <c r="E264" s="311">
        <f t="shared" ref="E264:AJ264" si="65">SUM(E257:E262)</f>
        <v>33</v>
      </c>
      <c r="F264" s="312">
        <f t="shared" si="65"/>
        <v>57</v>
      </c>
      <c r="G264" s="312">
        <f t="shared" si="65"/>
        <v>63</v>
      </c>
      <c r="H264" s="312">
        <f t="shared" si="65"/>
        <v>39</v>
      </c>
      <c r="I264" s="312">
        <f t="shared" si="65"/>
        <v>53</v>
      </c>
      <c r="J264" s="312">
        <f t="shared" si="65"/>
        <v>31</v>
      </c>
      <c r="K264" s="312">
        <f t="shared" si="65"/>
        <v>19</v>
      </c>
      <c r="L264" s="313">
        <f t="shared" si="65"/>
        <v>5</v>
      </c>
      <c r="M264" s="311">
        <f t="shared" si="65"/>
        <v>6</v>
      </c>
      <c r="N264" s="312">
        <f t="shared" si="65"/>
        <v>11</v>
      </c>
      <c r="O264" s="312">
        <f t="shared" si="65"/>
        <v>28</v>
      </c>
      <c r="P264" s="312">
        <f t="shared" si="65"/>
        <v>68</v>
      </c>
      <c r="Q264" s="312">
        <f t="shared" si="65"/>
        <v>60</v>
      </c>
      <c r="R264" s="312">
        <f t="shared" si="65"/>
        <v>89</v>
      </c>
      <c r="S264" s="312">
        <f t="shared" si="65"/>
        <v>56</v>
      </c>
      <c r="T264" s="313">
        <f t="shared" si="65"/>
        <v>47</v>
      </c>
      <c r="U264" s="311">
        <f t="shared" si="65"/>
        <v>40</v>
      </c>
      <c r="V264" s="312">
        <f t="shared" si="65"/>
        <v>59</v>
      </c>
      <c r="W264" s="312">
        <f t="shared" si="65"/>
        <v>92</v>
      </c>
      <c r="X264" s="312">
        <f t="shared" si="65"/>
        <v>29</v>
      </c>
      <c r="Y264" s="312">
        <f t="shared" si="65"/>
        <v>16</v>
      </c>
      <c r="Z264" s="312">
        <f t="shared" si="65"/>
        <v>9</v>
      </c>
      <c r="AA264" s="312">
        <f t="shared" si="65"/>
        <v>3</v>
      </c>
      <c r="AB264" s="313">
        <f t="shared" si="65"/>
        <v>5</v>
      </c>
      <c r="AC264" s="311">
        <f t="shared" si="65"/>
        <v>1</v>
      </c>
      <c r="AD264" s="312">
        <f t="shared" si="65"/>
        <v>7</v>
      </c>
      <c r="AE264" s="312">
        <f t="shared" si="65"/>
        <v>14</v>
      </c>
      <c r="AF264" s="312">
        <f t="shared" si="65"/>
        <v>33</v>
      </c>
      <c r="AG264" s="312">
        <f t="shared" si="65"/>
        <v>35</v>
      </c>
      <c r="AH264" s="312">
        <f t="shared" si="65"/>
        <v>97</v>
      </c>
      <c r="AI264" s="312">
        <f t="shared" si="65"/>
        <v>53</v>
      </c>
      <c r="AJ264" s="313">
        <f t="shared" si="65"/>
        <v>31</v>
      </c>
      <c r="AL264" s="314">
        <f>SUM(AL257:AL262)</f>
        <v>665</v>
      </c>
      <c r="AM264" s="314">
        <f>SUM(AM257:AM262)</f>
        <v>524</v>
      </c>
    </row>
    <row r="265" spans="1:56" s="8" customFormat="1" ht="15.75" thickBot="1">
      <c r="A265" s="310" t="s">
        <v>374</v>
      </c>
      <c r="B265" s="310"/>
      <c r="C265" s="315">
        <f>C264/AX255</f>
        <v>4.5960572091225359E-2</v>
      </c>
      <c r="D265" s="310"/>
      <c r="E265" s="316">
        <f>E264/C264</f>
        <v>2.7754415475189236E-2</v>
      </c>
      <c r="F265" s="317">
        <f>F264/C264</f>
        <v>4.7939444911690499E-2</v>
      </c>
      <c r="G265" s="317">
        <f>G264/C264</f>
        <v>5.298570227081581E-2</v>
      </c>
      <c r="H265" s="317">
        <f>H264/C264</f>
        <v>3.2800672834314551E-2</v>
      </c>
      <c r="I265" s="317">
        <f>I264/C264</f>
        <v>4.4575273338940284E-2</v>
      </c>
      <c r="J265" s="317">
        <f>J264/C264</f>
        <v>2.6072329688814129E-2</v>
      </c>
      <c r="K265" s="317">
        <f>K264/C264</f>
        <v>1.59798149705635E-2</v>
      </c>
      <c r="L265" s="318">
        <f>L264/C264</f>
        <v>4.2052144659377629E-3</v>
      </c>
      <c r="M265" s="316">
        <f>M264/C264</f>
        <v>5.0462573591253156E-3</v>
      </c>
      <c r="N265" s="317">
        <f>N264/C264</f>
        <v>9.2514718250630776E-3</v>
      </c>
      <c r="O265" s="317">
        <f>O264/C264</f>
        <v>2.3549201009251473E-2</v>
      </c>
      <c r="P265" s="317">
        <f>P264/C264</f>
        <v>5.7190916736753576E-2</v>
      </c>
      <c r="Q265" s="317">
        <f>Q264/C264</f>
        <v>5.0462573591253154E-2</v>
      </c>
      <c r="R265" s="317">
        <f>R264/C264</f>
        <v>7.4852817493692173E-2</v>
      </c>
      <c r="S265" s="317">
        <f>S264/C264</f>
        <v>4.7098402018502947E-2</v>
      </c>
      <c r="T265" s="318">
        <f>T264/C264</f>
        <v>3.9529015979814973E-2</v>
      </c>
      <c r="U265" s="316">
        <f>U264/C264</f>
        <v>3.3641715727502103E-2</v>
      </c>
      <c r="V265" s="317">
        <f>V264/C264</f>
        <v>4.9621530698065602E-2</v>
      </c>
      <c r="W265" s="317">
        <f>W264/C264</f>
        <v>7.7375946173254842E-2</v>
      </c>
      <c r="X265" s="317">
        <f>X264/C264</f>
        <v>2.4390243902439025E-2</v>
      </c>
      <c r="Y265" s="317">
        <f>Y264/C264</f>
        <v>1.345668629100084E-2</v>
      </c>
      <c r="Z265" s="317">
        <f>Z264/C264</f>
        <v>7.569386038687973E-3</v>
      </c>
      <c r="AA265" s="317">
        <f>AA264/C264</f>
        <v>2.5231286795626578E-3</v>
      </c>
      <c r="AB265" s="318">
        <f>AB264/C264</f>
        <v>4.2052144659377629E-3</v>
      </c>
      <c r="AC265" s="316">
        <f>AC264/C264</f>
        <v>8.4104289318755253E-4</v>
      </c>
      <c r="AD265" s="317">
        <f>AD264/C264</f>
        <v>5.8873002523128683E-3</v>
      </c>
      <c r="AE265" s="317">
        <f>AE264/C264</f>
        <v>1.1774600504625737E-2</v>
      </c>
      <c r="AF265" s="317">
        <f>AF264/C264</f>
        <v>2.7754415475189236E-2</v>
      </c>
      <c r="AG265" s="317">
        <f>AG264/C264</f>
        <v>2.943650126156434E-2</v>
      </c>
      <c r="AH265" s="317">
        <f>AH264/C264</f>
        <v>8.1581160639192601E-2</v>
      </c>
      <c r="AI265" s="317">
        <f>AI264/C264</f>
        <v>4.4575273338940284E-2</v>
      </c>
      <c r="AJ265" s="318">
        <f>AJ264/C264</f>
        <v>2.6072329688814129E-2</v>
      </c>
      <c r="AL265" s="319">
        <f>AL264/E278</f>
        <v>5.3136236516180581E-2</v>
      </c>
      <c r="AM265" s="319">
        <f>AM264/U278</f>
        <v>3.9236241108199177E-2</v>
      </c>
    </row>
    <row r="266" spans="1:56" ht="15.75" thickBot="1"/>
    <row r="267" spans="1:56">
      <c r="A267" s="101" t="s">
        <v>431</v>
      </c>
      <c r="B267" s="101"/>
      <c r="C267" s="101"/>
      <c r="D267" s="101"/>
      <c r="E267" s="485">
        <f>E257:G257</f>
        <v>7</v>
      </c>
      <c r="F267" s="486"/>
      <c r="G267" s="486"/>
      <c r="H267" s="486">
        <f>H257:I257</f>
        <v>5</v>
      </c>
      <c r="I267" s="486"/>
      <c r="J267" s="282">
        <f>J257</f>
        <v>0</v>
      </c>
      <c r="K267" s="486">
        <f>K257:N257</f>
        <v>0</v>
      </c>
      <c r="L267" s="486"/>
      <c r="M267" s="486"/>
      <c r="N267" s="486"/>
      <c r="O267" s="282">
        <f>O257</f>
        <v>0</v>
      </c>
      <c r="P267" s="486">
        <f>P257:Q257</f>
        <v>9</v>
      </c>
      <c r="Q267" s="486"/>
      <c r="R267" s="486">
        <f>R257:T257</f>
        <v>13</v>
      </c>
      <c r="S267" s="486"/>
      <c r="T267" s="487"/>
      <c r="U267" s="485">
        <f>U257:W257</f>
        <v>8</v>
      </c>
      <c r="V267" s="486"/>
      <c r="W267" s="486"/>
      <c r="X267" s="486">
        <f>X257:Y257</f>
        <v>4</v>
      </c>
      <c r="Y267" s="486"/>
      <c r="Z267" s="282">
        <f>Z257</f>
        <v>0</v>
      </c>
      <c r="AA267" s="486">
        <f>AA257:AD257</f>
        <v>0</v>
      </c>
      <c r="AB267" s="486"/>
      <c r="AC267" s="486"/>
      <c r="AD267" s="486"/>
      <c r="AE267" s="282">
        <f>AE257</f>
        <v>0</v>
      </c>
      <c r="AF267" s="486">
        <f>AF257:AG257</f>
        <v>8</v>
      </c>
      <c r="AG267" s="486"/>
      <c r="AH267" s="486">
        <f>AH257:AJ257</f>
        <v>16</v>
      </c>
      <c r="AI267" s="486"/>
      <c r="AJ267" s="487"/>
    </row>
    <row r="268" spans="1:56">
      <c r="A268" s="285" t="s">
        <v>432</v>
      </c>
      <c r="B268" s="285"/>
      <c r="C268" s="285"/>
      <c r="D268" s="285"/>
      <c r="E268" s="488">
        <f>SUM(E258:G258)</f>
        <v>16</v>
      </c>
      <c r="F268" s="489"/>
      <c r="G268" s="489"/>
      <c r="H268" s="489">
        <f>SUM(H258:I258)</f>
        <v>11</v>
      </c>
      <c r="I268" s="489"/>
      <c r="J268" s="289">
        <f>J258</f>
        <v>4</v>
      </c>
      <c r="K268" s="489">
        <f>SUM(K258:N258)</f>
        <v>3</v>
      </c>
      <c r="L268" s="489"/>
      <c r="M268" s="489"/>
      <c r="N268" s="489"/>
      <c r="O268" s="289">
        <f>O258</f>
        <v>3</v>
      </c>
      <c r="P268" s="489">
        <f>SUM(P258:Q258)</f>
        <v>17</v>
      </c>
      <c r="Q268" s="489"/>
      <c r="R268" s="489">
        <f>SUM(R258:T258)</f>
        <v>21</v>
      </c>
      <c r="S268" s="489"/>
      <c r="T268" s="490"/>
      <c r="U268" s="488">
        <f>SUM(U258:W258)</f>
        <v>27</v>
      </c>
      <c r="V268" s="489"/>
      <c r="W268" s="489"/>
      <c r="X268" s="489">
        <f>SUM(X258:Y258)</f>
        <v>5</v>
      </c>
      <c r="Y268" s="489"/>
      <c r="Z268" s="289">
        <f>Z258</f>
        <v>0</v>
      </c>
      <c r="AA268" s="489">
        <f>SUM(AA258:AD258)</f>
        <v>1</v>
      </c>
      <c r="AB268" s="489"/>
      <c r="AC268" s="489"/>
      <c r="AD268" s="489"/>
      <c r="AE268" s="289">
        <f>AE258</f>
        <v>1</v>
      </c>
      <c r="AF268" s="489">
        <f>SUM(AF258:AG258)</f>
        <v>7</v>
      </c>
      <c r="AG268" s="489"/>
      <c r="AH268" s="489">
        <f>SUM(AH258:AJ258)</f>
        <v>24</v>
      </c>
      <c r="AI268" s="489"/>
      <c r="AJ268" s="490"/>
    </row>
    <row r="269" spans="1:56">
      <c r="A269" s="292" t="s">
        <v>486</v>
      </c>
      <c r="B269" s="292"/>
      <c r="C269" s="292"/>
      <c r="D269" s="292"/>
      <c r="E269" s="491">
        <f t="shared" ref="E269:E272" si="66">SUM(E259:G259)</f>
        <v>0</v>
      </c>
      <c r="F269" s="492"/>
      <c r="G269" s="492"/>
      <c r="H269" s="492">
        <f t="shared" ref="H269:H272" si="67">SUM(H259:I259)</f>
        <v>0</v>
      </c>
      <c r="I269" s="492"/>
      <c r="J269" s="294">
        <f t="shared" ref="J269:J272" si="68">J259</f>
        <v>4</v>
      </c>
      <c r="K269" s="492">
        <f t="shared" ref="K269:K272" si="69">SUM(K259:N259)</f>
        <v>5</v>
      </c>
      <c r="L269" s="492"/>
      <c r="M269" s="492"/>
      <c r="N269" s="492"/>
      <c r="O269" s="294">
        <f t="shared" ref="O269:O272" si="70">O259</f>
        <v>3</v>
      </c>
      <c r="P269" s="492">
        <f t="shared" ref="P269:P272" si="71">SUM(P259:Q259)</f>
        <v>0</v>
      </c>
      <c r="Q269" s="492"/>
      <c r="R269" s="492">
        <f t="shared" ref="R269:R272" si="72">SUM(R259:T259)</f>
        <v>0</v>
      </c>
      <c r="S269" s="492"/>
      <c r="T269" s="493"/>
      <c r="U269" s="491">
        <f t="shared" ref="U269:U272" si="73">SUM(U259:W259)</f>
        <v>0</v>
      </c>
      <c r="V269" s="492"/>
      <c r="W269" s="492"/>
      <c r="X269" s="492">
        <f t="shared" ref="X269:X272" si="74">SUM(X259:Y259)</f>
        <v>0</v>
      </c>
      <c r="Y269" s="492"/>
      <c r="Z269" s="294">
        <f t="shared" ref="Z269:Z272" si="75">Z259</f>
        <v>3</v>
      </c>
      <c r="AA269" s="492">
        <f t="shared" ref="AA269:AA272" si="76">SUM(AA259:AD259)</f>
        <v>2</v>
      </c>
      <c r="AB269" s="492"/>
      <c r="AC269" s="492"/>
      <c r="AD269" s="492"/>
      <c r="AE269" s="294">
        <f t="shared" ref="AE269:AE272" si="77">AE259</f>
        <v>2</v>
      </c>
      <c r="AF269" s="492">
        <f t="shared" ref="AF269:AF272" si="78">SUM(AF259:AG259)</f>
        <v>0</v>
      </c>
      <c r="AG269" s="492"/>
      <c r="AH269" s="492">
        <f t="shared" ref="AH269:AH272" si="79">SUM(AH259:AJ259)</f>
        <v>0</v>
      </c>
      <c r="AI269" s="492"/>
      <c r="AJ269" s="493"/>
    </row>
    <row r="270" spans="1:56">
      <c r="A270" s="297" t="s">
        <v>434</v>
      </c>
      <c r="B270" s="297"/>
      <c r="C270" s="297"/>
      <c r="D270" s="297"/>
      <c r="E270" s="494">
        <f t="shared" si="66"/>
        <v>38</v>
      </c>
      <c r="F270" s="427"/>
      <c r="G270" s="427"/>
      <c r="H270" s="427">
        <f t="shared" si="67"/>
        <v>29</v>
      </c>
      <c r="I270" s="427"/>
      <c r="J270" s="161">
        <f t="shared" si="68"/>
        <v>7</v>
      </c>
      <c r="K270" s="427">
        <f t="shared" si="69"/>
        <v>9</v>
      </c>
      <c r="L270" s="427"/>
      <c r="M270" s="427"/>
      <c r="N270" s="427"/>
      <c r="O270" s="161">
        <f t="shared" si="70"/>
        <v>5</v>
      </c>
      <c r="P270" s="427">
        <f t="shared" si="71"/>
        <v>36</v>
      </c>
      <c r="Q270" s="427"/>
      <c r="R270" s="427">
        <f t="shared" si="72"/>
        <v>58</v>
      </c>
      <c r="S270" s="427"/>
      <c r="T270" s="495"/>
      <c r="U270" s="494">
        <f t="shared" si="73"/>
        <v>42</v>
      </c>
      <c r="V270" s="427"/>
      <c r="W270" s="427"/>
      <c r="X270" s="427">
        <f t="shared" si="74"/>
        <v>11</v>
      </c>
      <c r="Y270" s="427"/>
      <c r="Z270" s="161">
        <f t="shared" si="75"/>
        <v>2</v>
      </c>
      <c r="AA270" s="427">
        <f t="shared" si="76"/>
        <v>4</v>
      </c>
      <c r="AB270" s="427"/>
      <c r="AC270" s="427"/>
      <c r="AD270" s="427"/>
      <c r="AE270" s="161">
        <f t="shared" si="77"/>
        <v>4</v>
      </c>
      <c r="AF270" s="427">
        <f t="shared" si="78"/>
        <v>16</v>
      </c>
      <c r="AG270" s="427"/>
      <c r="AH270" s="427">
        <f t="shared" si="79"/>
        <v>34</v>
      </c>
      <c r="AI270" s="427"/>
      <c r="AJ270" s="495"/>
    </row>
    <row r="271" spans="1:56">
      <c r="A271" s="301" t="s">
        <v>435</v>
      </c>
      <c r="B271" s="301"/>
      <c r="C271" s="301"/>
      <c r="D271" s="301"/>
      <c r="E271" s="496">
        <f t="shared" si="66"/>
        <v>44</v>
      </c>
      <c r="F271" s="497"/>
      <c r="G271" s="497"/>
      <c r="H271" s="497">
        <f t="shared" si="67"/>
        <v>25</v>
      </c>
      <c r="I271" s="497"/>
      <c r="J271" s="162">
        <f t="shared" si="68"/>
        <v>11</v>
      </c>
      <c r="K271" s="497">
        <f t="shared" si="69"/>
        <v>17</v>
      </c>
      <c r="L271" s="497"/>
      <c r="M271" s="497"/>
      <c r="N271" s="497"/>
      <c r="O271" s="162">
        <f t="shared" si="70"/>
        <v>12</v>
      </c>
      <c r="P271" s="497">
        <f t="shared" si="71"/>
        <v>38</v>
      </c>
      <c r="Q271" s="497"/>
      <c r="R271" s="497">
        <f t="shared" si="72"/>
        <v>47</v>
      </c>
      <c r="S271" s="497"/>
      <c r="T271" s="498"/>
      <c r="U271" s="496">
        <f t="shared" si="73"/>
        <v>32</v>
      </c>
      <c r="V271" s="497"/>
      <c r="W271" s="497"/>
      <c r="X271" s="497">
        <f t="shared" si="74"/>
        <v>17</v>
      </c>
      <c r="Y271" s="497"/>
      <c r="Z271" s="162">
        <f t="shared" si="75"/>
        <v>4</v>
      </c>
      <c r="AA271" s="497">
        <f t="shared" si="76"/>
        <v>6</v>
      </c>
      <c r="AB271" s="497"/>
      <c r="AC271" s="497"/>
      <c r="AD271" s="497"/>
      <c r="AE271" s="162">
        <f t="shared" si="77"/>
        <v>5</v>
      </c>
      <c r="AF271" s="497">
        <f t="shared" si="78"/>
        <v>25</v>
      </c>
      <c r="AG271" s="497"/>
      <c r="AH271" s="497">
        <f t="shared" si="79"/>
        <v>37</v>
      </c>
      <c r="AI271" s="497"/>
      <c r="AJ271" s="498"/>
    </row>
    <row r="272" spans="1:56" ht="15.75" thickBot="1">
      <c r="A272" s="305" t="s">
        <v>436</v>
      </c>
      <c r="B272" s="305"/>
      <c r="C272" s="305"/>
      <c r="D272" s="305"/>
      <c r="E272" s="499">
        <f t="shared" si="66"/>
        <v>29</v>
      </c>
      <c r="F272" s="500"/>
      <c r="G272" s="500"/>
      <c r="H272" s="500">
        <f t="shared" si="67"/>
        <v>15</v>
      </c>
      <c r="I272" s="500"/>
      <c r="J272" s="307">
        <f t="shared" si="68"/>
        <v>5</v>
      </c>
      <c r="K272" s="500">
        <f t="shared" si="69"/>
        <v>7</v>
      </c>
      <c r="L272" s="500"/>
      <c r="M272" s="500"/>
      <c r="N272" s="500"/>
      <c r="O272" s="307">
        <f t="shared" si="70"/>
        <v>5</v>
      </c>
      <c r="P272" s="500">
        <f t="shared" si="71"/>
        <v>21</v>
      </c>
      <c r="Q272" s="500"/>
      <c r="R272" s="500">
        <f t="shared" si="72"/>
        <v>38</v>
      </c>
      <c r="S272" s="500"/>
      <c r="T272" s="501"/>
      <c r="U272" s="499">
        <f t="shared" si="73"/>
        <v>51</v>
      </c>
      <c r="V272" s="500"/>
      <c r="W272" s="500"/>
      <c r="X272" s="500">
        <f t="shared" si="74"/>
        <v>5</v>
      </c>
      <c r="Y272" s="500"/>
      <c r="Z272" s="307">
        <f t="shared" si="75"/>
        <v>0</v>
      </c>
      <c r="AA272" s="500">
        <f t="shared" si="76"/>
        <v>3</v>
      </c>
      <c r="AB272" s="500"/>
      <c r="AC272" s="500"/>
      <c r="AD272" s="500"/>
      <c r="AE272" s="307">
        <f t="shared" si="77"/>
        <v>2</v>
      </c>
      <c r="AF272" s="500">
        <f t="shared" si="78"/>
        <v>8</v>
      </c>
      <c r="AG272" s="500"/>
      <c r="AH272" s="500">
        <f t="shared" si="79"/>
        <v>49</v>
      </c>
      <c r="AI272" s="500"/>
      <c r="AJ272" s="501"/>
    </row>
    <row r="274" spans="1:39" ht="15.75" thickBot="1"/>
    <row r="275" spans="1:39" ht="15.75" thickBot="1">
      <c r="A275" s="67" t="s">
        <v>487</v>
      </c>
      <c r="E275" s="266">
        <v>355</v>
      </c>
      <c r="F275" s="267">
        <v>575</v>
      </c>
      <c r="G275" s="267">
        <v>695</v>
      </c>
      <c r="H275" s="267">
        <v>890</v>
      </c>
      <c r="I275" s="267">
        <v>985</v>
      </c>
      <c r="J275" s="267">
        <v>925</v>
      </c>
      <c r="K275" s="267">
        <v>900</v>
      </c>
      <c r="L275" s="268">
        <v>905</v>
      </c>
      <c r="M275" s="266">
        <v>905</v>
      </c>
      <c r="N275" s="267">
        <v>945</v>
      </c>
      <c r="O275" s="267">
        <v>895</v>
      </c>
      <c r="P275" s="267">
        <v>1000</v>
      </c>
      <c r="Q275" s="267">
        <v>910</v>
      </c>
      <c r="R275" s="267">
        <v>685</v>
      </c>
      <c r="S275" s="267">
        <v>550</v>
      </c>
      <c r="T275" s="268">
        <v>395</v>
      </c>
      <c r="U275" s="266">
        <v>380</v>
      </c>
      <c r="V275" s="267">
        <v>560</v>
      </c>
      <c r="W275" s="267">
        <v>675</v>
      </c>
      <c r="X275" s="267">
        <v>920</v>
      </c>
      <c r="Y275" s="267">
        <v>1075</v>
      </c>
      <c r="Z275" s="267">
        <v>1010</v>
      </c>
      <c r="AA275" s="267">
        <v>1055</v>
      </c>
      <c r="AB275" s="268">
        <v>1000</v>
      </c>
      <c r="AC275" s="266">
        <v>1010</v>
      </c>
      <c r="AD275" s="267">
        <v>1040</v>
      </c>
      <c r="AE275" s="267">
        <v>1035</v>
      </c>
      <c r="AF275" s="267">
        <v>1095</v>
      </c>
      <c r="AG275" s="267">
        <v>945</v>
      </c>
      <c r="AH275" s="267">
        <v>650</v>
      </c>
      <c r="AI275" s="267">
        <v>505</v>
      </c>
      <c r="AJ275" s="268">
        <v>400</v>
      </c>
    </row>
    <row r="276" spans="1:39" ht="15.75" thickBot="1">
      <c r="A276" s="67" t="s">
        <v>487</v>
      </c>
      <c r="E276" s="389">
        <f>SUM(E275:G275)</f>
        <v>1625</v>
      </c>
      <c r="F276" s="390"/>
      <c r="G276" s="390"/>
      <c r="H276" s="502">
        <f>SUM(H275:I275)</f>
        <v>1875</v>
      </c>
      <c r="I276" s="390"/>
      <c r="J276" s="320">
        <f>J275</f>
        <v>925</v>
      </c>
      <c r="K276" s="502">
        <f>SUM(K275:N275)</f>
        <v>3655</v>
      </c>
      <c r="L276" s="390"/>
      <c r="M276" s="390"/>
      <c r="N276" s="390"/>
      <c r="O276" s="320">
        <f>O275</f>
        <v>895</v>
      </c>
      <c r="P276" s="502">
        <f>SUM(P275:Q275)</f>
        <v>1910</v>
      </c>
      <c r="Q276" s="390"/>
      <c r="R276" s="502">
        <f>SUM(R275:T275)</f>
        <v>1630</v>
      </c>
      <c r="S276" s="390"/>
      <c r="T276" s="391"/>
      <c r="U276" s="389">
        <f>SUM(U275:W275)</f>
        <v>1615</v>
      </c>
      <c r="V276" s="390"/>
      <c r="W276" s="390"/>
      <c r="X276" s="502">
        <f>SUM(X275:Y275)</f>
        <v>1995</v>
      </c>
      <c r="Y276" s="390"/>
      <c r="Z276" s="320">
        <f>Z275</f>
        <v>1010</v>
      </c>
      <c r="AA276" s="502">
        <f>SUM(AA275:AD275)</f>
        <v>4105</v>
      </c>
      <c r="AB276" s="390"/>
      <c r="AC276" s="390"/>
      <c r="AD276" s="390"/>
      <c r="AE276" s="320">
        <f>AE275</f>
        <v>1035</v>
      </c>
      <c r="AF276" s="502">
        <f>SUM(AF275:AG275)</f>
        <v>2040</v>
      </c>
      <c r="AG276" s="390"/>
      <c r="AH276" s="502">
        <f>SUM(AH275:AJ275)</f>
        <v>1555</v>
      </c>
      <c r="AI276" s="390"/>
      <c r="AJ276" s="391"/>
    </row>
    <row r="277" spans="1:39" ht="15.75" thickBot="1">
      <c r="A277" s="67" t="s">
        <v>487</v>
      </c>
      <c r="E277" s="408">
        <v>6230</v>
      </c>
      <c r="F277" s="409"/>
      <c r="G277" s="409"/>
      <c r="H277" s="409"/>
      <c r="I277" s="409"/>
      <c r="J277" s="409"/>
      <c r="K277" s="409"/>
      <c r="L277" s="410"/>
      <c r="M277" s="408">
        <v>6285</v>
      </c>
      <c r="N277" s="409"/>
      <c r="O277" s="409"/>
      <c r="P277" s="409"/>
      <c r="Q277" s="409"/>
      <c r="R277" s="409"/>
      <c r="S277" s="409"/>
      <c r="T277" s="409"/>
      <c r="U277" s="408">
        <v>6675</v>
      </c>
      <c r="V277" s="409"/>
      <c r="W277" s="409"/>
      <c r="X277" s="409"/>
      <c r="Y277" s="409"/>
      <c r="Z277" s="409"/>
      <c r="AA277" s="409"/>
      <c r="AB277" s="410"/>
      <c r="AC277" s="408">
        <v>6680</v>
      </c>
      <c r="AD277" s="409"/>
      <c r="AE277" s="409"/>
      <c r="AF277" s="409"/>
      <c r="AG277" s="409"/>
      <c r="AH277" s="409"/>
      <c r="AI277" s="409"/>
      <c r="AJ277" s="410"/>
    </row>
    <row r="278" spans="1:39" ht="15.75" thickBot="1">
      <c r="A278" s="67" t="s">
        <v>487</v>
      </c>
      <c r="E278" s="389">
        <v>12515</v>
      </c>
      <c r="F278" s="390"/>
      <c r="G278" s="390"/>
      <c r="H278" s="390"/>
      <c r="I278" s="390"/>
      <c r="J278" s="390"/>
      <c r="K278" s="390"/>
      <c r="L278" s="390"/>
      <c r="M278" s="390"/>
      <c r="N278" s="390"/>
      <c r="O278" s="390"/>
      <c r="P278" s="390"/>
      <c r="Q278" s="390"/>
      <c r="R278" s="390"/>
      <c r="S278" s="390"/>
      <c r="T278" s="390"/>
      <c r="U278" s="389">
        <v>13355</v>
      </c>
      <c r="V278" s="390"/>
      <c r="W278" s="390"/>
      <c r="X278" s="390"/>
      <c r="Y278" s="390"/>
      <c r="Z278" s="390"/>
      <c r="AA278" s="390"/>
      <c r="AB278" s="390"/>
      <c r="AC278" s="390"/>
      <c r="AD278" s="390"/>
      <c r="AE278" s="390"/>
      <c r="AF278" s="390"/>
      <c r="AG278" s="390"/>
      <c r="AH278" s="390"/>
      <c r="AI278" s="390"/>
      <c r="AJ278" s="391"/>
    </row>
    <row r="279" spans="1:39" s="8" customFormat="1" ht="15.75" thickBot="1"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L279" s="67" t="s">
        <v>484</v>
      </c>
      <c r="AM279" s="67" t="s">
        <v>485</v>
      </c>
    </row>
    <row r="280" spans="1:39">
      <c r="A280" s="101" t="s">
        <v>431</v>
      </c>
      <c r="B280" s="101"/>
      <c r="C280" s="101"/>
      <c r="D280" s="101"/>
      <c r="E280" s="322">
        <f t="shared" ref="E280:AJ280" si="80">E257/E275</f>
        <v>1.9718309859154931E-2</v>
      </c>
      <c r="F280" s="323">
        <f t="shared" si="80"/>
        <v>1.7391304347826087E-2</v>
      </c>
      <c r="G280" s="323">
        <f t="shared" si="80"/>
        <v>1.2949640287769784E-2</v>
      </c>
      <c r="H280" s="323">
        <f t="shared" si="80"/>
        <v>5.6179775280898875E-3</v>
      </c>
      <c r="I280" s="323">
        <f t="shared" si="80"/>
        <v>7.1065989847715737E-3</v>
      </c>
      <c r="J280" s="323">
        <f t="shared" si="80"/>
        <v>0</v>
      </c>
      <c r="K280" s="323">
        <f t="shared" si="80"/>
        <v>0</v>
      </c>
      <c r="L280" s="324">
        <f t="shared" si="80"/>
        <v>0</v>
      </c>
      <c r="M280" s="322">
        <f t="shared" si="80"/>
        <v>0</v>
      </c>
      <c r="N280" s="323">
        <f t="shared" si="80"/>
        <v>0</v>
      </c>
      <c r="O280" s="323">
        <f t="shared" si="80"/>
        <v>0</v>
      </c>
      <c r="P280" s="323">
        <f t="shared" si="80"/>
        <v>8.9999999999999993E-3</v>
      </c>
      <c r="Q280" s="323">
        <f t="shared" si="80"/>
        <v>7.6923076923076927E-3</v>
      </c>
      <c r="R280" s="323">
        <f t="shared" si="80"/>
        <v>1.8978102189781021E-2</v>
      </c>
      <c r="S280" s="323">
        <f t="shared" si="80"/>
        <v>1.2727272727272728E-2</v>
      </c>
      <c r="T280" s="324">
        <f t="shared" si="80"/>
        <v>2.0253164556962026E-2</v>
      </c>
      <c r="U280" s="322">
        <f t="shared" si="80"/>
        <v>2.1052631578947368E-2</v>
      </c>
      <c r="V280" s="323">
        <f t="shared" si="80"/>
        <v>2.3214285714285715E-2</v>
      </c>
      <c r="W280" s="323">
        <f t="shared" si="80"/>
        <v>2.6666666666666668E-2</v>
      </c>
      <c r="X280" s="323">
        <f t="shared" si="80"/>
        <v>4.3478260869565218E-3</v>
      </c>
      <c r="Y280" s="323">
        <f t="shared" si="80"/>
        <v>2.7906976744186047E-3</v>
      </c>
      <c r="Z280" s="323">
        <f t="shared" si="80"/>
        <v>0</v>
      </c>
      <c r="AA280" s="323">
        <f t="shared" si="80"/>
        <v>0</v>
      </c>
      <c r="AB280" s="324">
        <f t="shared" si="80"/>
        <v>0</v>
      </c>
      <c r="AC280" s="322">
        <f t="shared" si="80"/>
        <v>0</v>
      </c>
      <c r="AD280" s="323">
        <f t="shared" si="80"/>
        <v>0</v>
      </c>
      <c r="AE280" s="323">
        <f t="shared" si="80"/>
        <v>0</v>
      </c>
      <c r="AF280" s="323">
        <f t="shared" si="80"/>
        <v>7.3059360730593605E-3</v>
      </c>
      <c r="AG280" s="323">
        <f t="shared" si="80"/>
        <v>4.2328042328042331E-3</v>
      </c>
      <c r="AH280" s="323">
        <f t="shared" si="80"/>
        <v>2.4615384615384615E-2</v>
      </c>
      <c r="AI280" s="323">
        <f t="shared" si="80"/>
        <v>2.7722772277227723E-2</v>
      </c>
      <c r="AJ280" s="324">
        <f t="shared" si="80"/>
        <v>1.7500000000000002E-2</v>
      </c>
      <c r="AL280" s="325">
        <f>AL257/E278</f>
        <v>6.5521374350779064E-3</v>
      </c>
      <c r="AM280" s="325">
        <f>AM257/U278</f>
        <v>7.1134406589292397E-3</v>
      </c>
    </row>
    <row r="281" spans="1:39">
      <c r="A281" s="285" t="s">
        <v>432</v>
      </c>
      <c r="B281" s="285"/>
      <c r="C281" s="285"/>
      <c r="D281" s="285"/>
      <c r="E281" s="326">
        <f t="shared" ref="E281:AJ281" si="81">E258/E275</f>
        <v>5.6338028169014088E-3</v>
      </c>
      <c r="F281" s="327">
        <f t="shared" si="81"/>
        <v>8.6956521739130436E-3</v>
      </c>
      <c r="G281" s="327">
        <f t="shared" si="81"/>
        <v>1.2949640287769784E-2</v>
      </c>
      <c r="H281" s="327">
        <f t="shared" si="81"/>
        <v>5.6179775280898875E-3</v>
      </c>
      <c r="I281" s="327">
        <f t="shared" si="81"/>
        <v>6.0913705583756344E-3</v>
      </c>
      <c r="J281" s="327">
        <f t="shared" si="81"/>
        <v>4.3243243243243244E-3</v>
      </c>
      <c r="K281" s="327">
        <f t="shared" si="81"/>
        <v>2.2222222222222222E-3</v>
      </c>
      <c r="L281" s="328">
        <f t="shared" si="81"/>
        <v>0</v>
      </c>
      <c r="M281" s="326">
        <f t="shared" si="81"/>
        <v>1.1049723756906078E-3</v>
      </c>
      <c r="N281" s="327">
        <f t="shared" si="81"/>
        <v>0</v>
      </c>
      <c r="O281" s="327">
        <f t="shared" si="81"/>
        <v>3.3519553072625698E-3</v>
      </c>
      <c r="P281" s="327">
        <f t="shared" si="81"/>
        <v>8.9999999999999993E-3</v>
      </c>
      <c r="Q281" s="327">
        <f t="shared" si="81"/>
        <v>8.7912087912087912E-3</v>
      </c>
      <c r="R281" s="327">
        <f t="shared" si="81"/>
        <v>2.0437956204379562E-2</v>
      </c>
      <c r="S281" s="327">
        <f t="shared" si="81"/>
        <v>5.454545454545455E-3</v>
      </c>
      <c r="T281" s="328">
        <f t="shared" si="81"/>
        <v>1.0126582278481013E-2</v>
      </c>
      <c r="U281" s="326">
        <f t="shared" si="81"/>
        <v>1.5789473684210527E-2</v>
      </c>
      <c r="V281" s="327">
        <f t="shared" si="81"/>
        <v>8.9285714285714281E-3</v>
      </c>
      <c r="W281" s="327">
        <f t="shared" si="81"/>
        <v>2.3703703703703703E-2</v>
      </c>
      <c r="X281" s="327">
        <f t="shared" si="81"/>
        <v>4.3478260869565218E-3</v>
      </c>
      <c r="Y281" s="327">
        <f t="shared" si="81"/>
        <v>9.3023255813953494E-4</v>
      </c>
      <c r="Z281" s="327">
        <f t="shared" si="81"/>
        <v>0</v>
      </c>
      <c r="AA281" s="327">
        <f t="shared" si="81"/>
        <v>0</v>
      </c>
      <c r="AB281" s="328">
        <f t="shared" si="81"/>
        <v>0</v>
      </c>
      <c r="AC281" s="326">
        <f t="shared" si="81"/>
        <v>0</v>
      </c>
      <c r="AD281" s="327">
        <f t="shared" si="81"/>
        <v>9.6153846153846159E-4</v>
      </c>
      <c r="AE281" s="327">
        <f t="shared" si="81"/>
        <v>9.6618357487922703E-4</v>
      </c>
      <c r="AF281" s="327">
        <f t="shared" si="81"/>
        <v>3.6529680365296802E-3</v>
      </c>
      <c r="AG281" s="327">
        <f t="shared" si="81"/>
        <v>3.1746031746031746E-3</v>
      </c>
      <c r="AH281" s="327">
        <f t="shared" si="81"/>
        <v>2.3076923076923078E-2</v>
      </c>
      <c r="AI281" s="327">
        <f t="shared" si="81"/>
        <v>1.1881188118811881E-2</v>
      </c>
      <c r="AJ281" s="328">
        <f t="shared" si="81"/>
        <v>7.4999999999999997E-3</v>
      </c>
      <c r="AL281" s="327">
        <f>AL258/E278</f>
        <v>5.9928086296444265E-3</v>
      </c>
      <c r="AM281" s="287">
        <f>AM258/U278</f>
        <v>4.8670909771621118E-3</v>
      </c>
    </row>
    <row r="282" spans="1:39">
      <c r="A282" s="292" t="s">
        <v>486</v>
      </c>
      <c r="B282" s="292"/>
      <c r="C282" s="292"/>
      <c r="D282" s="292"/>
      <c r="E282" s="329">
        <f t="shared" ref="E282:AJ282" si="82">E259/E275</f>
        <v>0</v>
      </c>
      <c r="F282" s="330">
        <f t="shared" si="82"/>
        <v>0</v>
      </c>
      <c r="G282" s="330">
        <f t="shared" si="82"/>
        <v>0</v>
      </c>
      <c r="H282" s="330">
        <f t="shared" si="82"/>
        <v>0</v>
      </c>
      <c r="I282" s="330">
        <f t="shared" si="82"/>
        <v>0</v>
      </c>
      <c r="J282" s="330">
        <f t="shared" si="82"/>
        <v>4.3243243243243244E-3</v>
      </c>
      <c r="K282" s="330">
        <f t="shared" si="82"/>
        <v>2.2222222222222222E-3</v>
      </c>
      <c r="L282" s="331">
        <f t="shared" si="82"/>
        <v>2.2099447513812156E-3</v>
      </c>
      <c r="M282" s="329">
        <f t="shared" si="82"/>
        <v>1.1049723756906078E-3</v>
      </c>
      <c r="N282" s="330">
        <f t="shared" si="82"/>
        <v>0</v>
      </c>
      <c r="O282" s="330">
        <f t="shared" si="82"/>
        <v>3.3519553072625698E-3</v>
      </c>
      <c r="P282" s="330">
        <f t="shared" si="82"/>
        <v>0</v>
      </c>
      <c r="Q282" s="330">
        <f t="shared" si="82"/>
        <v>0</v>
      </c>
      <c r="R282" s="330">
        <f t="shared" si="82"/>
        <v>0</v>
      </c>
      <c r="S282" s="330">
        <f t="shared" si="82"/>
        <v>0</v>
      </c>
      <c r="T282" s="331">
        <f t="shared" si="82"/>
        <v>0</v>
      </c>
      <c r="U282" s="329">
        <f t="shared" si="82"/>
        <v>0</v>
      </c>
      <c r="V282" s="330">
        <f t="shared" si="82"/>
        <v>0</v>
      </c>
      <c r="W282" s="330">
        <f t="shared" si="82"/>
        <v>0</v>
      </c>
      <c r="X282" s="330">
        <f t="shared" si="82"/>
        <v>0</v>
      </c>
      <c r="Y282" s="330">
        <f t="shared" si="82"/>
        <v>0</v>
      </c>
      <c r="Z282" s="330">
        <f t="shared" si="82"/>
        <v>2.9702970297029703E-3</v>
      </c>
      <c r="AA282" s="330">
        <f t="shared" si="82"/>
        <v>9.4786729857819908E-4</v>
      </c>
      <c r="AB282" s="331">
        <f t="shared" si="82"/>
        <v>0</v>
      </c>
      <c r="AC282" s="329">
        <f t="shared" si="82"/>
        <v>0</v>
      </c>
      <c r="AD282" s="330">
        <f t="shared" si="82"/>
        <v>9.6153846153846159E-4</v>
      </c>
      <c r="AE282" s="330">
        <f t="shared" si="82"/>
        <v>1.9323671497584541E-3</v>
      </c>
      <c r="AF282" s="330">
        <f t="shared" si="82"/>
        <v>0</v>
      </c>
      <c r="AG282" s="330">
        <f t="shared" si="82"/>
        <v>0</v>
      </c>
      <c r="AH282" s="330">
        <f t="shared" si="82"/>
        <v>0</v>
      </c>
      <c r="AI282" s="330">
        <f t="shared" si="82"/>
        <v>0</v>
      </c>
      <c r="AJ282" s="331">
        <f t="shared" si="82"/>
        <v>0</v>
      </c>
      <c r="AL282" s="330">
        <f>AL259/E278</f>
        <v>9.5884938074310827E-4</v>
      </c>
      <c r="AM282" s="332">
        <f>AM259/U278</f>
        <v>5.2414825907899664E-4</v>
      </c>
    </row>
    <row r="283" spans="1:39" s="8" customFormat="1">
      <c r="A283" s="297" t="s">
        <v>434</v>
      </c>
      <c r="B283" s="297"/>
      <c r="C283" s="297"/>
      <c r="D283" s="297"/>
      <c r="E283" s="333">
        <f t="shared" ref="E283:AJ283" si="83">E260/E275</f>
        <v>3.3802816901408447E-2</v>
      </c>
      <c r="F283" s="334">
        <f t="shared" si="83"/>
        <v>1.7391304347826087E-2</v>
      </c>
      <c r="G283" s="334">
        <f t="shared" si="83"/>
        <v>2.302158273381295E-2</v>
      </c>
      <c r="H283" s="334">
        <f t="shared" si="83"/>
        <v>1.5730337078651686E-2</v>
      </c>
      <c r="I283" s="334">
        <f t="shared" si="83"/>
        <v>1.5228426395939087E-2</v>
      </c>
      <c r="J283" s="334">
        <f t="shared" si="83"/>
        <v>7.5675675675675675E-3</v>
      </c>
      <c r="K283" s="334">
        <f t="shared" si="83"/>
        <v>5.5555555555555558E-3</v>
      </c>
      <c r="L283" s="335">
        <f t="shared" si="83"/>
        <v>1.1049723756906078E-3</v>
      </c>
      <c r="M283" s="333">
        <f t="shared" si="83"/>
        <v>2.2099447513812156E-3</v>
      </c>
      <c r="N283" s="334">
        <f t="shared" si="83"/>
        <v>1.0582010582010583E-3</v>
      </c>
      <c r="O283" s="334">
        <f t="shared" si="83"/>
        <v>5.5865921787709499E-3</v>
      </c>
      <c r="P283" s="334">
        <f t="shared" si="83"/>
        <v>1.7999999999999999E-2</v>
      </c>
      <c r="Q283" s="334">
        <f t="shared" si="83"/>
        <v>1.9780219780219779E-2</v>
      </c>
      <c r="R283" s="334">
        <f t="shared" si="83"/>
        <v>3.3576642335766425E-2</v>
      </c>
      <c r="S283" s="334">
        <f t="shared" si="83"/>
        <v>2.3636363636363636E-2</v>
      </c>
      <c r="T283" s="335">
        <f t="shared" si="83"/>
        <v>5.5696202531645568E-2</v>
      </c>
      <c r="U283" s="333">
        <f t="shared" si="83"/>
        <v>2.1052631578947368E-2</v>
      </c>
      <c r="V283" s="334">
        <f t="shared" si="83"/>
        <v>1.607142857142857E-2</v>
      </c>
      <c r="W283" s="334">
        <f t="shared" si="83"/>
        <v>3.7037037037037035E-2</v>
      </c>
      <c r="X283" s="334">
        <f t="shared" si="83"/>
        <v>6.5217391304347823E-3</v>
      </c>
      <c r="Y283" s="334">
        <f t="shared" si="83"/>
        <v>4.6511627906976744E-3</v>
      </c>
      <c r="Z283" s="334">
        <f t="shared" si="83"/>
        <v>1.9801980198019802E-3</v>
      </c>
      <c r="AA283" s="334">
        <f t="shared" si="83"/>
        <v>0</v>
      </c>
      <c r="AB283" s="335">
        <f t="shared" si="83"/>
        <v>2E-3</v>
      </c>
      <c r="AC283" s="333">
        <f t="shared" si="83"/>
        <v>0</v>
      </c>
      <c r="AD283" s="334">
        <f t="shared" si="83"/>
        <v>1.9230769230769232E-3</v>
      </c>
      <c r="AE283" s="334">
        <f t="shared" si="83"/>
        <v>3.8647342995169081E-3</v>
      </c>
      <c r="AF283" s="334">
        <f t="shared" si="83"/>
        <v>7.3059360730593605E-3</v>
      </c>
      <c r="AG283" s="334">
        <f t="shared" si="83"/>
        <v>8.4656084656084662E-3</v>
      </c>
      <c r="AH283" s="334">
        <f t="shared" si="83"/>
        <v>3.3846153846153845E-2</v>
      </c>
      <c r="AI283" s="334">
        <f t="shared" si="83"/>
        <v>1.3861386138613862E-2</v>
      </c>
      <c r="AJ283" s="335">
        <f t="shared" si="83"/>
        <v>1.2500000000000001E-2</v>
      </c>
      <c r="AL283" s="334">
        <f>AL260/E278</f>
        <v>1.4542548941270475E-2</v>
      </c>
      <c r="AM283" s="336">
        <f>AM260/U278</f>
        <v>8.461250467989517E-3</v>
      </c>
    </row>
    <row r="284" spans="1:39">
      <c r="A284" s="301" t="s">
        <v>435</v>
      </c>
      <c r="B284" s="301"/>
      <c r="C284" s="301"/>
      <c r="D284" s="301"/>
      <c r="E284" s="337">
        <f t="shared" ref="E284:AJ284" si="84">E261/E275</f>
        <v>1.1267605633802818E-2</v>
      </c>
      <c r="F284" s="338">
        <f t="shared" si="84"/>
        <v>3.826086956521739E-2</v>
      </c>
      <c r="G284" s="338">
        <f t="shared" si="84"/>
        <v>2.5899280575539568E-2</v>
      </c>
      <c r="H284" s="338">
        <f t="shared" si="84"/>
        <v>1.1235955056179775E-2</v>
      </c>
      <c r="I284" s="338">
        <f t="shared" si="84"/>
        <v>1.5228426395939087E-2</v>
      </c>
      <c r="J284" s="338">
        <f t="shared" si="84"/>
        <v>1.1891891891891892E-2</v>
      </c>
      <c r="K284" s="338">
        <f t="shared" si="84"/>
        <v>6.6666666666666671E-3</v>
      </c>
      <c r="L284" s="339">
        <f t="shared" si="84"/>
        <v>2.2099447513812156E-3</v>
      </c>
      <c r="M284" s="337">
        <f t="shared" si="84"/>
        <v>1.1049723756906078E-3</v>
      </c>
      <c r="N284" s="338">
        <f t="shared" si="84"/>
        <v>8.4656084656084662E-3</v>
      </c>
      <c r="O284" s="338">
        <f t="shared" si="84"/>
        <v>1.3407821229050279E-2</v>
      </c>
      <c r="P284" s="338">
        <f t="shared" si="84"/>
        <v>2.1999999999999999E-2</v>
      </c>
      <c r="Q284" s="338">
        <f t="shared" si="84"/>
        <v>1.7582417582417582E-2</v>
      </c>
      <c r="R284" s="338">
        <f t="shared" si="84"/>
        <v>3.2116788321167884E-2</v>
      </c>
      <c r="S284" s="338">
        <f t="shared" si="84"/>
        <v>0.04</v>
      </c>
      <c r="T284" s="339">
        <f t="shared" si="84"/>
        <v>7.5949367088607592E-3</v>
      </c>
      <c r="U284" s="337">
        <f t="shared" si="84"/>
        <v>1.0526315789473684E-2</v>
      </c>
      <c r="V284" s="338">
        <f t="shared" si="84"/>
        <v>2.3214285714285715E-2</v>
      </c>
      <c r="W284" s="338">
        <f t="shared" si="84"/>
        <v>2.2222222222222223E-2</v>
      </c>
      <c r="X284" s="338">
        <f t="shared" si="84"/>
        <v>1.1956521739130435E-2</v>
      </c>
      <c r="Y284" s="338">
        <f t="shared" si="84"/>
        <v>5.5813953488372094E-3</v>
      </c>
      <c r="Z284" s="338">
        <f t="shared" si="84"/>
        <v>3.9603960396039604E-3</v>
      </c>
      <c r="AA284" s="338">
        <f t="shared" si="84"/>
        <v>1.8957345971563982E-3</v>
      </c>
      <c r="AB284" s="339">
        <f t="shared" si="84"/>
        <v>1E-3</v>
      </c>
      <c r="AC284" s="337">
        <f t="shared" si="84"/>
        <v>9.9009900990099011E-4</v>
      </c>
      <c r="AD284" s="338">
        <f t="shared" si="84"/>
        <v>1.9230769230769232E-3</v>
      </c>
      <c r="AE284" s="338">
        <f t="shared" si="84"/>
        <v>4.830917874396135E-3</v>
      </c>
      <c r="AF284" s="338">
        <f t="shared" si="84"/>
        <v>8.21917808219178E-3</v>
      </c>
      <c r="AG284" s="338">
        <f t="shared" si="84"/>
        <v>1.6931216931216932E-2</v>
      </c>
      <c r="AH284" s="338">
        <f t="shared" si="84"/>
        <v>3.5384615384615382E-2</v>
      </c>
      <c r="AI284" s="338">
        <f t="shared" si="84"/>
        <v>2.1782178217821781E-2</v>
      </c>
      <c r="AJ284" s="339">
        <f t="shared" si="84"/>
        <v>7.4999999999999997E-3</v>
      </c>
      <c r="AL284" s="338">
        <f>AL261/E278</f>
        <v>1.5501398322013584E-2</v>
      </c>
      <c r="AM284" s="340">
        <f>AM261/U278</f>
        <v>9.4346686634219391E-3</v>
      </c>
    </row>
    <row r="285" spans="1:39" ht="15.75" thickBot="1">
      <c r="A285" s="305" t="s">
        <v>436</v>
      </c>
      <c r="B285" s="305"/>
      <c r="C285" s="305"/>
      <c r="D285" s="305"/>
      <c r="E285" s="341">
        <f t="shared" ref="E285:AJ285" si="85">E262/E275</f>
        <v>2.2535211267605635E-2</v>
      </c>
      <c r="F285" s="342">
        <f t="shared" si="85"/>
        <v>1.7391304347826087E-2</v>
      </c>
      <c r="G285" s="342">
        <f t="shared" si="85"/>
        <v>1.5827338129496403E-2</v>
      </c>
      <c r="H285" s="342">
        <f t="shared" si="85"/>
        <v>5.6179775280898875E-3</v>
      </c>
      <c r="I285" s="342">
        <f t="shared" si="85"/>
        <v>1.015228426395939E-2</v>
      </c>
      <c r="J285" s="342">
        <f t="shared" si="85"/>
        <v>5.4054054054054057E-3</v>
      </c>
      <c r="K285" s="342">
        <f t="shared" si="85"/>
        <v>4.4444444444444444E-3</v>
      </c>
      <c r="L285" s="343">
        <f t="shared" si="85"/>
        <v>0</v>
      </c>
      <c r="M285" s="341">
        <f t="shared" si="85"/>
        <v>1.1049723756906078E-3</v>
      </c>
      <c r="N285" s="342">
        <f t="shared" si="85"/>
        <v>2.1164021164021165E-3</v>
      </c>
      <c r="O285" s="342">
        <f t="shared" si="85"/>
        <v>5.5865921787709499E-3</v>
      </c>
      <c r="P285" s="342">
        <f t="shared" si="85"/>
        <v>0.01</v>
      </c>
      <c r="Q285" s="342">
        <f t="shared" si="85"/>
        <v>1.2087912087912088E-2</v>
      </c>
      <c r="R285" s="342">
        <f t="shared" si="85"/>
        <v>2.4817518248175182E-2</v>
      </c>
      <c r="S285" s="342">
        <f t="shared" si="85"/>
        <v>0.02</v>
      </c>
      <c r="T285" s="343">
        <f t="shared" si="85"/>
        <v>2.5316455696202531E-2</v>
      </c>
      <c r="U285" s="341">
        <f t="shared" si="85"/>
        <v>3.6842105263157891E-2</v>
      </c>
      <c r="V285" s="342">
        <f t="shared" si="85"/>
        <v>3.3928571428571426E-2</v>
      </c>
      <c r="W285" s="342">
        <f t="shared" si="85"/>
        <v>2.6666666666666668E-2</v>
      </c>
      <c r="X285" s="342">
        <f t="shared" si="85"/>
        <v>4.3478260869565218E-3</v>
      </c>
      <c r="Y285" s="342">
        <f t="shared" si="85"/>
        <v>9.3023255813953494E-4</v>
      </c>
      <c r="Z285" s="342">
        <f t="shared" si="85"/>
        <v>0</v>
      </c>
      <c r="AA285" s="342">
        <f t="shared" si="85"/>
        <v>0</v>
      </c>
      <c r="AB285" s="343">
        <f t="shared" si="85"/>
        <v>2E-3</v>
      </c>
      <c r="AC285" s="341">
        <f t="shared" si="85"/>
        <v>0</v>
      </c>
      <c r="AD285" s="342">
        <f t="shared" si="85"/>
        <v>9.6153846153846159E-4</v>
      </c>
      <c r="AE285" s="342">
        <f t="shared" si="85"/>
        <v>1.9323671497584541E-3</v>
      </c>
      <c r="AF285" s="342">
        <f t="shared" si="85"/>
        <v>3.6529680365296802E-3</v>
      </c>
      <c r="AG285" s="342">
        <f t="shared" si="85"/>
        <v>4.2328042328042331E-3</v>
      </c>
      <c r="AH285" s="342">
        <f t="shared" si="85"/>
        <v>3.2307692307692308E-2</v>
      </c>
      <c r="AI285" s="342">
        <f t="shared" si="85"/>
        <v>2.9702970297029702E-2</v>
      </c>
      <c r="AJ285" s="343">
        <f t="shared" si="85"/>
        <v>3.2500000000000001E-2</v>
      </c>
      <c r="AL285" s="344">
        <f>AL262/E278</f>
        <v>9.5884938074310821E-3</v>
      </c>
      <c r="AM285" s="345">
        <f>AM262/U278</f>
        <v>8.835642081617372E-3</v>
      </c>
    </row>
    <row r="286" spans="1:39" ht="15.75" thickBot="1"/>
    <row r="287" spans="1:39">
      <c r="A287" s="101" t="s">
        <v>431</v>
      </c>
      <c r="B287" s="101"/>
      <c r="C287" s="101"/>
      <c r="D287" s="101"/>
      <c r="E287" s="503">
        <f>E267/E276</f>
        <v>4.3076923076923075E-3</v>
      </c>
      <c r="F287" s="504"/>
      <c r="G287" s="504"/>
      <c r="H287" s="504">
        <f>H267/H276</f>
        <v>2.6666666666666666E-3</v>
      </c>
      <c r="I287" s="504"/>
      <c r="J287" s="323">
        <f>J267/J276</f>
        <v>0</v>
      </c>
      <c r="K287" s="504">
        <f>K267/K276</f>
        <v>0</v>
      </c>
      <c r="L287" s="504"/>
      <c r="M287" s="504"/>
      <c r="N287" s="504"/>
      <c r="O287" s="323">
        <f>O267/O276</f>
        <v>0</v>
      </c>
      <c r="P287" s="504">
        <f>P267/P276</f>
        <v>4.7120418848167539E-3</v>
      </c>
      <c r="Q287" s="504"/>
      <c r="R287" s="504">
        <f>R267/R276</f>
        <v>7.9754601226993873E-3</v>
      </c>
      <c r="S287" s="504"/>
      <c r="T287" s="505"/>
      <c r="U287" s="503">
        <f>U267/U276</f>
        <v>4.9535603715170282E-3</v>
      </c>
      <c r="V287" s="504"/>
      <c r="W287" s="504"/>
      <c r="X287" s="504">
        <f>X267/X276</f>
        <v>2.0050125313283208E-3</v>
      </c>
      <c r="Y287" s="504"/>
      <c r="Z287" s="323">
        <f>Z267/Z276</f>
        <v>0</v>
      </c>
      <c r="AA287" s="504">
        <f>AA267/AA276</f>
        <v>0</v>
      </c>
      <c r="AB287" s="504"/>
      <c r="AC287" s="504"/>
      <c r="AD287" s="504"/>
      <c r="AE287" s="323">
        <f>AE267/AE276</f>
        <v>0</v>
      </c>
      <c r="AF287" s="504">
        <f>AF267/AF276</f>
        <v>3.9215686274509803E-3</v>
      </c>
      <c r="AG287" s="504"/>
      <c r="AH287" s="504">
        <f>AH267/AH276</f>
        <v>1.0289389067524116E-2</v>
      </c>
      <c r="AI287" s="504"/>
      <c r="AJ287" s="505"/>
    </row>
    <row r="288" spans="1:39">
      <c r="A288" s="285" t="s">
        <v>432</v>
      </c>
      <c r="B288" s="285"/>
      <c r="C288" s="285"/>
      <c r="D288" s="285"/>
      <c r="E288" s="506">
        <f>E268/E276</f>
        <v>9.8461538461538465E-3</v>
      </c>
      <c r="F288" s="507"/>
      <c r="G288" s="507"/>
      <c r="H288" s="507">
        <f>H268/H276</f>
        <v>5.8666666666666667E-3</v>
      </c>
      <c r="I288" s="507"/>
      <c r="J288" s="327">
        <f>J268/J276</f>
        <v>4.3243243243243244E-3</v>
      </c>
      <c r="K288" s="507">
        <f>K268/K276</f>
        <v>8.2079343365253077E-4</v>
      </c>
      <c r="L288" s="507"/>
      <c r="M288" s="507"/>
      <c r="N288" s="507"/>
      <c r="O288" s="327">
        <f>O268/O276</f>
        <v>3.3519553072625698E-3</v>
      </c>
      <c r="P288" s="507">
        <f>P268/P276</f>
        <v>8.9005235602094245E-3</v>
      </c>
      <c r="Q288" s="507"/>
      <c r="R288" s="507">
        <f>R268/R276</f>
        <v>1.2883435582822086E-2</v>
      </c>
      <c r="S288" s="507"/>
      <c r="T288" s="508"/>
      <c r="U288" s="506">
        <f>U268/U276</f>
        <v>1.6718266253869969E-2</v>
      </c>
      <c r="V288" s="507"/>
      <c r="W288" s="507"/>
      <c r="X288" s="507">
        <f>X268/X276</f>
        <v>2.5062656641604009E-3</v>
      </c>
      <c r="Y288" s="507"/>
      <c r="Z288" s="327">
        <f>Z268/Z276</f>
        <v>0</v>
      </c>
      <c r="AA288" s="507">
        <f>AA268/AA276</f>
        <v>2.43605359317905E-4</v>
      </c>
      <c r="AB288" s="507"/>
      <c r="AC288" s="507"/>
      <c r="AD288" s="507"/>
      <c r="AE288" s="327">
        <f>AE268/AE276</f>
        <v>9.6618357487922703E-4</v>
      </c>
      <c r="AF288" s="507">
        <f>AF268/AF276</f>
        <v>3.4313725490196078E-3</v>
      </c>
      <c r="AG288" s="507"/>
      <c r="AH288" s="507">
        <f>AH268/AH276</f>
        <v>1.5434083601286173E-2</v>
      </c>
      <c r="AI288" s="507"/>
      <c r="AJ288" s="508"/>
    </row>
    <row r="289" spans="1:36">
      <c r="A289" s="292" t="s">
        <v>486</v>
      </c>
      <c r="B289" s="292"/>
      <c r="C289" s="292"/>
      <c r="D289" s="292"/>
      <c r="E289" s="509">
        <f>E269/E276</f>
        <v>0</v>
      </c>
      <c r="F289" s="510"/>
      <c r="G289" s="510"/>
      <c r="H289" s="510">
        <f>H269/H276</f>
        <v>0</v>
      </c>
      <c r="I289" s="510"/>
      <c r="J289" s="330">
        <f>J269/J276</f>
        <v>4.3243243243243244E-3</v>
      </c>
      <c r="K289" s="510">
        <f>K269/K276</f>
        <v>1.3679890560875513E-3</v>
      </c>
      <c r="L289" s="510"/>
      <c r="M289" s="510"/>
      <c r="N289" s="510"/>
      <c r="O289" s="330">
        <f>O269/O276</f>
        <v>3.3519553072625698E-3</v>
      </c>
      <c r="P289" s="510">
        <f>P269/P276</f>
        <v>0</v>
      </c>
      <c r="Q289" s="510"/>
      <c r="R289" s="510">
        <f>R269/R276</f>
        <v>0</v>
      </c>
      <c r="S289" s="510"/>
      <c r="T289" s="511"/>
      <c r="U289" s="509">
        <f>U269/U276</f>
        <v>0</v>
      </c>
      <c r="V289" s="510"/>
      <c r="W289" s="510"/>
      <c r="X289" s="510">
        <f>X269/X276</f>
        <v>0</v>
      </c>
      <c r="Y289" s="510"/>
      <c r="Z289" s="330">
        <f>Z269/Z276</f>
        <v>2.9702970297029703E-3</v>
      </c>
      <c r="AA289" s="510">
        <f>AA269/AA276</f>
        <v>4.8721071863581E-4</v>
      </c>
      <c r="AB289" s="510"/>
      <c r="AC289" s="510"/>
      <c r="AD289" s="510"/>
      <c r="AE289" s="330">
        <f>AE269/AE276</f>
        <v>1.9323671497584541E-3</v>
      </c>
      <c r="AF289" s="510">
        <f>AF269/AF276</f>
        <v>0</v>
      </c>
      <c r="AG289" s="510"/>
      <c r="AH289" s="510">
        <f>AH269/AH276</f>
        <v>0</v>
      </c>
      <c r="AI289" s="510"/>
      <c r="AJ289" s="511"/>
    </row>
    <row r="290" spans="1:36">
      <c r="A290" s="297" t="s">
        <v>434</v>
      </c>
      <c r="B290" s="297"/>
      <c r="C290" s="297"/>
      <c r="D290" s="297"/>
      <c r="E290" s="512">
        <f>E270/E276</f>
        <v>2.3384615384615386E-2</v>
      </c>
      <c r="F290" s="513"/>
      <c r="G290" s="513"/>
      <c r="H290" s="513">
        <f>H270/H276</f>
        <v>1.5466666666666667E-2</v>
      </c>
      <c r="I290" s="513"/>
      <c r="J290" s="334">
        <f>J270/J276</f>
        <v>7.5675675675675675E-3</v>
      </c>
      <c r="K290" s="513">
        <f>K270/K276</f>
        <v>2.4623803009575923E-3</v>
      </c>
      <c r="L290" s="513"/>
      <c r="M290" s="513"/>
      <c r="N290" s="513"/>
      <c r="O290" s="334">
        <f>O270/O276</f>
        <v>5.5865921787709499E-3</v>
      </c>
      <c r="P290" s="513">
        <f>P270/P276</f>
        <v>1.8848167539267015E-2</v>
      </c>
      <c r="Q290" s="513"/>
      <c r="R290" s="513">
        <f>R270/R276</f>
        <v>3.5582822085889573E-2</v>
      </c>
      <c r="S290" s="513"/>
      <c r="T290" s="514"/>
      <c r="U290" s="512">
        <f>U270/U276</f>
        <v>2.6006191950464396E-2</v>
      </c>
      <c r="V290" s="513"/>
      <c r="W290" s="513"/>
      <c r="X290" s="513">
        <f>X270/X276</f>
        <v>5.5137844611528822E-3</v>
      </c>
      <c r="Y290" s="513"/>
      <c r="Z290" s="334">
        <f>Z270/Z276</f>
        <v>1.9801980198019802E-3</v>
      </c>
      <c r="AA290" s="513">
        <f>AA270/AA276</f>
        <v>9.7442143727162001E-4</v>
      </c>
      <c r="AB290" s="513"/>
      <c r="AC290" s="513"/>
      <c r="AD290" s="513"/>
      <c r="AE290" s="334">
        <f>AE270/AE276</f>
        <v>3.8647342995169081E-3</v>
      </c>
      <c r="AF290" s="513">
        <f>AF270/AF276</f>
        <v>7.8431372549019607E-3</v>
      </c>
      <c r="AG290" s="513"/>
      <c r="AH290" s="513">
        <f>AH270/AH276</f>
        <v>2.1864951768488745E-2</v>
      </c>
      <c r="AI290" s="513"/>
      <c r="AJ290" s="514"/>
    </row>
    <row r="291" spans="1:36">
      <c r="A291" s="301" t="s">
        <v>435</v>
      </c>
      <c r="B291" s="301"/>
      <c r="C291" s="301"/>
      <c r="D291" s="301"/>
      <c r="E291" s="515">
        <f>E271/E276</f>
        <v>2.7076923076923078E-2</v>
      </c>
      <c r="F291" s="516"/>
      <c r="G291" s="516"/>
      <c r="H291" s="516">
        <f>H271/H276</f>
        <v>1.3333333333333334E-2</v>
      </c>
      <c r="I291" s="516"/>
      <c r="J291" s="338">
        <f>J271/J276</f>
        <v>1.1891891891891892E-2</v>
      </c>
      <c r="K291" s="516">
        <f>K271/K276</f>
        <v>4.6511627906976744E-3</v>
      </c>
      <c r="L291" s="516"/>
      <c r="M291" s="516"/>
      <c r="N291" s="516"/>
      <c r="O291" s="338">
        <f>O271/O276</f>
        <v>1.3407821229050279E-2</v>
      </c>
      <c r="P291" s="516">
        <f>P271/P276</f>
        <v>1.9895287958115182E-2</v>
      </c>
      <c r="Q291" s="516"/>
      <c r="R291" s="516">
        <f>R271/R276</f>
        <v>2.8834355828220859E-2</v>
      </c>
      <c r="S291" s="516"/>
      <c r="T291" s="517"/>
      <c r="U291" s="515">
        <f>U271/U276</f>
        <v>1.9814241486068113E-2</v>
      </c>
      <c r="V291" s="516"/>
      <c r="W291" s="516"/>
      <c r="X291" s="516">
        <f>X271/X276</f>
        <v>8.5213032581453636E-3</v>
      </c>
      <c r="Y291" s="516"/>
      <c r="Z291" s="338">
        <f>Z271/Z276</f>
        <v>3.9603960396039604E-3</v>
      </c>
      <c r="AA291" s="516">
        <f>AA271/AA276</f>
        <v>1.46163215590743E-3</v>
      </c>
      <c r="AB291" s="516"/>
      <c r="AC291" s="516"/>
      <c r="AD291" s="516"/>
      <c r="AE291" s="338">
        <f>AE271/AE276</f>
        <v>4.830917874396135E-3</v>
      </c>
      <c r="AF291" s="516">
        <f>AF271/AF276</f>
        <v>1.2254901960784314E-2</v>
      </c>
      <c r="AG291" s="516"/>
      <c r="AH291" s="516">
        <f>AH271/AH276</f>
        <v>2.3794212218649517E-2</v>
      </c>
      <c r="AI291" s="516"/>
      <c r="AJ291" s="517"/>
    </row>
    <row r="292" spans="1:36" ht="15.75" thickBot="1">
      <c r="A292" s="305" t="s">
        <v>436</v>
      </c>
      <c r="B292" s="305"/>
      <c r="C292" s="305"/>
      <c r="D292" s="305"/>
      <c r="E292" s="520">
        <f>E272/E276</f>
        <v>1.7846153846153845E-2</v>
      </c>
      <c r="F292" s="518"/>
      <c r="G292" s="518"/>
      <c r="H292" s="518">
        <f>H272/H276</f>
        <v>8.0000000000000002E-3</v>
      </c>
      <c r="I292" s="518"/>
      <c r="J292" s="342">
        <f>J272/J276</f>
        <v>5.4054054054054057E-3</v>
      </c>
      <c r="K292" s="518">
        <f>K272/K276</f>
        <v>1.9151846785225718E-3</v>
      </c>
      <c r="L292" s="518"/>
      <c r="M292" s="518"/>
      <c r="N292" s="518"/>
      <c r="O292" s="342">
        <f>O272/O276</f>
        <v>5.5865921787709499E-3</v>
      </c>
      <c r="P292" s="518">
        <f>P272/P276</f>
        <v>1.0994764397905759E-2</v>
      </c>
      <c r="Q292" s="518"/>
      <c r="R292" s="518">
        <f>R272/R276</f>
        <v>2.3312883435582823E-2</v>
      </c>
      <c r="S292" s="518"/>
      <c r="T292" s="519"/>
      <c r="U292" s="520">
        <f>U272/U276</f>
        <v>3.1578947368421054E-2</v>
      </c>
      <c r="V292" s="518"/>
      <c r="W292" s="518"/>
      <c r="X292" s="518">
        <f>X272/X276</f>
        <v>2.5062656641604009E-3</v>
      </c>
      <c r="Y292" s="518"/>
      <c r="Z292" s="342">
        <f>Z272/Z276</f>
        <v>0</v>
      </c>
      <c r="AA292" s="518">
        <f>AA272/AA276</f>
        <v>7.3081607795371501E-4</v>
      </c>
      <c r="AB292" s="518"/>
      <c r="AC292" s="518"/>
      <c r="AD292" s="518"/>
      <c r="AE292" s="342">
        <f>AE272/AE276</f>
        <v>1.9323671497584541E-3</v>
      </c>
      <c r="AF292" s="518">
        <f>AF272/AF276</f>
        <v>3.9215686274509803E-3</v>
      </c>
      <c r="AG292" s="518"/>
      <c r="AH292" s="518">
        <f>AH272/AH276</f>
        <v>3.1511254019292605E-2</v>
      </c>
      <c r="AI292" s="518"/>
      <c r="AJ292" s="519"/>
    </row>
  </sheetData>
  <mergeCells count="141">
    <mergeCell ref="AF292:AG292"/>
    <mergeCell ref="AH292:AJ292"/>
    <mergeCell ref="AF291:AG291"/>
    <mergeCell ref="AH291:AJ291"/>
    <mergeCell ref="E292:G292"/>
    <mergeCell ref="H292:I292"/>
    <mergeCell ref="K292:N292"/>
    <mergeCell ref="P292:Q292"/>
    <mergeCell ref="R292:T292"/>
    <mergeCell ref="U292:W292"/>
    <mergeCell ref="X292:Y292"/>
    <mergeCell ref="AA292:AD292"/>
    <mergeCell ref="AH290:AJ290"/>
    <mergeCell ref="E291:G291"/>
    <mergeCell ref="H291:I291"/>
    <mergeCell ref="K291:N291"/>
    <mergeCell ref="P291:Q291"/>
    <mergeCell ref="R291:T291"/>
    <mergeCell ref="U291:W291"/>
    <mergeCell ref="X291:Y291"/>
    <mergeCell ref="AA291:AD291"/>
    <mergeCell ref="E290:G290"/>
    <mergeCell ref="H290:I290"/>
    <mergeCell ref="K290:N290"/>
    <mergeCell ref="P290:Q290"/>
    <mergeCell ref="R290:T290"/>
    <mergeCell ref="U290:W290"/>
    <mergeCell ref="X290:Y290"/>
    <mergeCell ref="AA290:AD290"/>
    <mergeCell ref="AF290:AG290"/>
    <mergeCell ref="AH288:AJ288"/>
    <mergeCell ref="E289:G289"/>
    <mergeCell ref="H289:I289"/>
    <mergeCell ref="K289:N289"/>
    <mergeCell ref="P289:Q289"/>
    <mergeCell ref="R289:T289"/>
    <mergeCell ref="U289:W289"/>
    <mergeCell ref="X289:Y289"/>
    <mergeCell ref="AA289:AD289"/>
    <mergeCell ref="AF289:AG289"/>
    <mergeCell ref="AH289:AJ289"/>
    <mergeCell ref="E288:G288"/>
    <mergeCell ref="H288:I288"/>
    <mergeCell ref="K288:N288"/>
    <mergeCell ref="P288:Q288"/>
    <mergeCell ref="R288:T288"/>
    <mergeCell ref="U288:W288"/>
    <mergeCell ref="X288:Y288"/>
    <mergeCell ref="AA288:AD288"/>
    <mergeCell ref="AF288:AG288"/>
    <mergeCell ref="E277:L277"/>
    <mergeCell ref="M277:T277"/>
    <mergeCell ref="U277:AB277"/>
    <mergeCell ref="AC277:AJ277"/>
    <mergeCell ref="E278:T278"/>
    <mergeCell ref="U278:AJ278"/>
    <mergeCell ref="E287:G287"/>
    <mergeCell ref="H287:I287"/>
    <mergeCell ref="K287:N287"/>
    <mergeCell ref="P287:Q287"/>
    <mergeCell ref="R287:T287"/>
    <mergeCell ref="U287:W287"/>
    <mergeCell ref="X287:Y287"/>
    <mergeCell ref="AA287:AD287"/>
    <mergeCell ref="AF287:AG287"/>
    <mergeCell ref="AH287:AJ287"/>
    <mergeCell ref="AH272:AJ272"/>
    <mergeCell ref="E276:G276"/>
    <mergeCell ref="H276:I276"/>
    <mergeCell ref="K276:N276"/>
    <mergeCell ref="P276:Q276"/>
    <mergeCell ref="R276:T276"/>
    <mergeCell ref="U276:W276"/>
    <mergeCell ref="X276:Y276"/>
    <mergeCell ref="AA276:AD276"/>
    <mergeCell ref="AF276:AG276"/>
    <mergeCell ref="AH276:AJ276"/>
    <mergeCell ref="E272:G272"/>
    <mergeCell ref="H272:I272"/>
    <mergeCell ref="K272:N272"/>
    <mergeCell ref="P272:Q272"/>
    <mergeCell ref="R272:T272"/>
    <mergeCell ref="U272:W272"/>
    <mergeCell ref="X272:Y272"/>
    <mergeCell ref="AA272:AD272"/>
    <mergeCell ref="AF272:AG272"/>
    <mergeCell ref="AH270:AJ270"/>
    <mergeCell ref="E271:G271"/>
    <mergeCell ref="H271:I271"/>
    <mergeCell ref="K271:N271"/>
    <mergeCell ref="P271:Q271"/>
    <mergeCell ref="R271:T271"/>
    <mergeCell ref="U271:W271"/>
    <mergeCell ref="X271:Y271"/>
    <mergeCell ref="AA271:AD271"/>
    <mergeCell ref="AF271:AG271"/>
    <mergeCell ref="AH271:AJ271"/>
    <mergeCell ref="E270:G270"/>
    <mergeCell ref="H270:I270"/>
    <mergeCell ref="K270:N270"/>
    <mergeCell ref="P270:Q270"/>
    <mergeCell ref="R270:T270"/>
    <mergeCell ref="U270:W270"/>
    <mergeCell ref="X270:Y270"/>
    <mergeCell ref="AA270:AD270"/>
    <mergeCell ref="AF270:AG270"/>
    <mergeCell ref="AH268:AJ268"/>
    <mergeCell ref="E269:G269"/>
    <mergeCell ref="H269:I269"/>
    <mergeCell ref="K269:N269"/>
    <mergeCell ref="P269:Q269"/>
    <mergeCell ref="R269:T269"/>
    <mergeCell ref="U269:W269"/>
    <mergeCell ref="X269:Y269"/>
    <mergeCell ref="AA269:AD269"/>
    <mergeCell ref="AF269:AG269"/>
    <mergeCell ref="AH269:AJ269"/>
    <mergeCell ref="E268:G268"/>
    <mergeCell ref="H268:I268"/>
    <mergeCell ref="K268:N268"/>
    <mergeCell ref="P268:Q268"/>
    <mergeCell ref="R268:T268"/>
    <mergeCell ref="U268:W268"/>
    <mergeCell ref="X268:Y268"/>
    <mergeCell ref="AA268:AD268"/>
    <mergeCell ref="AF268:AG268"/>
    <mergeCell ref="E1:L1"/>
    <mergeCell ref="M1:T1"/>
    <mergeCell ref="U1:AB1"/>
    <mergeCell ref="AC1:AJ1"/>
    <mergeCell ref="BC256:BD256"/>
    <mergeCell ref="E267:G267"/>
    <mergeCell ref="H267:I267"/>
    <mergeCell ref="K267:N267"/>
    <mergeCell ref="P267:Q267"/>
    <mergeCell ref="R267:T267"/>
    <mergeCell ref="U267:W267"/>
    <mergeCell ref="X267:Y267"/>
    <mergeCell ref="AA267:AD267"/>
    <mergeCell ref="AF267:AG267"/>
    <mergeCell ref="AH267:AJ267"/>
  </mergeCells>
  <conditionalFormatting sqref="B40:D40">
    <cfRule type="duplicateValues" dxfId="1" priority="1" stopIfTrue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6"/>
  <sheetViews>
    <sheetView workbookViewId="0">
      <selection activeCell="Q59" sqref="Q59"/>
    </sheetView>
  </sheetViews>
  <sheetFormatPr defaultRowHeight="15"/>
  <cols>
    <col min="1" max="1" width="4.5703125" style="67" customWidth="1"/>
    <col min="2" max="2" width="8.42578125" style="67" customWidth="1"/>
    <col min="3" max="3" width="6.28515625" style="67" bestFit="1" customWidth="1"/>
    <col min="4" max="4" width="6.140625" style="67" customWidth="1"/>
    <col min="5" max="36" width="4.7109375" style="67" customWidth="1"/>
    <col min="37" max="37" width="5.85546875" style="67" customWidth="1"/>
    <col min="38" max="38" width="5.140625" style="67" bestFit="1" customWidth="1"/>
    <col min="39" max="39" width="5.28515625" style="67" customWidth="1"/>
    <col min="40" max="40" width="3" style="67" customWidth="1"/>
    <col min="41" max="41" width="2.85546875" style="67" customWidth="1"/>
    <col min="42" max="44" width="3" style="67" customWidth="1"/>
    <col min="45" max="45" width="3.28515625" style="67" customWidth="1"/>
    <col min="46" max="46" width="3" style="67" customWidth="1"/>
    <col min="47" max="47" width="1.85546875" style="67" customWidth="1"/>
    <col min="48" max="49" width="6.42578125" style="67" customWidth="1"/>
    <col min="50" max="55" width="9.140625" style="67"/>
    <col min="56" max="57" width="11.7109375" style="67" bestFit="1" customWidth="1"/>
    <col min="58" max="16384" width="9.140625" style="67"/>
  </cols>
  <sheetData>
    <row r="1" spans="1:57">
      <c r="E1" s="396" t="s">
        <v>336</v>
      </c>
      <c r="F1" s="397"/>
      <c r="G1" s="397"/>
      <c r="H1" s="397"/>
      <c r="I1" s="397"/>
      <c r="J1" s="397"/>
      <c r="K1" s="397"/>
      <c r="L1" s="397"/>
      <c r="M1" s="399" t="s">
        <v>337</v>
      </c>
      <c r="N1" s="400"/>
      <c r="O1" s="400"/>
      <c r="P1" s="400"/>
      <c r="Q1" s="400"/>
      <c r="R1" s="400"/>
      <c r="S1" s="400"/>
      <c r="T1" s="401"/>
      <c r="U1" s="402" t="s">
        <v>339</v>
      </c>
      <c r="V1" s="403"/>
      <c r="W1" s="403"/>
      <c r="X1" s="403"/>
      <c r="Y1" s="403"/>
      <c r="Z1" s="403"/>
      <c r="AA1" s="403"/>
      <c r="AB1" s="404"/>
      <c r="AC1" s="406" t="s">
        <v>338</v>
      </c>
      <c r="AD1" s="406"/>
      <c r="AE1" s="406"/>
      <c r="AF1" s="406"/>
      <c r="AG1" s="406"/>
      <c r="AH1" s="406"/>
      <c r="AI1" s="406"/>
      <c r="AJ1" s="407"/>
    </row>
    <row r="2" spans="1:57">
      <c r="E2" s="26" t="s">
        <v>42</v>
      </c>
      <c r="F2" s="27" t="s">
        <v>42</v>
      </c>
      <c r="G2" s="27" t="s">
        <v>42</v>
      </c>
      <c r="H2" s="27" t="s">
        <v>340</v>
      </c>
      <c r="I2" s="27" t="s">
        <v>341</v>
      </c>
      <c r="J2" s="27" t="s">
        <v>334</v>
      </c>
      <c r="K2" s="27" t="s">
        <v>335</v>
      </c>
      <c r="L2" s="28" t="s">
        <v>335</v>
      </c>
      <c r="M2" s="32" t="s">
        <v>335</v>
      </c>
      <c r="N2" s="33" t="s">
        <v>335</v>
      </c>
      <c r="O2" s="33" t="s">
        <v>334</v>
      </c>
      <c r="P2" s="33" t="s">
        <v>341</v>
      </c>
      <c r="Q2" s="33" t="s">
        <v>341</v>
      </c>
      <c r="R2" s="33" t="s">
        <v>42</v>
      </c>
      <c r="S2" s="33" t="s">
        <v>42</v>
      </c>
      <c r="T2" s="34" t="s">
        <v>42</v>
      </c>
      <c r="U2" s="38" t="s">
        <v>42</v>
      </c>
      <c r="V2" s="39" t="s">
        <v>42</v>
      </c>
      <c r="W2" s="39" t="s">
        <v>42</v>
      </c>
      <c r="X2" s="39" t="s">
        <v>341</v>
      </c>
      <c r="Y2" s="39" t="s">
        <v>341</v>
      </c>
      <c r="Z2" s="39" t="s">
        <v>334</v>
      </c>
      <c r="AA2" s="39" t="s">
        <v>335</v>
      </c>
      <c r="AB2" s="40" t="s">
        <v>335</v>
      </c>
      <c r="AC2" s="44" t="s">
        <v>335</v>
      </c>
      <c r="AD2" s="45" t="s">
        <v>335</v>
      </c>
      <c r="AE2" s="45" t="s">
        <v>334</v>
      </c>
      <c r="AF2" s="45" t="s">
        <v>341</v>
      </c>
      <c r="AG2" s="45" t="s">
        <v>341</v>
      </c>
      <c r="AH2" s="45" t="s">
        <v>42</v>
      </c>
      <c r="AI2" s="45" t="s">
        <v>42</v>
      </c>
      <c r="AJ2" s="46" t="s">
        <v>42</v>
      </c>
    </row>
    <row r="3" spans="1:57" ht="15.75" thickBot="1">
      <c r="A3" s="67" t="s">
        <v>0</v>
      </c>
      <c r="B3" s="67" t="s">
        <v>1</v>
      </c>
      <c r="C3" s="67" t="s">
        <v>363</v>
      </c>
      <c r="D3" s="67" t="s">
        <v>2</v>
      </c>
      <c r="E3" s="29">
        <v>8</v>
      </c>
      <c r="F3" s="30">
        <v>7</v>
      </c>
      <c r="G3" s="30">
        <v>6</v>
      </c>
      <c r="H3" s="30">
        <v>5</v>
      </c>
      <c r="I3" s="30">
        <v>4</v>
      </c>
      <c r="J3" s="30">
        <v>3</v>
      </c>
      <c r="K3" s="30">
        <v>2</v>
      </c>
      <c r="L3" s="31">
        <v>1</v>
      </c>
      <c r="M3" s="35">
        <v>1</v>
      </c>
      <c r="N3" s="36">
        <v>2</v>
      </c>
      <c r="O3" s="36">
        <v>3</v>
      </c>
      <c r="P3" s="36">
        <v>4</v>
      </c>
      <c r="Q3" s="36">
        <v>5</v>
      </c>
      <c r="R3" s="36">
        <v>6</v>
      </c>
      <c r="S3" s="36">
        <v>7</v>
      </c>
      <c r="T3" s="37">
        <v>8</v>
      </c>
      <c r="U3" s="41">
        <v>8</v>
      </c>
      <c r="V3" s="42">
        <v>7</v>
      </c>
      <c r="W3" s="42">
        <v>6</v>
      </c>
      <c r="X3" s="42">
        <v>5</v>
      </c>
      <c r="Y3" s="42">
        <v>4</v>
      </c>
      <c r="Z3" s="42">
        <v>3</v>
      </c>
      <c r="AA3" s="42">
        <v>2</v>
      </c>
      <c r="AB3" s="43">
        <v>1</v>
      </c>
      <c r="AC3" s="47">
        <v>1</v>
      </c>
      <c r="AD3" s="48">
        <v>2</v>
      </c>
      <c r="AE3" s="48">
        <v>3</v>
      </c>
      <c r="AF3" s="48">
        <v>4</v>
      </c>
      <c r="AG3" s="48">
        <v>5</v>
      </c>
      <c r="AH3" s="48">
        <v>6</v>
      </c>
      <c r="AI3" s="48">
        <v>7</v>
      </c>
      <c r="AJ3" s="49">
        <v>8</v>
      </c>
      <c r="AK3" s="279" t="s">
        <v>0</v>
      </c>
      <c r="AL3" s="372" t="s">
        <v>491</v>
      </c>
      <c r="AM3" s="372" t="s">
        <v>492</v>
      </c>
      <c r="AN3" s="279"/>
      <c r="AO3" s="279" t="s">
        <v>493</v>
      </c>
      <c r="AP3" s="279" t="s">
        <v>431</v>
      </c>
      <c r="AQ3" s="279" t="s">
        <v>432</v>
      </c>
      <c r="AR3" s="279" t="s">
        <v>433</v>
      </c>
      <c r="AS3" s="279" t="s">
        <v>434</v>
      </c>
      <c r="AT3" s="279" t="s">
        <v>435</v>
      </c>
      <c r="AU3" s="279" t="s">
        <v>436</v>
      </c>
      <c r="AV3" s="279" t="s">
        <v>375</v>
      </c>
      <c r="AW3" s="279"/>
      <c r="AX3" s="279" t="s">
        <v>437</v>
      </c>
      <c r="AY3" s="279" t="s">
        <v>438</v>
      </c>
      <c r="AZ3" s="279" t="s">
        <v>374</v>
      </c>
      <c r="BA3" s="279" t="s">
        <v>439</v>
      </c>
      <c r="BB3" s="279" t="s">
        <v>374</v>
      </c>
      <c r="BC3" s="279"/>
      <c r="BD3" s="279" t="s">
        <v>613</v>
      </c>
      <c r="BE3" s="279" t="s">
        <v>614</v>
      </c>
    </row>
    <row r="4" spans="1:57">
      <c r="A4" s="67">
        <v>1</v>
      </c>
      <c r="B4" s="67" t="s">
        <v>5</v>
      </c>
      <c r="C4" s="8" t="s">
        <v>42</v>
      </c>
      <c r="D4" s="67" t="s">
        <v>6</v>
      </c>
      <c r="E4" s="266" t="s">
        <v>434</v>
      </c>
      <c r="F4" s="267" t="s">
        <v>434</v>
      </c>
      <c r="G4" s="267"/>
      <c r="H4" s="267" t="s">
        <v>464</v>
      </c>
      <c r="I4" s="267"/>
      <c r="J4" s="267" t="s">
        <v>433</v>
      </c>
      <c r="K4" s="267"/>
      <c r="L4" s="268" t="s">
        <v>434</v>
      </c>
      <c r="M4" s="266" t="s">
        <v>434</v>
      </c>
      <c r="N4" s="267" t="s">
        <v>433</v>
      </c>
      <c r="O4" s="267" t="s">
        <v>494</v>
      </c>
      <c r="P4" s="267" t="s">
        <v>495</v>
      </c>
      <c r="Q4" s="267" t="s">
        <v>495</v>
      </c>
      <c r="R4" s="267" t="s">
        <v>495</v>
      </c>
      <c r="S4" s="267" t="s">
        <v>495</v>
      </c>
      <c r="T4" s="268" t="s">
        <v>496</v>
      </c>
      <c r="U4" s="267" t="s">
        <v>495</v>
      </c>
      <c r="V4" s="267"/>
      <c r="W4" s="267"/>
      <c r="X4" s="267"/>
      <c r="Y4" s="267" t="s">
        <v>496</v>
      </c>
      <c r="Z4" s="267" t="s">
        <v>497</v>
      </c>
      <c r="AA4" s="267" t="s">
        <v>497</v>
      </c>
      <c r="AB4" s="268"/>
      <c r="AC4" s="266" t="s">
        <v>498</v>
      </c>
      <c r="AD4" s="267" t="s">
        <v>494</v>
      </c>
      <c r="AE4" s="267" t="s">
        <v>494</v>
      </c>
      <c r="AF4" s="267" t="s">
        <v>463</v>
      </c>
      <c r="AG4" s="267" t="s">
        <v>460</v>
      </c>
      <c r="AH4" s="267"/>
      <c r="AI4" s="267" t="s">
        <v>432</v>
      </c>
      <c r="AJ4" s="268" t="s">
        <v>432</v>
      </c>
      <c r="AK4" s="67">
        <v>1</v>
      </c>
      <c r="AM4" s="67">
        <v>1</v>
      </c>
      <c r="AO4" s="67">
        <f t="shared" ref="AO4:AO67" si="0">COUNTIF(E4:AJ4,"*a*")</f>
        <v>0</v>
      </c>
      <c r="AP4" s="67">
        <f t="shared" ref="AP4:AP67" si="1">COUNTIF(E4:AJ4,"*b*")</f>
        <v>8</v>
      </c>
      <c r="AQ4" s="67">
        <f t="shared" ref="AQ4:AQ67" si="2">COUNTIF(E4:AJ4,"*l*")</f>
        <v>17</v>
      </c>
      <c r="AR4" s="67">
        <f t="shared" ref="AR4:AR67" si="3">COUNTIF(E4:AJ4,"*h*")</f>
        <v>8</v>
      </c>
      <c r="AS4" s="67">
        <f t="shared" ref="AS4:AS67" si="4">COUNTIF(E4:AJ4,"*m*")</f>
        <v>18</v>
      </c>
      <c r="AT4" s="67">
        <f t="shared" ref="AT4:AT67" si="5">COUNTIF(E4:AJ4,"*d*")</f>
        <v>14</v>
      </c>
      <c r="AU4" s="67">
        <f t="shared" ref="AU4:AU67" si="6">COUNTIF(E4:AJ4,"*o*")</f>
        <v>5</v>
      </c>
      <c r="AV4" s="67">
        <f t="shared" ref="AV4:AV67" si="7">SUM(AO4:AU4)</f>
        <v>70</v>
      </c>
      <c r="AX4" s="256">
        <v>26</v>
      </c>
      <c r="AY4" s="67">
        <f t="shared" ref="AY4:AY33" si="8">5*AX4</f>
        <v>130</v>
      </c>
      <c r="AZ4" s="76">
        <f t="shared" ref="AZ4:AZ33" si="9">AV4/AY4</f>
        <v>0.53846153846153844</v>
      </c>
      <c r="BA4" s="67">
        <f t="shared" ref="BA4:BA67" si="10">COUNTA(E4:AJ4)</f>
        <v>24</v>
      </c>
      <c r="BB4" s="76">
        <f>BA4/AX4</f>
        <v>0.92307692307692313</v>
      </c>
      <c r="BD4" s="67">
        <f t="shared" ref="BD4:BD67" si="11">COUNTA(E4:T4)</f>
        <v>13</v>
      </c>
      <c r="BE4" s="67">
        <f t="shared" ref="BE4:BE67" si="12">COUNTA(U4:AJ4)</f>
        <v>11</v>
      </c>
    </row>
    <row r="5" spans="1:57">
      <c r="A5" s="8">
        <v>30</v>
      </c>
      <c r="B5" s="8" t="s">
        <v>41</v>
      </c>
      <c r="C5" s="8" t="s">
        <v>42</v>
      </c>
      <c r="D5" s="8" t="s">
        <v>42</v>
      </c>
      <c r="E5" s="269"/>
      <c r="F5" s="20"/>
      <c r="G5" s="20"/>
      <c r="H5" s="20"/>
      <c r="I5" s="20"/>
      <c r="J5" s="20" t="s">
        <v>460</v>
      </c>
      <c r="K5" s="20" t="s">
        <v>434</v>
      </c>
      <c r="L5" s="270"/>
      <c r="M5" s="269" t="s">
        <v>433</v>
      </c>
      <c r="N5" s="20"/>
      <c r="O5" s="20"/>
      <c r="P5" s="20"/>
      <c r="Q5" s="20"/>
      <c r="R5" s="20"/>
      <c r="S5" s="20"/>
      <c r="T5" s="270"/>
      <c r="U5" s="269"/>
      <c r="V5" s="20" t="s">
        <v>432</v>
      </c>
      <c r="W5" s="20" t="s">
        <v>499</v>
      </c>
      <c r="X5" s="20"/>
      <c r="Y5" s="20" t="s">
        <v>432</v>
      </c>
      <c r="Z5" s="20"/>
      <c r="AA5" s="20"/>
      <c r="AB5" s="270" t="s">
        <v>494</v>
      </c>
      <c r="AC5" s="269"/>
      <c r="AD5" s="20" t="s">
        <v>494</v>
      </c>
      <c r="AE5" s="20"/>
      <c r="AF5" s="20" t="s">
        <v>432</v>
      </c>
      <c r="AG5" s="5" t="s">
        <v>432</v>
      </c>
      <c r="AH5" s="5" t="s">
        <v>432</v>
      </c>
      <c r="AI5" s="20"/>
      <c r="AJ5" s="270" t="s">
        <v>432</v>
      </c>
      <c r="AK5" s="8">
        <v>30</v>
      </c>
      <c r="AM5" s="67">
        <v>1</v>
      </c>
      <c r="AO5" s="67">
        <f t="shared" si="0"/>
        <v>0</v>
      </c>
      <c r="AP5" s="67">
        <f t="shared" si="1"/>
        <v>1</v>
      </c>
      <c r="AQ5" s="67">
        <f t="shared" si="2"/>
        <v>10</v>
      </c>
      <c r="AR5" s="67">
        <f t="shared" si="3"/>
        <v>3</v>
      </c>
      <c r="AS5" s="67">
        <f t="shared" si="4"/>
        <v>4</v>
      </c>
      <c r="AT5" s="67">
        <f t="shared" si="5"/>
        <v>2</v>
      </c>
      <c r="AU5" s="67">
        <f t="shared" si="6"/>
        <v>0</v>
      </c>
      <c r="AV5" s="67">
        <f t="shared" si="7"/>
        <v>20</v>
      </c>
      <c r="AX5" s="256">
        <v>26</v>
      </c>
      <c r="AY5" s="67">
        <f t="shared" si="8"/>
        <v>130</v>
      </c>
      <c r="AZ5" s="76">
        <f t="shared" si="9"/>
        <v>0.15384615384615385</v>
      </c>
      <c r="BA5" s="67">
        <f t="shared" si="10"/>
        <v>12</v>
      </c>
      <c r="BB5" s="76">
        <f t="shared" ref="BB5:BB68" si="13">BA5/AX5</f>
        <v>0.46153846153846156</v>
      </c>
      <c r="BD5" s="67">
        <f t="shared" si="11"/>
        <v>3</v>
      </c>
      <c r="BE5" s="67">
        <f t="shared" si="12"/>
        <v>9</v>
      </c>
    </row>
    <row r="6" spans="1:57">
      <c r="A6" s="67">
        <v>34</v>
      </c>
      <c r="B6" s="67" t="s">
        <v>44</v>
      </c>
      <c r="C6" s="8" t="s">
        <v>349</v>
      </c>
      <c r="D6" s="67" t="s">
        <v>6</v>
      </c>
      <c r="E6" s="269"/>
      <c r="F6" s="20"/>
      <c r="G6" s="20"/>
      <c r="H6" s="20"/>
      <c r="I6" s="20"/>
      <c r="J6" s="20"/>
      <c r="K6" s="20"/>
      <c r="L6" s="270"/>
      <c r="M6" s="269"/>
      <c r="N6" s="20"/>
      <c r="O6" s="20"/>
      <c r="P6" s="20"/>
      <c r="Q6" s="20"/>
      <c r="R6" s="20"/>
      <c r="S6" s="20"/>
      <c r="T6" s="270"/>
      <c r="U6" s="269"/>
      <c r="V6" s="20"/>
      <c r="W6" s="20"/>
      <c r="X6" s="20"/>
      <c r="Y6" s="20"/>
      <c r="Z6" s="20"/>
      <c r="AA6" s="20"/>
      <c r="AB6" s="270"/>
      <c r="AC6" s="269"/>
      <c r="AD6" s="20"/>
      <c r="AE6" s="20"/>
      <c r="AF6" s="20"/>
      <c r="AG6" s="20"/>
      <c r="AH6" s="20"/>
      <c r="AI6" s="20"/>
      <c r="AJ6" s="270"/>
      <c r="AK6" s="67">
        <v>34</v>
      </c>
      <c r="AL6" s="67">
        <v>1</v>
      </c>
      <c r="AO6" s="67">
        <f t="shared" si="0"/>
        <v>0</v>
      </c>
      <c r="AP6" s="67">
        <f t="shared" si="1"/>
        <v>0</v>
      </c>
      <c r="AQ6" s="67">
        <f t="shared" si="2"/>
        <v>0</v>
      </c>
      <c r="AR6" s="67">
        <f t="shared" si="3"/>
        <v>0</v>
      </c>
      <c r="AS6" s="67">
        <f t="shared" si="4"/>
        <v>0</v>
      </c>
      <c r="AT6" s="67">
        <f t="shared" si="5"/>
        <v>0</v>
      </c>
      <c r="AU6" s="67">
        <f t="shared" si="6"/>
        <v>0</v>
      </c>
      <c r="AV6" s="67">
        <f t="shared" si="7"/>
        <v>0</v>
      </c>
      <c r="AX6" s="256">
        <v>2</v>
      </c>
      <c r="AY6" s="67">
        <f t="shared" si="8"/>
        <v>10</v>
      </c>
      <c r="AZ6" s="76">
        <f t="shared" si="9"/>
        <v>0</v>
      </c>
      <c r="BA6" s="67">
        <f t="shared" si="10"/>
        <v>0</v>
      </c>
      <c r="BB6" s="76">
        <f t="shared" si="13"/>
        <v>0</v>
      </c>
      <c r="BD6" s="67">
        <f t="shared" si="11"/>
        <v>0</v>
      </c>
      <c r="BE6" s="67">
        <f t="shared" si="12"/>
        <v>0</v>
      </c>
    </row>
    <row r="7" spans="1:57">
      <c r="A7" s="67">
        <v>38</v>
      </c>
      <c r="B7" s="67" t="s">
        <v>48</v>
      </c>
      <c r="C7" s="8" t="s">
        <v>357</v>
      </c>
      <c r="E7" s="269"/>
      <c r="F7" s="20"/>
      <c r="G7" s="20"/>
      <c r="H7" s="20"/>
      <c r="I7" s="20"/>
      <c r="J7" s="20"/>
      <c r="K7" s="20"/>
      <c r="L7" s="270"/>
      <c r="M7" s="269"/>
      <c r="N7" s="20"/>
      <c r="O7" s="20"/>
      <c r="P7" s="20"/>
      <c r="Q7" s="20"/>
      <c r="R7" s="20"/>
      <c r="S7" s="20"/>
      <c r="T7" s="270"/>
      <c r="U7" s="269"/>
      <c r="V7" s="20"/>
      <c r="W7" s="5" t="s">
        <v>432</v>
      </c>
      <c r="X7" s="20" t="s">
        <v>432</v>
      </c>
      <c r="Y7" s="20"/>
      <c r="Z7" s="20"/>
      <c r="AA7" s="20" t="s">
        <v>432</v>
      </c>
      <c r="AB7" s="270" t="s">
        <v>500</v>
      </c>
      <c r="AC7" s="269" t="s">
        <v>500</v>
      </c>
      <c r="AD7" s="5" t="s">
        <v>432</v>
      </c>
      <c r="AE7" s="20"/>
      <c r="AF7" s="5" t="s">
        <v>432</v>
      </c>
      <c r="AG7" s="5" t="s">
        <v>499</v>
      </c>
      <c r="AH7" s="20"/>
      <c r="AI7" s="20"/>
      <c r="AJ7" s="270"/>
      <c r="AK7" s="67">
        <v>38</v>
      </c>
      <c r="AM7" s="67">
        <v>1</v>
      </c>
      <c r="AO7" s="67">
        <f t="shared" si="0"/>
        <v>0</v>
      </c>
      <c r="AP7" s="67">
        <f t="shared" si="1"/>
        <v>1</v>
      </c>
      <c r="AQ7" s="67">
        <f t="shared" si="2"/>
        <v>8</v>
      </c>
      <c r="AR7" s="67">
        <f t="shared" si="3"/>
        <v>2</v>
      </c>
      <c r="AS7" s="67">
        <f t="shared" si="4"/>
        <v>0</v>
      </c>
      <c r="AT7" s="67">
        <f t="shared" si="5"/>
        <v>0</v>
      </c>
      <c r="AU7" s="67">
        <f t="shared" si="6"/>
        <v>0</v>
      </c>
      <c r="AV7" s="67">
        <f t="shared" si="7"/>
        <v>11</v>
      </c>
      <c r="AX7" s="256">
        <v>10</v>
      </c>
      <c r="AY7" s="67">
        <f t="shared" si="8"/>
        <v>50</v>
      </c>
      <c r="AZ7" s="76">
        <f t="shared" si="9"/>
        <v>0.22</v>
      </c>
      <c r="BA7" s="67">
        <f t="shared" si="10"/>
        <v>8</v>
      </c>
      <c r="BB7" s="76">
        <f t="shared" si="13"/>
        <v>0.8</v>
      </c>
      <c r="BD7" s="67">
        <f t="shared" si="11"/>
        <v>0</v>
      </c>
      <c r="BE7" s="67">
        <f t="shared" si="12"/>
        <v>8</v>
      </c>
    </row>
    <row r="8" spans="1:57">
      <c r="A8" s="67">
        <v>41</v>
      </c>
      <c r="B8" s="67" t="s">
        <v>5</v>
      </c>
      <c r="C8" s="8" t="s">
        <v>42</v>
      </c>
      <c r="D8" s="67" t="s">
        <v>6</v>
      </c>
      <c r="E8" s="269"/>
      <c r="F8" s="20"/>
      <c r="G8" s="20"/>
      <c r="H8" s="20"/>
      <c r="I8" s="20"/>
      <c r="J8" s="20"/>
      <c r="K8" s="20"/>
      <c r="L8" s="270" t="s">
        <v>434</v>
      </c>
      <c r="M8" s="269"/>
      <c r="N8" s="20" t="s">
        <v>433</v>
      </c>
      <c r="O8" s="20" t="s">
        <v>433</v>
      </c>
      <c r="P8" s="20"/>
      <c r="Q8" s="20"/>
      <c r="R8" s="20"/>
      <c r="S8" s="20" t="s">
        <v>431</v>
      </c>
      <c r="T8" s="270" t="s">
        <v>462</v>
      </c>
      <c r="U8" s="269"/>
      <c r="V8" s="20"/>
      <c r="W8" s="20"/>
      <c r="X8" s="20"/>
      <c r="Y8" s="20" t="s">
        <v>431</v>
      </c>
      <c r="Z8" s="20" t="s">
        <v>433</v>
      </c>
      <c r="AA8" s="20" t="s">
        <v>500</v>
      </c>
      <c r="AB8" s="270" t="s">
        <v>500</v>
      </c>
      <c r="AC8" s="269" t="s">
        <v>500</v>
      </c>
      <c r="AD8" s="5" t="s">
        <v>500</v>
      </c>
      <c r="AE8" s="5" t="s">
        <v>500</v>
      </c>
      <c r="AF8" s="5" t="s">
        <v>496</v>
      </c>
      <c r="AG8" s="5" t="s">
        <v>457</v>
      </c>
      <c r="AH8" s="20"/>
      <c r="AI8" s="20"/>
      <c r="AJ8" s="270"/>
      <c r="AK8" s="67">
        <v>41</v>
      </c>
      <c r="AM8" s="67">
        <v>1</v>
      </c>
      <c r="AO8" s="67">
        <f t="shared" si="0"/>
        <v>0</v>
      </c>
      <c r="AP8" s="67">
        <f t="shared" si="1"/>
        <v>5</v>
      </c>
      <c r="AQ8" s="67">
        <f t="shared" si="2"/>
        <v>6</v>
      </c>
      <c r="AR8" s="67">
        <f t="shared" si="3"/>
        <v>8</v>
      </c>
      <c r="AS8" s="67">
        <f t="shared" si="4"/>
        <v>4</v>
      </c>
      <c r="AT8" s="67">
        <f t="shared" si="5"/>
        <v>2</v>
      </c>
      <c r="AU8" s="67">
        <f t="shared" si="6"/>
        <v>0</v>
      </c>
      <c r="AV8" s="67">
        <f t="shared" si="7"/>
        <v>25</v>
      </c>
      <c r="AX8" s="256">
        <v>25</v>
      </c>
      <c r="AY8" s="67">
        <f t="shared" si="8"/>
        <v>125</v>
      </c>
      <c r="AZ8" s="76">
        <f t="shared" si="9"/>
        <v>0.2</v>
      </c>
      <c r="BA8" s="67">
        <f t="shared" si="10"/>
        <v>14</v>
      </c>
      <c r="BB8" s="76">
        <f t="shared" si="13"/>
        <v>0.56000000000000005</v>
      </c>
      <c r="BD8" s="67">
        <f t="shared" si="11"/>
        <v>5</v>
      </c>
      <c r="BE8" s="67">
        <f t="shared" si="12"/>
        <v>9</v>
      </c>
    </row>
    <row r="9" spans="1:57">
      <c r="A9" s="67">
        <v>42</v>
      </c>
      <c r="B9" s="67" t="s">
        <v>53</v>
      </c>
      <c r="C9" s="8" t="s">
        <v>346</v>
      </c>
      <c r="E9" s="269"/>
      <c r="F9" s="20"/>
      <c r="G9" s="20"/>
      <c r="H9" s="20" t="s">
        <v>467</v>
      </c>
      <c r="I9" s="20"/>
      <c r="J9" s="20"/>
      <c r="K9" s="20"/>
      <c r="L9" s="270"/>
      <c r="M9" s="269"/>
      <c r="N9" s="20" t="s">
        <v>433</v>
      </c>
      <c r="O9" s="20"/>
      <c r="P9" s="20" t="s">
        <v>457</v>
      </c>
      <c r="Q9" s="20" t="s">
        <v>467</v>
      </c>
      <c r="R9" s="20"/>
      <c r="S9" s="20"/>
      <c r="T9" s="270"/>
      <c r="U9" s="269"/>
      <c r="V9" s="20"/>
      <c r="W9" s="20"/>
      <c r="X9" s="20" t="s">
        <v>499</v>
      </c>
      <c r="Y9" s="5" t="s">
        <v>499</v>
      </c>
      <c r="Z9" s="20" t="s">
        <v>433</v>
      </c>
      <c r="AA9" s="5" t="s">
        <v>500</v>
      </c>
      <c r="AB9" s="270" t="s">
        <v>500</v>
      </c>
      <c r="AC9" s="269" t="s">
        <v>500</v>
      </c>
      <c r="AD9" s="5" t="s">
        <v>432</v>
      </c>
      <c r="AE9" s="5" t="s">
        <v>456</v>
      </c>
      <c r="AF9" s="5" t="s">
        <v>431</v>
      </c>
      <c r="AG9" s="5" t="s">
        <v>496</v>
      </c>
      <c r="AH9" s="20"/>
      <c r="AI9" s="20"/>
      <c r="AJ9" s="270"/>
      <c r="AK9" s="67">
        <v>42</v>
      </c>
      <c r="AM9" s="67">
        <v>1</v>
      </c>
      <c r="AO9" s="67">
        <f t="shared" si="0"/>
        <v>0</v>
      </c>
      <c r="AP9" s="67">
        <f t="shared" si="1"/>
        <v>7</v>
      </c>
      <c r="AQ9" s="67">
        <f t="shared" si="2"/>
        <v>9</v>
      </c>
      <c r="AR9" s="67">
        <f t="shared" si="3"/>
        <v>6</v>
      </c>
      <c r="AS9" s="67">
        <f t="shared" si="4"/>
        <v>2</v>
      </c>
      <c r="AT9" s="67">
        <f t="shared" si="5"/>
        <v>4</v>
      </c>
      <c r="AU9" s="67">
        <f t="shared" si="6"/>
        <v>0</v>
      </c>
      <c r="AV9" s="67">
        <f t="shared" si="7"/>
        <v>28</v>
      </c>
      <c r="AX9" s="256">
        <v>17</v>
      </c>
      <c r="AY9" s="67">
        <f t="shared" si="8"/>
        <v>85</v>
      </c>
      <c r="AZ9" s="76">
        <f t="shared" si="9"/>
        <v>0.32941176470588235</v>
      </c>
      <c r="BA9" s="67">
        <f t="shared" si="10"/>
        <v>14</v>
      </c>
      <c r="BB9" s="76">
        <f t="shared" si="13"/>
        <v>0.82352941176470584</v>
      </c>
      <c r="BD9" s="67">
        <f t="shared" si="11"/>
        <v>4</v>
      </c>
      <c r="BE9" s="67">
        <f t="shared" si="12"/>
        <v>10</v>
      </c>
    </row>
    <row r="10" spans="1:57">
      <c r="A10" s="67">
        <v>45</v>
      </c>
      <c r="B10" s="67" t="s">
        <v>55</v>
      </c>
      <c r="C10" s="8" t="s">
        <v>346</v>
      </c>
      <c r="E10" s="269"/>
      <c r="F10" s="20"/>
      <c r="G10" s="20"/>
      <c r="H10" s="20"/>
      <c r="I10" s="20"/>
      <c r="J10" s="20"/>
      <c r="K10" s="20"/>
      <c r="L10" s="270"/>
      <c r="M10" s="269"/>
      <c r="N10" s="20"/>
      <c r="O10" s="20"/>
      <c r="P10" s="20"/>
      <c r="Q10" s="20"/>
      <c r="R10" s="20"/>
      <c r="S10" s="20"/>
      <c r="T10" s="270"/>
      <c r="U10" s="269"/>
      <c r="V10" s="20"/>
      <c r="W10" s="20"/>
      <c r="X10" s="20"/>
      <c r="Y10" s="20"/>
      <c r="Z10" s="20"/>
      <c r="AA10" s="20"/>
      <c r="AB10" s="270"/>
      <c r="AC10" s="269"/>
      <c r="AD10" s="20"/>
      <c r="AE10" s="20"/>
      <c r="AF10" s="20"/>
      <c r="AG10" s="20"/>
      <c r="AH10" s="20"/>
      <c r="AI10" s="20"/>
      <c r="AJ10" s="270"/>
      <c r="AK10" s="67">
        <v>45</v>
      </c>
      <c r="AL10" s="67">
        <v>1</v>
      </c>
      <c r="AO10" s="67">
        <f t="shared" si="0"/>
        <v>0</v>
      </c>
      <c r="AP10" s="67">
        <f t="shared" si="1"/>
        <v>0</v>
      </c>
      <c r="AQ10" s="67">
        <f t="shared" si="2"/>
        <v>0</v>
      </c>
      <c r="AR10" s="67">
        <f t="shared" si="3"/>
        <v>0</v>
      </c>
      <c r="AS10" s="67">
        <f t="shared" si="4"/>
        <v>0</v>
      </c>
      <c r="AT10" s="67">
        <f t="shared" si="5"/>
        <v>0</v>
      </c>
      <c r="AU10" s="67">
        <f t="shared" si="6"/>
        <v>0</v>
      </c>
      <c r="AV10" s="67">
        <f t="shared" si="7"/>
        <v>0</v>
      </c>
      <c r="AX10" s="256">
        <v>9</v>
      </c>
      <c r="AY10" s="67">
        <f t="shared" si="8"/>
        <v>45</v>
      </c>
      <c r="AZ10" s="76">
        <f t="shared" si="9"/>
        <v>0</v>
      </c>
      <c r="BA10" s="67">
        <f t="shared" si="10"/>
        <v>0</v>
      </c>
      <c r="BB10" s="76">
        <f t="shared" si="13"/>
        <v>0</v>
      </c>
      <c r="BD10" s="67">
        <f t="shared" si="11"/>
        <v>0</v>
      </c>
      <c r="BE10" s="67">
        <f t="shared" si="12"/>
        <v>0</v>
      </c>
    </row>
    <row r="11" spans="1:57">
      <c r="A11" s="67">
        <v>46</v>
      </c>
      <c r="B11" s="4" t="s">
        <v>56</v>
      </c>
      <c r="C11" s="8" t="s">
        <v>360</v>
      </c>
      <c r="E11" s="269"/>
      <c r="F11" s="20"/>
      <c r="G11" s="20"/>
      <c r="H11" s="20"/>
      <c r="I11" s="20"/>
      <c r="J11" s="20"/>
      <c r="K11" s="20"/>
      <c r="L11" s="270"/>
      <c r="M11" s="269"/>
      <c r="N11" s="20"/>
      <c r="O11" s="20"/>
      <c r="P11" s="20"/>
      <c r="Q11" s="20"/>
      <c r="R11" s="20"/>
      <c r="S11" s="20"/>
      <c r="T11" s="270"/>
      <c r="U11" s="269"/>
      <c r="V11" s="20"/>
      <c r="W11" s="20"/>
      <c r="X11" s="20"/>
      <c r="Y11" s="20"/>
      <c r="Z11" s="20"/>
      <c r="AA11" s="20"/>
      <c r="AB11" s="270"/>
      <c r="AC11" s="269"/>
      <c r="AD11" s="20"/>
      <c r="AE11" s="20"/>
      <c r="AF11" s="20"/>
      <c r="AG11" s="20"/>
      <c r="AH11" s="20"/>
      <c r="AI11" s="20"/>
      <c r="AJ11" s="270"/>
      <c r="AK11" s="67">
        <v>46</v>
      </c>
      <c r="AL11" s="67">
        <v>1</v>
      </c>
      <c r="AO11" s="67">
        <f t="shared" si="0"/>
        <v>0</v>
      </c>
      <c r="AP11" s="67">
        <f t="shared" si="1"/>
        <v>0</v>
      </c>
      <c r="AQ11" s="67">
        <f t="shared" si="2"/>
        <v>0</v>
      </c>
      <c r="AR11" s="67">
        <f t="shared" si="3"/>
        <v>0</v>
      </c>
      <c r="AS11" s="67">
        <f t="shared" si="4"/>
        <v>0</v>
      </c>
      <c r="AT11" s="67">
        <f t="shared" si="5"/>
        <v>0</v>
      </c>
      <c r="AU11" s="67">
        <f t="shared" si="6"/>
        <v>0</v>
      </c>
      <c r="AV11" s="67">
        <f t="shared" si="7"/>
        <v>0</v>
      </c>
      <c r="AX11" s="256">
        <v>6</v>
      </c>
      <c r="AY11" s="67">
        <f t="shared" si="8"/>
        <v>30</v>
      </c>
      <c r="AZ11" s="76">
        <f t="shared" si="9"/>
        <v>0</v>
      </c>
      <c r="BA11" s="67">
        <f t="shared" si="10"/>
        <v>0</v>
      </c>
      <c r="BB11" s="76">
        <f t="shared" si="13"/>
        <v>0</v>
      </c>
      <c r="BD11" s="67">
        <f t="shared" si="11"/>
        <v>0</v>
      </c>
      <c r="BE11" s="67">
        <f t="shared" si="12"/>
        <v>0</v>
      </c>
    </row>
    <row r="12" spans="1:57">
      <c r="A12" s="67">
        <v>48</v>
      </c>
      <c r="B12" s="67" t="s">
        <v>57</v>
      </c>
      <c r="C12" s="8" t="s">
        <v>12</v>
      </c>
      <c r="D12" s="67" t="s">
        <v>6</v>
      </c>
      <c r="E12" s="269"/>
      <c r="F12" s="20"/>
      <c r="G12" s="20"/>
      <c r="H12" s="20"/>
      <c r="I12" s="20"/>
      <c r="J12" s="20"/>
      <c r="K12" s="20"/>
      <c r="L12" s="270"/>
      <c r="M12" s="269"/>
      <c r="N12" s="20"/>
      <c r="O12" s="20"/>
      <c r="P12" s="20"/>
      <c r="Q12" s="20"/>
      <c r="R12" s="20"/>
      <c r="S12" s="20"/>
      <c r="T12" s="270"/>
      <c r="U12" s="269"/>
      <c r="V12" s="20"/>
      <c r="W12" s="20"/>
      <c r="X12" s="20"/>
      <c r="Y12" s="20"/>
      <c r="Z12" s="20"/>
      <c r="AA12" s="20"/>
      <c r="AB12" s="270"/>
      <c r="AC12" s="269"/>
      <c r="AD12" s="20"/>
      <c r="AE12" s="20"/>
      <c r="AF12" s="20"/>
      <c r="AG12" s="20"/>
      <c r="AH12" s="20"/>
      <c r="AI12" s="20"/>
      <c r="AJ12" s="270"/>
      <c r="AK12" s="67">
        <v>48</v>
      </c>
      <c r="AL12" s="67">
        <v>1</v>
      </c>
      <c r="AO12" s="67">
        <f t="shared" si="0"/>
        <v>0</v>
      </c>
      <c r="AP12" s="67">
        <f t="shared" si="1"/>
        <v>0</v>
      </c>
      <c r="AQ12" s="67">
        <f t="shared" si="2"/>
        <v>0</v>
      </c>
      <c r="AR12" s="67">
        <f t="shared" si="3"/>
        <v>0</v>
      </c>
      <c r="AS12" s="67">
        <f t="shared" si="4"/>
        <v>0</v>
      </c>
      <c r="AT12" s="67">
        <f t="shared" si="5"/>
        <v>0</v>
      </c>
      <c r="AU12" s="67">
        <f t="shared" si="6"/>
        <v>0</v>
      </c>
      <c r="AV12" s="67">
        <f t="shared" si="7"/>
        <v>0</v>
      </c>
      <c r="AX12" s="256">
        <v>2</v>
      </c>
      <c r="AY12" s="67">
        <f t="shared" si="8"/>
        <v>10</v>
      </c>
      <c r="AZ12" s="76">
        <f t="shared" si="9"/>
        <v>0</v>
      </c>
      <c r="BA12" s="67">
        <f t="shared" si="10"/>
        <v>0</v>
      </c>
      <c r="BB12" s="76">
        <f t="shared" si="13"/>
        <v>0</v>
      </c>
      <c r="BD12" s="67">
        <f t="shared" si="11"/>
        <v>0</v>
      </c>
      <c r="BE12" s="67">
        <f t="shared" si="12"/>
        <v>0</v>
      </c>
    </row>
    <row r="13" spans="1:57">
      <c r="A13" s="67">
        <v>49</v>
      </c>
      <c r="B13" s="67" t="s">
        <v>58</v>
      </c>
      <c r="C13" s="8" t="s">
        <v>358</v>
      </c>
      <c r="D13" s="67" t="s">
        <v>6</v>
      </c>
      <c r="E13" s="269"/>
      <c r="F13" s="20"/>
      <c r="G13" s="5" t="s">
        <v>446</v>
      </c>
      <c r="H13" s="5" t="s">
        <v>432</v>
      </c>
      <c r="I13" s="5" t="s">
        <v>461</v>
      </c>
      <c r="J13" s="5" t="s">
        <v>501</v>
      </c>
      <c r="K13" s="20"/>
      <c r="L13" s="270"/>
      <c r="M13" s="269"/>
      <c r="N13" s="20" t="s">
        <v>500</v>
      </c>
      <c r="O13" s="20" t="s">
        <v>448</v>
      </c>
      <c r="P13" s="20" t="s">
        <v>483</v>
      </c>
      <c r="Q13" s="5" t="s">
        <v>446</v>
      </c>
      <c r="R13" s="5" t="s">
        <v>434</v>
      </c>
      <c r="S13" s="5" t="s">
        <v>435</v>
      </c>
      <c r="T13" s="270"/>
      <c r="U13" s="269"/>
      <c r="V13" s="20"/>
      <c r="W13" s="20" t="s">
        <v>502</v>
      </c>
      <c r="X13" s="20"/>
      <c r="Y13" s="20"/>
      <c r="Z13" s="20"/>
      <c r="AA13" s="20" t="s">
        <v>501</v>
      </c>
      <c r="AB13" s="270" t="s">
        <v>448</v>
      </c>
      <c r="AC13" s="269" t="s">
        <v>448</v>
      </c>
      <c r="AD13" s="5" t="s">
        <v>501</v>
      </c>
      <c r="AE13" s="20"/>
      <c r="AF13" s="5" t="s">
        <v>502</v>
      </c>
      <c r="AG13" s="5" t="s">
        <v>446</v>
      </c>
      <c r="AH13" s="5" t="s">
        <v>502</v>
      </c>
      <c r="AI13" s="5" t="s">
        <v>434</v>
      </c>
      <c r="AJ13" s="270"/>
      <c r="AK13" s="67">
        <v>49</v>
      </c>
      <c r="AM13" s="67">
        <v>1</v>
      </c>
      <c r="AO13" s="67">
        <f t="shared" si="0"/>
        <v>0</v>
      </c>
      <c r="AP13" s="67">
        <f t="shared" si="1"/>
        <v>2</v>
      </c>
      <c r="AQ13" s="67">
        <f t="shared" si="2"/>
        <v>5</v>
      </c>
      <c r="AR13" s="67">
        <f t="shared" si="3"/>
        <v>7</v>
      </c>
      <c r="AS13" s="67">
        <f t="shared" si="4"/>
        <v>15</v>
      </c>
      <c r="AT13" s="67">
        <f t="shared" si="5"/>
        <v>12</v>
      </c>
      <c r="AU13" s="67">
        <f t="shared" si="6"/>
        <v>0</v>
      </c>
      <c r="AV13" s="67">
        <f t="shared" si="7"/>
        <v>41</v>
      </c>
      <c r="AX13" s="256">
        <v>29</v>
      </c>
      <c r="AY13" s="67">
        <f t="shared" si="8"/>
        <v>145</v>
      </c>
      <c r="AZ13" s="76">
        <f t="shared" si="9"/>
        <v>0.28275862068965518</v>
      </c>
      <c r="BA13" s="67">
        <f t="shared" si="10"/>
        <v>19</v>
      </c>
      <c r="BB13" s="76">
        <f t="shared" si="13"/>
        <v>0.65517241379310343</v>
      </c>
      <c r="BD13" s="67">
        <f t="shared" si="11"/>
        <v>10</v>
      </c>
      <c r="BE13" s="67">
        <f t="shared" si="12"/>
        <v>9</v>
      </c>
    </row>
    <row r="14" spans="1:57">
      <c r="A14" s="67">
        <v>52</v>
      </c>
      <c r="B14" s="67" t="s">
        <v>41</v>
      </c>
      <c r="C14" s="8" t="s">
        <v>42</v>
      </c>
      <c r="D14" s="67" t="s">
        <v>6</v>
      </c>
      <c r="E14" s="269" t="s">
        <v>503</v>
      </c>
      <c r="F14" s="5" t="s">
        <v>504</v>
      </c>
      <c r="G14" s="5" t="s">
        <v>431</v>
      </c>
      <c r="H14" s="20"/>
      <c r="I14" s="20"/>
      <c r="J14" s="20"/>
      <c r="K14" s="20"/>
      <c r="L14" s="270"/>
      <c r="M14" s="269"/>
      <c r="N14" s="20"/>
      <c r="O14" s="20"/>
      <c r="P14" s="20"/>
      <c r="Q14" s="20"/>
      <c r="R14" s="20"/>
      <c r="S14" s="20" t="s">
        <v>505</v>
      </c>
      <c r="T14" s="270" t="s">
        <v>450</v>
      </c>
      <c r="U14" s="269"/>
      <c r="V14" s="20"/>
      <c r="W14" s="20"/>
      <c r="X14" s="20" t="s">
        <v>434</v>
      </c>
      <c r="Y14" s="20" t="s">
        <v>435</v>
      </c>
      <c r="Z14" s="20"/>
      <c r="AA14" s="20" t="s">
        <v>456</v>
      </c>
      <c r="AB14" s="270" t="s">
        <v>506</v>
      </c>
      <c r="AC14" s="269" t="s">
        <v>507</v>
      </c>
      <c r="AD14" s="5" t="s">
        <v>500</v>
      </c>
      <c r="AE14" s="5" t="s">
        <v>433</v>
      </c>
      <c r="AF14" s="5" t="s">
        <v>431</v>
      </c>
      <c r="AG14" s="5" t="s">
        <v>508</v>
      </c>
      <c r="AH14" s="5" t="s">
        <v>434</v>
      </c>
      <c r="AI14" s="20"/>
      <c r="AJ14" s="270" t="s">
        <v>509</v>
      </c>
      <c r="AK14" s="67">
        <v>52</v>
      </c>
      <c r="AM14" s="67">
        <v>1</v>
      </c>
      <c r="AO14" s="67">
        <f t="shared" si="0"/>
        <v>0</v>
      </c>
      <c r="AP14" s="67">
        <f t="shared" si="1"/>
        <v>7</v>
      </c>
      <c r="AQ14" s="67">
        <f t="shared" si="2"/>
        <v>7</v>
      </c>
      <c r="AR14" s="67">
        <f t="shared" si="3"/>
        <v>5</v>
      </c>
      <c r="AS14" s="67">
        <f t="shared" si="4"/>
        <v>8</v>
      </c>
      <c r="AT14" s="67">
        <f t="shared" si="5"/>
        <v>7</v>
      </c>
      <c r="AU14" s="67">
        <f t="shared" si="6"/>
        <v>1</v>
      </c>
      <c r="AV14" s="67">
        <f t="shared" si="7"/>
        <v>35</v>
      </c>
      <c r="AX14" s="256">
        <v>29</v>
      </c>
      <c r="AY14" s="67">
        <f t="shared" si="8"/>
        <v>145</v>
      </c>
      <c r="AZ14" s="76">
        <f t="shared" si="9"/>
        <v>0.2413793103448276</v>
      </c>
      <c r="BA14" s="67">
        <f t="shared" si="10"/>
        <v>16</v>
      </c>
      <c r="BB14" s="76">
        <f t="shared" si="13"/>
        <v>0.55172413793103448</v>
      </c>
      <c r="BD14" s="67">
        <f t="shared" si="11"/>
        <v>5</v>
      </c>
      <c r="BE14" s="67">
        <f t="shared" si="12"/>
        <v>11</v>
      </c>
    </row>
    <row r="15" spans="1:57">
      <c r="A15" s="8">
        <v>53</v>
      </c>
      <c r="B15" s="8" t="s">
        <v>62</v>
      </c>
      <c r="C15" s="8" t="s">
        <v>42</v>
      </c>
      <c r="D15" s="8" t="s">
        <v>42</v>
      </c>
      <c r="E15" s="271" t="s">
        <v>509</v>
      </c>
      <c r="F15" s="5" t="s">
        <v>464</v>
      </c>
      <c r="G15" s="5" t="s">
        <v>467</v>
      </c>
      <c r="H15" s="5" t="s">
        <v>499</v>
      </c>
      <c r="I15" s="5" t="s">
        <v>461</v>
      </c>
      <c r="J15" s="5" t="s">
        <v>432</v>
      </c>
      <c r="K15" s="5" t="s">
        <v>433</v>
      </c>
      <c r="L15" s="272" t="s">
        <v>510</v>
      </c>
      <c r="M15" s="271" t="s">
        <v>433</v>
      </c>
      <c r="N15" s="5" t="s">
        <v>433</v>
      </c>
      <c r="O15" s="5" t="s">
        <v>433</v>
      </c>
      <c r="P15" s="5" t="s">
        <v>431</v>
      </c>
      <c r="Q15" s="5" t="s">
        <v>464</v>
      </c>
      <c r="R15" s="5" t="s">
        <v>431</v>
      </c>
      <c r="S15" s="5" t="s">
        <v>511</v>
      </c>
      <c r="T15" s="272" t="s">
        <v>432</v>
      </c>
      <c r="U15" s="271" t="s">
        <v>467</v>
      </c>
      <c r="V15" s="5" t="s">
        <v>499</v>
      </c>
      <c r="W15" s="5"/>
      <c r="X15" s="5"/>
      <c r="Y15" s="5" t="s">
        <v>499</v>
      </c>
      <c r="Z15" s="5" t="s">
        <v>494</v>
      </c>
      <c r="AA15" s="5" t="s">
        <v>494</v>
      </c>
      <c r="AB15" s="5" t="s">
        <v>494</v>
      </c>
      <c r="AC15" s="271" t="s">
        <v>498</v>
      </c>
      <c r="AD15" s="5" t="s">
        <v>501</v>
      </c>
      <c r="AE15" s="5" t="s">
        <v>501</v>
      </c>
      <c r="AF15" s="5"/>
      <c r="AG15" s="5"/>
      <c r="AH15" s="5"/>
      <c r="AI15" s="5" t="s">
        <v>461</v>
      </c>
      <c r="AJ15" s="272" t="s">
        <v>499</v>
      </c>
      <c r="AK15" s="8">
        <v>53</v>
      </c>
      <c r="AM15" s="8">
        <v>1</v>
      </c>
      <c r="AN15" s="8"/>
      <c r="AO15" s="67">
        <f t="shared" si="0"/>
        <v>0</v>
      </c>
      <c r="AP15" s="67">
        <f t="shared" si="1"/>
        <v>14</v>
      </c>
      <c r="AQ15" s="67">
        <f t="shared" si="2"/>
        <v>14</v>
      </c>
      <c r="AR15" s="67">
        <f t="shared" si="3"/>
        <v>11</v>
      </c>
      <c r="AS15" s="67">
        <f t="shared" si="4"/>
        <v>8</v>
      </c>
      <c r="AT15" s="67">
        <f t="shared" si="5"/>
        <v>9</v>
      </c>
      <c r="AU15" s="67">
        <f t="shared" si="6"/>
        <v>0</v>
      </c>
      <c r="AV15" s="67">
        <f t="shared" si="7"/>
        <v>56</v>
      </c>
      <c r="AX15" s="256">
        <v>31</v>
      </c>
      <c r="AY15" s="67">
        <f t="shared" si="8"/>
        <v>155</v>
      </c>
      <c r="AZ15" s="76">
        <f t="shared" si="9"/>
        <v>0.36129032258064514</v>
      </c>
      <c r="BA15" s="67">
        <f t="shared" si="10"/>
        <v>27</v>
      </c>
      <c r="BB15" s="76">
        <f t="shared" si="13"/>
        <v>0.87096774193548387</v>
      </c>
      <c r="BD15" s="67">
        <f t="shared" si="11"/>
        <v>16</v>
      </c>
      <c r="BE15" s="67">
        <f t="shared" si="12"/>
        <v>11</v>
      </c>
    </row>
    <row r="16" spans="1:57">
      <c r="A16" s="67">
        <v>54</v>
      </c>
      <c r="B16" s="67" t="s">
        <v>63</v>
      </c>
      <c r="C16" s="8" t="s">
        <v>346</v>
      </c>
      <c r="E16" s="269"/>
      <c r="F16" s="20"/>
      <c r="G16" s="20"/>
      <c r="H16" s="20"/>
      <c r="I16" s="20"/>
      <c r="J16" s="20"/>
      <c r="K16" s="20"/>
      <c r="L16" s="270"/>
      <c r="M16" s="269"/>
      <c r="N16" s="20"/>
      <c r="O16" s="20"/>
      <c r="P16" s="20"/>
      <c r="Q16" s="20"/>
      <c r="R16" s="20"/>
      <c r="S16" s="20"/>
      <c r="T16" s="270"/>
      <c r="U16" s="269"/>
      <c r="V16" s="20"/>
      <c r="W16" s="20"/>
      <c r="X16" s="20"/>
      <c r="Y16" s="20"/>
      <c r="Z16" s="20"/>
      <c r="AA16" s="20"/>
      <c r="AB16" s="270"/>
      <c r="AC16" s="269"/>
      <c r="AD16" s="20"/>
      <c r="AE16" s="20"/>
      <c r="AF16" s="20"/>
      <c r="AG16" s="20"/>
      <c r="AH16" s="20"/>
      <c r="AI16" s="20"/>
      <c r="AJ16" s="270"/>
      <c r="AK16" s="67">
        <v>54</v>
      </c>
      <c r="AL16" s="67">
        <v>1</v>
      </c>
      <c r="AO16" s="67">
        <f t="shared" si="0"/>
        <v>0</v>
      </c>
      <c r="AP16" s="67">
        <f t="shared" si="1"/>
        <v>0</v>
      </c>
      <c r="AQ16" s="67">
        <f t="shared" si="2"/>
        <v>0</v>
      </c>
      <c r="AR16" s="67">
        <f t="shared" si="3"/>
        <v>0</v>
      </c>
      <c r="AS16" s="67">
        <f t="shared" si="4"/>
        <v>0</v>
      </c>
      <c r="AT16" s="67">
        <f t="shared" si="5"/>
        <v>0</v>
      </c>
      <c r="AU16" s="67">
        <f t="shared" si="6"/>
        <v>0</v>
      </c>
      <c r="AV16" s="67">
        <f t="shared" si="7"/>
        <v>0</v>
      </c>
      <c r="AX16" s="256">
        <v>10</v>
      </c>
      <c r="AY16" s="67">
        <f t="shared" si="8"/>
        <v>50</v>
      </c>
      <c r="AZ16" s="76">
        <f t="shared" si="9"/>
        <v>0</v>
      </c>
      <c r="BA16" s="67">
        <f t="shared" si="10"/>
        <v>0</v>
      </c>
      <c r="BB16" s="76">
        <f t="shared" si="13"/>
        <v>0</v>
      </c>
      <c r="BD16" s="67">
        <f t="shared" si="11"/>
        <v>0</v>
      </c>
      <c r="BE16" s="67">
        <f t="shared" si="12"/>
        <v>0</v>
      </c>
    </row>
    <row r="17" spans="1:57">
      <c r="A17" s="67">
        <v>56</v>
      </c>
      <c r="B17" s="67" t="s">
        <v>53</v>
      </c>
      <c r="C17" s="8" t="s">
        <v>346</v>
      </c>
      <c r="E17" s="269"/>
      <c r="F17" s="20"/>
      <c r="G17" s="20"/>
      <c r="H17" s="20" t="s">
        <v>512</v>
      </c>
      <c r="I17" s="20" t="s">
        <v>461</v>
      </c>
      <c r="J17" s="20" t="s">
        <v>433</v>
      </c>
      <c r="K17" s="5" t="s">
        <v>433</v>
      </c>
      <c r="L17" s="270"/>
      <c r="M17" s="269" t="s">
        <v>513</v>
      </c>
      <c r="N17" s="5" t="s">
        <v>501</v>
      </c>
      <c r="O17" s="5" t="s">
        <v>433</v>
      </c>
      <c r="P17" s="5" t="s">
        <v>462</v>
      </c>
      <c r="Q17" s="20"/>
      <c r="R17" s="20"/>
      <c r="S17" s="20"/>
      <c r="T17" s="270"/>
      <c r="U17" s="269"/>
      <c r="V17" s="20"/>
      <c r="W17" s="20"/>
      <c r="X17" s="20"/>
      <c r="Y17" s="20" t="s">
        <v>431</v>
      </c>
      <c r="Z17" s="20" t="s">
        <v>433</v>
      </c>
      <c r="AA17" s="20"/>
      <c r="AB17" s="270"/>
      <c r="AC17" s="269" t="s">
        <v>434</v>
      </c>
      <c r="AD17" s="20"/>
      <c r="AE17" s="20"/>
      <c r="AF17" s="20" t="s">
        <v>431</v>
      </c>
      <c r="AG17" s="20" t="s">
        <v>432</v>
      </c>
      <c r="AH17" s="20"/>
      <c r="AI17" s="20"/>
      <c r="AJ17" s="270"/>
      <c r="AK17" s="67">
        <v>56</v>
      </c>
      <c r="AM17" s="67">
        <v>1</v>
      </c>
      <c r="AO17" s="67">
        <f t="shared" si="0"/>
        <v>0</v>
      </c>
      <c r="AP17" s="67">
        <f t="shared" si="1"/>
        <v>5</v>
      </c>
      <c r="AQ17" s="67">
        <f t="shared" si="2"/>
        <v>1</v>
      </c>
      <c r="AR17" s="67">
        <f t="shared" si="3"/>
        <v>6</v>
      </c>
      <c r="AS17" s="67">
        <f t="shared" si="4"/>
        <v>4</v>
      </c>
      <c r="AT17" s="67">
        <f t="shared" si="5"/>
        <v>3</v>
      </c>
      <c r="AU17" s="67">
        <f t="shared" si="6"/>
        <v>1</v>
      </c>
      <c r="AV17" s="67">
        <f t="shared" si="7"/>
        <v>20</v>
      </c>
      <c r="AX17" s="256">
        <v>17</v>
      </c>
      <c r="AY17" s="67">
        <f t="shared" si="8"/>
        <v>85</v>
      </c>
      <c r="AZ17" s="76">
        <f t="shared" si="9"/>
        <v>0.23529411764705882</v>
      </c>
      <c r="BA17" s="67">
        <f t="shared" si="10"/>
        <v>13</v>
      </c>
      <c r="BB17" s="76">
        <f t="shared" si="13"/>
        <v>0.76470588235294112</v>
      </c>
      <c r="BD17" s="67">
        <f t="shared" si="11"/>
        <v>8</v>
      </c>
      <c r="BE17" s="67">
        <f t="shared" si="12"/>
        <v>5</v>
      </c>
    </row>
    <row r="18" spans="1:57">
      <c r="A18" s="67">
        <v>57</v>
      </c>
      <c r="B18" s="67" t="s">
        <v>44</v>
      </c>
      <c r="C18" s="8" t="s">
        <v>349</v>
      </c>
      <c r="D18" s="67" t="s">
        <v>6</v>
      </c>
      <c r="E18" s="269" t="s">
        <v>467</v>
      </c>
      <c r="F18" s="20"/>
      <c r="G18" s="20"/>
      <c r="H18" s="20"/>
      <c r="I18" s="20"/>
      <c r="J18" s="20"/>
      <c r="K18" s="20"/>
      <c r="L18" s="270" t="s">
        <v>433</v>
      </c>
      <c r="M18" s="269" t="s">
        <v>456</v>
      </c>
      <c r="N18" s="5"/>
      <c r="O18" s="5" t="s">
        <v>433</v>
      </c>
      <c r="P18" s="20"/>
      <c r="Q18" s="5" t="s">
        <v>431</v>
      </c>
      <c r="R18" s="20"/>
      <c r="S18" s="20"/>
      <c r="T18" s="270"/>
      <c r="U18" s="269"/>
      <c r="V18" s="20"/>
      <c r="W18" s="20"/>
      <c r="X18" s="20"/>
      <c r="Y18" s="20"/>
      <c r="Z18" s="20" t="s">
        <v>433</v>
      </c>
      <c r="AA18" s="20"/>
      <c r="AB18" s="270"/>
      <c r="AC18" s="269"/>
      <c r="AD18" s="5" t="s">
        <v>460</v>
      </c>
      <c r="AE18" s="20" t="s">
        <v>432</v>
      </c>
      <c r="AF18" s="5" t="s">
        <v>457</v>
      </c>
      <c r="AG18" s="5"/>
      <c r="AH18" s="20"/>
      <c r="AI18" s="20"/>
      <c r="AJ18" s="270"/>
      <c r="AK18" s="67">
        <v>57</v>
      </c>
      <c r="AM18" s="67">
        <v>1</v>
      </c>
      <c r="AO18" s="67">
        <f t="shared" si="0"/>
        <v>0</v>
      </c>
      <c r="AP18" s="67">
        <f t="shared" si="1"/>
        <v>3</v>
      </c>
      <c r="AQ18" s="67">
        <f t="shared" si="2"/>
        <v>3</v>
      </c>
      <c r="AR18" s="67">
        <f t="shared" si="3"/>
        <v>4</v>
      </c>
      <c r="AS18" s="67">
        <f t="shared" si="4"/>
        <v>2</v>
      </c>
      <c r="AT18" s="67">
        <f t="shared" si="5"/>
        <v>2</v>
      </c>
      <c r="AU18" s="67">
        <f t="shared" si="6"/>
        <v>0</v>
      </c>
      <c r="AV18" s="67">
        <f t="shared" si="7"/>
        <v>14</v>
      </c>
      <c r="AX18" s="256">
        <v>15</v>
      </c>
      <c r="AY18" s="67">
        <f t="shared" si="8"/>
        <v>75</v>
      </c>
      <c r="AZ18" s="76">
        <f t="shared" si="9"/>
        <v>0.18666666666666668</v>
      </c>
      <c r="BA18" s="67">
        <f t="shared" si="10"/>
        <v>9</v>
      </c>
      <c r="BB18" s="76">
        <f t="shared" si="13"/>
        <v>0.6</v>
      </c>
      <c r="BD18" s="67">
        <f t="shared" si="11"/>
        <v>5</v>
      </c>
      <c r="BE18" s="67">
        <f t="shared" si="12"/>
        <v>4</v>
      </c>
    </row>
    <row r="19" spans="1:57">
      <c r="A19" s="67">
        <v>59</v>
      </c>
      <c r="B19" s="4" t="s">
        <v>56</v>
      </c>
      <c r="C19" s="8" t="s">
        <v>360</v>
      </c>
      <c r="E19" s="269"/>
      <c r="F19" s="20"/>
      <c r="G19" s="20"/>
      <c r="H19" s="20"/>
      <c r="I19" s="20"/>
      <c r="J19" s="20"/>
      <c r="K19" s="20"/>
      <c r="L19" s="270"/>
      <c r="M19" s="269"/>
      <c r="N19" s="20"/>
      <c r="O19" s="20"/>
      <c r="P19" s="20"/>
      <c r="Q19" s="20"/>
      <c r="R19" s="20"/>
      <c r="S19" s="20"/>
      <c r="T19" s="270"/>
      <c r="U19" s="269"/>
      <c r="V19" s="20"/>
      <c r="W19" s="20"/>
      <c r="X19" s="20"/>
      <c r="Y19" s="20"/>
      <c r="Z19" s="20"/>
      <c r="AA19" s="20"/>
      <c r="AB19" s="270"/>
      <c r="AC19" s="269"/>
      <c r="AD19" s="20"/>
      <c r="AE19" s="20"/>
      <c r="AF19" s="20"/>
      <c r="AG19" s="20"/>
      <c r="AH19" s="20"/>
      <c r="AI19" s="20"/>
      <c r="AJ19" s="270"/>
      <c r="AK19" s="67">
        <v>59</v>
      </c>
      <c r="AL19" s="67">
        <v>1</v>
      </c>
      <c r="AO19" s="67">
        <f t="shared" si="0"/>
        <v>0</v>
      </c>
      <c r="AP19" s="67">
        <f t="shared" si="1"/>
        <v>0</v>
      </c>
      <c r="AQ19" s="67">
        <f t="shared" si="2"/>
        <v>0</v>
      </c>
      <c r="AR19" s="67">
        <f t="shared" si="3"/>
        <v>0</v>
      </c>
      <c r="AS19" s="67">
        <f t="shared" si="4"/>
        <v>0</v>
      </c>
      <c r="AT19" s="67">
        <f t="shared" si="5"/>
        <v>0</v>
      </c>
      <c r="AU19" s="67">
        <f t="shared" si="6"/>
        <v>0</v>
      </c>
      <c r="AV19" s="67">
        <f t="shared" si="7"/>
        <v>0</v>
      </c>
      <c r="AX19" s="256">
        <v>7</v>
      </c>
      <c r="AY19" s="67">
        <f t="shared" si="8"/>
        <v>35</v>
      </c>
      <c r="AZ19" s="76">
        <f t="shared" si="9"/>
        <v>0</v>
      </c>
      <c r="BA19" s="67">
        <f t="shared" si="10"/>
        <v>0</v>
      </c>
      <c r="BB19" s="76">
        <f t="shared" si="13"/>
        <v>0</v>
      </c>
      <c r="BD19" s="67">
        <f t="shared" si="11"/>
        <v>0</v>
      </c>
      <c r="BE19" s="67">
        <f t="shared" si="12"/>
        <v>0</v>
      </c>
    </row>
    <row r="20" spans="1:57">
      <c r="A20" s="67">
        <v>60</v>
      </c>
      <c r="B20" s="67" t="s">
        <v>48</v>
      </c>
      <c r="C20" s="8" t="s">
        <v>357</v>
      </c>
      <c r="E20" s="269"/>
      <c r="F20" s="20"/>
      <c r="G20" s="20" t="s">
        <v>432</v>
      </c>
      <c r="H20" s="20"/>
      <c r="I20" s="20"/>
      <c r="J20" s="20"/>
      <c r="K20" s="20" t="s">
        <v>433</v>
      </c>
      <c r="L20" s="270"/>
      <c r="M20" s="269"/>
      <c r="N20" s="20"/>
      <c r="O20" s="20"/>
      <c r="P20" s="20"/>
      <c r="Q20" s="20" t="s">
        <v>431</v>
      </c>
      <c r="R20" s="20"/>
      <c r="S20" s="20"/>
      <c r="T20" s="270"/>
      <c r="U20" s="269"/>
      <c r="V20" s="20"/>
      <c r="W20" s="20" t="s">
        <v>432</v>
      </c>
      <c r="X20" s="20"/>
      <c r="Y20" s="20"/>
      <c r="Z20" s="20"/>
      <c r="AA20" s="20"/>
      <c r="AB20" s="270" t="s">
        <v>497</v>
      </c>
      <c r="AC20" s="269" t="s">
        <v>494</v>
      </c>
      <c r="AD20" s="20" t="s">
        <v>460</v>
      </c>
      <c r="AE20" s="5" t="s">
        <v>433</v>
      </c>
      <c r="AF20" s="20"/>
      <c r="AG20" s="20"/>
      <c r="AH20" s="20"/>
      <c r="AI20" s="20"/>
      <c r="AJ20" s="270"/>
      <c r="AK20" s="67">
        <v>60</v>
      </c>
      <c r="AM20" s="67">
        <v>1</v>
      </c>
      <c r="AO20" s="67">
        <f t="shared" si="0"/>
        <v>0</v>
      </c>
      <c r="AP20" s="67">
        <f t="shared" si="1"/>
        <v>1</v>
      </c>
      <c r="AQ20" s="67">
        <f t="shared" si="2"/>
        <v>5</v>
      </c>
      <c r="AR20" s="67">
        <f t="shared" si="3"/>
        <v>4</v>
      </c>
      <c r="AS20" s="67">
        <f t="shared" si="4"/>
        <v>3</v>
      </c>
      <c r="AT20" s="67">
        <f t="shared" si="5"/>
        <v>2</v>
      </c>
      <c r="AU20" s="67">
        <f t="shared" si="6"/>
        <v>0</v>
      </c>
      <c r="AV20" s="67">
        <f t="shared" si="7"/>
        <v>15</v>
      </c>
      <c r="AX20" s="256">
        <v>22</v>
      </c>
      <c r="AY20" s="67">
        <f t="shared" si="8"/>
        <v>110</v>
      </c>
      <c r="AZ20" s="76">
        <f t="shared" si="9"/>
        <v>0.13636363636363635</v>
      </c>
      <c r="BA20" s="67">
        <f t="shared" si="10"/>
        <v>8</v>
      </c>
      <c r="BB20" s="76">
        <f t="shared" si="13"/>
        <v>0.36363636363636365</v>
      </c>
      <c r="BD20" s="67">
        <f t="shared" si="11"/>
        <v>3</v>
      </c>
      <c r="BE20" s="67">
        <f t="shared" si="12"/>
        <v>5</v>
      </c>
    </row>
    <row r="21" spans="1:57">
      <c r="A21" s="67">
        <v>61</v>
      </c>
      <c r="B21" s="67" t="s">
        <v>99</v>
      </c>
      <c r="C21" s="8" t="s">
        <v>346</v>
      </c>
      <c r="E21" s="269"/>
      <c r="F21" s="20"/>
      <c r="G21" s="20"/>
      <c r="H21" s="20"/>
      <c r="I21" s="20"/>
      <c r="J21" s="20"/>
      <c r="K21" s="20"/>
      <c r="L21" s="270"/>
      <c r="M21" s="269"/>
      <c r="N21" s="20"/>
      <c r="O21" s="20" t="s">
        <v>433</v>
      </c>
      <c r="P21" s="20" t="s">
        <v>431</v>
      </c>
      <c r="Q21" s="20"/>
      <c r="R21" s="20"/>
      <c r="S21" s="20"/>
      <c r="T21" s="270"/>
      <c r="U21" s="269"/>
      <c r="V21" s="20"/>
      <c r="W21" s="20"/>
      <c r="X21" s="20" t="s">
        <v>432</v>
      </c>
      <c r="Y21" s="20" t="s">
        <v>431</v>
      </c>
      <c r="Z21" s="20" t="s">
        <v>433</v>
      </c>
      <c r="AA21" s="20"/>
      <c r="AB21" s="270"/>
      <c r="AC21" s="269"/>
      <c r="AD21" s="20"/>
      <c r="AE21" s="20"/>
      <c r="AF21" s="20"/>
      <c r="AG21" s="20"/>
      <c r="AH21" s="20"/>
      <c r="AI21" s="20"/>
      <c r="AJ21" s="270"/>
      <c r="AK21" s="67">
        <v>61</v>
      </c>
      <c r="AM21" s="67">
        <v>1</v>
      </c>
      <c r="AO21" s="67">
        <f t="shared" si="0"/>
        <v>0</v>
      </c>
      <c r="AP21" s="67">
        <f t="shared" si="1"/>
        <v>2</v>
      </c>
      <c r="AQ21" s="67">
        <f t="shared" si="2"/>
        <v>1</v>
      </c>
      <c r="AR21" s="67">
        <f t="shared" si="3"/>
        <v>2</v>
      </c>
      <c r="AS21" s="67">
        <f t="shared" si="4"/>
        <v>0</v>
      </c>
      <c r="AT21" s="67">
        <f t="shared" si="5"/>
        <v>0</v>
      </c>
      <c r="AU21" s="67">
        <f t="shared" si="6"/>
        <v>0</v>
      </c>
      <c r="AV21" s="67">
        <f t="shared" si="7"/>
        <v>5</v>
      </c>
      <c r="AX21" s="256">
        <v>21</v>
      </c>
      <c r="AY21" s="67">
        <f t="shared" si="8"/>
        <v>105</v>
      </c>
      <c r="AZ21" s="76">
        <f t="shared" si="9"/>
        <v>4.7619047619047616E-2</v>
      </c>
      <c r="BA21" s="67">
        <f t="shared" si="10"/>
        <v>5</v>
      </c>
      <c r="BB21" s="76">
        <f t="shared" si="13"/>
        <v>0.23809523809523808</v>
      </c>
      <c r="BD21" s="67">
        <f t="shared" si="11"/>
        <v>2</v>
      </c>
      <c r="BE21" s="67">
        <f t="shared" si="12"/>
        <v>3</v>
      </c>
    </row>
    <row r="22" spans="1:57">
      <c r="A22" s="67">
        <v>62</v>
      </c>
      <c r="B22" s="67" t="s">
        <v>68</v>
      </c>
      <c r="C22" s="8" t="s">
        <v>357</v>
      </c>
      <c r="E22" s="269"/>
      <c r="F22" s="20"/>
      <c r="G22" s="20" t="s">
        <v>461</v>
      </c>
      <c r="H22" s="20" t="s">
        <v>431</v>
      </c>
      <c r="I22" s="20" t="s">
        <v>431</v>
      </c>
      <c r="J22" s="5" t="s">
        <v>433</v>
      </c>
      <c r="K22" s="5" t="s">
        <v>433</v>
      </c>
      <c r="L22" s="270" t="s">
        <v>433</v>
      </c>
      <c r="M22" s="269" t="s">
        <v>433</v>
      </c>
      <c r="N22" s="5" t="s">
        <v>433</v>
      </c>
      <c r="O22" s="20"/>
      <c r="P22" s="5" t="s">
        <v>431</v>
      </c>
      <c r="Q22" s="5" t="s">
        <v>431</v>
      </c>
      <c r="R22" s="5" t="s">
        <v>431</v>
      </c>
      <c r="S22" s="20"/>
      <c r="T22" s="270"/>
      <c r="U22" s="269"/>
      <c r="V22" s="20"/>
      <c r="W22" s="20"/>
      <c r="X22" s="20" t="s">
        <v>432</v>
      </c>
      <c r="Y22" s="20" t="s">
        <v>432</v>
      </c>
      <c r="Z22" s="5" t="s">
        <v>432</v>
      </c>
      <c r="AA22" s="5" t="s">
        <v>514</v>
      </c>
      <c r="AB22" s="270" t="s">
        <v>494</v>
      </c>
      <c r="AC22" s="269" t="s">
        <v>494</v>
      </c>
      <c r="AD22" s="5" t="s">
        <v>494</v>
      </c>
      <c r="AE22" s="5" t="s">
        <v>500</v>
      </c>
      <c r="AF22" s="5" t="s">
        <v>512</v>
      </c>
      <c r="AG22" s="5" t="s">
        <v>496</v>
      </c>
      <c r="AH22" s="5" t="s">
        <v>432</v>
      </c>
      <c r="AI22" s="20"/>
      <c r="AJ22" s="270"/>
      <c r="AK22" s="67">
        <v>62</v>
      </c>
      <c r="AM22" s="67">
        <v>1</v>
      </c>
      <c r="AO22" s="67">
        <f t="shared" si="0"/>
        <v>0</v>
      </c>
      <c r="AP22" s="67">
        <f t="shared" si="1"/>
        <v>8</v>
      </c>
      <c r="AQ22" s="67">
        <f t="shared" si="2"/>
        <v>10</v>
      </c>
      <c r="AR22" s="67">
        <f t="shared" si="3"/>
        <v>10</v>
      </c>
      <c r="AS22" s="67">
        <f t="shared" si="4"/>
        <v>6</v>
      </c>
      <c r="AT22" s="67">
        <f t="shared" si="5"/>
        <v>6</v>
      </c>
      <c r="AU22" s="67">
        <f t="shared" si="6"/>
        <v>0</v>
      </c>
      <c r="AV22" s="67">
        <f t="shared" si="7"/>
        <v>40</v>
      </c>
      <c r="AX22" s="256">
        <v>28</v>
      </c>
      <c r="AY22" s="67">
        <f t="shared" si="8"/>
        <v>140</v>
      </c>
      <c r="AZ22" s="76">
        <f t="shared" si="9"/>
        <v>0.2857142857142857</v>
      </c>
      <c r="BA22" s="67">
        <f t="shared" si="10"/>
        <v>22</v>
      </c>
      <c r="BB22" s="76">
        <f t="shared" si="13"/>
        <v>0.7857142857142857</v>
      </c>
      <c r="BD22" s="67">
        <f t="shared" si="11"/>
        <v>11</v>
      </c>
      <c r="BE22" s="67">
        <f t="shared" si="12"/>
        <v>11</v>
      </c>
    </row>
    <row r="23" spans="1:57">
      <c r="A23" s="67">
        <v>63</v>
      </c>
      <c r="B23" s="67" t="s">
        <v>71</v>
      </c>
      <c r="C23" s="8" t="s">
        <v>452</v>
      </c>
      <c r="D23" s="67" t="s">
        <v>42</v>
      </c>
      <c r="E23" s="269"/>
      <c r="F23" s="5" t="s">
        <v>457</v>
      </c>
      <c r="G23" s="5" t="s">
        <v>431</v>
      </c>
      <c r="H23" s="20"/>
      <c r="I23" s="5" t="s">
        <v>431</v>
      </c>
      <c r="J23" s="5" t="s">
        <v>433</v>
      </c>
      <c r="K23" s="5" t="s">
        <v>433</v>
      </c>
      <c r="L23" s="270" t="s">
        <v>433</v>
      </c>
      <c r="M23" s="269" t="s">
        <v>433</v>
      </c>
      <c r="N23" s="5" t="s">
        <v>433</v>
      </c>
      <c r="O23" s="5" t="s">
        <v>433</v>
      </c>
      <c r="P23" s="5" t="s">
        <v>431</v>
      </c>
      <c r="Q23" s="5" t="s">
        <v>431</v>
      </c>
      <c r="R23" s="5" t="s">
        <v>431</v>
      </c>
      <c r="S23" s="5" t="s">
        <v>434</v>
      </c>
      <c r="T23" s="270"/>
      <c r="U23" s="269" t="s">
        <v>460</v>
      </c>
      <c r="V23" s="5" t="s">
        <v>446</v>
      </c>
      <c r="W23" s="5" t="s">
        <v>461</v>
      </c>
      <c r="X23" s="5" t="s">
        <v>435</v>
      </c>
      <c r="Y23" s="5" t="s">
        <v>460</v>
      </c>
      <c r="Z23" s="5" t="s">
        <v>515</v>
      </c>
      <c r="AA23" s="5" t="s">
        <v>516</v>
      </c>
      <c r="AB23" s="270" t="s">
        <v>494</v>
      </c>
      <c r="AC23" s="269" t="s">
        <v>497</v>
      </c>
      <c r="AD23" s="5" t="s">
        <v>494</v>
      </c>
      <c r="AE23" s="5" t="s">
        <v>517</v>
      </c>
      <c r="AF23" s="5" t="s">
        <v>432</v>
      </c>
      <c r="AG23" s="5" t="s">
        <v>432</v>
      </c>
      <c r="AH23" s="5" t="s">
        <v>431</v>
      </c>
      <c r="AI23" s="5" t="s">
        <v>435</v>
      </c>
      <c r="AJ23" s="270" t="s">
        <v>434</v>
      </c>
      <c r="AK23" s="67">
        <v>63</v>
      </c>
      <c r="AM23" s="67">
        <v>1</v>
      </c>
      <c r="AO23" s="67">
        <f t="shared" si="0"/>
        <v>0</v>
      </c>
      <c r="AP23" s="67">
        <f t="shared" si="1"/>
        <v>8</v>
      </c>
      <c r="AQ23" s="67">
        <f t="shared" si="2"/>
        <v>10</v>
      </c>
      <c r="AR23" s="67">
        <f t="shared" si="3"/>
        <v>11</v>
      </c>
      <c r="AS23" s="67">
        <f t="shared" si="4"/>
        <v>12</v>
      </c>
      <c r="AT23" s="67">
        <f t="shared" si="5"/>
        <v>10</v>
      </c>
      <c r="AU23" s="67">
        <f t="shared" si="6"/>
        <v>0</v>
      </c>
      <c r="AV23" s="67">
        <f t="shared" si="7"/>
        <v>51</v>
      </c>
      <c r="AX23" s="256">
        <v>32</v>
      </c>
      <c r="AY23" s="67">
        <f t="shared" si="8"/>
        <v>160</v>
      </c>
      <c r="AZ23" s="76">
        <f t="shared" si="9"/>
        <v>0.31874999999999998</v>
      </c>
      <c r="BA23" s="67">
        <f t="shared" si="10"/>
        <v>29</v>
      </c>
      <c r="BB23" s="76">
        <f t="shared" si="13"/>
        <v>0.90625</v>
      </c>
      <c r="BD23" s="67">
        <f t="shared" si="11"/>
        <v>13</v>
      </c>
      <c r="BE23" s="67">
        <f t="shared" si="12"/>
        <v>16</v>
      </c>
    </row>
    <row r="24" spans="1:57">
      <c r="A24" s="67">
        <v>64</v>
      </c>
      <c r="B24" s="67" t="s">
        <v>73</v>
      </c>
      <c r="C24" s="8" t="s">
        <v>165</v>
      </c>
      <c r="D24" s="67" t="s">
        <v>42</v>
      </c>
      <c r="E24" s="269"/>
      <c r="F24" s="5" t="s">
        <v>446</v>
      </c>
      <c r="G24" s="5" t="s">
        <v>431</v>
      </c>
      <c r="H24" s="20"/>
      <c r="I24" s="20"/>
      <c r="J24" s="20" t="s">
        <v>501</v>
      </c>
      <c r="K24" s="5" t="s">
        <v>501</v>
      </c>
      <c r="L24" s="270" t="s">
        <v>448</v>
      </c>
      <c r="M24" s="269" t="s">
        <v>501</v>
      </c>
      <c r="N24" s="5" t="s">
        <v>501</v>
      </c>
      <c r="O24" s="5" t="s">
        <v>514</v>
      </c>
      <c r="P24" s="20"/>
      <c r="Q24" s="20"/>
      <c r="R24" s="20"/>
      <c r="S24" s="20"/>
      <c r="T24" s="270"/>
      <c r="U24" s="269" t="s">
        <v>435</v>
      </c>
      <c r="V24" s="20"/>
      <c r="W24" s="20"/>
      <c r="X24" s="20"/>
      <c r="Y24" s="20"/>
      <c r="Z24" s="5" t="s">
        <v>515</v>
      </c>
      <c r="AA24" s="20" t="s">
        <v>494</v>
      </c>
      <c r="AB24" s="270" t="s">
        <v>494</v>
      </c>
      <c r="AC24" s="269" t="s">
        <v>494</v>
      </c>
      <c r="AD24" s="5" t="s">
        <v>494</v>
      </c>
      <c r="AE24" s="5" t="s">
        <v>460</v>
      </c>
      <c r="AF24" s="5" t="s">
        <v>434</v>
      </c>
      <c r="AG24" s="5" t="s">
        <v>434</v>
      </c>
      <c r="AH24" s="20"/>
      <c r="AI24" s="20"/>
      <c r="AJ24" s="270" t="s">
        <v>467</v>
      </c>
      <c r="AK24" s="67">
        <v>64</v>
      </c>
      <c r="AM24" s="67">
        <v>1</v>
      </c>
      <c r="AO24" s="67">
        <f t="shared" si="0"/>
        <v>0</v>
      </c>
      <c r="AP24" s="67">
        <f t="shared" si="1"/>
        <v>2</v>
      </c>
      <c r="AQ24" s="67">
        <f t="shared" si="2"/>
        <v>8</v>
      </c>
      <c r="AR24" s="67">
        <f t="shared" si="3"/>
        <v>10</v>
      </c>
      <c r="AS24" s="67">
        <f t="shared" si="4"/>
        <v>15</v>
      </c>
      <c r="AT24" s="67">
        <f t="shared" si="5"/>
        <v>9</v>
      </c>
      <c r="AU24" s="67">
        <f t="shared" si="6"/>
        <v>0</v>
      </c>
      <c r="AV24" s="67">
        <f t="shared" si="7"/>
        <v>44</v>
      </c>
      <c r="AX24" s="256">
        <v>31</v>
      </c>
      <c r="AY24" s="67">
        <f t="shared" si="8"/>
        <v>155</v>
      </c>
      <c r="AZ24" s="76">
        <f t="shared" si="9"/>
        <v>0.28387096774193549</v>
      </c>
      <c r="BA24" s="67">
        <f t="shared" si="10"/>
        <v>18</v>
      </c>
      <c r="BB24" s="76">
        <f t="shared" si="13"/>
        <v>0.58064516129032262</v>
      </c>
      <c r="BD24" s="67">
        <f t="shared" si="11"/>
        <v>8</v>
      </c>
      <c r="BE24" s="67">
        <f t="shared" si="12"/>
        <v>10</v>
      </c>
    </row>
    <row r="25" spans="1:57">
      <c r="A25" s="67">
        <v>65</v>
      </c>
      <c r="B25" s="67" t="s">
        <v>74</v>
      </c>
      <c r="C25" s="8" t="s">
        <v>346</v>
      </c>
      <c r="E25" s="269"/>
      <c r="F25" s="20"/>
      <c r="G25" s="20"/>
      <c r="H25" s="20"/>
      <c r="I25" s="20"/>
      <c r="J25" s="20"/>
      <c r="K25" s="20"/>
      <c r="L25" s="270"/>
      <c r="M25" s="269"/>
      <c r="N25" s="20"/>
      <c r="O25" s="20"/>
      <c r="P25" s="20"/>
      <c r="Q25" s="20"/>
      <c r="R25" s="20"/>
      <c r="S25" s="20"/>
      <c r="T25" s="270"/>
      <c r="U25" s="269"/>
      <c r="V25" s="20"/>
      <c r="W25" s="20"/>
      <c r="X25" s="20"/>
      <c r="Y25" s="20"/>
      <c r="Z25" s="20"/>
      <c r="AA25" s="20"/>
      <c r="AB25" s="270"/>
      <c r="AC25" s="269"/>
      <c r="AD25" s="20"/>
      <c r="AE25" s="20"/>
      <c r="AF25" s="20"/>
      <c r="AG25" s="20"/>
      <c r="AH25" s="20"/>
      <c r="AI25" s="20"/>
      <c r="AJ25" s="270"/>
      <c r="AK25" s="67">
        <v>65</v>
      </c>
      <c r="AL25" s="67">
        <v>1</v>
      </c>
      <c r="AO25" s="67">
        <f t="shared" si="0"/>
        <v>0</v>
      </c>
      <c r="AP25" s="67">
        <f t="shared" si="1"/>
        <v>0</v>
      </c>
      <c r="AQ25" s="67">
        <f t="shared" si="2"/>
        <v>0</v>
      </c>
      <c r="AR25" s="67">
        <f t="shared" si="3"/>
        <v>0</v>
      </c>
      <c r="AS25" s="67">
        <f t="shared" si="4"/>
        <v>0</v>
      </c>
      <c r="AT25" s="67">
        <f t="shared" si="5"/>
        <v>0</v>
      </c>
      <c r="AU25" s="67">
        <f t="shared" si="6"/>
        <v>0</v>
      </c>
      <c r="AV25" s="67">
        <f t="shared" si="7"/>
        <v>0</v>
      </c>
      <c r="AX25" s="256">
        <v>9</v>
      </c>
      <c r="AY25" s="67">
        <f t="shared" si="8"/>
        <v>45</v>
      </c>
      <c r="AZ25" s="76">
        <f t="shared" si="9"/>
        <v>0</v>
      </c>
      <c r="BA25" s="67">
        <f t="shared" si="10"/>
        <v>0</v>
      </c>
      <c r="BB25" s="76">
        <f t="shared" si="13"/>
        <v>0</v>
      </c>
      <c r="BD25" s="67">
        <f t="shared" si="11"/>
        <v>0</v>
      </c>
      <c r="BE25" s="67">
        <f t="shared" si="12"/>
        <v>0</v>
      </c>
    </row>
    <row r="26" spans="1:57">
      <c r="A26" s="8">
        <v>68</v>
      </c>
      <c r="B26" s="8" t="s">
        <v>65</v>
      </c>
      <c r="C26" s="8" t="s">
        <v>12</v>
      </c>
      <c r="D26" s="8" t="s">
        <v>77</v>
      </c>
      <c r="E26" s="269"/>
      <c r="F26" s="20"/>
      <c r="G26" s="5" t="s">
        <v>431</v>
      </c>
      <c r="H26" s="20"/>
      <c r="I26" s="20" t="s">
        <v>467</v>
      </c>
      <c r="J26" s="5" t="s">
        <v>448</v>
      </c>
      <c r="K26" s="5" t="s">
        <v>448</v>
      </c>
      <c r="L26" s="270" t="s">
        <v>448</v>
      </c>
      <c r="M26" s="269" t="s">
        <v>494</v>
      </c>
      <c r="N26" s="5" t="s">
        <v>456</v>
      </c>
      <c r="O26" s="5" t="s">
        <v>498</v>
      </c>
      <c r="P26" s="5" t="s">
        <v>461</v>
      </c>
      <c r="Q26" s="5" t="s">
        <v>496</v>
      </c>
      <c r="R26" s="5" t="s">
        <v>461</v>
      </c>
      <c r="S26" s="5" t="s">
        <v>434</v>
      </c>
      <c r="T26" s="270" t="s">
        <v>434</v>
      </c>
      <c r="U26" s="269" t="s">
        <v>434</v>
      </c>
      <c r="V26" s="5" t="s">
        <v>460</v>
      </c>
      <c r="W26" s="5" t="s">
        <v>518</v>
      </c>
      <c r="X26" s="20"/>
      <c r="Y26" s="5" t="s">
        <v>499</v>
      </c>
      <c r="Z26" s="5" t="s">
        <v>494</v>
      </c>
      <c r="AA26" s="5" t="s">
        <v>494</v>
      </c>
      <c r="AB26" s="270" t="s">
        <v>494</v>
      </c>
      <c r="AC26" s="269" t="s">
        <v>494</v>
      </c>
      <c r="AD26" s="5" t="s">
        <v>494</v>
      </c>
      <c r="AE26" s="5" t="s">
        <v>515</v>
      </c>
      <c r="AF26" s="5" t="s">
        <v>505</v>
      </c>
      <c r="AG26" s="5" t="s">
        <v>434</v>
      </c>
      <c r="AH26" s="5" t="s">
        <v>432</v>
      </c>
      <c r="AI26" s="5" t="s">
        <v>432</v>
      </c>
      <c r="AJ26" s="270" t="s">
        <v>461</v>
      </c>
      <c r="AK26" s="8">
        <v>68</v>
      </c>
      <c r="AM26" s="67">
        <v>1</v>
      </c>
      <c r="AO26" s="67">
        <f t="shared" si="0"/>
        <v>0</v>
      </c>
      <c r="AP26" s="67">
        <f t="shared" si="1"/>
        <v>8</v>
      </c>
      <c r="AQ26" s="67">
        <f t="shared" si="2"/>
        <v>16</v>
      </c>
      <c r="AR26" s="67">
        <f t="shared" si="3"/>
        <v>11</v>
      </c>
      <c r="AS26" s="67">
        <f t="shared" si="4"/>
        <v>17</v>
      </c>
      <c r="AT26" s="67">
        <f t="shared" si="5"/>
        <v>18</v>
      </c>
      <c r="AU26" s="67">
        <f t="shared" si="6"/>
        <v>0</v>
      </c>
      <c r="AV26" s="67">
        <f t="shared" si="7"/>
        <v>70</v>
      </c>
      <c r="AX26" s="256">
        <v>32</v>
      </c>
      <c r="AY26" s="67">
        <f t="shared" si="8"/>
        <v>160</v>
      </c>
      <c r="AZ26" s="76">
        <f t="shared" si="9"/>
        <v>0.4375</v>
      </c>
      <c r="BA26" s="67">
        <f t="shared" si="10"/>
        <v>28</v>
      </c>
      <c r="BB26" s="76">
        <f t="shared" si="13"/>
        <v>0.875</v>
      </c>
      <c r="BD26" s="67">
        <f t="shared" si="11"/>
        <v>13</v>
      </c>
      <c r="BE26" s="67">
        <f t="shared" si="12"/>
        <v>15</v>
      </c>
    </row>
    <row r="27" spans="1:57">
      <c r="A27" s="67">
        <v>69</v>
      </c>
      <c r="B27" s="67" t="s">
        <v>78</v>
      </c>
      <c r="C27" s="8" t="s">
        <v>359</v>
      </c>
      <c r="E27" s="269"/>
      <c r="F27" s="20"/>
      <c r="G27" s="5" t="s">
        <v>436</v>
      </c>
      <c r="H27" s="20" t="s">
        <v>453</v>
      </c>
      <c r="I27" s="20"/>
      <c r="J27" s="20"/>
      <c r="K27" s="20"/>
      <c r="L27" s="270"/>
      <c r="M27" s="269"/>
      <c r="N27" s="20"/>
      <c r="O27" s="20"/>
      <c r="P27" s="20"/>
      <c r="Q27" s="20"/>
      <c r="R27" s="20"/>
      <c r="S27" s="20"/>
      <c r="T27" s="270"/>
      <c r="U27" s="269"/>
      <c r="V27" s="20"/>
      <c r="W27" s="20"/>
      <c r="X27" s="20" t="s">
        <v>431</v>
      </c>
      <c r="Y27" s="5" t="s">
        <v>434</v>
      </c>
      <c r="Z27" s="5" t="s">
        <v>434</v>
      </c>
      <c r="AA27" s="20"/>
      <c r="AB27" s="270"/>
      <c r="AC27" s="269"/>
      <c r="AD27" s="20"/>
      <c r="AE27" s="5" t="s">
        <v>456</v>
      </c>
      <c r="AF27" s="5" t="s">
        <v>435</v>
      </c>
      <c r="AG27" s="5" t="s">
        <v>435</v>
      </c>
      <c r="AH27" s="20"/>
      <c r="AI27" s="20"/>
      <c r="AJ27" s="270"/>
      <c r="AK27" s="67">
        <v>69</v>
      </c>
      <c r="AM27" s="67">
        <v>1</v>
      </c>
      <c r="AO27" s="67">
        <f t="shared" si="0"/>
        <v>0</v>
      </c>
      <c r="AP27" s="67">
        <f t="shared" si="1"/>
        <v>2</v>
      </c>
      <c r="AQ27" s="67">
        <f t="shared" si="2"/>
        <v>0</v>
      </c>
      <c r="AR27" s="67">
        <f t="shared" si="3"/>
        <v>1</v>
      </c>
      <c r="AS27" s="67">
        <f t="shared" si="4"/>
        <v>2</v>
      </c>
      <c r="AT27" s="67">
        <f t="shared" si="5"/>
        <v>3</v>
      </c>
      <c r="AU27" s="67">
        <f t="shared" si="6"/>
        <v>2</v>
      </c>
      <c r="AV27" s="67">
        <f t="shared" si="7"/>
        <v>10</v>
      </c>
      <c r="AX27" s="256">
        <v>21</v>
      </c>
      <c r="AY27" s="67">
        <f t="shared" si="8"/>
        <v>105</v>
      </c>
      <c r="AZ27" s="76">
        <f t="shared" si="9"/>
        <v>9.5238095238095233E-2</v>
      </c>
      <c r="BA27" s="67">
        <f t="shared" si="10"/>
        <v>8</v>
      </c>
      <c r="BB27" s="76">
        <f t="shared" si="13"/>
        <v>0.38095238095238093</v>
      </c>
      <c r="BD27" s="67">
        <f t="shared" si="11"/>
        <v>2</v>
      </c>
      <c r="BE27" s="67">
        <f t="shared" si="12"/>
        <v>6</v>
      </c>
    </row>
    <row r="28" spans="1:57">
      <c r="A28" s="67">
        <v>70</v>
      </c>
      <c r="B28" s="67" t="s">
        <v>80</v>
      </c>
      <c r="C28" s="8" t="s">
        <v>346</v>
      </c>
      <c r="E28" s="269"/>
      <c r="F28" s="20"/>
      <c r="G28" s="20"/>
      <c r="H28" s="20"/>
      <c r="I28" s="20"/>
      <c r="J28" s="20"/>
      <c r="K28" s="20"/>
      <c r="L28" s="270"/>
      <c r="M28" s="269"/>
      <c r="N28" s="20"/>
      <c r="O28" s="20"/>
      <c r="P28" s="20"/>
      <c r="Q28" s="20"/>
      <c r="R28" s="20"/>
      <c r="S28" s="20"/>
      <c r="T28" s="270"/>
      <c r="U28" s="269"/>
      <c r="V28" s="20"/>
      <c r="W28" s="20"/>
      <c r="X28" s="20"/>
      <c r="Y28" s="20"/>
      <c r="Z28" s="20"/>
      <c r="AA28" s="20"/>
      <c r="AB28" s="270"/>
      <c r="AC28" s="269"/>
      <c r="AD28" s="20"/>
      <c r="AE28" s="20"/>
      <c r="AF28" s="20"/>
      <c r="AG28" s="20"/>
      <c r="AH28" s="20"/>
      <c r="AI28" s="20"/>
      <c r="AJ28" s="270"/>
      <c r="AK28" s="67">
        <v>70</v>
      </c>
      <c r="AL28" s="67">
        <v>1</v>
      </c>
      <c r="AO28" s="67">
        <f t="shared" si="0"/>
        <v>0</v>
      </c>
      <c r="AP28" s="67">
        <f t="shared" si="1"/>
        <v>0</v>
      </c>
      <c r="AQ28" s="67">
        <f t="shared" si="2"/>
        <v>0</v>
      </c>
      <c r="AR28" s="67">
        <f t="shared" si="3"/>
        <v>0</v>
      </c>
      <c r="AS28" s="67">
        <f t="shared" si="4"/>
        <v>0</v>
      </c>
      <c r="AT28" s="67">
        <f t="shared" si="5"/>
        <v>0</v>
      </c>
      <c r="AU28" s="67">
        <f t="shared" si="6"/>
        <v>0</v>
      </c>
      <c r="AV28" s="67">
        <f t="shared" si="7"/>
        <v>0</v>
      </c>
      <c r="AX28" s="256">
        <v>19</v>
      </c>
      <c r="AY28" s="67">
        <f t="shared" si="8"/>
        <v>95</v>
      </c>
      <c r="AZ28" s="76">
        <f t="shared" si="9"/>
        <v>0</v>
      </c>
      <c r="BA28" s="67">
        <f t="shared" si="10"/>
        <v>0</v>
      </c>
      <c r="BB28" s="76">
        <f t="shared" si="13"/>
        <v>0</v>
      </c>
      <c r="BD28" s="67">
        <f t="shared" si="11"/>
        <v>0</v>
      </c>
      <c r="BE28" s="67">
        <f t="shared" si="12"/>
        <v>0</v>
      </c>
    </row>
    <row r="29" spans="1:57">
      <c r="A29" s="67" t="s">
        <v>82</v>
      </c>
      <c r="B29" s="67" t="s">
        <v>55</v>
      </c>
      <c r="C29" s="8" t="s">
        <v>346</v>
      </c>
      <c r="E29" s="269"/>
      <c r="F29" s="20"/>
      <c r="G29" s="20"/>
      <c r="H29" s="20"/>
      <c r="I29" s="20" t="s">
        <v>431</v>
      </c>
      <c r="J29" s="20" t="s">
        <v>433</v>
      </c>
      <c r="K29" s="20"/>
      <c r="L29" s="270"/>
      <c r="M29" s="269"/>
      <c r="N29" s="20"/>
      <c r="O29" s="20"/>
      <c r="P29" s="20"/>
      <c r="Q29" s="20"/>
      <c r="R29" s="20"/>
      <c r="S29" s="20"/>
      <c r="T29" s="270"/>
      <c r="U29" s="269"/>
      <c r="V29" s="20"/>
      <c r="W29" s="20"/>
      <c r="X29" s="20"/>
      <c r="Y29" s="20"/>
      <c r="Z29" s="20"/>
      <c r="AA29" s="20"/>
      <c r="AB29" s="270"/>
      <c r="AC29" s="269"/>
      <c r="AD29" s="20"/>
      <c r="AE29" s="20"/>
      <c r="AF29" s="20"/>
      <c r="AG29" s="20"/>
      <c r="AH29" s="20"/>
      <c r="AI29" s="20"/>
      <c r="AJ29" s="270"/>
      <c r="AK29" s="67" t="s">
        <v>82</v>
      </c>
      <c r="AM29" s="67">
        <v>1</v>
      </c>
      <c r="AO29" s="67">
        <f t="shared" si="0"/>
        <v>0</v>
      </c>
      <c r="AP29" s="67">
        <f t="shared" si="1"/>
        <v>1</v>
      </c>
      <c r="AQ29" s="67">
        <f t="shared" si="2"/>
        <v>0</v>
      </c>
      <c r="AR29" s="67">
        <f t="shared" si="3"/>
        <v>1</v>
      </c>
      <c r="AS29" s="67">
        <f t="shared" si="4"/>
        <v>0</v>
      </c>
      <c r="AT29" s="67">
        <f t="shared" si="5"/>
        <v>0</v>
      </c>
      <c r="AU29" s="67">
        <f t="shared" si="6"/>
        <v>0</v>
      </c>
      <c r="AV29" s="67">
        <f t="shared" si="7"/>
        <v>2</v>
      </c>
      <c r="AX29" s="256">
        <v>20</v>
      </c>
      <c r="AY29" s="67">
        <f t="shared" si="8"/>
        <v>100</v>
      </c>
      <c r="AZ29" s="76">
        <f t="shared" si="9"/>
        <v>0.02</v>
      </c>
      <c r="BA29" s="67">
        <f t="shared" si="10"/>
        <v>2</v>
      </c>
      <c r="BB29" s="76">
        <f t="shared" si="13"/>
        <v>0.1</v>
      </c>
      <c r="BD29" s="67">
        <f t="shared" si="11"/>
        <v>2</v>
      </c>
      <c r="BE29" s="67">
        <f t="shared" si="12"/>
        <v>0</v>
      </c>
    </row>
    <row r="30" spans="1:57">
      <c r="A30" s="67">
        <v>72</v>
      </c>
      <c r="B30" s="67" t="s">
        <v>5</v>
      </c>
      <c r="C30" s="8" t="s">
        <v>42</v>
      </c>
      <c r="D30" s="67" t="s">
        <v>42</v>
      </c>
      <c r="E30" s="269"/>
      <c r="F30" s="5" t="s">
        <v>519</v>
      </c>
      <c r="G30" s="20"/>
      <c r="H30" s="5" t="s">
        <v>431</v>
      </c>
      <c r="I30" s="5" t="s">
        <v>431</v>
      </c>
      <c r="J30" s="5" t="s">
        <v>500</v>
      </c>
      <c r="K30" s="5" t="s">
        <v>500</v>
      </c>
      <c r="L30" s="270" t="s">
        <v>494</v>
      </c>
      <c r="M30" s="269" t="s">
        <v>494</v>
      </c>
      <c r="N30" s="20" t="s">
        <v>494</v>
      </c>
      <c r="O30" s="20" t="s">
        <v>494</v>
      </c>
      <c r="P30" s="5" t="s">
        <v>474</v>
      </c>
      <c r="Q30" s="20"/>
      <c r="R30" s="20"/>
      <c r="S30" s="5" t="s">
        <v>519</v>
      </c>
      <c r="T30" s="270" t="s">
        <v>519</v>
      </c>
      <c r="U30" s="269" t="s">
        <v>519</v>
      </c>
      <c r="V30" s="5" t="s">
        <v>519</v>
      </c>
      <c r="W30" s="5" t="s">
        <v>520</v>
      </c>
      <c r="X30" s="5" t="s">
        <v>520</v>
      </c>
      <c r="Y30" s="5" t="s">
        <v>520</v>
      </c>
      <c r="Z30" s="5" t="s">
        <v>494</v>
      </c>
      <c r="AA30" s="5" t="s">
        <v>494</v>
      </c>
      <c r="AB30" s="270" t="s">
        <v>521</v>
      </c>
      <c r="AC30" s="269" t="s">
        <v>494</v>
      </c>
      <c r="AD30" s="20" t="s">
        <v>494</v>
      </c>
      <c r="AE30" s="20" t="s">
        <v>494</v>
      </c>
      <c r="AF30" s="5" t="s">
        <v>520</v>
      </c>
      <c r="AG30" s="5" t="s">
        <v>520</v>
      </c>
      <c r="AH30" s="5" t="s">
        <v>520</v>
      </c>
      <c r="AI30" s="5" t="s">
        <v>520</v>
      </c>
      <c r="AJ30" s="5" t="s">
        <v>520</v>
      </c>
      <c r="AK30" s="67">
        <v>72</v>
      </c>
      <c r="AM30" s="67">
        <v>1</v>
      </c>
      <c r="AO30" s="67">
        <f t="shared" si="0"/>
        <v>0</v>
      </c>
      <c r="AP30" s="67">
        <f t="shared" si="1"/>
        <v>16</v>
      </c>
      <c r="AQ30" s="67">
        <f t="shared" si="2"/>
        <v>26</v>
      </c>
      <c r="AR30" s="67">
        <f t="shared" si="3"/>
        <v>12</v>
      </c>
      <c r="AS30" s="67">
        <f t="shared" si="4"/>
        <v>23</v>
      </c>
      <c r="AT30" s="67">
        <f t="shared" si="5"/>
        <v>23</v>
      </c>
      <c r="AU30" s="67">
        <f t="shared" si="6"/>
        <v>0</v>
      </c>
      <c r="AV30" s="67">
        <f t="shared" si="7"/>
        <v>100</v>
      </c>
      <c r="AX30" s="256">
        <v>28</v>
      </c>
      <c r="AY30" s="67">
        <f t="shared" si="8"/>
        <v>140</v>
      </c>
      <c r="AZ30" s="76">
        <f t="shared" si="9"/>
        <v>0.7142857142857143</v>
      </c>
      <c r="BA30" s="67">
        <f t="shared" si="10"/>
        <v>28</v>
      </c>
      <c r="BB30" s="76">
        <f t="shared" si="13"/>
        <v>1</v>
      </c>
      <c r="BD30" s="67">
        <f t="shared" si="11"/>
        <v>12</v>
      </c>
      <c r="BE30" s="67">
        <f t="shared" si="12"/>
        <v>16</v>
      </c>
    </row>
    <row r="31" spans="1:57">
      <c r="A31" s="67">
        <v>73</v>
      </c>
      <c r="B31" s="67" t="s">
        <v>44</v>
      </c>
      <c r="C31" s="8" t="s">
        <v>349</v>
      </c>
      <c r="D31" s="67" t="s">
        <v>6</v>
      </c>
      <c r="E31" s="269"/>
      <c r="F31" s="20"/>
      <c r="G31" s="20"/>
      <c r="H31" s="20"/>
      <c r="I31" s="20"/>
      <c r="J31" s="20"/>
      <c r="K31" s="20"/>
      <c r="L31" s="270"/>
      <c r="M31" s="269"/>
      <c r="N31" s="20"/>
      <c r="O31" s="20"/>
      <c r="P31" s="20"/>
      <c r="Q31" s="20"/>
      <c r="R31" s="20"/>
      <c r="S31" s="20"/>
      <c r="T31" s="270"/>
      <c r="U31" s="269"/>
      <c r="V31" s="20"/>
      <c r="W31" s="20"/>
      <c r="X31" s="20"/>
      <c r="Y31" s="20"/>
      <c r="Z31" s="20"/>
      <c r="AA31" s="20"/>
      <c r="AB31" s="270"/>
      <c r="AC31" s="269"/>
      <c r="AD31" s="20"/>
      <c r="AE31" s="20"/>
      <c r="AF31" s="20"/>
      <c r="AG31" s="20"/>
      <c r="AH31" s="20"/>
      <c r="AI31" s="20"/>
      <c r="AJ31" s="270"/>
      <c r="AK31" s="67">
        <v>73</v>
      </c>
      <c r="AL31" s="67">
        <v>1</v>
      </c>
      <c r="AO31" s="67">
        <f t="shared" si="0"/>
        <v>0</v>
      </c>
      <c r="AP31" s="67">
        <f t="shared" si="1"/>
        <v>0</v>
      </c>
      <c r="AQ31" s="67">
        <f t="shared" si="2"/>
        <v>0</v>
      </c>
      <c r="AR31" s="67">
        <f t="shared" si="3"/>
        <v>0</v>
      </c>
      <c r="AS31" s="67">
        <f t="shared" si="4"/>
        <v>0</v>
      </c>
      <c r="AT31" s="67">
        <f t="shared" si="5"/>
        <v>0</v>
      </c>
      <c r="AU31" s="67">
        <f t="shared" si="6"/>
        <v>0</v>
      </c>
      <c r="AV31" s="67">
        <f t="shared" si="7"/>
        <v>0</v>
      </c>
      <c r="AX31" s="256">
        <v>7</v>
      </c>
      <c r="AY31" s="67">
        <f t="shared" si="8"/>
        <v>35</v>
      </c>
      <c r="AZ31" s="76">
        <f t="shared" si="9"/>
        <v>0</v>
      </c>
      <c r="BA31" s="67">
        <f t="shared" si="10"/>
        <v>0</v>
      </c>
      <c r="BB31" s="76">
        <f t="shared" si="13"/>
        <v>0</v>
      </c>
      <c r="BD31" s="67">
        <f t="shared" si="11"/>
        <v>0</v>
      </c>
      <c r="BE31" s="67">
        <f t="shared" si="12"/>
        <v>0</v>
      </c>
    </row>
    <row r="32" spans="1:57">
      <c r="A32" s="67">
        <v>74</v>
      </c>
      <c r="B32" s="67" t="s">
        <v>88</v>
      </c>
      <c r="C32" s="8" t="s">
        <v>12</v>
      </c>
      <c r="D32" s="67" t="s">
        <v>6</v>
      </c>
      <c r="E32" s="269"/>
      <c r="F32" s="5" t="s">
        <v>431</v>
      </c>
      <c r="G32" s="5" t="s">
        <v>431</v>
      </c>
      <c r="H32" s="5" t="s">
        <v>431</v>
      </c>
      <c r="I32" s="5" t="s">
        <v>431</v>
      </c>
      <c r="J32" s="5" t="s">
        <v>433</v>
      </c>
      <c r="K32" s="5" t="s">
        <v>500</v>
      </c>
      <c r="L32" s="270" t="s">
        <v>501</v>
      </c>
      <c r="M32" s="269"/>
      <c r="N32" s="5" t="s">
        <v>433</v>
      </c>
      <c r="O32" s="5" t="s">
        <v>433</v>
      </c>
      <c r="P32" s="5" t="s">
        <v>431</v>
      </c>
      <c r="Q32" s="5" t="s">
        <v>431</v>
      </c>
      <c r="R32" s="5" t="s">
        <v>431</v>
      </c>
      <c r="S32" s="5" t="s">
        <v>434</v>
      </c>
      <c r="T32" s="270" t="s">
        <v>434</v>
      </c>
      <c r="U32" s="269" t="s">
        <v>432</v>
      </c>
      <c r="V32" s="5" t="s">
        <v>432</v>
      </c>
      <c r="W32" s="5" t="s">
        <v>499</v>
      </c>
      <c r="X32" s="5" t="s">
        <v>432</v>
      </c>
      <c r="Y32" s="5" t="s">
        <v>432</v>
      </c>
      <c r="Z32" s="5" t="s">
        <v>500</v>
      </c>
      <c r="AA32" s="5" t="s">
        <v>500</v>
      </c>
      <c r="AB32" s="270" t="s">
        <v>494</v>
      </c>
      <c r="AC32" s="269" t="s">
        <v>500</v>
      </c>
      <c r="AD32" s="5" t="s">
        <v>432</v>
      </c>
      <c r="AE32" s="5" t="s">
        <v>500</v>
      </c>
      <c r="AF32" s="5" t="s">
        <v>432</v>
      </c>
      <c r="AG32" s="5" t="s">
        <v>432</v>
      </c>
      <c r="AH32" s="5" t="s">
        <v>499</v>
      </c>
      <c r="AI32" s="5" t="s">
        <v>432</v>
      </c>
      <c r="AJ32" s="270" t="s">
        <v>499</v>
      </c>
      <c r="AK32" s="67">
        <v>74</v>
      </c>
      <c r="AM32" s="67">
        <v>1</v>
      </c>
      <c r="AO32" s="67">
        <f t="shared" si="0"/>
        <v>0</v>
      </c>
      <c r="AP32" s="67">
        <f t="shared" si="1"/>
        <v>10</v>
      </c>
      <c r="AQ32" s="67">
        <f t="shared" si="2"/>
        <v>17</v>
      </c>
      <c r="AR32" s="67">
        <f t="shared" si="3"/>
        <v>10</v>
      </c>
      <c r="AS32" s="67">
        <f t="shared" si="4"/>
        <v>4</v>
      </c>
      <c r="AT32" s="67">
        <f t="shared" si="5"/>
        <v>1</v>
      </c>
      <c r="AU32" s="67">
        <f t="shared" si="6"/>
        <v>0</v>
      </c>
      <c r="AV32" s="67">
        <f t="shared" si="7"/>
        <v>42</v>
      </c>
      <c r="AX32" s="256">
        <v>31</v>
      </c>
      <c r="AY32" s="67">
        <f t="shared" si="8"/>
        <v>155</v>
      </c>
      <c r="AZ32" s="76">
        <f t="shared" si="9"/>
        <v>0.2709677419354839</v>
      </c>
      <c r="BA32" s="67">
        <f t="shared" si="10"/>
        <v>30</v>
      </c>
      <c r="BB32" s="76">
        <f t="shared" si="13"/>
        <v>0.967741935483871</v>
      </c>
      <c r="BD32" s="67">
        <f t="shared" si="11"/>
        <v>14</v>
      </c>
      <c r="BE32" s="67">
        <f t="shared" si="12"/>
        <v>16</v>
      </c>
    </row>
    <row r="33" spans="1:57">
      <c r="A33" s="67">
        <v>76</v>
      </c>
      <c r="B33" s="67" t="s">
        <v>73</v>
      </c>
      <c r="C33" s="8" t="s">
        <v>165</v>
      </c>
      <c r="D33" s="67" t="s">
        <v>42</v>
      </c>
      <c r="E33" s="269" t="s">
        <v>461</v>
      </c>
      <c r="F33" s="5" t="s">
        <v>431</v>
      </c>
      <c r="G33" s="5" t="s">
        <v>431</v>
      </c>
      <c r="H33" s="20"/>
      <c r="I33" s="5" t="s">
        <v>431</v>
      </c>
      <c r="J33" s="5" t="s">
        <v>433</v>
      </c>
      <c r="K33" s="5" t="s">
        <v>500</v>
      </c>
      <c r="L33" s="270" t="s">
        <v>448</v>
      </c>
      <c r="M33" s="269" t="s">
        <v>500</v>
      </c>
      <c r="N33" s="5" t="s">
        <v>433</v>
      </c>
      <c r="O33" s="5" t="s">
        <v>433</v>
      </c>
      <c r="P33" s="5" t="s">
        <v>512</v>
      </c>
      <c r="Q33" s="5" t="s">
        <v>431</v>
      </c>
      <c r="R33" s="20"/>
      <c r="S33" s="5" t="s">
        <v>499</v>
      </c>
      <c r="T33" s="270" t="s">
        <v>509</v>
      </c>
      <c r="U33" s="269" t="s">
        <v>467</v>
      </c>
      <c r="V33" s="5" t="s">
        <v>496</v>
      </c>
      <c r="W33" s="5" t="s">
        <v>496</v>
      </c>
      <c r="X33" s="5" t="s">
        <v>522</v>
      </c>
      <c r="Y33" s="5" t="s">
        <v>499</v>
      </c>
      <c r="Z33" s="5" t="s">
        <v>498</v>
      </c>
      <c r="AA33" s="5" t="s">
        <v>523</v>
      </c>
      <c r="AB33" s="270" t="s">
        <v>494</v>
      </c>
      <c r="AC33" s="269" t="s">
        <v>494</v>
      </c>
      <c r="AD33" s="5" t="s">
        <v>514</v>
      </c>
      <c r="AE33" s="5" t="s">
        <v>500</v>
      </c>
      <c r="AF33" s="5" t="s">
        <v>431</v>
      </c>
      <c r="AG33" s="5" t="s">
        <v>431</v>
      </c>
      <c r="AH33" s="20"/>
      <c r="AI33" s="20"/>
      <c r="AJ33" s="270" t="s">
        <v>432</v>
      </c>
      <c r="AK33" s="67">
        <v>76</v>
      </c>
      <c r="AM33" s="67">
        <v>1</v>
      </c>
      <c r="AO33" s="67">
        <f t="shared" si="0"/>
        <v>0</v>
      </c>
      <c r="AP33" s="67">
        <f t="shared" si="1"/>
        <v>15</v>
      </c>
      <c r="AQ33" s="67">
        <f t="shared" si="2"/>
        <v>16</v>
      </c>
      <c r="AR33" s="67">
        <f t="shared" si="3"/>
        <v>12</v>
      </c>
      <c r="AS33" s="67">
        <f t="shared" si="4"/>
        <v>9</v>
      </c>
      <c r="AT33" s="67">
        <f t="shared" si="5"/>
        <v>12</v>
      </c>
      <c r="AU33" s="67">
        <f t="shared" si="6"/>
        <v>0</v>
      </c>
      <c r="AV33" s="67">
        <f t="shared" si="7"/>
        <v>64</v>
      </c>
      <c r="AX33" s="256">
        <v>31</v>
      </c>
      <c r="AY33" s="67">
        <f t="shared" si="8"/>
        <v>155</v>
      </c>
      <c r="AZ33" s="76">
        <f t="shared" si="9"/>
        <v>0.41290322580645161</v>
      </c>
      <c r="BA33" s="8">
        <f t="shared" si="10"/>
        <v>28</v>
      </c>
      <c r="BB33" s="76">
        <f t="shared" si="13"/>
        <v>0.90322580645161288</v>
      </c>
      <c r="BD33" s="67">
        <f t="shared" si="11"/>
        <v>14</v>
      </c>
      <c r="BE33" s="67">
        <f t="shared" si="12"/>
        <v>14</v>
      </c>
    </row>
    <row r="34" spans="1:57">
      <c r="A34" s="67">
        <v>77</v>
      </c>
      <c r="B34" s="67" t="s">
        <v>78</v>
      </c>
      <c r="C34" s="8" t="s">
        <v>359</v>
      </c>
      <c r="E34" s="269"/>
      <c r="F34" s="20"/>
      <c r="G34" s="20"/>
      <c r="H34" s="20"/>
      <c r="I34" s="20"/>
      <c r="J34" s="20"/>
      <c r="K34" s="20"/>
      <c r="L34" s="270"/>
      <c r="M34" s="269"/>
      <c r="N34" s="20"/>
      <c r="O34" s="20"/>
      <c r="P34" s="20"/>
      <c r="Q34" s="20"/>
      <c r="R34" s="20"/>
      <c r="S34" s="20"/>
      <c r="T34" s="270"/>
      <c r="U34" s="269"/>
      <c r="V34" s="20"/>
      <c r="W34" s="20"/>
      <c r="X34" s="20"/>
      <c r="Y34" s="20"/>
      <c r="Z34" s="5" t="s">
        <v>433</v>
      </c>
      <c r="AA34" s="20"/>
      <c r="AB34" s="270" t="s">
        <v>433</v>
      </c>
      <c r="AC34" s="269" t="s">
        <v>433</v>
      </c>
      <c r="AD34" s="20"/>
      <c r="AE34" s="5" t="s">
        <v>433</v>
      </c>
      <c r="AF34" s="20"/>
      <c r="AG34" s="20"/>
      <c r="AH34" s="20"/>
      <c r="AI34" s="20"/>
      <c r="AJ34" s="270"/>
      <c r="AK34" s="67">
        <v>77</v>
      </c>
      <c r="AM34" s="67">
        <v>1</v>
      </c>
      <c r="AO34" s="67">
        <f t="shared" si="0"/>
        <v>0</v>
      </c>
      <c r="AP34" s="67">
        <f t="shared" si="1"/>
        <v>0</v>
      </c>
      <c r="AQ34" s="67">
        <f t="shared" si="2"/>
        <v>0</v>
      </c>
      <c r="AR34" s="67">
        <f t="shared" si="3"/>
        <v>4</v>
      </c>
      <c r="AS34" s="67">
        <f t="shared" si="4"/>
        <v>0</v>
      </c>
      <c r="AT34" s="67">
        <f t="shared" si="5"/>
        <v>0</v>
      </c>
      <c r="AU34" s="67">
        <f t="shared" si="6"/>
        <v>0</v>
      </c>
      <c r="AV34" s="67">
        <f t="shared" si="7"/>
        <v>4</v>
      </c>
      <c r="AX34" s="256">
        <v>22</v>
      </c>
      <c r="AY34" s="67">
        <f>5*AX34</f>
        <v>110</v>
      </c>
      <c r="AZ34" s="76">
        <f>AV34/AY34</f>
        <v>3.6363636363636362E-2</v>
      </c>
      <c r="BA34" s="67">
        <f t="shared" si="10"/>
        <v>4</v>
      </c>
      <c r="BB34" s="76">
        <f t="shared" si="13"/>
        <v>0.18181818181818182</v>
      </c>
      <c r="BD34" s="67">
        <f t="shared" si="11"/>
        <v>0</v>
      </c>
      <c r="BE34" s="67">
        <f t="shared" si="12"/>
        <v>4</v>
      </c>
    </row>
    <row r="35" spans="1:57">
      <c r="A35" s="67">
        <v>79</v>
      </c>
      <c r="B35" s="67" t="s">
        <v>71</v>
      </c>
      <c r="C35" s="8" t="s">
        <v>366</v>
      </c>
      <c r="D35" s="67" t="s">
        <v>42</v>
      </c>
      <c r="E35" s="269"/>
      <c r="F35" s="5" t="s">
        <v>496</v>
      </c>
      <c r="G35" s="5" t="s">
        <v>520</v>
      </c>
      <c r="H35" s="5" t="s">
        <v>431</v>
      </c>
      <c r="I35" s="5" t="s">
        <v>431</v>
      </c>
      <c r="J35" s="5" t="s">
        <v>494</v>
      </c>
      <c r="K35" s="5" t="s">
        <v>498</v>
      </c>
      <c r="L35" s="270" t="s">
        <v>448</v>
      </c>
      <c r="M35" s="269" t="s">
        <v>494</v>
      </c>
      <c r="N35" s="5" t="s">
        <v>501</v>
      </c>
      <c r="O35" s="5" t="s">
        <v>456</v>
      </c>
      <c r="P35" s="5" t="s">
        <v>512</v>
      </c>
      <c r="Q35" s="5" t="s">
        <v>511</v>
      </c>
      <c r="R35" s="5" t="s">
        <v>496</v>
      </c>
      <c r="S35" s="5" t="s">
        <v>496</v>
      </c>
      <c r="T35" s="270"/>
      <c r="U35" s="269" t="s">
        <v>524</v>
      </c>
      <c r="V35" s="20" t="s">
        <v>524</v>
      </c>
      <c r="W35" s="20" t="s">
        <v>524</v>
      </c>
      <c r="X35" s="20" t="s">
        <v>524</v>
      </c>
      <c r="Y35" s="20" t="s">
        <v>524</v>
      </c>
      <c r="Z35" s="5" t="s">
        <v>494</v>
      </c>
      <c r="AA35" s="5" t="s">
        <v>494</v>
      </c>
      <c r="AB35" s="270" t="s">
        <v>494</v>
      </c>
      <c r="AC35" s="269" t="s">
        <v>494</v>
      </c>
      <c r="AD35" s="5" t="s">
        <v>494</v>
      </c>
      <c r="AE35" s="5" t="s">
        <v>494</v>
      </c>
      <c r="AF35" s="20" t="s">
        <v>524</v>
      </c>
      <c r="AG35" s="20" t="s">
        <v>524</v>
      </c>
      <c r="AH35" s="20" t="s">
        <v>524</v>
      </c>
      <c r="AI35" s="20" t="s">
        <v>524</v>
      </c>
      <c r="AJ35" s="270" t="s">
        <v>515</v>
      </c>
      <c r="AK35" s="67">
        <v>79</v>
      </c>
      <c r="AM35" s="67">
        <v>1</v>
      </c>
      <c r="AO35" s="67">
        <f t="shared" si="0"/>
        <v>0</v>
      </c>
      <c r="AP35" s="67">
        <f t="shared" si="1"/>
        <v>17</v>
      </c>
      <c r="AQ35" s="67">
        <f t="shared" si="2"/>
        <v>24</v>
      </c>
      <c r="AR35" s="67">
        <f t="shared" si="3"/>
        <v>12</v>
      </c>
      <c r="AS35" s="67">
        <f t="shared" si="4"/>
        <v>25</v>
      </c>
      <c r="AT35" s="67">
        <f t="shared" si="5"/>
        <v>26</v>
      </c>
      <c r="AU35" s="67">
        <f t="shared" si="6"/>
        <v>0</v>
      </c>
      <c r="AV35" s="67">
        <f t="shared" si="7"/>
        <v>104</v>
      </c>
      <c r="AX35" s="256">
        <v>30</v>
      </c>
      <c r="AY35" s="67">
        <f t="shared" ref="AY35:AY98" si="14">5*AX35</f>
        <v>150</v>
      </c>
      <c r="AZ35" s="76">
        <f t="shared" ref="AZ35:AZ98" si="15">AV35/AY35</f>
        <v>0.69333333333333336</v>
      </c>
      <c r="BA35" s="67">
        <f t="shared" si="10"/>
        <v>30</v>
      </c>
      <c r="BB35" s="76">
        <f t="shared" si="13"/>
        <v>1</v>
      </c>
      <c r="BD35" s="67">
        <f t="shared" si="11"/>
        <v>14</v>
      </c>
      <c r="BE35" s="67">
        <f t="shared" si="12"/>
        <v>16</v>
      </c>
    </row>
    <row r="36" spans="1:57">
      <c r="A36" s="8">
        <v>82</v>
      </c>
      <c r="B36" s="55" t="s">
        <v>56</v>
      </c>
      <c r="C36" s="8" t="s">
        <v>360</v>
      </c>
      <c r="D36" s="8"/>
      <c r="E36" s="269"/>
      <c r="F36" s="20"/>
      <c r="G36" s="20"/>
      <c r="H36" s="20"/>
      <c r="I36" s="20"/>
      <c r="J36" s="20"/>
      <c r="K36" s="20"/>
      <c r="L36" s="270"/>
      <c r="M36" s="269"/>
      <c r="N36" s="20"/>
      <c r="O36" s="20"/>
      <c r="P36" s="20"/>
      <c r="Q36" s="20"/>
      <c r="R36" s="20"/>
      <c r="S36" s="20"/>
      <c r="T36" s="270"/>
      <c r="U36" s="269"/>
      <c r="V36" s="20"/>
      <c r="W36" s="20"/>
      <c r="X36" s="20"/>
      <c r="Y36" s="20"/>
      <c r="Z36" s="20"/>
      <c r="AA36" s="20"/>
      <c r="AB36" s="270"/>
      <c r="AC36" s="269"/>
      <c r="AD36" s="20"/>
      <c r="AE36" s="20"/>
      <c r="AF36" s="20"/>
      <c r="AG36" s="20"/>
      <c r="AH36" s="20"/>
      <c r="AI36" s="20"/>
      <c r="AJ36" s="270"/>
      <c r="AK36" s="8">
        <v>82</v>
      </c>
      <c r="AL36" s="67">
        <v>1</v>
      </c>
      <c r="AO36" s="67">
        <f t="shared" si="0"/>
        <v>0</v>
      </c>
      <c r="AP36" s="67">
        <f t="shared" si="1"/>
        <v>0</v>
      </c>
      <c r="AQ36" s="67">
        <f t="shared" si="2"/>
        <v>0</v>
      </c>
      <c r="AR36" s="67">
        <f t="shared" si="3"/>
        <v>0</v>
      </c>
      <c r="AS36" s="67">
        <f t="shared" si="4"/>
        <v>0</v>
      </c>
      <c r="AT36" s="67">
        <f t="shared" si="5"/>
        <v>0</v>
      </c>
      <c r="AU36" s="67">
        <f t="shared" si="6"/>
        <v>0</v>
      </c>
      <c r="AV36" s="67">
        <f t="shared" si="7"/>
        <v>0</v>
      </c>
      <c r="AX36" s="256">
        <v>3</v>
      </c>
      <c r="AY36" s="67">
        <f t="shared" si="14"/>
        <v>15</v>
      </c>
      <c r="AZ36" s="76">
        <f t="shared" si="15"/>
        <v>0</v>
      </c>
      <c r="BA36" s="67">
        <f t="shared" si="10"/>
        <v>0</v>
      </c>
      <c r="BB36" s="76">
        <f t="shared" si="13"/>
        <v>0</v>
      </c>
      <c r="BD36" s="67">
        <f t="shared" si="11"/>
        <v>0</v>
      </c>
      <c r="BE36" s="67">
        <f t="shared" si="12"/>
        <v>0</v>
      </c>
    </row>
    <row r="37" spans="1:57">
      <c r="A37" s="67">
        <v>85</v>
      </c>
      <c r="B37" s="67" t="s">
        <v>93</v>
      </c>
      <c r="C37" s="8" t="s">
        <v>12</v>
      </c>
      <c r="D37" s="67" t="s">
        <v>6</v>
      </c>
      <c r="E37" s="269"/>
      <c r="F37" s="5" t="s">
        <v>499</v>
      </c>
      <c r="G37" s="5" t="s">
        <v>499</v>
      </c>
      <c r="H37" s="5" t="s">
        <v>431</v>
      </c>
      <c r="I37" s="5" t="s">
        <v>431</v>
      </c>
      <c r="J37" s="5" t="s">
        <v>433</v>
      </c>
      <c r="K37" s="5" t="s">
        <v>500</v>
      </c>
      <c r="L37" s="270" t="s">
        <v>432</v>
      </c>
      <c r="M37" s="269" t="s">
        <v>433</v>
      </c>
      <c r="N37" s="5" t="s">
        <v>433</v>
      </c>
      <c r="O37" s="5" t="s">
        <v>433</v>
      </c>
      <c r="P37" s="5" t="s">
        <v>431</v>
      </c>
      <c r="Q37" s="5" t="s">
        <v>431</v>
      </c>
      <c r="R37" s="5" t="s">
        <v>461</v>
      </c>
      <c r="S37" s="5" t="s">
        <v>431</v>
      </c>
      <c r="T37" s="270"/>
      <c r="U37" s="269" t="s">
        <v>461</v>
      </c>
      <c r="V37" s="5" t="s">
        <v>432</v>
      </c>
      <c r="W37" s="5" t="s">
        <v>434</v>
      </c>
      <c r="X37" s="20"/>
      <c r="Y37" s="20"/>
      <c r="Z37" s="5" t="s">
        <v>494</v>
      </c>
      <c r="AA37" s="5" t="s">
        <v>498</v>
      </c>
      <c r="AB37" s="270" t="s">
        <v>500</v>
      </c>
      <c r="AC37" s="269" t="s">
        <v>500</v>
      </c>
      <c r="AD37" s="5" t="s">
        <v>500</v>
      </c>
      <c r="AE37" s="5" t="s">
        <v>433</v>
      </c>
      <c r="AF37" s="5" t="s">
        <v>499</v>
      </c>
      <c r="AG37" s="5" t="s">
        <v>432</v>
      </c>
      <c r="AH37" s="20"/>
      <c r="AI37" s="5" t="s">
        <v>432</v>
      </c>
      <c r="AJ37" s="270" t="s">
        <v>432</v>
      </c>
      <c r="AK37" s="67">
        <v>85</v>
      </c>
      <c r="AM37" s="67">
        <v>1</v>
      </c>
      <c r="AO37" s="67">
        <f t="shared" si="0"/>
        <v>0</v>
      </c>
      <c r="AP37" s="67">
        <f t="shared" si="1"/>
        <v>10</v>
      </c>
      <c r="AQ37" s="67">
        <f t="shared" si="2"/>
        <v>14</v>
      </c>
      <c r="AR37" s="67">
        <f t="shared" si="3"/>
        <v>11</v>
      </c>
      <c r="AS37" s="67">
        <f t="shared" si="4"/>
        <v>2</v>
      </c>
      <c r="AT37" s="67">
        <f t="shared" si="5"/>
        <v>4</v>
      </c>
      <c r="AU37" s="67">
        <f t="shared" si="6"/>
        <v>0</v>
      </c>
      <c r="AV37" s="67">
        <f t="shared" si="7"/>
        <v>41</v>
      </c>
      <c r="AX37" s="256">
        <v>31</v>
      </c>
      <c r="AY37" s="67">
        <f t="shared" si="14"/>
        <v>155</v>
      </c>
      <c r="AZ37" s="76">
        <f t="shared" si="15"/>
        <v>0.26451612903225807</v>
      </c>
      <c r="BA37" s="67">
        <f t="shared" si="10"/>
        <v>27</v>
      </c>
      <c r="BB37" s="76">
        <f t="shared" si="13"/>
        <v>0.87096774193548387</v>
      </c>
      <c r="BD37" s="67">
        <f t="shared" si="11"/>
        <v>14</v>
      </c>
      <c r="BE37" s="67">
        <f t="shared" si="12"/>
        <v>13</v>
      </c>
    </row>
    <row r="38" spans="1:57">
      <c r="A38" s="67">
        <v>86</v>
      </c>
      <c r="B38" s="67" t="s">
        <v>44</v>
      </c>
      <c r="C38" s="8" t="s">
        <v>349</v>
      </c>
      <c r="D38" s="67" t="s">
        <v>6</v>
      </c>
      <c r="E38" s="269"/>
      <c r="F38" s="5" t="s">
        <v>496</v>
      </c>
      <c r="G38" s="5" t="s">
        <v>512</v>
      </c>
      <c r="H38" s="5" t="s">
        <v>499</v>
      </c>
      <c r="I38" s="5" t="s">
        <v>431</v>
      </c>
      <c r="J38" s="20"/>
      <c r="K38" s="20"/>
      <c r="L38" s="270" t="s">
        <v>501</v>
      </c>
      <c r="M38" s="269"/>
      <c r="N38" s="20"/>
      <c r="O38" s="5" t="s">
        <v>500</v>
      </c>
      <c r="P38" s="5" t="s">
        <v>461</v>
      </c>
      <c r="Q38" s="20"/>
      <c r="R38" s="20" t="s">
        <v>467</v>
      </c>
      <c r="S38" s="5" t="s">
        <v>525</v>
      </c>
      <c r="T38" s="270"/>
      <c r="U38" s="269"/>
      <c r="V38" s="20"/>
      <c r="W38" s="5" t="s">
        <v>496</v>
      </c>
      <c r="X38" s="20" t="s">
        <v>525</v>
      </c>
      <c r="Y38" s="20" t="s">
        <v>525</v>
      </c>
      <c r="Z38" s="5" t="s">
        <v>526</v>
      </c>
      <c r="AA38" s="5" t="s">
        <v>527</v>
      </c>
      <c r="AB38" s="270" t="s">
        <v>528</v>
      </c>
      <c r="AC38" s="269" t="s">
        <v>494</v>
      </c>
      <c r="AD38" s="5" t="s">
        <v>528</v>
      </c>
      <c r="AE38" s="5" t="s">
        <v>529</v>
      </c>
      <c r="AF38" s="5" t="s">
        <v>519</v>
      </c>
      <c r="AG38" s="20"/>
      <c r="AH38" s="20"/>
      <c r="AI38" s="20"/>
      <c r="AJ38" s="270"/>
      <c r="AK38" s="67">
        <v>86</v>
      </c>
      <c r="AM38" s="67">
        <v>1</v>
      </c>
      <c r="AO38" s="67">
        <f t="shared" si="0"/>
        <v>0</v>
      </c>
      <c r="AP38" s="67">
        <f t="shared" si="1"/>
        <v>11</v>
      </c>
      <c r="AQ38" s="67">
        <f t="shared" si="2"/>
        <v>15</v>
      </c>
      <c r="AR38" s="67">
        <f t="shared" si="3"/>
        <v>7</v>
      </c>
      <c r="AS38" s="67">
        <f t="shared" si="4"/>
        <v>14</v>
      </c>
      <c r="AT38" s="67">
        <f t="shared" si="5"/>
        <v>15</v>
      </c>
      <c r="AU38" s="67">
        <f t="shared" si="6"/>
        <v>0</v>
      </c>
      <c r="AV38" s="67">
        <f t="shared" si="7"/>
        <v>62</v>
      </c>
      <c r="AX38" s="256">
        <v>23</v>
      </c>
      <c r="AY38" s="67">
        <f t="shared" si="14"/>
        <v>115</v>
      </c>
      <c r="AZ38" s="76">
        <f t="shared" si="15"/>
        <v>0.53913043478260869</v>
      </c>
      <c r="BA38" s="67">
        <f t="shared" si="10"/>
        <v>19</v>
      </c>
      <c r="BB38" s="76">
        <f t="shared" si="13"/>
        <v>0.82608695652173914</v>
      </c>
      <c r="BD38" s="67">
        <f t="shared" si="11"/>
        <v>9</v>
      </c>
      <c r="BE38" s="67">
        <f t="shared" si="12"/>
        <v>10</v>
      </c>
    </row>
    <row r="39" spans="1:57">
      <c r="A39" s="67">
        <v>88</v>
      </c>
      <c r="B39" s="67" t="s">
        <v>55</v>
      </c>
      <c r="C39" s="8" t="s">
        <v>346</v>
      </c>
      <c r="E39" s="269"/>
      <c r="F39" s="20"/>
      <c r="G39" s="20"/>
      <c r="H39" s="20"/>
      <c r="I39" s="20"/>
      <c r="J39" s="20"/>
      <c r="K39" s="20"/>
      <c r="L39" s="270"/>
      <c r="M39" s="269"/>
      <c r="N39" s="20"/>
      <c r="O39" s="20"/>
      <c r="P39" s="20"/>
      <c r="Q39" s="20"/>
      <c r="R39" s="20"/>
      <c r="S39" s="20"/>
      <c r="T39" s="270"/>
      <c r="U39" s="269"/>
      <c r="V39" s="20"/>
      <c r="W39" s="20"/>
      <c r="X39" s="20"/>
      <c r="Y39" s="20"/>
      <c r="Z39" s="20"/>
      <c r="AA39" s="20"/>
      <c r="AB39" s="270"/>
      <c r="AC39" s="269"/>
      <c r="AD39" s="20"/>
      <c r="AE39" s="20"/>
      <c r="AF39" s="20"/>
      <c r="AG39" s="20"/>
      <c r="AH39" s="20"/>
      <c r="AI39" s="20"/>
      <c r="AJ39" s="270"/>
      <c r="AK39" s="67">
        <v>88</v>
      </c>
      <c r="AL39" s="67">
        <v>1</v>
      </c>
      <c r="AO39" s="67">
        <f t="shared" si="0"/>
        <v>0</v>
      </c>
      <c r="AP39" s="67">
        <f t="shared" si="1"/>
        <v>0</v>
      </c>
      <c r="AQ39" s="67">
        <f t="shared" si="2"/>
        <v>0</v>
      </c>
      <c r="AR39" s="67">
        <f t="shared" si="3"/>
        <v>0</v>
      </c>
      <c r="AS39" s="67">
        <f t="shared" si="4"/>
        <v>0</v>
      </c>
      <c r="AT39" s="67">
        <f t="shared" si="5"/>
        <v>0</v>
      </c>
      <c r="AU39" s="67">
        <f t="shared" si="6"/>
        <v>0</v>
      </c>
      <c r="AV39" s="67">
        <f t="shared" si="7"/>
        <v>0</v>
      </c>
      <c r="AX39" s="256">
        <v>20</v>
      </c>
      <c r="AY39" s="67">
        <f t="shared" si="14"/>
        <v>100</v>
      </c>
      <c r="AZ39" s="76">
        <f t="shared" si="15"/>
        <v>0</v>
      </c>
      <c r="BA39" s="67">
        <f t="shared" si="10"/>
        <v>0</v>
      </c>
      <c r="BB39" s="76">
        <f t="shared" si="13"/>
        <v>0</v>
      </c>
      <c r="BD39" s="67">
        <f t="shared" si="11"/>
        <v>0</v>
      </c>
      <c r="BE39" s="67">
        <f t="shared" si="12"/>
        <v>0</v>
      </c>
    </row>
    <row r="40" spans="1:57">
      <c r="A40" s="67">
        <v>93</v>
      </c>
      <c r="B40" s="67" t="s">
        <v>63</v>
      </c>
      <c r="C40" s="8" t="s">
        <v>346</v>
      </c>
      <c r="E40" s="269"/>
      <c r="F40" s="20"/>
      <c r="G40" s="20"/>
      <c r="H40" s="20"/>
      <c r="I40" s="20"/>
      <c r="J40" s="20"/>
      <c r="K40" s="20"/>
      <c r="L40" s="270"/>
      <c r="M40" s="269"/>
      <c r="N40" s="20"/>
      <c r="O40" s="20"/>
      <c r="P40" s="20"/>
      <c r="Q40" s="20"/>
      <c r="R40" s="20"/>
      <c r="S40" s="20"/>
      <c r="T40" s="270"/>
      <c r="U40" s="269"/>
      <c r="V40" s="20"/>
      <c r="W40" s="20"/>
      <c r="X40" s="20"/>
      <c r="Y40" s="20"/>
      <c r="Z40" s="20"/>
      <c r="AA40" s="20"/>
      <c r="AB40" s="270"/>
      <c r="AC40" s="269"/>
      <c r="AD40" s="20"/>
      <c r="AE40" s="20"/>
      <c r="AF40" s="20"/>
      <c r="AG40" s="20"/>
      <c r="AH40" s="20"/>
      <c r="AI40" s="20"/>
      <c r="AJ40" s="270"/>
      <c r="AK40" s="67">
        <v>93</v>
      </c>
      <c r="AL40" s="67">
        <v>1</v>
      </c>
      <c r="AO40" s="67">
        <f t="shared" si="0"/>
        <v>0</v>
      </c>
      <c r="AP40" s="67">
        <f t="shared" si="1"/>
        <v>0</v>
      </c>
      <c r="AQ40" s="67">
        <f t="shared" si="2"/>
        <v>0</v>
      </c>
      <c r="AR40" s="67">
        <f t="shared" si="3"/>
        <v>0</v>
      </c>
      <c r="AS40" s="67">
        <f t="shared" si="4"/>
        <v>0</v>
      </c>
      <c r="AT40" s="67">
        <f t="shared" si="5"/>
        <v>0</v>
      </c>
      <c r="AU40" s="67">
        <f t="shared" si="6"/>
        <v>0</v>
      </c>
      <c r="AV40" s="67">
        <f t="shared" si="7"/>
        <v>0</v>
      </c>
      <c r="AX40" s="256">
        <v>10</v>
      </c>
      <c r="AY40" s="67">
        <f t="shared" si="14"/>
        <v>50</v>
      </c>
      <c r="AZ40" s="76">
        <f t="shared" si="15"/>
        <v>0</v>
      </c>
      <c r="BA40" s="67">
        <f t="shared" si="10"/>
        <v>0</v>
      </c>
      <c r="BB40" s="76">
        <f t="shared" si="13"/>
        <v>0</v>
      </c>
      <c r="BD40" s="67">
        <f t="shared" si="11"/>
        <v>0</v>
      </c>
      <c r="BE40" s="67">
        <f t="shared" si="12"/>
        <v>0</v>
      </c>
    </row>
    <row r="41" spans="1:57">
      <c r="A41" s="67">
        <v>95</v>
      </c>
      <c r="B41" s="67" t="s">
        <v>53</v>
      </c>
      <c r="C41" s="8" t="s">
        <v>346</v>
      </c>
      <c r="E41" s="269"/>
      <c r="F41" s="20"/>
      <c r="G41" s="20"/>
      <c r="H41" s="20" t="s">
        <v>431</v>
      </c>
      <c r="I41" s="20"/>
      <c r="J41" s="20"/>
      <c r="K41" s="20"/>
      <c r="L41" s="270"/>
      <c r="M41" s="269"/>
      <c r="N41" s="20"/>
      <c r="O41" s="20"/>
      <c r="P41" s="20"/>
      <c r="Q41" s="20" t="s">
        <v>461</v>
      </c>
      <c r="R41" s="20"/>
      <c r="S41" s="20"/>
      <c r="T41" s="270"/>
      <c r="U41" s="269"/>
      <c r="V41" s="20"/>
      <c r="W41" s="20"/>
      <c r="X41" s="20" t="s">
        <v>467</v>
      </c>
      <c r="Y41" s="20" t="s">
        <v>499</v>
      </c>
      <c r="Z41" s="20"/>
      <c r="AA41" s="20"/>
      <c r="AB41" s="270"/>
      <c r="AC41" s="269"/>
      <c r="AD41" s="20"/>
      <c r="AE41" s="20" t="s">
        <v>433</v>
      </c>
      <c r="AF41" s="20" t="s">
        <v>499</v>
      </c>
      <c r="AG41" s="20" t="s">
        <v>499</v>
      </c>
      <c r="AH41" s="20"/>
      <c r="AI41" s="20"/>
      <c r="AJ41" s="270"/>
      <c r="AK41" s="67">
        <v>95</v>
      </c>
      <c r="AM41" s="67">
        <v>1</v>
      </c>
      <c r="AO41" s="67">
        <f t="shared" si="0"/>
        <v>0</v>
      </c>
      <c r="AP41" s="67">
        <f t="shared" si="1"/>
        <v>6</v>
      </c>
      <c r="AQ41" s="67">
        <f t="shared" si="2"/>
        <v>4</v>
      </c>
      <c r="AR41" s="67">
        <f t="shared" si="3"/>
        <v>1</v>
      </c>
      <c r="AS41" s="67">
        <f t="shared" si="4"/>
        <v>0</v>
      </c>
      <c r="AT41" s="67">
        <f t="shared" si="5"/>
        <v>2</v>
      </c>
      <c r="AU41" s="67">
        <f t="shared" si="6"/>
        <v>0</v>
      </c>
      <c r="AV41" s="67">
        <f t="shared" si="7"/>
        <v>13</v>
      </c>
      <c r="AX41" s="256">
        <v>23</v>
      </c>
      <c r="AY41" s="67">
        <f t="shared" si="14"/>
        <v>115</v>
      </c>
      <c r="AZ41" s="76">
        <f t="shared" si="15"/>
        <v>0.11304347826086956</v>
      </c>
      <c r="BA41" s="67">
        <f t="shared" si="10"/>
        <v>7</v>
      </c>
      <c r="BB41" s="76">
        <f t="shared" si="13"/>
        <v>0.30434782608695654</v>
      </c>
      <c r="BD41" s="67">
        <f t="shared" si="11"/>
        <v>2</v>
      </c>
      <c r="BE41" s="67">
        <f t="shared" si="12"/>
        <v>5</v>
      </c>
    </row>
    <row r="42" spans="1:57">
      <c r="A42" s="67">
        <v>97</v>
      </c>
      <c r="B42" s="67" t="s">
        <v>44</v>
      </c>
      <c r="C42" s="8" t="s">
        <v>349</v>
      </c>
      <c r="D42" s="67" t="s">
        <v>42</v>
      </c>
      <c r="E42" s="269"/>
      <c r="F42" s="20"/>
      <c r="G42" s="20"/>
      <c r="H42" s="20"/>
      <c r="I42" s="20"/>
      <c r="J42" s="20"/>
      <c r="K42" s="20"/>
      <c r="L42" s="270"/>
      <c r="M42" s="269"/>
      <c r="N42" s="20"/>
      <c r="O42" s="20"/>
      <c r="P42" s="20"/>
      <c r="Q42" s="20"/>
      <c r="R42" s="20"/>
      <c r="S42" s="20" t="s">
        <v>525</v>
      </c>
      <c r="T42" s="270" t="s">
        <v>530</v>
      </c>
      <c r="U42" s="269"/>
      <c r="V42" s="20"/>
      <c r="W42" s="20"/>
      <c r="X42" s="20"/>
      <c r="Y42" s="20" t="s">
        <v>431</v>
      </c>
      <c r="Z42" s="20" t="s">
        <v>433</v>
      </c>
      <c r="AA42" s="20"/>
      <c r="AB42" s="270"/>
      <c r="AC42" s="269"/>
      <c r="AD42" s="20"/>
      <c r="AE42" s="5" t="s">
        <v>500</v>
      </c>
      <c r="AF42" s="20"/>
      <c r="AG42" s="20"/>
      <c r="AH42" s="20"/>
      <c r="AI42" s="20"/>
      <c r="AJ42" s="270"/>
      <c r="AK42" s="67">
        <v>97</v>
      </c>
      <c r="AM42" s="67">
        <v>1</v>
      </c>
      <c r="AO42" s="67">
        <f t="shared" si="0"/>
        <v>0</v>
      </c>
      <c r="AP42" s="67">
        <f t="shared" si="1"/>
        <v>3</v>
      </c>
      <c r="AQ42" s="67">
        <f t="shared" si="2"/>
        <v>2</v>
      </c>
      <c r="AR42" s="67">
        <f t="shared" si="3"/>
        <v>2</v>
      </c>
      <c r="AS42" s="67">
        <f t="shared" si="4"/>
        <v>2</v>
      </c>
      <c r="AT42" s="67">
        <f t="shared" si="5"/>
        <v>2</v>
      </c>
      <c r="AU42" s="67">
        <f t="shared" si="6"/>
        <v>0</v>
      </c>
      <c r="AV42" s="67">
        <f t="shared" si="7"/>
        <v>11</v>
      </c>
      <c r="AX42" s="256">
        <v>27</v>
      </c>
      <c r="AY42" s="67">
        <f t="shared" si="14"/>
        <v>135</v>
      </c>
      <c r="AZ42" s="76">
        <f t="shared" si="15"/>
        <v>8.1481481481481488E-2</v>
      </c>
      <c r="BA42" s="67">
        <f t="shared" si="10"/>
        <v>5</v>
      </c>
      <c r="BB42" s="76">
        <f t="shared" si="13"/>
        <v>0.18518518518518517</v>
      </c>
      <c r="BD42" s="67">
        <f t="shared" si="11"/>
        <v>2</v>
      </c>
      <c r="BE42" s="67">
        <f t="shared" si="12"/>
        <v>3</v>
      </c>
    </row>
    <row r="43" spans="1:57">
      <c r="A43" s="67">
        <v>98</v>
      </c>
      <c r="B43" s="67" t="s">
        <v>62</v>
      </c>
      <c r="C43" s="8" t="s">
        <v>42</v>
      </c>
      <c r="D43" s="67" t="s">
        <v>42</v>
      </c>
      <c r="E43" s="269"/>
      <c r="F43" s="20"/>
      <c r="G43" s="20"/>
      <c r="H43" s="20"/>
      <c r="I43" s="20"/>
      <c r="J43" s="20"/>
      <c r="K43" s="20"/>
      <c r="L43" s="270"/>
      <c r="M43" s="269"/>
      <c r="N43" s="20"/>
      <c r="O43" s="20"/>
      <c r="P43" s="20"/>
      <c r="Q43" s="20"/>
      <c r="R43" s="20"/>
      <c r="S43" s="20"/>
      <c r="T43" s="270"/>
      <c r="U43" s="269"/>
      <c r="V43" s="20"/>
      <c r="W43" s="20"/>
      <c r="X43" s="20"/>
      <c r="Y43" s="20"/>
      <c r="Z43" s="20"/>
      <c r="AA43" s="20" t="s">
        <v>494</v>
      </c>
      <c r="AB43" s="270" t="s">
        <v>494</v>
      </c>
      <c r="AC43" s="269" t="s">
        <v>494</v>
      </c>
      <c r="AD43" s="5" t="s">
        <v>494</v>
      </c>
      <c r="AE43" s="5" t="s">
        <v>500</v>
      </c>
      <c r="AF43" s="5" t="s">
        <v>525</v>
      </c>
      <c r="AG43" s="5" t="s">
        <v>525</v>
      </c>
      <c r="AH43" s="5" t="s">
        <v>525</v>
      </c>
      <c r="AI43" s="5" t="s">
        <v>531</v>
      </c>
      <c r="AJ43" s="270" t="s">
        <v>509</v>
      </c>
      <c r="AK43" s="67">
        <v>98</v>
      </c>
      <c r="AM43" s="67">
        <v>1</v>
      </c>
      <c r="AO43" s="67">
        <f t="shared" si="0"/>
        <v>0</v>
      </c>
      <c r="AP43" s="67">
        <f t="shared" si="1"/>
        <v>5</v>
      </c>
      <c r="AQ43" s="67">
        <f t="shared" si="2"/>
        <v>10</v>
      </c>
      <c r="AR43" s="67">
        <f t="shared" si="3"/>
        <v>5</v>
      </c>
      <c r="AS43" s="67">
        <f t="shared" si="4"/>
        <v>8</v>
      </c>
      <c r="AT43" s="67">
        <f t="shared" si="5"/>
        <v>9</v>
      </c>
      <c r="AU43" s="67">
        <f t="shared" si="6"/>
        <v>0</v>
      </c>
      <c r="AV43" s="67">
        <f t="shared" si="7"/>
        <v>37</v>
      </c>
      <c r="AX43" s="256">
        <v>10</v>
      </c>
      <c r="AY43" s="67">
        <f t="shared" si="14"/>
        <v>50</v>
      </c>
      <c r="AZ43" s="76">
        <f t="shared" si="15"/>
        <v>0.74</v>
      </c>
      <c r="BA43" s="67">
        <f t="shared" si="10"/>
        <v>10</v>
      </c>
      <c r="BB43" s="76">
        <f t="shared" si="13"/>
        <v>1</v>
      </c>
      <c r="BD43" s="67">
        <f t="shared" si="11"/>
        <v>0</v>
      </c>
      <c r="BE43" s="67">
        <f t="shared" si="12"/>
        <v>10</v>
      </c>
    </row>
    <row r="44" spans="1:57">
      <c r="A44" s="67">
        <v>100</v>
      </c>
      <c r="B44" s="67" t="s">
        <v>62</v>
      </c>
      <c r="C44" s="8" t="s">
        <v>42</v>
      </c>
      <c r="D44" s="67" t="s">
        <v>77</v>
      </c>
      <c r="E44" s="269" t="s">
        <v>509</v>
      </c>
      <c r="F44" s="5" t="s">
        <v>464</v>
      </c>
      <c r="G44" s="5" t="s">
        <v>431</v>
      </c>
      <c r="H44" s="5" t="s">
        <v>431</v>
      </c>
      <c r="I44" s="5" t="s">
        <v>431</v>
      </c>
      <c r="J44" s="5" t="s">
        <v>500</v>
      </c>
      <c r="K44" s="5" t="s">
        <v>434</v>
      </c>
      <c r="L44" s="270" t="s">
        <v>448</v>
      </c>
      <c r="M44" s="269" t="s">
        <v>433</v>
      </c>
      <c r="N44" s="5" t="s">
        <v>433</v>
      </c>
      <c r="O44" s="5" t="s">
        <v>500</v>
      </c>
      <c r="P44" s="5" t="s">
        <v>431</v>
      </c>
      <c r="Q44" s="5" t="s">
        <v>431</v>
      </c>
      <c r="R44" s="5" t="s">
        <v>461</v>
      </c>
      <c r="S44" s="5" t="s">
        <v>478</v>
      </c>
      <c r="T44" s="270"/>
      <c r="U44" s="269" t="s">
        <v>431</v>
      </c>
      <c r="V44" s="5" t="s">
        <v>431</v>
      </c>
      <c r="W44" s="5" t="s">
        <v>525</v>
      </c>
      <c r="X44" s="5" t="s">
        <v>525</v>
      </c>
      <c r="Y44" s="5" t="s">
        <v>525</v>
      </c>
      <c r="Z44" s="5" t="s">
        <v>494</v>
      </c>
      <c r="AA44" s="5" t="s">
        <v>494</v>
      </c>
      <c r="AB44" s="270" t="s">
        <v>494</v>
      </c>
      <c r="AC44" s="269" t="s">
        <v>494</v>
      </c>
      <c r="AD44" s="5" t="s">
        <v>494</v>
      </c>
      <c r="AE44" s="5" t="s">
        <v>494</v>
      </c>
      <c r="AF44" s="5" t="s">
        <v>525</v>
      </c>
      <c r="AG44" s="5" t="s">
        <v>525</v>
      </c>
      <c r="AH44" s="5" t="s">
        <v>509</v>
      </c>
      <c r="AI44" s="5" t="s">
        <v>525</v>
      </c>
      <c r="AJ44" s="270" t="s">
        <v>525</v>
      </c>
      <c r="AK44" s="67">
        <v>100</v>
      </c>
      <c r="AM44" s="67">
        <v>1</v>
      </c>
      <c r="AO44" s="67">
        <f t="shared" si="0"/>
        <v>0</v>
      </c>
      <c r="AP44" s="67">
        <f t="shared" si="1"/>
        <v>19</v>
      </c>
      <c r="AQ44" s="67">
        <f t="shared" si="2"/>
        <v>18</v>
      </c>
      <c r="AR44" s="67">
        <f t="shared" si="3"/>
        <v>11</v>
      </c>
      <c r="AS44" s="67">
        <f t="shared" si="4"/>
        <v>17</v>
      </c>
      <c r="AT44" s="67">
        <f t="shared" si="5"/>
        <v>17</v>
      </c>
      <c r="AU44" s="67">
        <f t="shared" si="6"/>
        <v>0</v>
      </c>
      <c r="AV44" s="67">
        <f t="shared" si="7"/>
        <v>82</v>
      </c>
      <c r="AX44" s="256">
        <v>32</v>
      </c>
      <c r="AY44" s="67">
        <f t="shared" si="14"/>
        <v>160</v>
      </c>
      <c r="AZ44" s="76">
        <f t="shared" si="15"/>
        <v>0.51249999999999996</v>
      </c>
      <c r="BA44" s="67">
        <f t="shared" si="10"/>
        <v>31</v>
      </c>
      <c r="BB44" s="76">
        <f t="shared" si="13"/>
        <v>0.96875</v>
      </c>
      <c r="BD44" s="67">
        <f t="shared" si="11"/>
        <v>15</v>
      </c>
      <c r="BE44" s="67">
        <f t="shared" si="12"/>
        <v>16</v>
      </c>
    </row>
    <row r="45" spans="1:57">
      <c r="A45" s="67">
        <v>104</v>
      </c>
      <c r="B45" s="67" t="s">
        <v>106</v>
      </c>
      <c r="C45" s="8" t="s">
        <v>349</v>
      </c>
      <c r="D45" s="67" t="s">
        <v>42</v>
      </c>
      <c r="E45" s="269"/>
      <c r="F45" s="20"/>
      <c r="G45" s="20"/>
      <c r="H45" s="20"/>
      <c r="I45" s="20"/>
      <c r="J45" s="20"/>
      <c r="K45" s="20"/>
      <c r="L45" s="270"/>
      <c r="M45" s="269"/>
      <c r="N45" s="20"/>
      <c r="O45" s="20"/>
      <c r="P45" s="20"/>
      <c r="Q45" s="20"/>
      <c r="R45" s="20"/>
      <c r="S45" s="20"/>
      <c r="T45" s="270"/>
      <c r="U45" s="269"/>
      <c r="V45" s="20"/>
      <c r="W45" s="20"/>
      <c r="X45" s="20"/>
      <c r="Y45" s="20"/>
      <c r="Z45" s="20"/>
      <c r="AA45" s="20"/>
      <c r="AB45" s="270"/>
      <c r="AC45" s="269" t="s">
        <v>433</v>
      </c>
      <c r="AD45" s="20" t="s">
        <v>433</v>
      </c>
      <c r="AE45" s="20"/>
      <c r="AF45" s="20"/>
      <c r="AG45" s="20"/>
      <c r="AH45" s="20"/>
      <c r="AI45" s="20"/>
      <c r="AJ45" s="270"/>
      <c r="AK45" s="67">
        <v>104</v>
      </c>
      <c r="AM45" s="67">
        <v>1</v>
      </c>
      <c r="AO45" s="67">
        <f t="shared" si="0"/>
        <v>0</v>
      </c>
      <c r="AP45" s="67">
        <f t="shared" si="1"/>
        <v>0</v>
      </c>
      <c r="AQ45" s="67">
        <f t="shared" si="2"/>
        <v>0</v>
      </c>
      <c r="AR45" s="67">
        <f t="shared" si="3"/>
        <v>2</v>
      </c>
      <c r="AS45" s="67">
        <f t="shared" si="4"/>
        <v>0</v>
      </c>
      <c r="AT45" s="67">
        <f t="shared" si="5"/>
        <v>0</v>
      </c>
      <c r="AU45" s="67">
        <f t="shared" si="6"/>
        <v>0</v>
      </c>
      <c r="AV45" s="67">
        <f t="shared" si="7"/>
        <v>2</v>
      </c>
      <c r="AX45" s="256">
        <v>18</v>
      </c>
      <c r="AY45" s="67">
        <f t="shared" si="14"/>
        <v>90</v>
      </c>
      <c r="AZ45" s="76">
        <f t="shared" si="15"/>
        <v>2.2222222222222223E-2</v>
      </c>
      <c r="BA45" s="67">
        <f t="shared" si="10"/>
        <v>2</v>
      </c>
      <c r="BB45" s="76">
        <f t="shared" si="13"/>
        <v>0.1111111111111111</v>
      </c>
      <c r="BD45" s="67">
        <f t="shared" si="11"/>
        <v>0</v>
      </c>
      <c r="BE45" s="67">
        <f t="shared" si="12"/>
        <v>2</v>
      </c>
    </row>
    <row r="46" spans="1:57">
      <c r="A46" s="67">
        <v>105</v>
      </c>
      <c r="B46" s="67" t="s">
        <v>55</v>
      </c>
      <c r="C46" s="8" t="s">
        <v>346</v>
      </c>
      <c r="E46" s="269"/>
      <c r="F46" s="20"/>
      <c r="G46" s="20"/>
      <c r="H46" s="20"/>
      <c r="I46" s="20"/>
      <c r="J46" s="20"/>
      <c r="K46" s="20"/>
      <c r="L46" s="270"/>
      <c r="M46" s="269"/>
      <c r="N46" s="20"/>
      <c r="O46" s="20"/>
      <c r="P46" s="20"/>
      <c r="Q46" s="20"/>
      <c r="R46" s="20"/>
      <c r="S46" s="20"/>
      <c r="T46" s="270"/>
      <c r="U46" s="269"/>
      <c r="V46" s="20"/>
      <c r="W46" s="20"/>
      <c r="X46" s="20"/>
      <c r="Y46" s="20"/>
      <c r="Z46" s="20"/>
      <c r="AA46" s="20"/>
      <c r="AB46" s="270"/>
      <c r="AC46" s="269"/>
      <c r="AD46" s="20"/>
      <c r="AE46" s="20"/>
      <c r="AF46" s="20"/>
      <c r="AG46" s="20"/>
      <c r="AH46" s="20"/>
      <c r="AI46" s="20"/>
      <c r="AJ46" s="270"/>
      <c r="AK46" s="67">
        <v>105</v>
      </c>
      <c r="AL46" s="67">
        <v>1</v>
      </c>
      <c r="AO46" s="67">
        <f t="shared" si="0"/>
        <v>0</v>
      </c>
      <c r="AP46" s="67">
        <f t="shared" si="1"/>
        <v>0</v>
      </c>
      <c r="AQ46" s="67">
        <f t="shared" si="2"/>
        <v>0</v>
      </c>
      <c r="AR46" s="67">
        <f t="shared" si="3"/>
        <v>0</v>
      </c>
      <c r="AS46" s="67">
        <f t="shared" si="4"/>
        <v>0</v>
      </c>
      <c r="AT46" s="67">
        <f t="shared" si="5"/>
        <v>0</v>
      </c>
      <c r="AU46" s="67">
        <f t="shared" si="6"/>
        <v>0</v>
      </c>
      <c r="AV46" s="67">
        <f t="shared" si="7"/>
        <v>0</v>
      </c>
      <c r="AX46" s="256">
        <v>20</v>
      </c>
      <c r="AY46" s="67">
        <f t="shared" si="14"/>
        <v>100</v>
      </c>
      <c r="AZ46" s="76">
        <f t="shared" si="15"/>
        <v>0</v>
      </c>
      <c r="BA46" s="67">
        <f t="shared" si="10"/>
        <v>0</v>
      </c>
      <c r="BB46" s="76">
        <f t="shared" si="13"/>
        <v>0</v>
      </c>
      <c r="BD46" s="67">
        <f t="shared" si="11"/>
        <v>0</v>
      </c>
      <c r="BE46" s="67">
        <f t="shared" si="12"/>
        <v>0</v>
      </c>
    </row>
    <row r="47" spans="1:57">
      <c r="A47" s="67">
        <v>106</v>
      </c>
      <c r="B47" s="67" t="s">
        <v>55</v>
      </c>
      <c r="C47" s="8" t="s">
        <v>346</v>
      </c>
      <c r="E47" s="269"/>
      <c r="F47" s="20"/>
      <c r="G47" s="20"/>
      <c r="H47" s="20"/>
      <c r="I47" s="20"/>
      <c r="J47" s="20"/>
      <c r="K47" s="20"/>
      <c r="L47" s="270"/>
      <c r="M47" s="269"/>
      <c r="N47" s="20"/>
      <c r="O47" s="20"/>
      <c r="P47" s="20"/>
      <c r="Q47" s="20"/>
      <c r="R47" s="20"/>
      <c r="S47" s="20"/>
      <c r="T47" s="270"/>
      <c r="U47" s="269"/>
      <c r="V47" s="20"/>
      <c r="W47" s="20"/>
      <c r="X47" s="20"/>
      <c r="Y47" s="20"/>
      <c r="Z47" s="20"/>
      <c r="AA47" s="20"/>
      <c r="AB47" s="270"/>
      <c r="AC47" s="269"/>
      <c r="AD47" s="20"/>
      <c r="AE47" s="20"/>
      <c r="AF47" s="20"/>
      <c r="AG47" s="20"/>
      <c r="AH47" s="20"/>
      <c r="AI47" s="20"/>
      <c r="AJ47" s="270"/>
      <c r="AK47" s="67">
        <v>106</v>
      </c>
      <c r="AL47" s="67">
        <v>1</v>
      </c>
      <c r="AO47" s="67">
        <f t="shared" si="0"/>
        <v>0</v>
      </c>
      <c r="AP47" s="67">
        <f t="shared" si="1"/>
        <v>0</v>
      </c>
      <c r="AQ47" s="67">
        <f t="shared" si="2"/>
        <v>0</v>
      </c>
      <c r="AR47" s="67">
        <f t="shared" si="3"/>
        <v>0</v>
      </c>
      <c r="AS47" s="67">
        <f t="shared" si="4"/>
        <v>0</v>
      </c>
      <c r="AT47" s="67">
        <f t="shared" si="5"/>
        <v>0</v>
      </c>
      <c r="AU47" s="67">
        <f t="shared" si="6"/>
        <v>0</v>
      </c>
      <c r="AV47" s="67">
        <f t="shared" si="7"/>
        <v>0</v>
      </c>
      <c r="AX47" s="256">
        <v>19</v>
      </c>
      <c r="AY47" s="67">
        <f t="shared" si="14"/>
        <v>95</v>
      </c>
      <c r="AZ47" s="76">
        <f t="shared" si="15"/>
        <v>0</v>
      </c>
      <c r="BA47" s="67">
        <f t="shared" si="10"/>
        <v>0</v>
      </c>
      <c r="BB47" s="76">
        <f t="shared" si="13"/>
        <v>0</v>
      </c>
      <c r="BD47" s="67">
        <f t="shared" si="11"/>
        <v>0</v>
      </c>
      <c r="BE47" s="67">
        <f t="shared" si="12"/>
        <v>0</v>
      </c>
    </row>
    <row r="48" spans="1:57">
      <c r="A48" s="67">
        <v>108</v>
      </c>
      <c r="B48" s="67" t="s">
        <v>99</v>
      </c>
      <c r="C48" s="8" t="s">
        <v>346</v>
      </c>
      <c r="E48" s="269"/>
      <c r="F48" s="20"/>
      <c r="G48" s="20"/>
      <c r="H48" s="20"/>
      <c r="I48" s="20"/>
      <c r="J48" s="20" t="s">
        <v>433</v>
      </c>
      <c r="K48" s="20"/>
      <c r="L48" s="270"/>
      <c r="M48" s="269"/>
      <c r="N48" s="20"/>
      <c r="O48" s="20"/>
      <c r="P48" s="20"/>
      <c r="Q48" s="20"/>
      <c r="R48" s="20"/>
      <c r="S48" s="20"/>
      <c r="T48" s="270"/>
      <c r="U48" s="269"/>
      <c r="V48" s="20"/>
      <c r="W48" s="20"/>
      <c r="X48" s="20"/>
      <c r="Y48" s="20"/>
      <c r="Z48" s="20"/>
      <c r="AA48" s="20"/>
      <c r="AB48" s="270"/>
      <c r="AC48" s="269"/>
      <c r="AD48" s="20"/>
      <c r="AE48" s="20"/>
      <c r="AF48" s="20"/>
      <c r="AG48" s="20"/>
      <c r="AH48" s="20"/>
      <c r="AI48" s="20"/>
      <c r="AJ48" s="270"/>
      <c r="AK48" s="67">
        <v>108</v>
      </c>
      <c r="AM48" s="67">
        <v>1</v>
      </c>
      <c r="AO48" s="67">
        <f t="shared" si="0"/>
        <v>0</v>
      </c>
      <c r="AP48" s="67">
        <f t="shared" si="1"/>
        <v>0</v>
      </c>
      <c r="AQ48" s="67">
        <f t="shared" si="2"/>
        <v>0</v>
      </c>
      <c r="AR48" s="67">
        <f t="shared" si="3"/>
        <v>1</v>
      </c>
      <c r="AS48" s="67">
        <f t="shared" si="4"/>
        <v>0</v>
      </c>
      <c r="AT48" s="67">
        <f t="shared" si="5"/>
        <v>0</v>
      </c>
      <c r="AU48" s="67">
        <f t="shared" si="6"/>
        <v>0</v>
      </c>
      <c r="AV48" s="67">
        <f t="shared" si="7"/>
        <v>1</v>
      </c>
      <c r="AX48" s="256">
        <v>17</v>
      </c>
      <c r="AY48" s="67">
        <f t="shared" si="14"/>
        <v>85</v>
      </c>
      <c r="AZ48" s="76">
        <f t="shared" si="15"/>
        <v>1.1764705882352941E-2</v>
      </c>
      <c r="BA48" s="67">
        <f t="shared" si="10"/>
        <v>1</v>
      </c>
      <c r="BB48" s="76">
        <f t="shared" si="13"/>
        <v>5.8823529411764705E-2</v>
      </c>
      <c r="BD48" s="67">
        <f t="shared" si="11"/>
        <v>1</v>
      </c>
      <c r="BE48" s="67">
        <f t="shared" si="12"/>
        <v>0</v>
      </c>
    </row>
    <row r="49" spans="1:57">
      <c r="A49" s="67">
        <v>109</v>
      </c>
      <c r="B49" s="67" t="s">
        <v>107</v>
      </c>
      <c r="C49" s="8" t="s">
        <v>358</v>
      </c>
      <c r="D49" s="67" t="s">
        <v>6</v>
      </c>
      <c r="E49" s="269"/>
      <c r="F49" s="20"/>
      <c r="G49" s="5" t="s">
        <v>434</v>
      </c>
      <c r="H49" s="5" t="s">
        <v>457</v>
      </c>
      <c r="I49" s="5" t="s">
        <v>474</v>
      </c>
      <c r="J49" s="5" t="s">
        <v>514</v>
      </c>
      <c r="K49" s="5" t="s">
        <v>494</v>
      </c>
      <c r="L49" s="270" t="s">
        <v>521</v>
      </c>
      <c r="M49" s="269" t="s">
        <v>515</v>
      </c>
      <c r="N49" s="5" t="s">
        <v>448</v>
      </c>
      <c r="O49" s="5" t="s">
        <v>532</v>
      </c>
      <c r="P49" s="5" t="s">
        <v>457</v>
      </c>
      <c r="Q49" s="20"/>
      <c r="R49" s="5" t="s">
        <v>431</v>
      </c>
      <c r="S49" s="20"/>
      <c r="T49" s="270"/>
      <c r="U49" s="269"/>
      <c r="V49" s="20"/>
      <c r="W49" s="20" t="s">
        <v>432</v>
      </c>
      <c r="X49" s="20"/>
      <c r="Y49" s="20" t="s">
        <v>431</v>
      </c>
      <c r="Z49" s="20" t="s">
        <v>494</v>
      </c>
      <c r="AA49" s="5" t="s">
        <v>494</v>
      </c>
      <c r="AB49" s="270" t="s">
        <v>494</v>
      </c>
      <c r="AC49" s="269" t="s">
        <v>494</v>
      </c>
      <c r="AD49" s="5" t="s">
        <v>494</v>
      </c>
      <c r="AE49" s="5" t="s">
        <v>494</v>
      </c>
      <c r="AF49" s="5" t="s">
        <v>462</v>
      </c>
      <c r="AG49" s="5" t="s">
        <v>431</v>
      </c>
      <c r="AH49" s="5" t="s">
        <v>515</v>
      </c>
      <c r="AI49" s="5" t="s">
        <v>520</v>
      </c>
      <c r="AJ49" s="270"/>
      <c r="AK49" s="67">
        <v>109</v>
      </c>
      <c r="AM49" s="67">
        <v>1</v>
      </c>
      <c r="AO49" s="67">
        <f t="shared" si="0"/>
        <v>0</v>
      </c>
      <c r="AP49" s="67">
        <f t="shared" si="1"/>
        <v>8</v>
      </c>
      <c r="AQ49" s="67">
        <f t="shared" si="2"/>
        <v>14</v>
      </c>
      <c r="AR49" s="67">
        <f t="shared" si="3"/>
        <v>11</v>
      </c>
      <c r="AS49" s="67">
        <f t="shared" si="4"/>
        <v>18</v>
      </c>
      <c r="AT49" s="67">
        <f t="shared" si="5"/>
        <v>14</v>
      </c>
      <c r="AU49" s="67">
        <f t="shared" si="6"/>
        <v>0</v>
      </c>
      <c r="AV49" s="67">
        <f t="shared" si="7"/>
        <v>65</v>
      </c>
      <c r="AX49" s="256">
        <v>27</v>
      </c>
      <c r="AY49" s="67">
        <f t="shared" si="14"/>
        <v>135</v>
      </c>
      <c r="AZ49" s="76">
        <f t="shared" si="15"/>
        <v>0.48148148148148145</v>
      </c>
      <c r="BA49" s="67">
        <f t="shared" si="10"/>
        <v>23</v>
      </c>
      <c r="BB49" s="76">
        <f t="shared" si="13"/>
        <v>0.85185185185185186</v>
      </c>
      <c r="BD49" s="67">
        <f t="shared" si="11"/>
        <v>11</v>
      </c>
      <c r="BE49" s="67">
        <f t="shared" si="12"/>
        <v>12</v>
      </c>
    </row>
    <row r="50" spans="1:57">
      <c r="A50" s="67">
        <v>112</v>
      </c>
      <c r="B50" s="67" t="s">
        <v>62</v>
      </c>
      <c r="C50" s="8" t="s">
        <v>42</v>
      </c>
      <c r="D50" s="67" t="s">
        <v>42</v>
      </c>
      <c r="E50" s="269"/>
      <c r="F50" s="20"/>
      <c r="G50" s="20"/>
      <c r="H50" s="20"/>
      <c r="I50" s="20"/>
      <c r="J50" s="20"/>
      <c r="K50" s="20"/>
      <c r="L50" s="270"/>
      <c r="M50" s="269"/>
      <c r="N50" s="20"/>
      <c r="O50" s="20"/>
      <c r="P50" s="20"/>
      <c r="Q50" s="20"/>
      <c r="R50" s="20"/>
      <c r="S50" s="20"/>
      <c r="T50" s="270" t="s">
        <v>460</v>
      </c>
      <c r="U50" s="269" t="s">
        <v>533</v>
      </c>
      <c r="V50" s="20" t="s">
        <v>432</v>
      </c>
      <c r="W50" s="5" t="s">
        <v>499</v>
      </c>
      <c r="X50" s="5" t="s">
        <v>432</v>
      </c>
      <c r="Y50" s="5" t="s">
        <v>432</v>
      </c>
      <c r="Z50" s="5" t="s">
        <v>432</v>
      </c>
      <c r="AA50" s="5" t="s">
        <v>460</v>
      </c>
      <c r="AB50" s="270" t="s">
        <v>463</v>
      </c>
      <c r="AC50" s="269" t="s">
        <v>432</v>
      </c>
      <c r="AD50" s="5" t="s">
        <v>501</v>
      </c>
      <c r="AE50" s="5" t="s">
        <v>494</v>
      </c>
      <c r="AF50" s="5" t="s">
        <v>499</v>
      </c>
      <c r="AG50" s="5" t="s">
        <v>432</v>
      </c>
      <c r="AH50" s="5" t="s">
        <v>525</v>
      </c>
      <c r="AI50" s="5" t="s">
        <v>467</v>
      </c>
      <c r="AJ50" s="270" t="s">
        <v>463</v>
      </c>
      <c r="AK50" s="67">
        <v>112</v>
      </c>
      <c r="AM50" s="67">
        <v>1</v>
      </c>
      <c r="AO50" s="67">
        <f t="shared" si="0"/>
        <v>0</v>
      </c>
      <c r="AP50" s="67">
        <f t="shared" si="1"/>
        <v>4</v>
      </c>
      <c r="AQ50" s="67">
        <f t="shared" si="2"/>
        <v>16</v>
      </c>
      <c r="AR50" s="67">
        <f t="shared" si="3"/>
        <v>2</v>
      </c>
      <c r="AS50" s="67">
        <f t="shared" si="4"/>
        <v>5</v>
      </c>
      <c r="AT50" s="67">
        <f t="shared" si="5"/>
        <v>6</v>
      </c>
      <c r="AU50" s="67">
        <f t="shared" si="6"/>
        <v>1</v>
      </c>
      <c r="AV50" s="67">
        <f t="shared" si="7"/>
        <v>34</v>
      </c>
      <c r="AX50" s="256">
        <v>25</v>
      </c>
      <c r="AY50" s="67">
        <f t="shared" si="14"/>
        <v>125</v>
      </c>
      <c r="AZ50" s="76">
        <f t="shared" si="15"/>
        <v>0.27200000000000002</v>
      </c>
      <c r="BA50" s="67">
        <f t="shared" si="10"/>
        <v>17</v>
      </c>
      <c r="BB50" s="76">
        <f t="shared" si="13"/>
        <v>0.68</v>
      </c>
      <c r="BD50" s="67">
        <f t="shared" si="11"/>
        <v>1</v>
      </c>
      <c r="BE50" s="67">
        <f t="shared" si="12"/>
        <v>16</v>
      </c>
    </row>
    <row r="51" spans="1:57">
      <c r="A51" s="67">
        <v>115</v>
      </c>
      <c r="B51" s="67" t="s">
        <v>68</v>
      </c>
      <c r="C51" s="8" t="s">
        <v>357</v>
      </c>
      <c r="E51" s="269"/>
      <c r="F51" s="20"/>
      <c r="G51" s="20"/>
      <c r="H51" s="20"/>
      <c r="I51" s="20"/>
      <c r="J51" s="20"/>
      <c r="K51" s="20" t="s">
        <v>446</v>
      </c>
      <c r="L51" s="270"/>
      <c r="M51" s="269"/>
      <c r="N51" s="20" t="s">
        <v>433</v>
      </c>
      <c r="O51" s="20"/>
      <c r="P51" s="20"/>
      <c r="Q51" s="20"/>
      <c r="R51" s="20"/>
      <c r="S51" s="20"/>
      <c r="T51" s="270"/>
      <c r="U51" s="269"/>
      <c r="V51" s="20"/>
      <c r="W51" s="20"/>
      <c r="X51" s="20" t="s">
        <v>432</v>
      </c>
      <c r="Y51" s="20"/>
      <c r="Z51" s="20"/>
      <c r="AA51" s="20"/>
      <c r="AB51" s="270" t="s">
        <v>460</v>
      </c>
      <c r="AC51" s="269" t="s">
        <v>494</v>
      </c>
      <c r="AD51" s="20" t="s">
        <v>460</v>
      </c>
      <c r="AE51" s="20"/>
      <c r="AF51" s="20"/>
      <c r="AG51" s="5" t="s">
        <v>432</v>
      </c>
      <c r="AH51" s="5" t="s">
        <v>432</v>
      </c>
      <c r="AI51" s="20"/>
      <c r="AJ51" s="270"/>
      <c r="AK51" s="67">
        <v>115</v>
      </c>
      <c r="AM51" s="67">
        <v>1</v>
      </c>
      <c r="AO51" s="67">
        <f t="shared" si="0"/>
        <v>0</v>
      </c>
      <c r="AP51" s="67">
        <f t="shared" si="1"/>
        <v>0</v>
      </c>
      <c r="AQ51" s="67">
        <f t="shared" si="2"/>
        <v>6</v>
      </c>
      <c r="AR51" s="67">
        <f t="shared" si="3"/>
        <v>2</v>
      </c>
      <c r="AS51" s="67">
        <f t="shared" si="4"/>
        <v>4</v>
      </c>
      <c r="AT51" s="67">
        <f t="shared" si="5"/>
        <v>2</v>
      </c>
      <c r="AU51" s="67">
        <f t="shared" si="6"/>
        <v>0</v>
      </c>
      <c r="AV51" s="67">
        <f t="shared" si="7"/>
        <v>14</v>
      </c>
      <c r="AX51" s="256">
        <v>22</v>
      </c>
      <c r="AY51" s="67">
        <f t="shared" si="14"/>
        <v>110</v>
      </c>
      <c r="AZ51" s="76">
        <f t="shared" si="15"/>
        <v>0.12727272727272726</v>
      </c>
      <c r="BA51" s="67">
        <f t="shared" si="10"/>
        <v>8</v>
      </c>
      <c r="BB51" s="76">
        <f t="shared" si="13"/>
        <v>0.36363636363636365</v>
      </c>
      <c r="BD51" s="67">
        <f t="shared" si="11"/>
        <v>2</v>
      </c>
      <c r="BE51" s="67">
        <f t="shared" si="12"/>
        <v>6</v>
      </c>
    </row>
    <row r="52" spans="1:57">
      <c r="A52" s="67">
        <v>116</v>
      </c>
      <c r="B52" s="67" t="s">
        <v>62</v>
      </c>
      <c r="C52" s="8" t="s">
        <v>42</v>
      </c>
      <c r="D52" s="67" t="s">
        <v>42</v>
      </c>
      <c r="E52" s="269" t="s">
        <v>515</v>
      </c>
      <c r="F52" s="20"/>
      <c r="G52" s="5" t="s">
        <v>525</v>
      </c>
      <c r="H52" s="5" t="s">
        <v>499</v>
      </c>
      <c r="I52" s="5" t="s">
        <v>499</v>
      </c>
      <c r="J52" s="5" t="s">
        <v>500</v>
      </c>
      <c r="K52" s="5" t="s">
        <v>500</v>
      </c>
      <c r="L52" s="270" t="s">
        <v>500</v>
      </c>
      <c r="M52" s="269" t="s">
        <v>500</v>
      </c>
      <c r="N52" s="5" t="s">
        <v>500</v>
      </c>
      <c r="O52" s="5" t="s">
        <v>500</v>
      </c>
      <c r="P52" s="5" t="s">
        <v>467</v>
      </c>
      <c r="Q52" s="5" t="s">
        <v>461</v>
      </c>
      <c r="R52" s="5" t="s">
        <v>467</v>
      </c>
      <c r="S52" s="20"/>
      <c r="T52" s="270"/>
      <c r="U52" s="269"/>
      <c r="V52" s="20" t="s">
        <v>525</v>
      </c>
      <c r="W52" s="20" t="s">
        <v>509</v>
      </c>
      <c r="X52" s="20"/>
      <c r="Y52" s="20"/>
      <c r="Z52" s="20" t="s">
        <v>494</v>
      </c>
      <c r="AA52" s="5" t="s">
        <v>534</v>
      </c>
      <c r="AB52" s="270"/>
      <c r="AC52" s="269" t="s">
        <v>514</v>
      </c>
      <c r="AD52" s="5" t="s">
        <v>500</v>
      </c>
      <c r="AE52" s="5" t="s">
        <v>494</v>
      </c>
      <c r="AF52" s="5" t="s">
        <v>496</v>
      </c>
      <c r="AG52" s="20"/>
      <c r="AH52" s="5" t="s">
        <v>463</v>
      </c>
      <c r="AI52" s="20"/>
      <c r="AJ52" s="270"/>
      <c r="AK52" s="67">
        <v>116</v>
      </c>
      <c r="AM52" s="67">
        <v>1</v>
      </c>
      <c r="AO52" s="67">
        <f t="shared" si="0"/>
        <v>0</v>
      </c>
      <c r="AP52" s="67">
        <f t="shared" si="1"/>
        <v>9</v>
      </c>
      <c r="AQ52" s="67">
        <f t="shared" si="2"/>
        <v>21</v>
      </c>
      <c r="AR52" s="67">
        <f t="shared" si="3"/>
        <v>11</v>
      </c>
      <c r="AS52" s="67">
        <f t="shared" si="4"/>
        <v>8</v>
      </c>
      <c r="AT52" s="67">
        <f t="shared" si="5"/>
        <v>12</v>
      </c>
      <c r="AU52" s="67">
        <f t="shared" si="6"/>
        <v>0</v>
      </c>
      <c r="AV52" s="67">
        <f t="shared" si="7"/>
        <v>61</v>
      </c>
      <c r="AX52" s="256">
        <v>22</v>
      </c>
      <c r="AY52" s="67">
        <f t="shared" si="14"/>
        <v>110</v>
      </c>
      <c r="AZ52" s="76">
        <f t="shared" si="15"/>
        <v>0.55454545454545456</v>
      </c>
      <c r="BA52" s="67">
        <f t="shared" si="10"/>
        <v>22</v>
      </c>
      <c r="BB52" s="76">
        <f t="shared" si="13"/>
        <v>1</v>
      </c>
      <c r="BD52" s="67">
        <f t="shared" si="11"/>
        <v>13</v>
      </c>
      <c r="BE52" s="67">
        <f t="shared" si="12"/>
        <v>9</v>
      </c>
    </row>
    <row r="53" spans="1:57">
      <c r="A53" s="67">
        <v>117</v>
      </c>
      <c r="B53" s="67" t="s">
        <v>55</v>
      </c>
      <c r="C53" s="8" t="s">
        <v>346</v>
      </c>
      <c r="E53" s="269"/>
      <c r="F53" s="20"/>
      <c r="G53" s="20"/>
      <c r="H53" s="20"/>
      <c r="I53" s="20"/>
      <c r="J53" s="20"/>
      <c r="K53" s="20"/>
      <c r="L53" s="270"/>
      <c r="M53" s="269"/>
      <c r="N53" s="20"/>
      <c r="O53" s="20"/>
      <c r="P53" s="20"/>
      <c r="Q53" s="20" t="s">
        <v>431</v>
      </c>
      <c r="R53" s="20"/>
      <c r="S53" s="20"/>
      <c r="T53" s="270"/>
      <c r="U53" s="269"/>
      <c r="V53" s="20"/>
      <c r="W53" s="20"/>
      <c r="X53" s="20"/>
      <c r="Y53" s="20"/>
      <c r="Z53" s="20"/>
      <c r="AA53" s="20"/>
      <c r="AB53" s="270"/>
      <c r="AC53" s="269"/>
      <c r="AD53" s="20"/>
      <c r="AE53" s="20"/>
      <c r="AF53" s="20"/>
      <c r="AG53" s="20"/>
      <c r="AH53" s="20"/>
      <c r="AI53" s="20"/>
      <c r="AJ53" s="270"/>
      <c r="AK53" s="67">
        <v>117</v>
      </c>
      <c r="AM53" s="67">
        <v>1</v>
      </c>
      <c r="AO53" s="67">
        <f t="shared" si="0"/>
        <v>0</v>
      </c>
      <c r="AP53" s="67">
        <f t="shared" si="1"/>
        <v>1</v>
      </c>
      <c r="AQ53" s="67">
        <f t="shared" si="2"/>
        <v>0</v>
      </c>
      <c r="AR53" s="67">
        <f t="shared" si="3"/>
        <v>0</v>
      </c>
      <c r="AS53" s="67">
        <f t="shared" si="4"/>
        <v>0</v>
      </c>
      <c r="AT53" s="67">
        <f t="shared" si="5"/>
        <v>0</v>
      </c>
      <c r="AU53" s="67">
        <f t="shared" si="6"/>
        <v>0</v>
      </c>
      <c r="AV53" s="67">
        <f t="shared" si="7"/>
        <v>1</v>
      </c>
      <c r="AX53" s="256">
        <v>19</v>
      </c>
      <c r="AY53" s="67">
        <f t="shared" si="14"/>
        <v>95</v>
      </c>
      <c r="AZ53" s="76">
        <f t="shared" si="15"/>
        <v>1.0526315789473684E-2</v>
      </c>
      <c r="BA53" s="67">
        <f t="shared" si="10"/>
        <v>1</v>
      </c>
      <c r="BB53" s="76">
        <f t="shared" si="13"/>
        <v>5.2631578947368418E-2</v>
      </c>
      <c r="BD53" s="67">
        <f t="shared" si="11"/>
        <v>1</v>
      </c>
      <c r="BE53" s="67">
        <f t="shared" si="12"/>
        <v>0</v>
      </c>
    </row>
    <row r="54" spans="1:57">
      <c r="A54" s="67">
        <v>120</v>
      </c>
      <c r="B54" s="67" t="s">
        <v>73</v>
      </c>
      <c r="C54" s="8" t="s">
        <v>165</v>
      </c>
      <c r="D54" s="67" t="s">
        <v>42</v>
      </c>
      <c r="E54" s="269"/>
      <c r="F54" s="20"/>
      <c r="G54" s="20"/>
      <c r="H54" s="20"/>
      <c r="I54" s="20"/>
      <c r="J54" s="20" t="s">
        <v>434</v>
      </c>
      <c r="K54" s="5" t="s">
        <v>446</v>
      </c>
      <c r="L54" s="270" t="s">
        <v>446</v>
      </c>
      <c r="M54" s="269" t="s">
        <v>434</v>
      </c>
      <c r="N54" s="5" t="s">
        <v>435</v>
      </c>
      <c r="O54" s="5" t="s">
        <v>448</v>
      </c>
      <c r="P54" s="20"/>
      <c r="Q54" s="20"/>
      <c r="R54" s="20"/>
      <c r="S54" s="20"/>
      <c r="T54" s="270" t="s">
        <v>435</v>
      </c>
      <c r="U54" s="269"/>
      <c r="V54" s="20"/>
      <c r="W54" s="20"/>
      <c r="X54" s="20"/>
      <c r="Y54" s="20"/>
      <c r="Z54" s="20"/>
      <c r="AA54" s="20"/>
      <c r="AB54" s="270"/>
      <c r="AC54" s="269"/>
      <c r="AD54" s="5" t="s">
        <v>500</v>
      </c>
      <c r="AE54" s="5" t="s">
        <v>500</v>
      </c>
      <c r="AF54" s="5" t="s">
        <v>432</v>
      </c>
      <c r="AG54" s="5" t="s">
        <v>432</v>
      </c>
      <c r="AH54" s="5" t="s">
        <v>432</v>
      </c>
      <c r="AI54" s="5" t="s">
        <v>520</v>
      </c>
      <c r="AJ54" s="270" t="s">
        <v>520</v>
      </c>
      <c r="AK54" s="67">
        <v>120</v>
      </c>
      <c r="AM54" s="67">
        <v>1</v>
      </c>
      <c r="AO54" s="67">
        <f t="shared" si="0"/>
        <v>0</v>
      </c>
      <c r="AP54" s="67">
        <f t="shared" si="1"/>
        <v>2</v>
      </c>
      <c r="AQ54" s="67">
        <f t="shared" si="2"/>
        <v>7</v>
      </c>
      <c r="AR54" s="67">
        <f t="shared" si="3"/>
        <v>3</v>
      </c>
      <c r="AS54" s="67">
        <f t="shared" si="4"/>
        <v>7</v>
      </c>
      <c r="AT54" s="67">
        <f t="shared" si="5"/>
        <v>7</v>
      </c>
      <c r="AU54" s="67">
        <f t="shared" si="6"/>
        <v>0</v>
      </c>
      <c r="AV54" s="67">
        <f t="shared" si="7"/>
        <v>26</v>
      </c>
      <c r="AX54" s="256">
        <v>18</v>
      </c>
      <c r="AY54" s="67">
        <f t="shared" si="14"/>
        <v>90</v>
      </c>
      <c r="AZ54" s="76">
        <f t="shared" si="15"/>
        <v>0.28888888888888886</v>
      </c>
      <c r="BA54" s="67">
        <f t="shared" si="10"/>
        <v>14</v>
      </c>
      <c r="BB54" s="76">
        <f t="shared" si="13"/>
        <v>0.77777777777777779</v>
      </c>
      <c r="BD54" s="67">
        <f t="shared" si="11"/>
        <v>7</v>
      </c>
      <c r="BE54" s="67">
        <f t="shared" si="12"/>
        <v>7</v>
      </c>
    </row>
    <row r="55" spans="1:57">
      <c r="A55" s="67">
        <v>121</v>
      </c>
      <c r="B55" s="67" t="s">
        <v>113</v>
      </c>
      <c r="C55" s="8" t="s">
        <v>357</v>
      </c>
      <c r="E55" s="269"/>
      <c r="F55" s="20" t="s">
        <v>483</v>
      </c>
      <c r="G55" s="5" t="s">
        <v>499</v>
      </c>
      <c r="H55" s="5" t="s">
        <v>431</v>
      </c>
      <c r="I55" s="5" t="s">
        <v>431</v>
      </c>
      <c r="J55" s="5" t="s">
        <v>433</v>
      </c>
      <c r="K55" s="5" t="s">
        <v>433</v>
      </c>
      <c r="L55" s="270" t="s">
        <v>433</v>
      </c>
      <c r="M55" s="269" t="s">
        <v>433</v>
      </c>
      <c r="N55" s="5" t="s">
        <v>433</v>
      </c>
      <c r="O55" s="5" t="s">
        <v>433</v>
      </c>
      <c r="P55" s="5" t="s">
        <v>431</v>
      </c>
      <c r="Q55" s="5" t="s">
        <v>431</v>
      </c>
      <c r="R55" s="5" t="s">
        <v>431</v>
      </c>
      <c r="S55" s="5" t="s">
        <v>431</v>
      </c>
      <c r="T55" s="270"/>
      <c r="U55" s="269"/>
      <c r="V55" s="20"/>
      <c r="W55" s="20" t="s">
        <v>431</v>
      </c>
      <c r="X55" s="20" t="s">
        <v>432</v>
      </c>
      <c r="Y55" s="20"/>
      <c r="Z55" s="20" t="s">
        <v>433</v>
      </c>
      <c r="AA55" s="5" t="s">
        <v>494</v>
      </c>
      <c r="AB55" s="270" t="s">
        <v>494</v>
      </c>
      <c r="AC55" s="269" t="s">
        <v>494</v>
      </c>
      <c r="AD55" s="5" t="s">
        <v>494</v>
      </c>
      <c r="AE55" s="5" t="s">
        <v>433</v>
      </c>
      <c r="AF55" s="5" t="s">
        <v>431</v>
      </c>
      <c r="AG55" s="5" t="s">
        <v>434</v>
      </c>
      <c r="AH55" s="5" t="s">
        <v>499</v>
      </c>
      <c r="AI55" s="5" t="s">
        <v>457</v>
      </c>
      <c r="AJ55" s="270"/>
      <c r="AK55" s="67">
        <v>121</v>
      </c>
      <c r="AM55" s="67">
        <v>1</v>
      </c>
      <c r="AO55" s="67">
        <f t="shared" si="0"/>
        <v>0</v>
      </c>
      <c r="AP55" s="67">
        <f t="shared" si="1"/>
        <v>12</v>
      </c>
      <c r="AQ55" s="67">
        <f t="shared" si="2"/>
        <v>7</v>
      </c>
      <c r="AR55" s="67">
        <f t="shared" si="3"/>
        <v>12</v>
      </c>
      <c r="AS55" s="67">
        <f t="shared" si="4"/>
        <v>7</v>
      </c>
      <c r="AT55" s="67">
        <f t="shared" si="5"/>
        <v>5</v>
      </c>
      <c r="AU55" s="67">
        <f t="shared" si="6"/>
        <v>0</v>
      </c>
      <c r="AV55" s="67">
        <f t="shared" si="7"/>
        <v>43</v>
      </c>
      <c r="AX55" s="256">
        <v>28</v>
      </c>
      <c r="AY55" s="67">
        <f t="shared" si="14"/>
        <v>140</v>
      </c>
      <c r="AZ55" s="76">
        <f t="shared" si="15"/>
        <v>0.30714285714285716</v>
      </c>
      <c r="BA55" s="67">
        <f t="shared" si="10"/>
        <v>26</v>
      </c>
      <c r="BB55" s="76">
        <f t="shared" si="13"/>
        <v>0.9285714285714286</v>
      </c>
      <c r="BD55" s="67">
        <f t="shared" si="11"/>
        <v>14</v>
      </c>
      <c r="BE55" s="67">
        <f t="shared" si="12"/>
        <v>12</v>
      </c>
    </row>
    <row r="56" spans="1:57">
      <c r="A56" s="67">
        <v>122</v>
      </c>
      <c r="B56" s="67" t="s">
        <v>115</v>
      </c>
      <c r="C56" s="8" t="s">
        <v>357</v>
      </c>
      <c r="D56" s="67" t="s">
        <v>6</v>
      </c>
      <c r="E56" s="269"/>
      <c r="F56" s="20"/>
      <c r="G56" s="20"/>
      <c r="H56" s="20"/>
      <c r="I56" s="20" t="s">
        <v>431</v>
      </c>
      <c r="J56" s="5" t="s">
        <v>433</v>
      </c>
      <c r="K56" s="5" t="s">
        <v>494</v>
      </c>
      <c r="L56" s="270" t="s">
        <v>433</v>
      </c>
      <c r="M56" s="269" t="s">
        <v>433</v>
      </c>
      <c r="N56" s="5" t="s">
        <v>500</v>
      </c>
      <c r="O56" s="5" t="s">
        <v>432</v>
      </c>
      <c r="P56" s="5" t="s">
        <v>431</v>
      </c>
      <c r="Q56" s="5" t="s">
        <v>431</v>
      </c>
      <c r="R56" s="5" t="s">
        <v>461</v>
      </c>
      <c r="S56" s="5" t="s">
        <v>435</v>
      </c>
      <c r="T56" s="270"/>
      <c r="U56" s="269"/>
      <c r="V56" s="20"/>
      <c r="W56" s="20" t="s">
        <v>432</v>
      </c>
      <c r="X56" s="20"/>
      <c r="Y56" s="20"/>
      <c r="Z56" s="20" t="s">
        <v>446</v>
      </c>
      <c r="AA56" s="20" t="s">
        <v>494</v>
      </c>
      <c r="AB56" s="270" t="s">
        <v>494</v>
      </c>
      <c r="AC56" s="269" t="s">
        <v>494</v>
      </c>
      <c r="AD56" s="5" t="s">
        <v>494</v>
      </c>
      <c r="AE56" s="5" t="s">
        <v>434</v>
      </c>
      <c r="AF56" s="20"/>
      <c r="AG56" s="20"/>
      <c r="AH56" s="5" t="s">
        <v>432</v>
      </c>
      <c r="AI56" s="20"/>
      <c r="AJ56" s="270"/>
      <c r="AK56" s="67">
        <v>122</v>
      </c>
      <c r="AM56" s="67">
        <v>1</v>
      </c>
      <c r="AO56" s="67">
        <f t="shared" si="0"/>
        <v>0</v>
      </c>
      <c r="AP56" s="67">
        <f t="shared" si="1"/>
        <v>4</v>
      </c>
      <c r="AQ56" s="67">
        <f t="shared" si="2"/>
        <v>9</v>
      </c>
      <c r="AR56" s="67">
        <f t="shared" si="3"/>
        <v>9</v>
      </c>
      <c r="AS56" s="67">
        <f t="shared" si="4"/>
        <v>7</v>
      </c>
      <c r="AT56" s="67">
        <f t="shared" si="5"/>
        <v>8</v>
      </c>
      <c r="AU56" s="67">
        <f t="shared" si="6"/>
        <v>0</v>
      </c>
      <c r="AV56" s="67">
        <f t="shared" si="7"/>
        <v>37</v>
      </c>
      <c r="AX56" s="256">
        <v>28</v>
      </c>
      <c r="AY56" s="67">
        <f t="shared" si="14"/>
        <v>140</v>
      </c>
      <c r="AZ56" s="76">
        <f t="shared" si="15"/>
        <v>0.26428571428571429</v>
      </c>
      <c r="BA56" s="67">
        <f t="shared" si="10"/>
        <v>19</v>
      </c>
      <c r="BB56" s="76">
        <f t="shared" si="13"/>
        <v>0.6785714285714286</v>
      </c>
      <c r="BD56" s="67">
        <f t="shared" si="11"/>
        <v>11</v>
      </c>
      <c r="BE56" s="67">
        <f t="shared" si="12"/>
        <v>8</v>
      </c>
    </row>
    <row r="57" spans="1:57">
      <c r="A57" s="67">
        <v>125</v>
      </c>
      <c r="B57" s="67" t="s">
        <v>78</v>
      </c>
      <c r="C57" s="8" t="s">
        <v>359</v>
      </c>
      <c r="E57" s="269"/>
      <c r="F57" s="20"/>
      <c r="G57" s="20"/>
      <c r="H57" s="20"/>
      <c r="I57" s="20"/>
      <c r="J57" s="20"/>
      <c r="K57" s="20"/>
      <c r="L57" s="270"/>
      <c r="M57" s="269"/>
      <c r="N57" s="20"/>
      <c r="O57" s="20"/>
      <c r="P57" s="20"/>
      <c r="Q57" s="20"/>
      <c r="R57" s="20"/>
      <c r="S57" s="20"/>
      <c r="T57" s="270"/>
      <c r="U57" s="269"/>
      <c r="V57" s="20"/>
      <c r="W57" s="20"/>
      <c r="X57" s="20"/>
      <c r="Y57" s="20"/>
      <c r="Z57" s="20"/>
      <c r="AA57" s="20"/>
      <c r="AB57" s="270"/>
      <c r="AC57" s="269"/>
      <c r="AD57" s="20"/>
      <c r="AE57" s="20"/>
      <c r="AF57" s="20"/>
      <c r="AG57" s="20"/>
      <c r="AH57" s="20"/>
      <c r="AI57" s="20"/>
      <c r="AJ57" s="270"/>
      <c r="AK57" s="67">
        <v>125</v>
      </c>
      <c r="AL57" s="67">
        <v>1</v>
      </c>
      <c r="AO57" s="67">
        <f t="shared" si="0"/>
        <v>0</v>
      </c>
      <c r="AP57" s="67">
        <f t="shared" si="1"/>
        <v>0</v>
      </c>
      <c r="AQ57" s="67">
        <f t="shared" si="2"/>
        <v>0</v>
      </c>
      <c r="AR57" s="67">
        <f t="shared" si="3"/>
        <v>0</v>
      </c>
      <c r="AS57" s="67">
        <f t="shared" si="4"/>
        <v>0</v>
      </c>
      <c r="AT57" s="67">
        <f t="shared" si="5"/>
        <v>0</v>
      </c>
      <c r="AU57" s="67">
        <f t="shared" si="6"/>
        <v>0</v>
      </c>
      <c r="AV57" s="67">
        <f t="shared" si="7"/>
        <v>0</v>
      </c>
      <c r="AX57" s="256">
        <v>17</v>
      </c>
      <c r="AY57" s="67">
        <f t="shared" si="14"/>
        <v>85</v>
      </c>
      <c r="AZ57" s="76">
        <f t="shared" si="15"/>
        <v>0</v>
      </c>
      <c r="BA57" s="67">
        <f t="shared" si="10"/>
        <v>0</v>
      </c>
      <c r="BB57" s="76">
        <f t="shared" si="13"/>
        <v>0</v>
      </c>
      <c r="BD57" s="67">
        <f t="shared" si="11"/>
        <v>0</v>
      </c>
      <c r="BE57" s="67">
        <f t="shared" si="12"/>
        <v>0</v>
      </c>
    </row>
    <row r="58" spans="1:57">
      <c r="A58" s="8">
        <v>127</v>
      </c>
      <c r="B58" s="67" t="s">
        <v>62</v>
      </c>
      <c r="C58" s="8" t="s">
        <v>42</v>
      </c>
      <c r="D58" s="67" t="s">
        <v>42</v>
      </c>
      <c r="E58" s="269" t="s">
        <v>435</v>
      </c>
      <c r="F58" s="5" t="s">
        <v>434</v>
      </c>
      <c r="G58" s="5" t="s">
        <v>435</v>
      </c>
      <c r="H58" s="5" t="s">
        <v>499</v>
      </c>
      <c r="I58" s="5" t="s">
        <v>431</v>
      </c>
      <c r="J58" s="5" t="s">
        <v>433</v>
      </c>
      <c r="K58" s="5" t="s">
        <v>433</v>
      </c>
      <c r="L58" s="270" t="s">
        <v>433</v>
      </c>
      <c r="M58" s="269" t="s">
        <v>433</v>
      </c>
      <c r="N58" s="5" t="s">
        <v>433</v>
      </c>
      <c r="O58" s="5" t="s">
        <v>433</v>
      </c>
      <c r="P58" s="20"/>
      <c r="Q58" s="5" t="s">
        <v>431</v>
      </c>
      <c r="R58" s="5" t="s">
        <v>461</v>
      </c>
      <c r="S58" s="5" t="s">
        <v>531</v>
      </c>
      <c r="T58" s="270" t="s">
        <v>467</v>
      </c>
      <c r="U58" s="269" t="s">
        <v>520</v>
      </c>
      <c r="V58" s="5" t="s">
        <v>535</v>
      </c>
      <c r="W58" s="5" t="s">
        <v>499</v>
      </c>
      <c r="X58" s="5" t="s">
        <v>499</v>
      </c>
      <c r="Y58" s="5" t="s">
        <v>478</v>
      </c>
      <c r="Z58" s="5" t="s">
        <v>494</v>
      </c>
      <c r="AA58" s="5" t="s">
        <v>500</v>
      </c>
      <c r="AB58" s="270" t="s">
        <v>501</v>
      </c>
      <c r="AC58" s="269" t="s">
        <v>433</v>
      </c>
      <c r="AD58" s="5" t="s">
        <v>433</v>
      </c>
      <c r="AE58" s="5" t="s">
        <v>448</v>
      </c>
      <c r="AF58" s="5" t="s">
        <v>496</v>
      </c>
      <c r="AG58" s="5" t="s">
        <v>499</v>
      </c>
      <c r="AH58" s="5" t="s">
        <v>467</v>
      </c>
      <c r="AI58" s="5" t="s">
        <v>496</v>
      </c>
      <c r="AJ58" s="270" t="s">
        <v>525</v>
      </c>
      <c r="AK58" s="67">
        <v>127</v>
      </c>
      <c r="AM58" s="67">
        <v>1</v>
      </c>
      <c r="AO58" s="67">
        <f t="shared" si="0"/>
        <v>0</v>
      </c>
      <c r="AP58" s="67">
        <f t="shared" si="1"/>
        <v>16</v>
      </c>
      <c r="AQ58" s="67">
        <f t="shared" si="2"/>
        <v>15</v>
      </c>
      <c r="AR58" s="67">
        <f t="shared" si="3"/>
        <v>12</v>
      </c>
      <c r="AS58" s="67">
        <f t="shared" si="4"/>
        <v>11</v>
      </c>
      <c r="AT58" s="67">
        <f t="shared" si="5"/>
        <v>13</v>
      </c>
      <c r="AU58" s="67">
        <f t="shared" si="6"/>
        <v>0</v>
      </c>
      <c r="AV58" s="67">
        <f t="shared" si="7"/>
        <v>67</v>
      </c>
      <c r="AX58" s="256">
        <v>32</v>
      </c>
      <c r="AY58" s="67">
        <f t="shared" si="14"/>
        <v>160</v>
      </c>
      <c r="AZ58" s="76">
        <f t="shared" si="15"/>
        <v>0.41875000000000001</v>
      </c>
      <c r="BA58" s="67">
        <f t="shared" si="10"/>
        <v>31</v>
      </c>
      <c r="BB58" s="76">
        <f t="shared" si="13"/>
        <v>0.96875</v>
      </c>
      <c r="BD58" s="67">
        <f t="shared" si="11"/>
        <v>15</v>
      </c>
      <c r="BE58" s="67">
        <f t="shared" si="12"/>
        <v>16</v>
      </c>
    </row>
    <row r="59" spans="1:57">
      <c r="A59" s="67">
        <v>129</v>
      </c>
      <c r="B59" s="67" t="s">
        <v>88</v>
      </c>
      <c r="C59" s="8" t="s">
        <v>12</v>
      </c>
      <c r="D59" s="67" t="s">
        <v>6</v>
      </c>
      <c r="E59" s="269"/>
      <c r="F59" s="20"/>
      <c r="G59" s="5" t="s">
        <v>431</v>
      </c>
      <c r="H59" s="20"/>
      <c r="I59" s="20"/>
      <c r="J59" s="5" t="s">
        <v>501</v>
      </c>
      <c r="K59" s="5" t="s">
        <v>448</v>
      </c>
      <c r="L59" s="270" t="s">
        <v>433</v>
      </c>
      <c r="M59" s="269" t="s">
        <v>433</v>
      </c>
      <c r="N59" s="5" t="s">
        <v>433</v>
      </c>
      <c r="O59" s="5" t="s">
        <v>433</v>
      </c>
      <c r="P59" s="20"/>
      <c r="Q59" s="20"/>
      <c r="R59" s="5" t="s">
        <v>461</v>
      </c>
      <c r="S59" s="20"/>
      <c r="T59" s="270"/>
      <c r="U59" s="269"/>
      <c r="V59" s="20"/>
      <c r="W59" s="5" t="s">
        <v>432</v>
      </c>
      <c r="X59" s="20" t="s">
        <v>434</v>
      </c>
      <c r="Y59" s="20" t="s">
        <v>434</v>
      </c>
      <c r="Z59" s="5" t="s">
        <v>433</v>
      </c>
      <c r="AA59" s="5" t="s">
        <v>433</v>
      </c>
      <c r="AB59" s="270" t="s">
        <v>500</v>
      </c>
      <c r="AC59" s="269" t="s">
        <v>500</v>
      </c>
      <c r="AD59" s="5" t="s">
        <v>433</v>
      </c>
      <c r="AE59" s="5" t="s">
        <v>433</v>
      </c>
      <c r="AF59" s="20"/>
      <c r="AG59" s="20"/>
      <c r="AH59" s="20"/>
      <c r="AI59" s="20"/>
      <c r="AJ59" s="270"/>
      <c r="AK59" s="67">
        <v>129</v>
      </c>
      <c r="AM59" s="67">
        <v>1</v>
      </c>
      <c r="AO59" s="67">
        <f t="shared" si="0"/>
        <v>0</v>
      </c>
      <c r="AP59" s="67">
        <f t="shared" si="1"/>
        <v>2</v>
      </c>
      <c r="AQ59" s="67">
        <f t="shared" si="2"/>
        <v>3</v>
      </c>
      <c r="AR59" s="67">
        <f t="shared" si="3"/>
        <v>12</v>
      </c>
      <c r="AS59" s="67">
        <f t="shared" si="4"/>
        <v>4</v>
      </c>
      <c r="AT59" s="67">
        <f t="shared" si="5"/>
        <v>2</v>
      </c>
      <c r="AU59" s="67">
        <f t="shared" si="6"/>
        <v>0</v>
      </c>
      <c r="AV59" s="67">
        <f t="shared" si="7"/>
        <v>23</v>
      </c>
      <c r="AX59" s="256">
        <v>26</v>
      </c>
      <c r="AY59" s="67">
        <f t="shared" si="14"/>
        <v>130</v>
      </c>
      <c r="AZ59" s="76">
        <f t="shared" si="15"/>
        <v>0.17692307692307693</v>
      </c>
      <c r="BA59" s="67">
        <f t="shared" si="10"/>
        <v>17</v>
      </c>
      <c r="BB59" s="76">
        <f t="shared" si="13"/>
        <v>0.65384615384615385</v>
      </c>
      <c r="BD59" s="67">
        <f t="shared" si="11"/>
        <v>8</v>
      </c>
      <c r="BE59" s="67">
        <f t="shared" si="12"/>
        <v>9</v>
      </c>
    </row>
    <row r="60" spans="1:57">
      <c r="A60" s="67">
        <v>130</v>
      </c>
      <c r="B60" s="67" t="s">
        <v>41</v>
      </c>
      <c r="C60" s="8" t="s">
        <v>42</v>
      </c>
      <c r="D60" s="67" t="s">
        <v>42</v>
      </c>
      <c r="E60" s="269"/>
      <c r="F60" s="5" t="s">
        <v>434</v>
      </c>
      <c r="G60" s="5" t="s">
        <v>431</v>
      </c>
      <c r="H60" s="5" t="s">
        <v>434</v>
      </c>
      <c r="I60" s="5" t="s">
        <v>434</v>
      </c>
      <c r="J60" s="5" t="s">
        <v>501</v>
      </c>
      <c r="K60" s="5" t="s">
        <v>501</v>
      </c>
      <c r="L60" s="270" t="s">
        <v>448</v>
      </c>
      <c r="M60" s="269" t="s">
        <v>448</v>
      </c>
      <c r="N60" s="5" t="s">
        <v>528</v>
      </c>
      <c r="O60" s="5" t="s">
        <v>501</v>
      </c>
      <c r="P60" s="5" t="s">
        <v>431</v>
      </c>
      <c r="Q60" s="20"/>
      <c r="R60" s="5" t="s">
        <v>446</v>
      </c>
      <c r="S60" s="5" t="s">
        <v>434</v>
      </c>
      <c r="T60" s="270"/>
      <c r="U60" s="269" t="s">
        <v>460</v>
      </c>
      <c r="V60" s="5" t="s">
        <v>520</v>
      </c>
      <c r="W60" s="5" t="s">
        <v>515</v>
      </c>
      <c r="X60" s="5" t="s">
        <v>515</v>
      </c>
      <c r="Y60" s="5" t="s">
        <v>460</v>
      </c>
      <c r="Z60" s="5" t="s">
        <v>494</v>
      </c>
      <c r="AA60" s="5" t="s">
        <v>494</v>
      </c>
      <c r="AB60" s="270" t="s">
        <v>494</v>
      </c>
      <c r="AC60" s="269" t="s">
        <v>494</v>
      </c>
      <c r="AD60" s="5" t="s">
        <v>494</v>
      </c>
      <c r="AE60" s="5" t="s">
        <v>494</v>
      </c>
      <c r="AF60" s="5" t="s">
        <v>515</v>
      </c>
      <c r="AG60" s="5" t="s">
        <v>515</v>
      </c>
      <c r="AH60" s="5" t="s">
        <v>515</v>
      </c>
      <c r="AI60" s="5" t="s">
        <v>434</v>
      </c>
      <c r="AJ60" s="270"/>
      <c r="AK60" s="67">
        <v>130</v>
      </c>
      <c r="AM60" s="67">
        <v>1</v>
      </c>
      <c r="AO60" s="67">
        <f t="shared" si="0"/>
        <v>0</v>
      </c>
      <c r="AP60" s="67">
        <f t="shared" si="1"/>
        <v>3</v>
      </c>
      <c r="AQ60" s="67">
        <f t="shared" si="2"/>
        <v>15</v>
      </c>
      <c r="AR60" s="67">
        <f t="shared" si="3"/>
        <v>12</v>
      </c>
      <c r="AS60" s="67">
        <f t="shared" si="4"/>
        <v>26</v>
      </c>
      <c r="AT60" s="67">
        <f t="shared" si="5"/>
        <v>16</v>
      </c>
      <c r="AU60" s="67">
        <f t="shared" si="6"/>
        <v>0</v>
      </c>
      <c r="AV60" s="67">
        <f t="shared" si="7"/>
        <v>72</v>
      </c>
      <c r="AX60" s="256">
        <v>30</v>
      </c>
      <c r="AY60" s="67">
        <f t="shared" si="14"/>
        <v>150</v>
      </c>
      <c r="AZ60" s="76">
        <f t="shared" si="15"/>
        <v>0.48</v>
      </c>
      <c r="BA60" s="67">
        <f t="shared" si="10"/>
        <v>28</v>
      </c>
      <c r="BB60" s="76">
        <f t="shared" si="13"/>
        <v>0.93333333333333335</v>
      </c>
      <c r="BD60" s="67">
        <f t="shared" si="11"/>
        <v>13</v>
      </c>
      <c r="BE60" s="67">
        <f t="shared" si="12"/>
        <v>15</v>
      </c>
    </row>
    <row r="61" spans="1:57">
      <c r="A61" s="67">
        <v>131</v>
      </c>
      <c r="B61" s="67" t="s">
        <v>63</v>
      </c>
      <c r="C61" s="8" t="s">
        <v>346</v>
      </c>
      <c r="E61" s="269"/>
      <c r="F61" s="20"/>
      <c r="G61" s="20"/>
      <c r="H61" s="20"/>
      <c r="I61" s="20"/>
      <c r="J61" s="20"/>
      <c r="K61" s="20"/>
      <c r="L61" s="270"/>
      <c r="M61" s="269"/>
      <c r="N61" s="20"/>
      <c r="O61" s="20"/>
      <c r="P61" s="20"/>
      <c r="Q61" s="20"/>
      <c r="R61" s="20"/>
      <c r="S61" s="20"/>
      <c r="T61" s="270"/>
      <c r="U61" s="269"/>
      <c r="V61" s="20"/>
      <c r="W61" s="20"/>
      <c r="X61" s="20"/>
      <c r="Y61" s="20"/>
      <c r="Z61" s="20"/>
      <c r="AA61" s="20"/>
      <c r="AB61" s="270"/>
      <c r="AC61" s="269"/>
      <c r="AD61" s="20"/>
      <c r="AE61" s="20"/>
      <c r="AF61" s="20"/>
      <c r="AG61" s="20"/>
      <c r="AH61" s="20"/>
      <c r="AI61" s="20"/>
      <c r="AJ61" s="270"/>
      <c r="AK61" s="67">
        <v>131</v>
      </c>
      <c r="AL61" s="67">
        <v>1</v>
      </c>
      <c r="AO61" s="67">
        <f t="shared" si="0"/>
        <v>0</v>
      </c>
      <c r="AP61" s="67">
        <f t="shared" si="1"/>
        <v>0</v>
      </c>
      <c r="AQ61" s="67">
        <f t="shared" si="2"/>
        <v>0</v>
      </c>
      <c r="AR61" s="67">
        <f t="shared" si="3"/>
        <v>0</v>
      </c>
      <c r="AS61" s="67">
        <f t="shared" si="4"/>
        <v>0</v>
      </c>
      <c r="AT61" s="67">
        <f t="shared" si="5"/>
        <v>0</v>
      </c>
      <c r="AU61" s="67">
        <f t="shared" si="6"/>
        <v>0</v>
      </c>
      <c r="AV61" s="67">
        <f t="shared" si="7"/>
        <v>0</v>
      </c>
      <c r="AX61" s="256">
        <v>3</v>
      </c>
      <c r="AY61" s="67">
        <f t="shared" si="14"/>
        <v>15</v>
      </c>
      <c r="AZ61" s="76">
        <f t="shared" si="15"/>
        <v>0</v>
      </c>
      <c r="BA61" s="67">
        <f t="shared" si="10"/>
        <v>0</v>
      </c>
      <c r="BB61" s="76">
        <f t="shared" si="13"/>
        <v>0</v>
      </c>
      <c r="BD61" s="67">
        <f t="shared" si="11"/>
        <v>0</v>
      </c>
      <c r="BE61" s="67">
        <f t="shared" si="12"/>
        <v>0</v>
      </c>
    </row>
    <row r="62" spans="1:57">
      <c r="A62" s="67">
        <v>132</v>
      </c>
      <c r="B62" s="67" t="s">
        <v>99</v>
      </c>
      <c r="C62" s="8" t="s">
        <v>346</v>
      </c>
      <c r="E62" s="269"/>
      <c r="F62" s="20"/>
      <c r="G62" s="20"/>
      <c r="H62" s="20" t="s">
        <v>446</v>
      </c>
      <c r="I62" s="20" t="s">
        <v>482</v>
      </c>
      <c r="J62" s="20"/>
      <c r="K62" s="20"/>
      <c r="L62" s="270"/>
      <c r="M62" s="269"/>
      <c r="N62" s="20"/>
      <c r="O62" s="20"/>
      <c r="P62" s="20"/>
      <c r="Q62" s="20"/>
      <c r="R62" s="20"/>
      <c r="S62" s="20"/>
      <c r="T62" s="270"/>
      <c r="U62" s="269"/>
      <c r="V62" s="20"/>
      <c r="W62" s="20"/>
      <c r="X62" s="20"/>
      <c r="Y62" s="20"/>
      <c r="Z62" s="20"/>
      <c r="AA62" s="20"/>
      <c r="AB62" s="270"/>
      <c r="AC62" s="269"/>
      <c r="AD62" s="20"/>
      <c r="AE62" s="20"/>
      <c r="AF62" s="20" t="s">
        <v>512</v>
      </c>
      <c r="AG62" s="20"/>
      <c r="AH62" s="20"/>
      <c r="AI62" s="20"/>
      <c r="AJ62" s="270"/>
      <c r="AK62" s="67">
        <v>132</v>
      </c>
      <c r="AM62" s="67">
        <v>1</v>
      </c>
      <c r="AO62" s="67">
        <f t="shared" si="0"/>
        <v>0</v>
      </c>
      <c r="AP62" s="67">
        <f t="shared" si="1"/>
        <v>2</v>
      </c>
      <c r="AQ62" s="67">
        <f t="shared" si="2"/>
        <v>0</v>
      </c>
      <c r="AR62" s="67">
        <f t="shared" si="3"/>
        <v>0</v>
      </c>
      <c r="AS62" s="67">
        <f t="shared" si="4"/>
        <v>2</v>
      </c>
      <c r="AT62" s="67">
        <f t="shared" si="5"/>
        <v>3</v>
      </c>
      <c r="AU62" s="67">
        <f t="shared" si="6"/>
        <v>1</v>
      </c>
      <c r="AV62" s="67">
        <f t="shared" si="7"/>
        <v>8</v>
      </c>
      <c r="AX62" s="256">
        <v>20</v>
      </c>
      <c r="AY62" s="67">
        <f t="shared" si="14"/>
        <v>100</v>
      </c>
      <c r="AZ62" s="76">
        <f t="shared" si="15"/>
        <v>0.08</v>
      </c>
      <c r="BA62" s="67">
        <f t="shared" si="10"/>
        <v>3</v>
      </c>
      <c r="BB62" s="76">
        <f t="shared" si="13"/>
        <v>0.15</v>
      </c>
      <c r="BD62" s="67">
        <f t="shared" si="11"/>
        <v>2</v>
      </c>
      <c r="BE62" s="67">
        <f t="shared" si="12"/>
        <v>1</v>
      </c>
    </row>
    <row r="63" spans="1:57">
      <c r="A63" s="67">
        <v>133</v>
      </c>
      <c r="B63" s="67" t="s">
        <v>41</v>
      </c>
      <c r="C63" s="8" t="s">
        <v>42</v>
      </c>
      <c r="D63" s="67" t="s">
        <v>6</v>
      </c>
      <c r="E63" s="269"/>
      <c r="F63" s="5" t="s">
        <v>520</v>
      </c>
      <c r="G63" s="5" t="s">
        <v>520</v>
      </c>
      <c r="H63" s="5" t="s">
        <v>431</v>
      </c>
      <c r="I63" s="5" t="s">
        <v>431</v>
      </c>
      <c r="J63" s="5" t="s">
        <v>433</v>
      </c>
      <c r="K63" s="20"/>
      <c r="L63" s="270" t="s">
        <v>433</v>
      </c>
      <c r="M63" s="269"/>
      <c r="N63" s="5" t="s">
        <v>433</v>
      </c>
      <c r="O63" s="5" t="s">
        <v>433</v>
      </c>
      <c r="P63" s="20"/>
      <c r="Q63" s="20"/>
      <c r="R63" s="5" t="s">
        <v>431</v>
      </c>
      <c r="S63" s="5" t="s">
        <v>431</v>
      </c>
      <c r="T63" s="270"/>
      <c r="U63" s="269"/>
      <c r="V63" s="20"/>
      <c r="W63" s="20"/>
      <c r="X63" s="20"/>
      <c r="Y63" s="20"/>
      <c r="Z63" s="5" t="s">
        <v>432</v>
      </c>
      <c r="AA63" s="5" t="s">
        <v>500</v>
      </c>
      <c r="AB63" s="270" t="s">
        <v>500</v>
      </c>
      <c r="AC63" s="269" t="s">
        <v>433</v>
      </c>
      <c r="AD63" s="5" t="s">
        <v>433</v>
      </c>
      <c r="AE63" s="5" t="s">
        <v>433</v>
      </c>
      <c r="AF63" s="5" t="s">
        <v>462</v>
      </c>
      <c r="AG63" s="5" t="s">
        <v>499</v>
      </c>
      <c r="AH63" s="5" t="s">
        <v>432</v>
      </c>
      <c r="AI63" s="5" t="s">
        <v>515</v>
      </c>
      <c r="AJ63" s="270"/>
      <c r="AK63" s="67">
        <v>133</v>
      </c>
      <c r="AM63" s="67">
        <v>1</v>
      </c>
      <c r="AO63" s="67">
        <f t="shared" si="0"/>
        <v>0</v>
      </c>
      <c r="AP63" s="67">
        <f t="shared" si="1"/>
        <v>8</v>
      </c>
      <c r="AQ63" s="67">
        <f t="shared" si="2"/>
        <v>8</v>
      </c>
      <c r="AR63" s="67">
        <f t="shared" si="3"/>
        <v>9</v>
      </c>
      <c r="AS63" s="67">
        <f t="shared" si="4"/>
        <v>4</v>
      </c>
      <c r="AT63" s="67">
        <f t="shared" si="5"/>
        <v>4</v>
      </c>
      <c r="AU63" s="67">
        <f t="shared" si="6"/>
        <v>0</v>
      </c>
      <c r="AV63" s="67">
        <f t="shared" si="7"/>
        <v>33</v>
      </c>
      <c r="AX63" s="256">
        <v>26</v>
      </c>
      <c r="AY63" s="67">
        <f t="shared" si="14"/>
        <v>130</v>
      </c>
      <c r="AZ63" s="76">
        <f t="shared" si="15"/>
        <v>0.25384615384615383</v>
      </c>
      <c r="BA63" s="67">
        <f t="shared" si="10"/>
        <v>20</v>
      </c>
      <c r="BB63" s="76">
        <f t="shared" si="13"/>
        <v>0.76923076923076927</v>
      </c>
      <c r="BD63" s="67">
        <f t="shared" si="11"/>
        <v>10</v>
      </c>
      <c r="BE63" s="67">
        <f t="shared" si="12"/>
        <v>10</v>
      </c>
    </row>
    <row r="64" spans="1:57">
      <c r="A64" s="67">
        <v>134</v>
      </c>
      <c r="B64" s="67" t="s">
        <v>74</v>
      </c>
      <c r="C64" s="8" t="s">
        <v>346</v>
      </c>
      <c r="E64" s="269"/>
      <c r="F64" s="20"/>
      <c r="G64" s="20"/>
      <c r="H64" s="20"/>
      <c r="I64" s="5" t="s">
        <v>431</v>
      </c>
      <c r="J64" s="20"/>
      <c r="K64" s="20"/>
      <c r="L64" s="270"/>
      <c r="M64" s="269" t="s">
        <v>433</v>
      </c>
      <c r="N64" s="20"/>
      <c r="O64" s="5" t="s">
        <v>433</v>
      </c>
      <c r="P64" s="20"/>
      <c r="Q64" s="20"/>
      <c r="R64" s="20"/>
      <c r="S64" s="20"/>
      <c r="T64" s="270"/>
      <c r="U64" s="269"/>
      <c r="V64" s="20"/>
      <c r="W64" s="20"/>
      <c r="X64" s="20"/>
      <c r="Y64" s="20"/>
      <c r="Z64" s="20"/>
      <c r="AA64" s="5" t="s">
        <v>434</v>
      </c>
      <c r="AB64" s="270" t="s">
        <v>435</v>
      </c>
      <c r="AC64" s="269"/>
      <c r="AD64" s="20"/>
      <c r="AE64" s="20"/>
      <c r="AF64" s="20"/>
      <c r="AG64" s="20"/>
      <c r="AH64" s="20"/>
      <c r="AI64" s="20"/>
      <c r="AJ64" s="270"/>
      <c r="AK64" s="67">
        <v>134</v>
      </c>
      <c r="AM64" s="67">
        <v>1</v>
      </c>
      <c r="AO64" s="67">
        <f t="shared" si="0"/>
        <v>0</v>
      </c>
      <c r="AP64" s="67">
        <f t="shared" si="1"/>
        <v>1</v>
      </c>
      <c r="AQ64" s="67">
        <f t="shared" si="2"/>
        <v>0</v>
      </c>
      <c r="AR64" s="67">
        <f t="shared" si="3"/>
        <v>2</v>
      </c>
      <c r="AS64" s="67">
        <f t="shared" si="4"/>
        <v>1</v>
      </c>
      <c r="AT64" s="67">
        <f t="shared" si="5"/>
        <v>1</v>
      </c>
      <c r="AU64" s="67">
        <f t="shared" si="6"/>
        <v>0</v>
      </c>
      <c r="AV64" s="67">
        <f t="shared" si="7"/>
        <v>5</v>
      </c>
      <c r="AX64" s="256">
        <v>20</v>
      </c>
      <c r="AY64" s="67">
        <f t="shared" si="14"/>
        <v>100</v>
      </c>
      <c r="AZ64" s="76">
        <f t="shared" si="15"/>
        <v>0.05</v>
      </c>
      <c r="BA64" s="67">
        <f t="shared" si="10"/>
        <v>5</v>
      </c>
      <c r="BB64" s="76">
        <f t="shared" si="13"/>
        <v>0.25</v>
      </c>
      <c r="BD64" s="67">
        <f t="shared" si="11"/>
        <v>3</v>
      </c>
      <c r="BE64" s="67">
        <f t="shared" si="12"/>
        <v>2</v>
      </c>
    </row>
    <row r="65" spans="1:57">
      <c r="A65" s="67">
        <v>135</v>
      </c>
      <c r="B65" s="67" t="s">
        <v>63</v>
      </c>
      <c r="C65" s="8" t="s">
        <v>346</v>
      </c>
      <c r="E65" s="269"/>
      <c r="F65" s="20"/>
      <c r="G65" s="20"/>
      <c r="H65" s="20"/>
      <c r="I65" s="20"/>
      <c r="J65" s="20"/>
      <c r="K65" s="20"/>
      <c r="L65" s="270"/>
      <c r="M65" s="269"/>
      <c r="N65" s="20"/>
      <c r="O65" s="20"/>
      <c r="P65" s="20"/>
      <c r="Q65" s="20"/>
      <c r="R65" s="20"/>
      <c r="S65" s="20"/>
      <c r="T65" s="270"/>
      <c r="U65" s="269"/>
      <c r="V65" s="20"/>
      <c r="W65" s="20"/>
      <c r="X65" s="20"/>
      <c r="Y65" s="20"/>
      <c r="Z65" s="20"/>
      <c r="AA65" s="20"/>
      <c r="AB65" s="270"/>
      <c r="AC65" s="269"/>
      <c r="AD65" s="20"/>
      <c r="AE65" s="20"/>
      <c r="AF65" s="20"/>
      <c r="AG65" s="20"/>
      <c r="AH65" s="20"/>
      <c r="AI65" s="20"/>
      <c r="AJ65" s="270"/>
      <c r="AK65" s="67">
        <v>135</v>
      </c>
      <c r="AL65" s="67">
        <v>1</v>
      </c>
      <c r="AO65" s="67">
        <f t="shared" si="0"/>
        <v>0</v>
      </c>
      <c r="AP65" s="67">
        <f t="shared" si="1"/>
        <v>0</v>
      </c>
      <c r="AQ65" s="67">
        <f t="shared" si="2"/>
        <v>0</v>
      </c>
      <c r="AR65" s="67">
        <f t="shared" si="3"/>
        <v>0</v>
      </c>
      <c r="AS65" s="67">
        <f t="shared" si="4"/>
        <v>0</v>
      </c>
      <c r="AT65" s="67">
        <f t="shared" si="5"/>
        <v>0</v>
      </c>
      <c r="AU65" s="67">
        <f t="shared" si="6"/>
        <v>0</v>
      </c>
      <c r="AV65" s="67">
        <f t="shared" si="7"/>
        <v>0</v>
      </c>
      <c r="AX65" s="256">
        <v>12</v>
      </c>
      <c r="AY65" s="67">
        <f t="shared" si="14"/>
        <v>60</v>
      </c>
      <c r="AZ65" s="76">
        <f t="shared" si="15"/>
        <v>0</v>
      </c>
      <c r="BA65" s="67">
        <f t="shared" si="10"/>
        <v>0</v>
      </c>
      <c r="BB65" s="76">
        <f t="shared" si="13"/>
        <v>0</v>
      </c>
      <c r="BD65" s="67">
        <f t="shared" si="11"/>
        <v>0</v>
      </c>
      <c r="BE65" s="67">
        <f t="shared" si="12"/>
        <v>0</v>
      </c>
    </row>
    <row r="66" spans="1:57">
      <c r="A66" s="67">
        <v>136</v>
      </c>
      <c r="B66" s="67" t="s">
        <v>54</v>
      </c>
      <c r="C66" s="8" t="s">
        <v>345</v>
      </c>
      <c r="E66" s="269"/>
      <c r="F66" s="20"/>
      <c r="G66" s="20"/>
      <c r="H66" s="20"/>
      <c r="I66" s="20"/>
      <c r="J66" s="20"/>
      <c r="K66" s="20"/>
      <c r="L66" s="270"/>
      <c r="M66" s="269"/>
      <c r="N66" s="20"/>
      <c r="O66" s="20"/>
      <c r="P66" s="20"/>
      <c r="Q66" s="20"/>
      <c r="R66" s="20"/>
      <c r="S66" s="20"/>
      <c r="T66" s="270"/>
      <c r="U66" s="269"/>
      <c r="V66" s="20"/>
      <c r="W66" s="20"/>
      <c r="X66" s="20"/>
      <c r="Y66" s="20"/>
      <c r="Z66" s="20"/>
      <c r="AA66" s="20"/>
      <c r="AB66" s="270"/>
      <c r="AC66" s="269"/>
      <c r="AD66" s="20"/>
      <c r="AE66" s="20"/>
      <c r="AF66" s="20"/>
      <c r="AG66" s="20"/>
      <c r="AH66" s="20"/>
      <c r="AI66" s="20"/>
      <c r="AJ66" s="270"/>
      <c r="AK66" s="67">
        <v>136</v>
      </c>
      <c r="AL66" s="67">
        <v>1</v>
      </c>
      <c r="AO66" s="67">
        <f t="shared" si="0"/>
        <v>0</v>
      </c>
      <c r="AP66" s="67">
        <f t="shared" si="1"/>
        <v>0</v>
      </c>
      <c r="AQ66" s="67">
        <f t="shared" si="2"/>
        <v>0</v>
      </c>
      <c r="AR66" s="67">
        <f t="shared" si="3"/>
        <v>0</v>
      </c>
      <c r="AS66" s="67">
        <f t="shared" si="4"/>
        <v>0</v>
      </c>
      <c r="AT66" s="67">
        <f t="shared" si="5"/>
        <v>0</v>
      </c>
      <c r="AU66" s="67">
        <f t="shared" si="6"/>
        <v>0</v>
      </c>
      <c r="AV66" s="67">
        <f t="shared" si="7"/>
        <v>0</v>
      </c>
      <c r="AX66" s="256">
        <v>7</v>
      </c>
      <c r="AY66" s="67">
        <f t="shared" si="14"/>
        <v>35</v>
      </c>
      <c r="AZ66" s="76">
        <f t="shared" si="15"/>
        <v>0</v>
      </c>
      <c r="BA66" s="67">
        <f t="shared" si="10"/>
        <v>0</v>
      </c>
      <c r="BB66" s="76">
        <f t="shared" si="13"/>
        <v>0</v>
      </c>
      <c r="BD66" s="67">
        <f t="shared" si="11"/>
        <v>0</v>
      </c>
      <c r="BE66" s="67">
        <f t="shared" si="12"/>
        <v>0</v>
      </c>
    </row>
    <row r="67" spans="1:57">
      <c r="A67" s="67">
        <v>139</v>
      </c>
      <c r="B67" s="67" t="s">
        <v>123</v>
      </c>
      <c r="C67" s="8" t="s">
        <v>366</v>
      </c>
      <c r="D67" s="67" t="s">
        <v>42</v>
      </c>
      <c r="E67" s="269"/>
      <c r="F67" s="5" t="s">
        <v>431</v>
      </c>
      <c r="G67" s="5"/>
      <c r="H67" s="5"/>
      <c r="I67" s="5"/>
      <c r="J67" s="20" t="s">
        <v>433</v>
      </c>
      <c r="K67" s="20" t="s">
        <v>433</v>
      </c>
      <c r="L67" s="270" t="s">
        <v>433</v>
      </c>
      <c r="M67" s="269" t="s">
        <v>433</v>
      </c>
      <c r="N67" s="5" t="s">
        <v>433</v>
      </c>
      <c r="O67" s="5" t="s">
        <v>433</v>
      </c>
      <c r="P67" s="20"/>
      <c r="Q67" s="20"/>
      <c r="R67" s="20"/>
      <c r="S67" s="20"/>
      <c r="T67" s="270"/>
      <c r="U67" s="269" t="s">
        <v>496</v>
      </c>
      <c r="V67" s="20" t="s">
        <v>431</v>
      </c>
      <c r="W67" s="20"/>
      <c r="X67" s="5"/>
      <c r="Y67" s="20" t="s">
        <v>431</v>
      </c>
      <c r="Z67" s="5" t="s">
        <v>433</v>
      </c>
      <c r="AA67" s="5" t="s">
        <v>433</v>
      </c>
      <c r="AB67" s="270" t="s">
        <v>433</v>
      </c>
      <c r="AC67" s="269" t="s">
        <v>433</v>
      </c>
      <c r="AD67" s="5" t="s">
        <v>433</v>
      </c>
      <c r="AE67" s="5" t="s">
        <v>433</v>
      </c>
      <c r="AF67" s="5" t="s">
        <v>499</v>
      </c>
      <c r="AG67" s="20"/>
      <c r="AH67" s="20"/>
      <c r="AI67" s="20"/>
      <c r="AJ67" s="270" t="s">
        <v>505</v>
      </c>
      <c r="AK67" s="67">
        <v>139</v>
      </c>
      <c r="AM67" s="67">
        <v>1</v>
      </c>
      <c r="AO67" s="67">
        <f t="shared" si="0"/>
        <v>0</v>
      </c>
      <c r="AP67" s="67">
        <f t="shared" si="1"/>
        <v>6</v>
      </c>
      <c r="AQ67" s="67">
        <f t="shared" si="2"/>
        <v>3</v>
      </c>
      <c r="AR67" s="67">
        <f t="shared" si="3"/>
        <v>12</v>
      </c>
      <c r="AS67" s="67">
        <f t="shared" si="4"/>
        <v>2</v>
      </c>
      <c r="AT67" s="67">
        <f t="shared" si="5"/>
        <v>1</v>
      </c>
      <c r="AU67" s="67">
        <f t="shared" si="6"/>
        <v>0</v>
      </c>
      <c r="AV67" s="67">
        <f t="shared" si="7"/>
        <v>24</v>
      </c>
      <c r="AX67" s="256">
        <v>32</v>
      </c>
      <c r="AY67" s="67">
        <f t="shared" si="14"/>
        <v>160</v>
      </c>
      <c r="AZ67" s="76">
        <f t="shared" si="15"/>
        <v>0.15</v>
      </c>
      <c r="BA67" s="67">
        <f t="shared" si="10"/>
        <v>18</v>
      </c>
      <c r="BB67" s="76">
        <f t="shared" si="13"/>
        <v>0.5625</v>
      </c>
      <c r="BD67" s="67">
        <f t="shared" si="11"/>
        <v>7</v>
      </c>
      <c r="BE67" s="67">
        <f t="shared" si="12"/>
        <v>11</v>
      </c>
    </row>
    <row r="68" spans="1:57">
      <c r="A68" s="8">
        <v>140</v>
      </c>
      <c r="B68" s="8" t="s">
        <v>216</v>
      </c>
      <c r="C68" s="8" t="s">
        <v>42</v>
      </c>
      <c r="D68" s="8" t="s">
        <v>42</v>
      </c>
      <c r="E68" s="269"/>
      <c r="F68" s="20"/>
      <c r="G68" s="20"/>
      <c r="H68" s="20"/>
      <c r="I68" s="20"/>
      <c r="J68" s="20"/>
      <c r="K68" s="20"/>
      <c r="L68" s="270"/>
      <c r="M68" s="269"/>
      <c r="N68" s="20"/>
      <c r="O68" s="20"/>
      <c r="P68" s="20"/>
      <c r="Q68" s="20"/>
      <c r="R68" s="20"/>
      <c r="S68" s="20"/>
      <c r="T68" s="270"/>
      <c r="U68" s="269" t="s">
        <v>496</v>
      </c>
      <c r="V68" s="20" t="s">
        <v>520</v>
      </c>
      <c r="W68" s="20" t="s">
        <v>520</v>
      </c>
      <c r="X68" s="20"/>
      <c r="Y68" s="5" t="s">
        <v>496</v>
      </c>
      <c r="Z68" s="5" t="s">
        <v>494</v>
      </c>
      <c r="AA68" s="20"/>
      <c r="AB68" s="270"/>
      <c r="AC68" s="269"/>
      <c r="AD68" s="20" t="s">
        <v>494</v>
      </c>
      <c r="AE68" s="20" t="s">
        <v>494</v>
      </c>
      <c r="AF68" s="20" t="s">
        <v>520</v>
      </c>
      <c r="AG68" s="20"/>
      <c r="AH68" s="20"/>
      <c r="AI68" s="20"/>
      <c r="AJ68" s="270"/>
      <c r="AK68" s="8">
        <v>140</v>
      </c>
      <c r="AM68" s="67">
        <v>1</v>
      </c>
      <c r="AO68" s="67">
        <f t="shared" ref="AO68:AO131" si="16">COUNTIF(E68:AJ68,"*a*")</f>
        <v>0</v>
      </c>
      <c r="AP68" s="67">
        <f t="shared" ref="AP68:AP131" si="17">COUNTIF(E68:AJ68,"*b*")</f>
        <v>5</v>
      </c>
      <c r="AQ68" s="67">
        <f t="shared" ref="AQ68:AQ131" si="18">COUNTIF(E68:AJ68,"*l*")</f>
        <v>8</v>
      </c>
      <c r="AR68" s="67">
        <f t="shared" ref="AR68:AR131" si="19">COUNTIF(E68:AJ68,"*h*")</f>
        <v>3</v>
      </c>
      <c r="AS68" s="67">
        <f t="shared" ref="AS68:AS131" si="20">COUNTIF(E68:AJ68,"*m*")</f>
        <v>8</v>
      </c>
      <c r="AT68" s="67">
        <f t="shared" ref="AT68:AT131" si="21">COUNTIF(E68:AJ68,"*d*")</f>
        <v>8</v>
      </c>
      <c r="AU68" s="67">
        <f t="shared" ref="AU68:AU131" si="22">COUNTIF(E68:AJ68,"*o*")</f>
        <v>0</v>
      </c>
      <c r="AV68" s="67">
        <f t="shared" ref="AV68:AV131" si="23">SUM(AO68:AU68)</f>
        <v>32</v>
      </c>
      <c r="AX68" s="256">
        <v>9</v>
      </c>
      <c r="AY68" s="67">
        <f t="shared" si="14"/>
        <v>45</v>
      </c>
      <c r="AZ68" s="76">
        <f t="shared" si="15"/>
        <v>0.71111111111111114</v>
      </c>
      <c r="BA68" s="67">
        <f t="shared" ref="BA68:BA131" si="24">COUNTA(E68:AJ68)</f>
        <v>8</v>
      </c>
      <c r="BB68" s="76">
        <f t="shared" si="13"/>
        <v>0.88888888888888884</v>
      </c>
      <c r="BD68" s="67">
        <f t="shared" ref="BD68:BD131" si="25">COUNTA(E68:T68)</f>
        <v>0</v>
      </c>
      <c r="BE68" s="67">
        <f t="shared" ref="BE68:BE131" si="26">COUNTA(U68:AJ68)</f>
        <v>8</v>
      </c>
    </row>
    <row r="69" spans="1:57">
      <c r="A69" s="67">
        <v>141</v>
      </c>
      <c r="B69" s="8" t="s">
        <v>65</v>
      </c>
      <c r="C69" s="8" t="s">
        <v>12</v>
      </c>
      <c r="D69" s="8" t="s">
        <v>6</v>
      </c>
      <c r="E69" s="269" t="s">
        <v>463</v>
      </c>
      <c r="F69" s="5" t="s">
        <v>496</v>
      </c>
      <c r="G69" s="5" t="s">
        <v>512</v>
      </c>
      <c r="H69" s="5" t="s">
        <v>512</v>
      </c>
      <c r="I69" s="5" t="s">
        <v>457</v>
      </c>
      <c r="J69" s="5" t="s">
        <v>494</v>
      </c>
      <c r="K69" s="5" t="s">
        <v>448</v>
      </c>
      <c r="L69" s="270" t="s">
        <v>433</v>
      </c>
      <c r="M69" s="269"/>
      <c r="N69" s="5" t="s">
        <v>433</v>
      </c>
      <c r="O69" s="5" t="s">
        <v>494</v>
      </c>
      <c r="P69" s="5" t="s">
        <v>496</v>
      </c>
      <c r="Q69" s="5" t="s">
        <v>462</v>
      </c>
      <c r="R69" s="5" t="s">
        <v>462</v>
      </c>
      <c r="S69" s="5" t="s">
        <v>460</v>
      </c>
      <c r="T69" s="270" t="s">
        <v>463</v>
      </c>
      <c r="U69" s="269"/>
      <c r="V69" s="5" t="s">
        <v>536</v>
      </c>
      <c r="W69" s="5" t="s">
        <v>520</v>
      </c>
      <c r="X69" s="5" t="s">
        <v>499</v>
      </c>
      <c r="Y69" s="5" t="s">
        <v>520</v>
      </c>
      <c r="Z69" s="5" t="s">
        <v>494</v>
      </c>
      <c r="AA69" s="5" t="s">
        <v>494</v>
      </c>
      <c r="AB69" s="270" t="s">
        <v>494</v>
      </c>
      <c r="AC69" s="269" t="s">
        <v>494</v>
      </c>
      <c r="AD69" s="5" t="s">
        <v>494</v>
      </c>
      <c r="AE69" s="5" t="s">
        <v>494</v>
      </c>
      <c r="AF69" s="5" t="s">
        <v>520</v>
      </c>
      <c r="AG69" s="5" t="s">
        <v>520</v>
      </c>
      <c r="AH69" s="20"/>
      <c r="AI69" s="5" t="s">
        <v>435</v>
      </c>
      <c r="AJ69" s="270" t="s">
        <v>512</v>
      </c>
      <c r="AK69" s="67">
        <v>141</v>
      </c>
      <c r="AM69" s="67">
        <v>1</v>
      </c>
      <c r="AO69" s="67">
        <f t="shared" si="16"/>
        <v>0</v>
      </c>
      <c r="AP69" s="67">
        <f t="shared" si="17"/>
        <v>14</v>
      </c>
      <c r="AQ69" s="67">
        <f t="shared" si="18"/>
        <v>19</v>
      </c>
      <c r="AR69" s="67">
        <f t="shared" si="19"/>
        <v>11</v>
      </c>
      <c r="AS69" s="67">
        <f t="shared" si="20"/>
        <v>23</v>
      </c>
      <c r="AT69" s="67">
        <f t="shared" si="21"/>
        <v>24</v>
      </c>
      <c r="AU69" s="67">
        <f t="shared" si="22"/>
        <v>0</v>
      </c>
      <c r="AV69" s="67">
        <f t="shared" si="23"/>
        <v>91</v>
      </c>
      <c r="AX69" s="256">
        <v>30</v>
      </c>
      <c r="AY69" s="67">
        <f t="shared" si="14"/>
        <v>150</v>
      </c>
      <c r="AZ69" s="76">
        <f t="shared" si="15"/>
        <v>0.60666666666666669</v>
      </c>
      <c r="BA69" s="67">
        <f t="shared" si="24"/>
        <v>29</v>
      </c>
      <c r="BB69" s="76">
        <f t="shared" ref="BB69:BB132" si="27">BA69/AX69</f>
        <v>0.96666666666666667</v>
      </c>
      <c r="BD69" s="67">
        <f t="shared" si="25"/>
        <v>15</v>
      </c>
      <c r="BE69" s="67">
        <f t="shared" si="26"/>
        <v>14</v>
      </c>
    </row>
    <row r="70" spans="1:57">
      <c r="A70" s="67">
        <v>142</v>
      </c>
      <c r="B70" s="67" t="s">
        <v>71</v>
      </c>
      <c r="C70" s="8" t="s">
        <v>366</v>
      </c>
      <c r="D70" s="67" t="s">
        <v>42</v>
      </c>
      <c r="E70" s="269" t="s">
        <v>461</v>
      </c>
      <c r="F70" s="20"/>
      <c r="G70" s="20"/>
      <c r="H70" s="5" t="s">
        <v>431</v>
      </c>
      <c r="I70" s="20"/>
      <c r="J70" s="20" t="s">
        <v>433</v>
      </c>
      <c r="K70" s="20" t="s">
        <v>433</v>
      </c>
      <c r="L70" s="270" t="s">
        <v>501</v>
      </c>
      <c r="M70" s="269"/>
      <c r="N70" s="5" t="s">
        <v>433</v>
      </c>
      <c r="O70" s="5" t="s">
        <v>433</v>
      </c>
      <c r="P70" s="20"/>
      <c r="Q70" s="20"/>
      <c r="R70" s="20"/>
      <c r="S70" s="20" t="s">
        <v>496</v>
      </c>
      <c r="T70" s="270" t="s">
        <v>462</v>
      </c>
      <c r="U70" s="269"/>
      <c r="V70" s="20"/>
      <c r="W70" s="20"/>
      <c r="X70" s="20"/>
      <c r="Y70" s="20"/>
      <c r="Z70" s="20"/>
      <c r="AA70" s="20" t="s">
        <v>435</v>
      </c>
      <c r="AB70" s="270" t="s">
        <v>501</v>
      </c>
      <c r="AC70" s="269" t="s">
        <v>448</v>
      </c>
      <c r="AD70" s="5" t="s">
        <v>434</v>
      </c>
      <c r="AE70" s="20"/>
      <c r="AF70" s="20"/>
      <c r="AG70" s="20"/>
      <c r="AH70" s="5"/>
      <c r="AI70" s="20" t="s">
        <v>457</v>
      </c>
      <c r="AJ70" s="270" t="s">
        <v>467</v>
      </c>
      <c r="AK70" s="67">
        <v>142</v>
      </c>
      <c r="AM70" s="67">
        <v>1</v>
      </c>
      <c r="AO70" s="67">
        <f t="shared" si="16"/>
        <v>0</v>
      </c>
      <c r="AP70" s="67">
        <f t="shared" si="17"/>
        <v>6</v>
      </c>
      <c r="AQ70" s="67">
        <f t="shared" si="18"/>
        <v>2</v>
      </c>
      <c r="AR70" s="67">
        <f t="shared" si="19"/>
        <v>7</v>
      </c>
      <c r="AS70" s="67">
        <f t="shared" si="20"/>
        <v>7</v>
      </c>
      <c r="AT70" s="67">
        <f t="shared" si="21"/>
        <v>6</v>
      </c>
      <c r="AU70" s="67">
        <f t="shared" si="22"/>
        <v>0</v>
      </c>
      <c r="AV70" s="67">
        <f t="shared" si="23"/>
        <v>28</v>
      </c>
      <c r="AX70" s="256">
        <v>30</v>
      </c>
      <c r="AY70" s="67">
        <f t="shared" si="14"/>
        <v>150</v>
      </c>
      <c r="AZ70" s="76">
        <f t="shared" si="15"/>
        <v>0.18666666666666668</v>
      </c>
      <c r="BA70" s="67">
        <f t="shared" si="24"/>
        <v>15</v>
      </c>
      <c r="BB70" s="76">
        <f t="shared" si="27"/>
        <v>0.5</v>
      </c>
      <c r="BD70" s="67">
        <f t="shared" si="25"/>
        <v>9</v>
      </c>
      <c r="BE70" s="67">
        <f t="shared" si="26"/>
        <v>6</v>
      </c>
    </row>
    <row r="71" spans="1:57">
      <c r="A71" s="67">
        <v>143</v>
      </c>
      <c r="B71" s="67" t="s">
        <v>106</v>
      </c>
      <c r="C71" s="8" t="s">
        <v>349</v>
      </c>
      <c r="D71" s="67" t="s">
        <v>42</v>
      </c>
      <c r="E71" s="269"/>
      <c r="F71" s="20"/>
      <c r="G71" s="20"/>
      <c r="H71" s="20"/>
      <c r="I71" s="20"/>
      <c r="J71" s="20"/>
      <c r="K71" s="20"/>
      <c r="L71" s="270"/>
      <c r="M71" s="269"/>
      <c r="N71" s="20"/>
      <c r="O71" s="20"/>
      <c r="P71" s="20"/>
      <c r="Q71" s="20"/>
      <c r="R71" s="20"/>
      <c r="S71" s="20"/>
      <c r="T71" s="270"/>
      <c r="U71" s="269"/>
      <c r="V71" s="20"/>
      <c r="W71" s="20"/>
      <c r="X71" s="20"/>
      <c r="Y71" s="20"/>
      <c r="Z71" s="5" t="s">
        <v>433</v>
      </c>
      <c r="AA71" s="5" t="s">
        <v>433</v>
      </c>
      <c r="AB71" s="270"/>
      <c r="AC71" s="269"/>
      <c r="AD71" s="20"/>
      <c r="AE71" s="20"/>
      <c r="AF71" s="20"/>
      <c r="AG71" s="20"/>
      <c r="AH71" s="20"/>
      <c r="AI71" s="20"/>
      <c r="AJ71" s="270"/>
      <c r="AK71" s="67">
        <v>143</v>
      </c>
      <c r="AM71" s="67">
        <v>1</v>
      </c>
      <c r="AO71" s="67">
        <f t="shared" si="16"/>
        <v>0</v>
      </c>
      <c r="AP71" s="67">
        <f t="shared" si="17"/>
        <v>0</v>
      </c>
      <c r="AQ71" s="67">
        <f t="shared" si="18"/>
        <v>0</v>
      </c>
      <c r="AR71" s="67">
        <f t="shared" si="19"/>
        <v>2</v>
      </c>
      <c r="AS71" s="67">
        <f t="shared" si="20"/>
        <v>0</v>
      </c>
      <c r="AT71" s="67">
        <f t="shared" si="21"/>
        <v>0</v>
      </c>
      <c r="AU71" s="67">
        <f t="shared" si="22"/>
        <v>0</v>
      </c>
      <c r="AV71" s="67">
        <f t="shared" si="23"/>
        <v>2</v>
      </c>
      <c r="AX71" s="256">
        <v>6</v>
      </c>
      <c r="AY71" s="67">
        <f t="shared" si="14"/>
        <v>30</v>
      </c>
      <c r="AZ71" s="76">
        <f t="shared" si="15"/>
        <v>6.6666666666666666E-2</v>
      </c>
      <c r="BA71" s="67">
        <f t="shared" si="24"/>
        <v>2</v>
      </c>
      <c r="BB71" s="76">
        <f t="shared" si="27"/>
        <v>0.33333333333333331</v>
      </c>
      <c r="BD71" s="67">
        <f t="shared" si="25"/>
        <v>0</v>
      </c>
      <c r="BE71" s="67">
        <f t="shared" si="26"/>
        <v>2</v>
      </c>
    </row>
    <row r="72" spans="1:57">
      <c r="A72" s="67">
        <v>144</v>
      </c>
      <c r="B72" s="67" t="s">
        <v>80</v>
      </c>
      <c r="C72" s="8" t="s">
        <v>346</v>
      </c>
      <c r="E72" s="269"/>
      <c r="F72" s="20"/>
      <c r="G72" s="20"/>
      <c r="H72" s="20" t="s">
        <v>431</v>
      </c>
      <c r="I72" s="20" t="s">
        <v>431</v>
      </c>
      <c r="J72" s="5" t="s">
        <v>433</v>
      </c>
      <c r="K72" s="20"/>
      <c r="L72" s="270"/>
      <c r="M72" s="269"/>
      <c r="N72" s="20"/>
      <c r="O72" s="5" t="s">
        <v>433</v>
      </c>
      <c r="P72" s="20"/>
      <c r="Q72" s="20"/>
      <c r="R72" s="20"/>
      <c r="S72" s="20"/>
      <c r="T72" s="270"/>
      <c r="U72" s="269"/>
      <c r="V72" s="20"/>
      <c r="W72" s="20"/>
      <c r="X72" s="20"/>
      <c r="Y72" s="20"/>
      <c r="Z72" s="20"/>
      <c r="AA72" s="20"/>
      <c r="AB72" s="270"/>
      <c r="AC72" s="269"/>
      <c r="AD72" s="20"/>
      <c r="AE72" s="20"/>
      <c r="AF72" s="5" t="s">
        <v>431</v>
      </c>
      <c r="AG72" s="20"/>
      <c r="AH72" s="20"/>
      <c r="AI72" s="20"/>
      <c r="AJ72" s="270"/>
      <c r="AK72" s="67">
        <v>144</v>
      </c>
      <c r="AM72" s="67">
        <v>1</v>
      </c>
      <c r="AO72" s="67">
        <f t="shared" si="16"/>
        <v>0</v>
      </c>
      <c r="AP72" s="67">
        <f t="shared" si="17"/>
        <v>3</v>
      </c>
      <c r="AQ72" s="67">
        <f t="shared" si="18"/>
        <v>0</v>
      </c>
      <c r="AR72" s="67">
        <f t="shared" si="19"/>
        <v>2</v>
      </c>
      <c r="AS72" s="67">
        <f t="shared" si="20"/>
        <v>0</v>
      </c>
      <c r="AT72" s="67">
        <f t="shared" si="21"/>
        <v>0</v>
      </c>
      <c r="AU72" s="67">
        <f t="shared" si="22"/>
        <v>0</v>
      </c>
      <c r="AV72" s="67">
        <f t="shared" si="23"/>
        <v>5</v>
      </c>
      <c r="AX72" s="256">
        <v>20</v>
      </c>
      <c r="AY72" s="67">
        <f t="shared" si="14"/>
        <v>100</v>
      </c>
      <c r="AZ72" s="76">
        <f t="shared" si="15"/>
        <v>0.05</v>
      </c>
      <c r="BA72" s="67">
        <f t="shared" si="24"/>
        <v>5</v>
      </c>
      <c r="BB72" s="76">
        <f t="shared" si="27"/>
        <v>0.25</v>
      </c>
      <c r="BD72" s="67">
        <f t="shared" si="25"/>
        <v>4</v>
      </c>
      <c r="BE72" s="67">
        <f t="shared" si="26"/>
        <v>1</v>
      </c>
    </row>
    <row r="73" spans="1:57">
      <c r="A73" s="67">
        <v>145</v>
      </c>
      <c r="B73" s="67" t="s">
        <v>63</v>
      </c>
      <c r="C73" s="8" t="s">
        <v>346</v>
      </c>
      <c r="E73" s="269"/>
      <c r="F73" s="20"/>
      <c r="G73" s="20"/>
      <c r="H73" s="20"/>
      <c r="I73" s="20"/>
      <c r="J73" s="20"/>
      <c r="K73" s="20"/>
      <c r="L73" s="270"/>
      <c r="M73" s="269"/>
      <c r="N73" s="20"/>
      <c r="O73" s="20"/>
      <c r="P73" s="20"/>
      <c r="Q73" s="20"/>
      <c r="R73" s="20"/>
      <c r="S73" s="20"/>
      <c r="T73" s="270"/>
      <c r="U73" s="269"/>
      <c r="V73" s="20"/>
      <c r="W73" s="20"/>
      <c r="X73" s="20"/>
      <c r="Y73" s="20"/>
      <c r="Z73" s="20"/>
      <c r="AA73" s="20"/>
      <c r="AB73" s="270"/>
      <c r="AC73" s="269"/>
      <c r="AD73" s="20"/>
      <c r="AE73" s="20"/>
      <c r="AF73" s="20"/>
      <c r="AG73" s="20"/>
      <c r="AH73" s="20"/>
      <c r="AI73" s="20"/>
      <c r="AJ73" s="270"/>
      <c r="AK73" s="67">
        <v>145</v>
      </c>
      <c r="AL73" s="67">
        <v>1</v>
      </c>
      <c r="AO73" s="67">
        <f t="shared" si="16"/>
        <v>0</v>
      </c>
      <c r="AP73" s="67">
        <f t="shared" si="17"/>
        <v>0</v>
      </c>
      <c r="AQ73" s="67">
        <f t="shared" si="18"/>
        <v>0</v>
      </c>
      <c r="AR73" s="67">
        <f t="shared" si="19"/>
        <v>0</v>
      </c>
      <c r="AS73" s="67">
        <f t="shared" si="20"/>
        <v>0</v>
      </c>
      <c r="AT73" s="67">
        <f t="shared" si="21"/>
        <v>0</v>
      </c>
      <c r="AU73" s="67">
        <f t="shared" si="22"/>
        <v>0</v>
      </c>
      <c r="AV73" s="67">
        <f t="shared" si="23"/>
        <v>0</v>
      </c>
      <c r="AX73" s="256">
        <v>11</v>
      </c>
      <c r="AY73" s="67">
        <f t="shared" si="14"/>
        <v>55</v>
      </c>
      <c r="AZ73" s="76">
        <f t="shared" si="15"/>
        <v>0</v>
      </c>
      <c r="BA73" s="67">
        <f t="shared" si="24"/>
        <v>0</v>
      </c>
      <c r="BB73" s="76">
        <f t="shared" si="27"/>
        <v>0</v>
      </c>
      <c r="BD73" s="67">
        <f t="shared" si="25"/>
        <v>0</v>
      </c>
      <c r="BE73" s="67">
        <f t="shared" si="26"/>
        <v>0</v>
      </c>
    </row>
    <row r="74" spans="1:57">
      <c r="A74" s="67">
        <v>147</v>
      </c>
      <c r="B74" s="67" t="s">
        <v>68</v>
      </c>
      <c r="C74" s="8" t="s">
        <v>357</v>
      </c>
      <c r="D74" s="67" t="s">
        <v>15</v>
      </c>
      <c r="E74" s="269"/>
      <c r="F74" s="20"/>
      <c r="G74" s="5" t="s">
        <v>520</v>
      </c>
      <c r="H74" s="5" t="s">
        <v>520</v>
      </c>
      <c r="I74" s="20"/>
      <c r="J74" s="20"/>
      <c r="K74" s="20"/>
      <c r="L74" s="270"/>
      <c r="M74" s="269"/>
      <c r="N74" s="20"/>
      <c r="O74" s="20"/>
      <c r="P74" s="20"/>
      <c r="Q74" s="20" t="s">
        <v>537</v>
      </c>
      <c r="R74" s="20" t="s">
        <v>478</v>
      </c>
      <c r="S74" s="20"/>
      <c r="T74" s="270"/>
      <c r="U74" s="269"/>
      <c r="V74" s="20"/>
      <c r="W74" s="20" t="s">
        <v>463</v>
      </c>
      <c r="X74" s="20"/>
      <c r="Y74" s="20"/>
      <c r="Z74" s="20"/>
      <c r="AA74" s="5" t="s">
        <v>448</v>
      </c>
      <c r="AB74" s="270" t="s">
        <v>500</v>
      </c>
      <c r="AC74" s="269" t="s">
        <v>448</v>
      </c>
      <c r="AD74" s="5" t="s">
        <v>433</v>
      </c>
      <c r="AE74" s="20"/>
      <c r="AF74" s="20"/>
      <c r="AG74" s="20"/>
      <c r="AH74" s="20" t="s">
        <v>432</v>
      </c>
      <c r="AI74" s="20"/>
      <c r="AJ74" s="270"/>
      <c r="AK74" s="67">
        <v>147</v>
      </c>
      <c r="AM74" s="67">
        <v>1</v>
      </c>
      <c r="AO74" s="67">
        <f t="shared" si="16"/>
        <v>0</v>
      </c>
      <c r="AP74" s="67">
        <f t="shared" si="17"/>
        <v>4</v>
      </c>
      <c r="AQ74" s="67">
        <f t="shared" si="18"/>
        <v>6</v>
      </c>
      <c r="AR74" s="67">
        <f t="shared" si="19"/>
        <v>4</v>
      </c>
      <c r="AS74" s="67">
        <f t="shared" si="20"/>
        <v>5</v>
      </c>
      <c r="AT74" s="67">
        <f t="shared" si="21"/>
        <v>6</v>
      </c>
      <c r="AU74" s="67">
        <f t="shared" si="22"/>
        <v>0</v>
      </c>
      <c r="AV74" s="67">
        <f t="shared" si="23"/>
        <v>25</v>
      </c>
      <c r="AX74" s="256">
        <v>15</v>
      </c>
      <c r="AY74" s="67">
        <f t="shared" si="14"/>
        <v>75</v>
      </c>
      <c r="AZ74" s="76">
        <f t="shared" si="15"/>
        <v>0.33333333333333331</v>
      </c>
      <c r="BA74" s="67">
        <f t="shared" si="24"/>
        <v>10</v>
      </c>
      <c r="BB74" s="76">
        <f t="shared" si="27"/>
        <v>0.66666666666666663</v>
      </c>
      <c r="BD74" s="67">
        <f t="shared" si="25"/>
        <v>4</v>
      </c>
      <c r="BE74" s="67">
        <f t="shared" si="26"/>
        <v>6</v>
      </c>
    </row>
    <row r="75" spans="1:57">
      <c r="A75" s="67">
        <v>148</v>
      </c>
      <c r="B75" s="67" t="s">
        <v>68</v>
      </c>
      <c r="C75" s="8" t="s">
        <v>357</v>
      </c>
      <c r="D75" s="67" t="s">
        <v>15</v>
      </c>
      <c r="E75" s="269"/>
      <c r="F75" s="20"/>
      <c r="G75" s="20"/>
      <c r="H75" s="20"/>
      <c r="I75" s="20" t="s">
        <v>431</v>
      </c>
      <c r="J75" s="20"/>
      <c r="K75" s="20"/>
      <c r="L75" s="270"/>
      <c r="M75" s="269"/>
      <c r="N75" s="20"/>
      <c r="O75" s="20"/>
      <c r="P75" s="20"/>
      <c r="Q75" s="20"/>
      <c r="R75" s="20"/>
      <c r="S75" s="20"/>
      <c r="T75" s="270"/>
      <c r="U75" s="269"/>
      <c r="V75" s="20"/>
      <c r="W75" s="20" t="s">
        <v>432</v>
      </c>
      <c r="X75" s="20" t="s">
        <v>434</v>
      </c>
      <c r="Y75" s="20" t="s">
        <v>431</v>
      </c>
      <c r="Z75" s="5" t="s">
        <v>500</v>
      </c>
      <c r="AA75" s="5" t="s">
        <v>432</v>
      </c>
      <c r="AB75" s="270" t="s">
        <v>500</v>
      </c>
      <c r="AC75" s="269" t="s">
        <v>500</v>
      </c>
      <c r="AD75" s="5" t="s">
        <v>500</v>
      </c>
      <c r="AE75" s="20"/>
      <c r="AF75" s="20"/>
      <c r="AG75" s="20"/>
      <c r="AH75" s="20"/>
      <c r="AI75" s="20"/>
      <c r="AJ75" s="270"/>
      <c r="AK75" s="67">
        <v>148</v>
      </c>
      <c r="AM75" s="67">
        <v>1</v>
      </c>
      <c r="AO75" s="67">
        <f t="shared" si="16"/>
        <v>0</v>
      </c>
      <c r="AP75" s="67">
        <f t="shared" si="17"/>
        <v>2</v>
      </c>
      <c r="AQ75" s="67">
        <f t="shared" si="18"/>
        <v>6</v>
      </c>
      <c r="AR75" s="67">
        <f t="shared" si="19"/>
        <v>4</v>
      </c>
      <c r="AS75" s="67">
        <f t="shared" si="20"/>
        <v>1</v>
      </c>
      <c r="AT75" s="67">
        <f t="shared" si="21"/>
        <v>0</v>
      </c>
      <c r="AU75" s="67">
        <f t="shared" si="22"/>
        <v>0</v>
      </c>
      <c r="AV75" s="67">
        <f t="shared" si="23"/>
        <v>13</v>
      </c>
      <c r="AX75" s="256">
        <v>20</v>
      </c>
      <c r="AY75" s="67">
        <f t="shared" si="14"/>
        <v>100</v>
      </c>
      <c r="AZ75" s="76">
        <f t="shared" si="15"/>
        <v>0.13</v>
      </c>
      <c r="BA75" s="67">
        <f t="shared" si="24"/>
        <v>9</v>
      </c>
      <c r="BB75" s="76">
        <f t="shared" si="27"/>
        <v>0.45</v>
      </c>
      <c r="BD75" s="67">
        <f t="shared" si="25"/>
        <v>1</v>
      </c>
      <c r="BE75" s="67">
        <f t="shared" si="26"/>
        <v>8</v>
      </c>
    </row>
    <row r="76" spans="1:57">
      <c r="A76" s="67">
        <v>149</v>
      </c>
      <c r="B76" s="67" t="s">
        <v>80</v>
      </c>
      <c r="C76" s="8" t="s">
        <v>346</v>
      </c>
      <c r="E76" s="269"/>
      <c r="F76" s="20"/>
      <c r="G76" s="20"/>
      <c r="H76" s="20" t="s">
        <v>434</v>
      </c>
      <c r="I76" s="20" t="s">
        <v>495</v>
      </c>
      <c r="J76" s="20" t="s">
        <v>515</v>
      </c>
      <c r="K76" s="20"/>
      <c r="L76" s="270" t="s">
        <v>434</v>
      </c>
      <c r="M76" s="269" t="s">
        <v>434</v>
      </c>
      <c r="N76" s="5" t="s">
        <v>432</v>
      </c>
      <c r="O76" s="5" t="s">
        <v>500</v>
      </c>
      <c r="P76" s="5" t="s">
        <v>477</v>
      </c>
      <c r="Q76" s="5" t="s">
        <v>431</v>
      </c>
      <c r="R76" s="20"/>
      <c r="S76" s="20"/>
      <c r="T76" s="270"/>
      <c r="U76" s="269"/>
      <c r="V76" s="20"/>
      <c r="W76" s="20"/>
      <c r="X76" s="20" t="s">
        <v>431</v>
      </c>
      <c r="Y76" s="20" t="s">
        <v>431</v>
      </c>
      <c r="Z76" s="20"/>
      <c r="AA76" s="5" t="s">
        <v>433</v>
      </c>
      <c r="AB76" s="270"/>
      <c r="AC76" s="269"/>
      <c r="AD76" s="20"/>
      <c r="AE76" s="20" t="s">
        <v>513</v>
      </c>
      <c r="AF76" s="20"/>
      <c r="AG76" s="20" t="s">
        <v>431</v>
      </c>
      <c r="AH76" s="20"/>
      <c r="AI76" s="20"/>
      <c r="AJ76" s="270"/>
      <c r="AK76" s="67">
        <v>149</v>
      </c>
      <c r="AM76" s="67">
        <v>1</v>
      </c>
      <c r="AO76" s="67">
        <f t="shared" si="16"/>
        <v>0</v>
      </c>
      <c r="AP76" s="67">
        <f t="shared" si="17"/>
        <v>5</v>
      </c>
      <c r="AQ76" s="67">
        <f t="shared" si="18"/>
        <v>5</v>
      </c>
      <c r="AR76" s="67">
        <f t="shared" si="19"/>
        <v>3</v>
      </c>
      <c r="AS76" s="67">
        <f t="shared" si="20"/>
        <v>6</v>
      </c>
      <c r="AT76" s="67">
        <f t="shared" si="21"/>
        <v>2</v>
      </c>
      <c r="AU76" s="67">
        <f t="shared" si="22"/>
        <v>3</v>
      </c>
      <c r="AV76" s="67">
        <f t="shared" si="23"/>
        <v>24</v>
      </c>
      <c r="AX76" s="256">
        <v>20</v>
      </c>
      <c r="AY76" s="67">
        <f t="shared" si="14"/>
        <v>100</v>
      </c>
      <c r="AZ76" s="76">
        <f t="shared" si="15"/>
        <v>0.24</v>
      </c>
      <c r="BA76" s="67">
        <f t="shared" si="24"/>
        <v>14</v>
      </c>
      <c r="BB76" s="76">
        <f t="shared" si="27"/>
        <v>0.7</v>
      </c>
      <c r="BD76" s="67">
        <f t="shared" si="25"/>
        <v>9</v>
      </c>
      <c r="BE76" s="67">
        <f t="shared" si="26"/>
        <v>5</v>
      </c>
    </row>
    <row r="77" spans="1:57">
      <c r="A77" s="67">
        <v>151</v>
      </c>
      <c r="B77" s="67" t="s">
        <v>130</v>
      </c>
      <c r="C77" s="8" t="s">
        <v>357</v>
      </c>
      <c r="E77" s="269"/>
      <c r="F77" s="20"/>
      <c r="G77" s="20" t="s">
        <v>496</v>
      </c>
      <c r="H77" s="20"/>
      <c r="I77" s="20" t="s">
        <v>431</v>
      </c>
      <c r="J77" s="20"/>
      <c r="K77" s="20" t="s">
        <v>433</v>
      </c>
      <c r="L77" s="270"/>
      <c r="M77" s="269"/>
      <c r="N77" s="20"/>
      <c r="O77" s="20"/>
      <c r="P77" s="20"/>
      <c r="Q77" s="20" t="s">
        <v>431</v>
      </c>
      <c r="R77" s="20" t="s">
        <v>431</v>
      </c>
      <c r="S77" s="20"/>
      <c r="T77" s="270"/>
      <c r="U77" s="269"/>
      <c r="V77" s="20"/>
      <c r="W77" s="20" t="s">
        <v>432</v>
      </c>
      <c r="X77" s="20"/>
      <c r="Y77" s="20"/>
      <c r="Z77" s="20"/>
      <c r="AA77" s="20"/>
      <c r="AB77" s="270"/>
      <c r="AC77" s="269"/>
      <c r="AD77" s="20"/>
      <c r="AE77" s="20"/>
      <c r="AF77" s="20"/>
      <c r="AG77" s="20"/>
      <c r="AH77" s="20" t="s">
        <v>520</v>
      </c>
      <c r="AI77" s="20" t="s">
        <v>434</v>
      </c>
      <c r="AJ77" s="270"/>
      <c r="AK77" s="67">
        <v>151</v>
      </c>
      <c r="AM77" s="67">
        <v>1</v>
      </c>
      <c r="AO77" s="67">
        <f t="shared" si="16"/>
        <v>0</v>
      </c>
      <c r="AP77" s="67">
        <f t="shared" si="17"/>
        <v>5</v>
      </c>
      <c r="AQ77" s="67">
        <f t="shared" si="18"/>
        <v>3</v>
      </c>
      <c r="AR77" s="67">
        <f t="shared" si="19"/>
        <v>1</v>
      </c>
      <c r="AS77" s="67">
        <f t="shared" si="20"/>
        <v>3</v>
      </c>
      <c r="AT77" s="67">
        <f t="shared" si="21"/>
        <v>2</v>
      </c>
      <c r="AU77" s="67">
        <f t="shared" si="22"/>
        <v>0</v>
      </c>
      <c r="AV77" s="67">
        <f t="shared" si="23"/>
        <v>14</v>
      </c>
      <c r="AX77" s="256">
        <v>28</v>
      </c>
      <c r="AY77" s="67">
        <f t="shared" si="14"/>
        <v>140</v>
      </c>
      <c r="AZ77" s="76">
        <f t="shared" si="15"/>
        <v>0.1</v>
      </c>
      <c r="BA77" s="67">
        <f t="shared" si="24"/>
        <v>8</v>
      </c>
      <c r="BB77" s="76">
        <f t="shared" si="27"/>
        <v>0.2857142857142857</v>
      </c>
      <c r="BD77" s="67">
        <f t="shared" si="25"/>
        <v>5</v>
      </c>
      <c r="BE77" s="67">
        <f t="shared" si="26"/>
        <v>3</v>
      </c>
    </row>
    <row r="78" spans="1:57">
      <c r="A78" s="67">
        <v>157</v>
      </c>
      <c r="B78" s="67" t="s">
        <v>55</v>
      </c>
      <c r="C78" s="8" t="s">
        <v>346</v>
      </c>
      <c r="E78" s="269"/>
      <c r="F78" s="20"/>
      <c r="G78" s="20"/>
      <c r="H78" s="20"/>
      <c r="I78" s="20"/>
      <c r="J78" s="20"/>
      <c r="K78" s="20"/>
      <c r="L78" s="270"/>
      <c r="M78" s="269"/>
      <c r="N78" s="20"/>
      <c r="O78" s="20"/>
      <c r="P78" s="20"/>
      <c r="Q78" s="20"/>
      <c r="R78" s="20"/>
      <c r="S78" s="20"/>
      <c r="T78" s="270"/>
      <c r="U78" s="269"/>
      <c r="V78" s="20"/>
      <c r="W78" s="20"/>
      <c r="X78" s="20"/>
      <c r="Y78" s="20"/>
      <c r="Z78" s="20"/>
      <c r="AA78" s="20"/>
      <c r="AB78" s="270"/>
      <c r="AC78" s="269"/>
      <c r="AD78" s="20"/>
      <c r="AE78" s="20"/>
      <c r="AF78" s="20"/>
      <c r="AG78" s="20"/>
      <c r="AH78" s="20"/>
      <c r="AI78" s="20"/>
      <c r="AJ78" s="270"/>
      <c r="AK78" s="67">
        <v>157</v>
      </c>
      <c r="AL78" s="67">
        <v>1</v>
      </c>
      <c r="AO78" s="67">
        <f t="shared" si="16"/>
        <v>0</v>
      </c>
      <c r="AP78" s="67">
        <f t="shared" si="17"/>
        <v>0</v>
      </c>
      <c r="AQ78" s="67">
        <f t="shared" si="18"/>
        <v>0</v>
      </c>
      <c r="AR78" s="67">
        <f t="shared" si="19"/>
        <v>0</v>
      </c>
      <c r="AS78" s="67">
        <f t="shared" si="20"/>
        <v>0</v>
      </c>
      <c r="AT78" s="67">
        <f t="shared" si="21"/>
        <v>0</v>
      </c>
      <c r="AU78" s="67">
        <f t="shared" si="22"/>
        <v>0</v>
      </c>
      <c r="AV78" s="67">
        <f t="shared" si="23"/>
        <v>0</v>
      </c>
      <c r="AX78" s="256">
        <v>10</v>
      </c>
      <c r="AY78" s="67">
        <f t="shared" si="14"/>
        <v>50</v>
      </c>
      <c r="AZ78" s="76">
        <f t="shared" si="15"/>
        <v>0</v>
      </c>
      <c r="BA78" s="67">
        <f t="shared" si="24"/>
        <v>0</v>
      </c>
      <c r="BB78" s="76">
        <f t="shared" si="27"/>
        <v>0</v>
      </c>
      <c r="BD78" s="67">
        <f t="shared" si="25"/>
        <v>0</v>
      </c>
      <c r="BE78" s="67">
        <f t="shared" si="26"/>
        <v>0</v>
      </c>
    </row>
    <row r="79" spans="1:57">
      <c r="A79" s="67">
        <v>162</v>
      </c>
      <c r="B79" s="67" t="s">
        <v>80</v>
      </c>
      <c r="C79" s="8" t="s">
        <v>346</v>
      </c>
      <c r="E79" s="269"/>
      <c r="F79" s="20"/>
      <c r="G79" s="20"/>
      <c r="H79" s="20" t="s">
        <v>431</v>
      </c>
      <c r="I79" s="20"/>
      <c r="J79" s="20"/>
      <c r="K79" s="20"/>
      <c r="L79" s="270"/>
      <c r="M79" s="269"/>
      <c r="N79" s="20" t="s">
        <v>433</v>
      </c>
      <c r="O79" s="20" t="s">
        <v>433</v>
      </c>
      <c r="P79" s="20"/>
      <c r="Q79" s="20" t="s">
        <v>446</v>
      </c>
      <c r="R79" s="20"/>
      <c r="S79" s="20"/>
      <c r="T79" s="270"/>
      <c r="U79" s="269"/>
      <c r="V79" s="20"/>
      <c r="W79" s="20"/>
      <c r="X79" s="20" t="s">
        <v>432</v>
      </c>
      <c r="Y79" s="20"/>
      <c r="Z79" s="20"/>
      <c r="AA79" s="20"/>
      <c r="AB79" s="270"/>
      <c r="AC79" s="269"/>
      <c r="AD79" s="20"/>
      <c r="AE79" s="20"/>
      <c r="AF79" s="20"/>
      <c r="AG79" s="20" t="s">
        <v>432</v>
      </c>
      <c r="AH79" s="20"/>
      <c r="AI79" s="20"/>
      <c r="AJ79" s="270"/>
      <c r="AK79" s="67">
        <v>162</v>
      </c>
      <c r="AM79" s="67">
        <v>1</v>
      </c>
      <c r="AO79" s="67">
        <f t="shared" si="16"/>
        <v>0</v>
      </c>
      <c r="AP79" s="67">
        <f t="shared" si="17"/>
        <v>1</v>
      </c>
      <c r="AQ79" s="67">
        <f t="shared" si="18"/>
        <v>2</v>
      </c>
      <c r="AR79" s="67">
        <f t="shared" si="19"/>
        <v>2</v>
      </c>
      <c r="AS79" s="67">
        <f t="shared" si="20"/>
        <v>1</v>
      </c>
      <c r="AT79" s="67">
        <f t="shared" si="21"/>
        <v>1</v>
      </c>
      <c r="AU79" s="67">
        <f t="shared" si="22"/>
        <v>0</v>
      </c>
      <c r="AV79" s="67">
        <f t="shared" si="23"/>
        <v>7</v>
      </c>
      <c r="AX79" s="256">
        <v>20</v>
      </c>
      <c r="AY79" s="67">
        <f t="shared" si="14"/>
        <v>100</v>
      </c>
      <c r="AZ79" s="76">
        <f t="shared" si="15"/>
        <v>7.0000000000000007E-2</v>
      </c>
      <c r="BA79" s="67">
        <f t="shared" si="24"/>
        <v>6</v>
      </c>
      <c r="BB79" s="76">
        <f t="shared" si="27"/>
        <v>0.3</v>
      </c>
      <c r="BD79" s="67">
        <f t="shared" si="25"/>
        <v>4</v>
      </c>
      <c r="BE79" s="67">
        <f t="shared" si="26"/>
        <v>2</v>
      </c>
    </row>
    <row r="80" spans="1:57">
      <c r="A80" s="67">
        <v>163</v>
      </c>
      <c r="B80" s="67" t="s">
        <v>62</v>
      </c>
      <c r="C80" s="8" t="s">
        <v>42</v>
      </c>
      <c r="D80" s="67" t="s">
        <v>42</v>
      </c>
      <c r="E80" s="269"/>
      <c r="F80" s="5" t="s">
        <v>496</v>
      </c>
      <c r="G80" s="5" t="s">
        <v>520</v>
      </c>
      <c r="H80" s="20"/>
      <c r="I80" s="5" t="s">
        <v>431</v>
      </c>
      <c r="J80" s="20"/>
      <c r="K80" s="5" t="s">
        <v>446</v>
      </c>
      <c r="L80" s="270" t="s">
        <v>514</v>
      </c>
      <c r="M80" s="269" t="s">
        <v>514</v>
      </c>
      <c r="N80" s="5" t="s">
        <v>448</v>
      </c>
      <c r="O80" s="5" t="s">
        <v>434</v>
      </c>
      <c r="P80" s="20"/>
      <c r="Q80" s="20"/>
      <c r="R80" s="5" t="s">
        <v>520</v>
      </c>
      <c r="S80" s="5" t="s">
        <v>520</v>
      </c>
      <c r="T80" s="270"/>
      <c r="U80" s="269"/>
      <c r="V80" s="20" t="s">
        <v>520</v>
      </c>
      <c r="W80" s="5" t="s">
        <v>431</v>
      </c>
      <c r="X80" s="5" t="s">
        <v>515</v>
      </c>
      <c r="Y80" s="5" t="s">
        <v>515</v>
      </c>
      <c r="Z80" s="5" t="s">
        <v>515</v>
      </c>
      <c r="AA80" s="5" t="s">
        <v>494</v>
      </c>
      <c r="AB80" s="270" t="s">
        <v>494</v>
      </c>
      <c r="AC80" s="269" t="s">
        <v>494</v>
      </c>
      <c r="AD80" s="5" t="s">
        <v>494</v>
      </c>
      <c r="AE80" s="5" t="s">
        <v>494</v>
      </c>
      <c r="AF80" s="5" t="s">
        <v>460</v>
      </c>
      <c r="AG80" s="5" t="s">
        <v>434</v>
      </c>
      <c r="AH80" s="5" t="s">
        <v>538</v>
      </c>
      <c r="AI80" s="5" t="s">
        <v>471</v>
      </c>
      <c r="AJ80" s="270"/>
      <c r="AK80" s="67">
        <v>163</v>
      </c>
      <c r="AM80" s="67">
        <v>1</v>
      </c>
      <c r="AO80" s="67">
        <f t="shared" si="16"/>
        <v>0</v>
      </c>
      <c r="AP80" s="67">
        <f t="shared" si="17"/>
        <v>9</v>
      </c>
      <c r="AQ80" s="67">
        <f t="shared" si="18"/>
        <v>18</v>
      </c>
      <c r="AR80" s="67">
        <f t="shared" si="19"/>
        <v>8</v>
      </c>
      <c r="AS80" s="67">
        <f t="shared" si="20"/>
        <v>20</v>
      </c>
      <c r="AT80" s="67">
        <f t="shared" si="21"/>
        <v>17</v>
      </c>
      <c r="AU80" s="67">
        <f t="shared" si="22"/>
        <v>0</v>
      </c>
      <c r="AV80" s="67">
        <f t="shared" si="23"/>
        <v>72</v>
      </c>
      <c r="AX80" s="256">
        <v>28</v>
      </c>
      <c r="AY80" s="67">
        <f t="shared" si="14"/>
        <v>140</v>
      </c>
      <c r="AZ80" s="76">
        <f t="shared" si="15"/>
        <v>0.51428571428571423</v>
      </c>
      <c r="BA80" s="67">
        <f t="shared" si="24"/>
        <v>24</v>
      </c>
      <c r="BB80" s="76">
        <f t="shared" si="27"/>
        <v>0.8571428571428571</v>
      </c>
      <c r="BD80" s="67">
        <f t="shared" si="25"/>
        <v>10</v>
      </c>
      <c r="BE80" s="67">
        <f t="shared" si="26"/>
        <v>14</v>
      </c>
    </row>
    <row r="81" spans="1:57">
      <c r="A81" s="67">
        <v>166</v>
      </c>
      <c r="B81" s="67" t="s">
        <v>136</v>
      </c>
      <c r="C81" s="8" t="s">
        <v>12</v>
      </c>
      <c r="D81" s="67" t="s">
        <v>6</v>
      </c>
      <c r="E81" s="269" t="s">
        <v>499</v>
      </c>
      <c r="F81" s="20"/>
      <c r="G81" s="5" t="s">
        <v>434</v>
      </c>
      <c r="H81" s="5" t="s">
        <v>431</v>
      </c>
      <c r="I81" s="20"/>
      <c r="J81" s="5" t="s">
        <v>433</v>
      </c>
      <c r="K81" s="5" t="s">
        <v>433</v>
      </c>
      <c r="L81" s="270" t="s">
        <v>433</v>
      </c>
      <c r="M81" s="269" t="s">
        <v>433</v>
      </c>
      <c r="N81" s="20"/>
      <c r="O81" s="5" t="s">
        <v>433</v>
      </c>
      <c r="P81" s="20"/>
      <c r="Q81" s="20"/>
      <c r="R81" s="20"/>
      <c r="S81" s="20" t="s">
        <v>431</v>
      </c>
      <c r="T81" s="270"/>
      <c r="U81" s="269"/>
      <c r="V81" s="20"/>
      <c r="W81" s="20"/>
      <c r="X81" s="20"/>
      <c r="Y81" s="20"/>
      <c r="Z81" s="20"/>
      <c r="AA81" s="20" t="s">
        <v>433</v>
      </c>
      <c r="AB81" s="270" t="s">
        <v>501</v>
      </c>
      <c r="AC81" s="269" t="s">
        <v>501</v>
      </c>
      <c r="AD81" s="5" t="s">
        <v>460</v>
      </c>
      <c r="AE81" s="5" t="s">
        <v>433</v>
      </c>
      <c r="AF81" s="20"/>
      <c r="AG81" s="20"/>
      <c r="AH81" s="20"/>
      <c r="AI81" s="20"/>
      <c r="AJ81" s="270"/>
      <c r="AK81" s="67">
        <v>166</v>
      </c>
      <c r="AM81" s="67">
        <v>1</v>
      </c>
      <c r="AO81" s="67">
        <f t="shared" si="16"/>
        <v>0</v>
      </c>
      <c r="AP81" s="67">
        <f t="shared" si="17"/>
        <v>3</v>
      </c>
      <c r="AQ81" s="67">
        <f t="shared" si="18"/>
        <v>2</v>
      </c>
      <c r="AR81" s="67">
        <f t="shared" si="19"/>
        <v>9</v>
      </c>
      <c r="AS81" s="67">
        <f t="shared" si="20"/>
        <v>4</v>
      </c>
      <c r="AT81" s="67">
        <f t="shared" si="21"/>
        <v>0</v>
      </c>
      <c r="AU81" s="67">
        <f t="shared" si="22"/>
        <v>0</v>
      </c>
      <c r="AV81" s="67">
        <f t="shared" si="23"/>
        <v>18</v>
      </c>
      <c r="AX81" s="256">
        <v>32</v>
      </c>
      <c r="AY81" s="67">
        <f t="shared" si="14"/>
        <v>160</v>
      </c>
      <c r="AZ81" s="76">
        <f t="shared" si="15"/>
        <v>0.1125</v>
      </c>
      <c r="BA81" s="67">
        <f t="shared" si="24"/>
        <v>14</v>
      </c>
      <c r="BB81" s="76">
        <f t="shared" si="27"/>
        <v>0.4375</v>
      </c>
      <c r="BD81" s="67">
        <f t="shared" si="25"/>
        <v>9</v>
      </c>
      <c r="BE81" s="67">
        <f t="shared" si="26"/>
        <v>5</v>
      </c>
    </row>
    <row r="82" spans="1:57">
      <c r="A82" s="67">
        <v>169</v>
      </c>
      <c r="B82" s="67" t="s">
        <v>139</v>
      </c>
      <c r="C82" s="8" t="s">
        <v>357</v>
      </c>
      <c r="E82" s="269"/>
      <c r="F82" s="20"/>
      <c r="G82" s="20"/>
      <c r="H82" s="20" t="s">
        <v>431</v>
      </c>
      <c r="I82" s="20"/>
      <c r="J82" s="20"/>
      <c r="K82" s="20"/>
      <c r="L82" s="270"/>
      <c r="M82" s="269"/>
      <c r="N82" s="20"/>
      <c r="O82" s="5" t="s">
        <v>433</v>
      </c>
      <c r="P82" s="20" t="s">
        <v>431</v>
      </c>
      <c r="Q82" s="20" t="s">
        <v>431</v>
      </c>
      <c r="R82" s="20"/>
      <c r="S82" s="20"/>
      <c r="T82" s="270"/>
      <c r="U82" s="269"/>
      <c r="V82" s="20"/>
      <c r="W82" s="20" t="s">
        <v>432</v>
      </c>
      <c r="X82" s="20" t="s">
        <v>432</v>
      </c>
      <c r="Y82" s="20"/>
      <c r="Z82" s="20"/>
      <c r="AA82" s="20" t="s">
        <v>460</v>
      </c>
      <c r="AB82" s="270" t="s">
        <v>500</v>
      </c>
      <c r="AC82" s="269" t="s">
        <v>500</v>
      </c>
      <c r="AD82" s="20"/>
      <c r="AE82" s="20"/>
      <c r="AF82" s="20"/>
      <c r="AG82" s="20"/>
      <c r="AH82" s="20" t="s">
        <v>432</v>
      </c>
      <c r="AI82" s="20"/>
      <c r="AJ82" s="270"/>
      <c r="AK82" s="67">
        <v>169</v>
      </c>
      <c r="AM82" s="67">
        <v>1</v>
      </c>
      <c r="AO82" s="67">
        <f t="shared" si="16"/>
        <v>0</v>
      </c>
      <c r="AP82" s="67">
        <f t="shared" si="17"/>
        <v>3</v>
      </c>
      <c r="AQ82" s="67">
        <f t="shared" si="18"/>
        <v>6</v>
      </c>
      <c r="AR82" s="67">
        <f t="shared" si="19"/>
        <v>3</v>
      </c>
      <c r="AS82" s="67">
        <f t="shared" si="20"/>
        <v>1</v>
      </c>
      <c r="AT82" s="67">
        <f t="shared" si="21"/>
        <v>0</v>
      </c>
      <c r="AU82" s="67">
        <f t="shared" si="22"/>
        <v>0</v>
      </c>
      <c r="AV82" s="67">
        <f t="shared" si="23"/>
        <v>13</v>
      </c>
      <c r="AX82" s="256">
        <v>24</v>
      </c>
      <c r="AY82" s="67">
        <f t="shared" si="14"/>
        <v>120</v>
      </c>
      <c r="AZ82" s="76">
        <f t="shared" si="15"/>
        <v>0.10833333333333334</v>
      </c>
      <c r="BA82" s="67">
        <f t="shared" si="24"/>
        <v>10</v>
      </c>
      <c r="BB82" s="76">
        <f t="shared" si="27"/>
        <v>0.41666666666666669</v>
      </c>
      <c r="BD82" s="67">
        <f t="shared" si="25"/>
        <v>4</v>
      </c>
      <c r="BE82" s="67">
        <f t="shared" si="26"/>
        <v>6</v>
      </c>
    </row>
    <row r="83" spans="1:57">
      <c r="A83" s="67">
        <v>170</v>
      </c>
      <c r="B83" s="67" t="s">
        <v>5</v>
      </c>
      <c r="C83" s="8" t="s">
        <v>42</v>
      </c>
      <c r="D83" s="67" t="s">
        <v>6</v>
      </c>
      <c r="E83" s="269" t="s">
        <v>539</v>
      </c>
      <c r="F83" s="5" t="s">
        <v>531</v>
      </c>
      <c r="G83" s="5" t="s">
        <v>467</v>
      </c>
      <c r="H83" s="20"/>
      <c r="I83" s="5" t="s">
        <v>431</v>
      </c>
      <c r="J83" s="5" t="s">
        <v>501</v>
      </c>
      <c r="K83" s="5" t="s">
        <v>500</v>
      </c>
      <c r="L83" s="270" t="s">
        <v>500</v>
      </c>
      <c r="M83" s="269" t="s">
        <v>433</v>
      </c>
      <c r="N83" s="5" t="s">
        <v>501</v>
      </c>
      <c r="O83" s="5" t="s">
        <v>433</v>
      </c>
      <c r="P83" s="5" t="s">
        <v>461</v>
      </c>
      <c r="Q83" s="20"/>
      <c r="R83" s="5" t="s">
        <v>435</v>
      </c>
      <c r="S83" s="5" t="s">
        <v>435</v>
      </c>
      <c r="T83" s="270" t="s">
        <v>537</v>
      </c>
      <c r="U83" s="269" t="s">
        <v>435</v>
      </c>
      <c r="V83" s="20"/>
      <c r="W83" s="5" t="s">
        <v>499</v>
      </c>
      <c r="X83" s="20"/>
      <c r="Y83" s="20"/>
      <c r="Z83" s="20" t="s">
        <v>500</v>
      </c>
      <c r="AA83" s="5" t="s">
        <v>500</v>
      </c>
      <c r="AB83" s="270" t="s">
        <v>494</v>
      </c>
      <c r="AC83" s="269" t="s">
        <v>500</v>
      </c>
      <c r="AD83" s="5" t="s">
        <v>500</v>
      </c>
      <c r="AE83" s="5" t="s">
        <v>500</v>
      </c>
      <c r="AF83" s="20"/>
      <c r="AG83" s="20"/>
      <c r="AH83" s="5" t="s">
        <v>432</v>
      </c>
      <c r="AI83" s="5" t="s">
        <v>540</v>
      </c>
      <c r="AJ83" s="270" t="s">
        <v>520</v>
      </c>
      <c r="AK83" s="67">
        <v>170</v>
      </c>
      <c r="AM83" s="67">
        <v>1</v>
      </c>
      <c r="AO83" s="67">
        <f t="shared" si="16"/>
        <v>0</v>
      </c>
      <c r="AP83" s="67">
        <f t="shared" si="17"/>
        <v>8</v>
      </c>
      <c r="AQ83" s="67">
        <f t="shared" si="18"/>
        <v>14</v>
      </c>
      <c r="AR83" s="67">
        <f t="shared" si="19"/>
        <v>12</v>
      </c>
      <c r="AS83" s="67">
        <f t="shared" si="20"/>
        <v>7</v>
      </c>
      <c r="AT83" s="67">
        <f t="shared" si="21"/>
        <v>10</v>
      </c>
      <c r="AU83" s="67">
        <f t="shared" si="22"/>
        <v>0</v>
      </c>
      <c r="AV83" s="67">
        <f t="shared" si="23"/>
        <v>51</v>
      </c>
      <c r="AX83" s="256">
        <v>31</v>
      </c>
      <c r="AY83" s="67">
        <f t="shared" si="14"/>
        <v>155</v>
      </c>
      <c r="AZ83" s="76">
        <f t="shared" si="15"/>
        <v>0.32903225806451614</v>
      </c>
      <c r="BA83" s="67">
        <f t="shared" si="24"/>
        <v>25</v>
      </c>
      <c r="BB83" s="76">
        <f t="shared" si="27"/>
        <v>0.80645161290322576</v>
      </c>
      <c r="BD83" s="67">
        <f t="shared" si="25"/>
        <v>14</v>
      </c>
      <c r="BE83" s="67">
        <f t="shared" si="26"/>
        <v>11</v>
      </c>
    </row>
    <row r="84" spans="1:57">
      <c r="A84" s="8">
        <v>171</v>
      </c>
      <c r="B84" s="8" t="s">
        <v>58</v>
      </c>
      <c r="C84" s="8" t="s">
        <v>358</v>
      </c>
      <c r="D84" s="8" t="s">
        <v>6</v>
      </c>
      <c r="E84" s="269"/>
      <c r="F84" s="5" t="s">
        <v>518</v>
      </c>
      <c r="G84" s="5" t="s">
        <v>432</v>
      </c>
      <c r="H84" s="5" t="s">
        <v>432</v>
      </c>
      <c r="I84" s="5" t="s">
        <v>537</v>
      </c>
      <c r="J84" s="5" t="s">
        <v>501</v>
      </c>
      <c r="K84" s="5" t="s">
        <v>500</v>
      </c>
      <c r="L84" s="270" t="s">
        <v>514</v>
      </c>
      <c r="M84" s="269" t="s">
        <v>448</v>
      </c>
      <c r="N84" s="5" t="s">
        <v>494</v>
      </c>
      <c r="O84" s="5" t="s">
        <v>494</v>
      </c>
      <c r="P84" s="5" t="s">
        <v>431</v>
      </c>
      <c r="Q84" s="5" t="s">
        <v>432</v>
      </c>
      <c r="R84" s="5" t="s">
        <v>499</v>
      </c>
      <c r="S84" s="20"/>
      <c r="T84" s="270"/>
      <c r="U84" s="269"/>
      <c r="V84" s="20"/>
      <c r="W84" s="5" t="s">
        <v>432</v>
      </c>
      <c r="X84" s="5" t="s">
        <v>499</v>
      </c>
      <c r="Y84" s="20" t="s">
        <v>499</v>
      </c>
      <c r="Z84" s="5" t="s">
        <v>500</v>
      </c>
      <c r="AA84" s="5" t="s">
        <v>526</v>
      </c>
      <c r="AB84" s="270" t="s">
        <v>448</v>
      </c>
      <c r="AC84" s="269" t="s">
        <v>494</v>
      </c>
      <c r="AD84" s="5" t="s">
        <v>500</v>
      </c>
      <c r="AE84" s="5" t="s">
        <v>433</v>
      </c>
      <c r="AF84" s="20"/>
      <c r="AG84" s="20"/>
      <c r="AH84" s="20"/>
      <c r="AI84" s="20"/>
      <c r="AJ84" s="270"/>
      <c r="AK84" s="8">
        <v>171</v>
      </c>
      <c r="AM84" s="67">
        <v>1</v>
      </c>
      <c r="AO84" s="67">
        <f t="shared" si="16"/>
        <v>0</v>
      </c>
      <c r="AP84" s="67">
        <f t="shared" si="17"/>
        <v>5</v>
      </c>
      <c r="AQ84" s="67">
        <f t="shared" si="18"/>
        <v>16</v>
      </c>
      <c r="AR84" s="67">
        <f t="shared" si="19"/>
        <v>12</v>
      </c>
      <c r="AS84" s="67">
        <f t="shared" si="20"/>
        <v>8</v>
      </c>
      <c r="AT84" s="67">
        <f t="shared" si="21"/>
        <v>8</v>
      </c>
      <c r="AU84" s="67">
        <f t="shared" si="22"/>
        <v>0</v>
      </c>
      <c r="AV84" s="67">
        <f t="shared" si="23"/>
        <v>49</v>
      </c>
      <c r="AX84" s="256">
        <v>28</v>
      </c>
      <c r="AY84" s="67">
        <f t="shared" si="14"/>
        <v>140</v>
      </c>
      <c r="AZ84" s="76">
        <f t="shared" si="15"/>
        <v>0.35</v>
      </c>
      <c r="BA84" s="67">
        <f t="shared" si="24"/>
        <v>22</v>
      </c>
      <c r="BB84" s="76">
        <f t="shared" si="27"/>
        <v>0.7857142857142857</v>
      </c>
      <c r="BD84" s="67">
        <f t="shared" si="25"/>
        <v>13</v>
      </c>
      <c r="BE84" s="67">
        <f t="shared" si="26"/>
        <v>9</v>
      </c>
    </row>
    <row r="85" spans="1:57">
      <c r="A85" s="67">
        <v>172</v>
      </c>
      <c r="B85" s="67" t="s">
        <v>71</v>
      </c>
      <c r="C85" s="8" t="s">
        <v>452</v>
      </c>
      <c r="D85" s="67" t="s">
        <v>6</v>
      </c>
      <c r="E85" s="269" t="s">
        <v>431</v>
      </c>
      <c r="F85" s="5" t="s">
        <v>496</v>
      </c>
      <c r="G85" s="5" t="s">
        <v>499</v>
      </c>
      <c r="H85" s="5" t="s">
        <v>499</v>
      </c>
      <c r="I85" s="20"/>
      <c r="J85" s="5" t="s">
        <v>433</v>
      </c>
      <c r="K85" s="20"/>
      <c r="L85" s="270" t="s">
        <v>433</v>
      </c>
      <c r="M85" s="269" t="s">
        <v>433</v>
      </c>
      <c r="N85" s="5" t="s">
        <v>433</v>
      </c>
      <c r="O85" s="5" t="s">
        <v>433</v>
      </c>
      <c r="P85" s="5" t="s">
        <v>431</v>
      </c>
      <c r="Q85" s="5" t="s">
        <v>431</v>
      </c>
      <c r="R85" s="5" t="s">
        <v>471</v>
      </c>
      <c r="S85" s="5" t="s">
        <v>496</v>
      </c>
      <c r="T85" s="270"/>
      <c r="U85" s="269" t="s">
        <v>518</v>
      </c>
      <c r="V85" s="5" t="s">
        <v>499</v>
      </c>
      <c r="W85" s="5" t="s">
        <v>499</v>
      </c>
      <c r="X85" s="5" t="s">
        <v>499</v>
      </c>
      <c r="Y85" s="5" t="s">
        <v>499</v>
      </c>
      <c r="Z85" s="5" t="s">
        <v>494</v>
      </c>
      <c r="AA85" s="5" t="s">
        <v>494</v>
      </c>
      <c r="AB85" s="270" t="s">
        <v>494</v>
      </c>
      <c r="AC85" s="269" t="s">
        <v>494</v>
      </c>
      <c r="AD85" s="5" t="s">
        <v>494</v>
      </c>
      <c r="AE85" s="5" t="s">
        <v>433</v>
      </c>
      <c r="AF85" s="5" t="s">
        <v>499</v>
      </c>
      <c r="AG85" s="5" t="s">
        <v>499</v>
      </c>
      <c r="AH85" s="20"/>
      <c r="AI85" s="5" t="s">
        <v>499</v>
      </c>
      <c r="AJ85" s="270" t="s">
        <v>431</v>
      </c>
      <c r="AK85" s="67">
        <v>172</v>
      </c>
      <c r="AM85" s="67">
        <v>1</v>
      </c>
      <c r="AO85" s="67">
        <f t="shared" si="16"/>
        <v>0</v>
      </c>
      <c r="AP85" s="67">
        <f t="shared" si="17"/>
        <v>16</v>
      </c>
      <c r="AQ85" s="67">
        <f t="shared" si="18"/>
        <v>18</v>
      </c>
      <c r="AR85" s="67">
        <f t="shared" si="19"/>
        <v>11</v>
      </c>
      <c r="AS85" s="67">
        <f t="shared" si="20"/>
        <v>7</v>
      </c>
      <c r="AT85" s="67">
        <f t="shared" si="21"/>
        <v>9</v>
      </c>
      <c r="AU85" s="67">
        <f t="shared" si="22"/>
        <v>0</v>
      </c>
      <c r="AV85" s="67">
        <f t="shared" si="23"/>
        <v>61</v>
      </c>
      <c r="AX85" s="256">
        <v>31</v>
      </c>
      <c r="AY85" s="67">
        <f t="shared" si="14"/>
        <v>155</v>
      </c>
      <c r="AZ85" s="76">
        <f t="shared" si="15"/>
        <v>0.3935483870967742</v>
      </c>
      <c r="BA85" s="67">
        <f t="shared" si="24"/>
        <v>28</v>
      </c>
      <c r="BB85" s="76">
        <f t="shared" si="27"/>
        <v>0.90322580645161288</v>
      </c>
      <c r="BD85" s="67">
        <f t="shared" si="25"/>
        <v>13</v>
      </c>
      <c r="BE85" s="67">
        <f t="shared" si="26"/>
        <v>15</v>
      </c>
    </row>
    <row r="86" spans="1:57">
      <c r="A86" s="67">
        <v>174</v>
      </c>
      <c r="B86" s="67" t="s">
        <v>141</v>
      </c>
      <c r="C86" s="8" t="s">
        <v>346</v>
      </c>
      <c r="E86" s="269"/>
      <c r="F86" s="20"/>
      <c r="G86" s="20"/>
      <c r="H86" s="20"/>
      <c r="I86" s="20"/>
      <c r="J86" s="20"/>
      <c r="K86" s="20"/>
      <c r="L86" s="270"/>
      <c r="M86" s="269"/>
      <c r="N86" s="20"/>
      <c r="O86" s="20"/>
      <c r="P86" s="20"/>
      <c r="Q86" s="20"/>
      <c r="R86" s="20"/>
      <c r="S86" s="20"/>
      <c r="T86" s="270"/>
      <c r="U86" s="269"/>
      <c r="V86" s="20"/>
      <c r="W86" s="20"/>
      <c r="X86" s="20"/>
      <c r="Y86" s="20"/>
      <c r="Z86" s="20"/>
      <c r="AA86" s="20"/>
      <c r="AB86" s="270"/>
      <c r="AC86" s="269"/>
      <c r="AD86" s="20"/>
      <c r="AE86" s="20"/>
      <c r="AF86" s="20"/>
      <c r="AG86" s="20"/>
      <c r="AH86" s="20"/>
      <c r="AI86" s="20"/>
      <c r="AJ86" s="270"/>
      <c r="AK86" s="67">
        <v>174</v>
      </c>
      <c r="AL86" s="67">
        <v>1</v>
      </c>
      <c r="AO86" s="67">
        <f t="shared" si="16"/>
        <v>0</v>
      </c>
      <c r="AP86" s="67">
        <f t="shared" si="17"/>
        <v>0</v>
      </c>
      <c r="AQ86" s="67">
        <f t="shared" si="18"/>
        <v>0</v>
      </c>
      <c r="AR86" s="67">
        <f t="shared" si="19"/>
        <v>0</v>
      </c>
      <c r="AS86" s="67">
        <f t="shared" si="20"/>
        <v>0</v>
      </c>
      <c r="AT86" s="67">
        <f t="shared" si="21"/>
        <v>0</v>
      </c>
      <c r="AU86" s="67">
        <f t="shared" si="22"/>
        <v>0</v>
      </c>
      <c r="AV86" s="67">
        <f t="shared" si="23"/>
        <v>0</v>
      </c>
      <c r="AX86" s="256">
        <v>20</v>
      </c>
      <c r="AY86" s="67">
        <f t="shared" si="14"/>
        <v>100</v>
      </c>
      <c r="AZ86" s="76">
        <f t="shared" si="15"/>
        <v>0</v>
      </c>
      <c r="BA86" s="67">
        <f t="shared" si="24"/>
        <v>0</v>
      </c>
      <c r="BB86" s="76">
        <f t="shared" si="27"/>
        <v>0</v>
      </c>
      <c r="BD86" s="67">
        <f t="shared" si="25"/>
        <v>0</v>
      </c>
      <c r="BE86" s="67">
        <f t="shared" si="26"/>
        <v>0</v>
      </c>
    </row>
    <row r="87" spans="1:57">
      <c r="A87" s="67">
        <v>176</v>
      </c>
      <c r="B87" s="67" t="s">
        <v>44</v>
      </c>
      <c r="C87" s="8" t="s">
        <v>349</v>
      </c>
      <c r="D87" s="67" t="s">
        <v>42</v>
      </c>
      <c r="E87" s="269"/>
      <c r="F87" s="20"/>
      <c r="G87" s="20"/>
      <c r="H87" s="20"/>
      <c r="I87" s="20"/>
      <c r="J87" s="20"/>
      <c r="K87" s="20"/>
      <c r="L87" s="270"/>
      <c r="M87" s="269"/>
      <c r="N87" s="20"/>
      <c r="O87" s="20"/>
      <c r="P87" s="20"/>
      <c r="Q87" s="20"/>
      <c r="R87" s="20"/>
      <c r="S87" s="20"/>
      <c r="T87" s="270"/>
      <c r="U87" s="269"/>
      <c r="V87" s="20" t="s">
        <v>432</v>
      </c>
      <c r="W87" s="20"/>
      <c r="X87" s="20"/>
      <c r="Y87" s="20" t="s">
        <v>499</v>
      </c>
      <c r="Z87" s="20"/>
      <c r="AA87" s="5" t="s">
        <v>521</v>
      </c>
      <c r="AB87" s="270"/>
      <c r="AC87" s="269"/>
      <c r="AD87" s="20"/>
      <c r="AE87" s="5" t="s">
        <v>500</v>
      </c>
      <c r="AF87" s="20" t="s">
        <v>432</v>
      </c>
      <c r="AG87" s="20" t="s">
        <v>499</v>
      </c>
      <c r="AH87" s="5" t="s">
        <v>496</v>
      </c>
      <c r="AI87" s="20"/>
      <c r="AJ87" s="270" t="s">
        <v>460</v>
      </c>
      <c r="AK87" s="67">
        <v>176</v>
      </c>
      <c r="AM87" s="67">
        <v>1</v>
      </c>
      <c r="AO87" s="67">
        <f t="shared" si="16"/>
        <v>0</v>
      </c>
      <c r="AP87" s="67">
        <f t="shared" si="17"/>
        <v>3</v>
      </c>
      <c r="AQ87" s="67">
        <f t="shared" si="18"/>
        <v>8</v>
      </c>
      <c r="AR87" s="67">
        <f t="shared" si="19"/>
        <v>2</v>
      </c>
      <c r="AS87" s="67">
        <f t="shared" si="20"/>
        <v>2</v>
      </c>
      <c r="AT87" s="67">
        <f t="shared" si="21"/>
        <v>2</v>
      </c>
      <c r="AU87" s="67">
        <f t="shared" si="22"/>
        <v>0</v>
      </c>
      <c r="AV87" s="67">
        <f t="shared" si="23"/>
        <v>17</v>
      </c>
      <c r="AX87" s="256">
        <v>15</v>
      </c>
      <c r="AY87" s="67">
        <f t="shared" si="14"/>
        <v>75</v>
      </c>
      <c r="AZ87" s="76">
        <f t="shared" si="15"/>
        <v>0.22666666666666666</v>
      </c>
      <c r="BA87" s="67">
        <f t="shared" si="24"/>
        <v>8</v>
      </c>
      <c r="BB87" s="76">
        <f t="shared" si="27"/>
        <v>0.53333333333333333</v>
      </c>
      <c r="BD87" s="67">
        <f t="shared" si="25"/>
        <v>0</v>
      </c>
      <c r="BE87" s="67">
        <f t="shared" si="26"/>
        <v>8</v>
      </c>
    </row>
    <row r="88" spans="1:57">
      <c r="A88" s="67">
        <v>178</v>
      </c>
      <c r="B88" s="67" t="s">
        <v>5</v>
      </c>
      <c r="C88" s="8" t="s">
        <v>42</v>
      </c>
      <c r="D88" s="67" t="s">
        <v>6</v>
      </c>
      <c r="E88" s="269" t="s">
        <v>467</v>
      </c>
      <c r="F88" s="5" t="s">
        <v>496</v>
      </c>
      <c r="G88" s="5" t="s">
        <v>520</v>
      </c>
      <c r="H88" s="5" t="s">
        <v>462</v>
      </c>
      <c r="I88" s="5" t="s">
        <v>462</v>
      </c>
      <c r="J88" s="5" t="s">
        <v>501</v>
      </c>
      <c r="K88" s="5" t="s">
        <v>494</v>
      </c>
      <c r="L88" s="270" t="s">
        <v>498</v>
      </c>
      <c r="M88" s="269" t="s">
        <v>514</v>
      </c>
      <c r="N88" s="5" t="s">
        <v>494</v>
      </c>
      <c r="O88" s="5" t="s">
        <v>494</v>
      </c>
      <c r="P88" s="5" t="s">
        <v>520</v>
      </c>
      <c r="Q88" s="20"/>
      <c r="R88" s="5" t="s">
        <v>520</v>
      </c>
      <c r="S88" s="5" t="s">
        <v>520</v>
      </c>
      <c r="T88" s="270"/>
      <c r="U88" s="269" t="s">
        <v>446</v>
      </c>
      <c r="V88" s="5" t="s">
        <v>432</v>
      </c>
      <c r="W88" s="5" t="s">
        <v>431</v>
      </c>
      <c r="X88" s="5" t="s">
        <v>520</v>
      </c>
      <c r="Y88" s="5" t="s">
        <v>520</v>
      </c>
      <c r="Z88" s="5" t="s">
        <v>541</v>
      </c>
      <c r="AA88" s="5" t="s">
        <v>494</v>
      </c>
      <c r="AB88" s="270" t="s">
        <v>494</v>
      </c>
      <c r="AC88" s="269" t="s">
        <v>494</v>
      </c>
      <c r="AD88" s="5" t="s">
        <v>494</v>
      </c>
      <c r="AE88" s="5" t="s">
        <v>494</v>
      </c>
      <c r="AF88" s="5" t="s">
        <v>520</v>
      </c>
      <c r="AG88" s="5" t="s">
        <v>474</v>
      </c>
      <c r="AH88" s="20"/>
      <c r="AI88" s="20"/>
      <c r="AJ88" s="270" t="s">
        <v>434</v>
      </c>
      <c r="AK88" s="67">
        <v>178</v>
      </c>
      <c r="AM88" s="67">
        <v>1</v>
      </c>
      <c r="AO88" s="67">
        <f t="shared" si="16"/>
        <v>0</v>
      </c>
      <c r="AP88" s="67">
        <f t="shared" si="17"/>
        <v>13</v>
      </c>
      <c r="AQ88" s="67">
        <f t="shared" si="18"/>
        <v>22</v>
      </c>
      <c r="AR88" s="67">
        <f t="shared" si="19"/>
        <v>12</v>
      </c>
      <c r="AS88" s="67">
        <f t="shared" si="20"/>
        <v>24</v>
      </c>
      <c r="AT88" s="67">
        <f t="shared" si="21"/>
        <v>22</v>
      </c>
      <c r="AU88" s="67">
        <f t="shared" si="22"/>
        <v>0</v>
      </c>
      <c r="AV88" s="67">
        <f t="shared" si="23"/>
        <v>93</v>
      </c>
      <c r="AX88" s="256">
        <v>29</v>
      </c>
      <c r="AY88" s="67">
        <f t="shared" si="14"/>
        <v>145</v>
      </c>
      <c r="AZ88" s="76">
        <f t="shared" si="15"/>
        <v>0.64137931034482754</v>
      </c>
      <c r="BA88" s="67">
        <f t="shared" si="24"/>
        <v>28</v>
      </c>
      <c r="BB88" s="76">
        <f t="shared" si="27"/>
        <v>0.96551724137931039</v>
      </c>
      <c r="BD88" s="67">
        <f t="shared" si="25"/>
        <v>14</v>
      </c>
      <c r="BE88" s="67">
        <f t="shared" si="26"/>
        <v>14</v>
      </c>
    </row>
    <row r="89" spans="1:57">
      <c r="A89" s="8">
        <v>179</v>
      </c>
      <c r="B89" s="8" t="s">
        <v>48</v>
      </c>
      <c r="C89" s="8" t="s">
        <v>357</v>
      </c>
      <c r="D89" s="8"/>
      <c r="E89" s="269"/>
      <c r="F89" s="5"/>
      <c r="G89" s="5" t="s">
        <v>457</v>
      </c>
      <c r="H89" s="5" t="s">
        <v>520</v>
      </c>
      <c r="I89" s="5" t="s">
        <v>431</v>
      </c>
      <c r="J89" s="5"/>
      <c r="K89" s="5"/>
      <c r="L89" s="270"/>
      <c r="M89" s="269"/>
      <c r="N89" s="5"/>
      <c r="O89" s="5"/>
      <c r="P89" s="5"/>
      <c r="Q89" s="20" t="s">
        <v>471</v>
      </c>
      <c r="R89" s="5" t="s">
        <v>542</v>
      </c>
      <c r="S89" s="5"/>
      <c r="T89" s="270"/>
      <c r="U89" s="269"/>
      <c r="V89" s="5"/>
      <c r="W89" s="5" t="s">
        <v>520</v>
      </c>
      <c r="X89" s="5" t="s">
        <v>520</v>
      </c>
      <c r="Y89" s="5" t="s">
        <v>461</v>
      </c>
      <c r="Z89" s="5"/>
      <c r="AA89" s="5"/>
      <c r="AB89" s="270" t="s">
        <v>463</v>
      </c>
      <c r="AC89" s="269" t="s">
        <v>494</v>
      </c>
      <c r="AD89" s="5" t="s">
        <v>434</v>
      </c>
      <c r="AE89" s="20"/>
      <c r="AF89" s="5" t="s">
        <v>543</v>
      </c>
      <c r="AG89" s="5" t="s">
        <v>540</v>
      </c>
      <c r="AH89" s="5" t="s">
        <v>474</v>
      </c>
      <c r="AI89" s="20"/>
      <c r="AJ89" s="270"/>
      <c r="AK89" s="8">
        <v>179</v>
      </c>
      <c r="AM89" s="67">
        <v>1</v>
      </c>
      <c r="AO89" s="67">
        <f t="shared" si="16"/>
        <v>0</v>
      </c>
      <c r="AP89" s="67">
        <f t="shared" si="17"/>
        <v>10</v>
      </c>
      <c r="AQ89" s="67">
        <f t="shared" si="18"/>
        <v>10</v>
      </c>
      <c r="AR89" s="67">
        <f t="shared" si="19"/>
        <v>1</v>
      </c>
      <c r="AS89" s="67">
        <f t="shared" si="20"/>
        <v>9</v>
      </c>
      <c r="AT89" s="67">
        <f t="shared" si="21"/>
        <v>9</v>
      </c>
      <c r="AU89" s="67">
        <f t="shared" si="22"/>
        <v>1</v>
      </c>
      <c r="AV89" s="67">
        <f t="shared" si="23"/>
        <v>40</v>
      </c>
      <c r="AX89" s="256">
        <v>21</v>
      </c>
      <c r="AY89" s="67">
        <f t="shared" si="14"/>
        <v>105</v>
      </c>
      <c r="AZ89" s="76">
        <f t="shared" si="15"/>
        <v>0.38095238095238093</v>
      </c>
      <c r="BA89" s="67">
        <f t="shared" si="24"/>
        <v>14</v>
      </c>
      <c r="BB89" s="76">
        <f t="shared" si="27"/>
        <v>0.66666666666666663</v>
      </c>
      <c r="BD89" s="67">
        <f t="shared" si="25"/>
        <v>5</v>
      </c>
      <c r="BE89" s="67">
        <f t="shared" si="26"/>
        <v>9</v>
      </c>
    </row>
    <row r="90" spans="1:57">
      <c r="A90" s="67">
        <v>180</v>
      </c>
      <c r="B90" s="67" t="s">
        <v>143</v>
      </c>
      <c r="C90" s="8" t="s">
        <v>357</v>
      </c>
      <c r="E90" s="269"/>
      <c r="F90" s="20"/>
      <c r="G90" s="20"/>
      <c r="H90" s="20"/>
      <c r="I90" s="20" t="s">
        <v>431</v>
      </c>
      <c r="J90" s="20"/>
      <c r="K90" s="20"/>
      <c r="L90" s="270"/>
      <c r="M90" s="269"/>
      <c r="N90" s="20"/>
      <c r="O90" s="20"/>
      <c r="P90" s="20"/>
      <c r="Q90" s="20" t="s">
        <v>431</v>
      </c>
      <c r="R90" s="5" t="s">
        <v>431</v>
      </c>
      <c r="S90" s="20"/>
      <c r="T90" s="270"/>
      <c r="U90" s="269"/>
      <c r="V90" s="20"/>
      <c r="W90" s="20"/>
      <c r="X90" s="20"/>
      <c r="Y90" s="5" t="s">
        <v>431</v>
      </c>
      <c r="Z90" s="20"/>
      <c r="AA90" s="20"/>
      <c r="AB90" s="270"/>
      <c r="AC90" s="269"/>
      <c r="AD90" s="20"/>
      <c r="AE90" s="20"/>
      <c r="AF90" s="5" t="s">
        <v>431</v>
      </c>
      <c r="AG90" s="20"/>
      <c r="AH90" s="20"/>
      <c r="AI90" s="20"/>
      <c r="AJ90" s="270"/>
      <c r="AK90" s="67">
        <v>180</v>
      </c>
      <c r="AM90" s="67">
        <v>1</v>
      </c>
      <c r="AO90" s="67">
        <f t="shared" si="16"/>
        <v>0</v>
      </c>
      <c r="AP90" s="67">
        <f t="shared" si="17"/>
        <v>5</v>
      </c>
      <c r="AQ90" s="67">
        <f t="shared" si="18"/>
        <v>0</v>
      </c>
      <c r="AR90" s="67">
        <f t="shared" si="19"/>
        <v>0</v>
      </c>
      <c r="AS90" s="67">
        <f t="shared" si="20"/>
        <v>0</v>
      </c>
      <c r="AT90" s="67">
        <f t="shared" si="21"/>
        <v>0</v>
      </c>
      <c r="AU90" s="67">
        <f t="shared" si="22"/>
        <v>0</v>
      </c>
      <c r="AV90" s="67">
        <f t="shared" si="23"/>
        <v>5</v>
      </c>
      <c r="AX90" s="256">
        <v>22</v>
      </c>
      <c r="AY90" s="67">
        <f t="shared" si="14"/>
        <v>110</v>
      </c>
      <c r="AZ90" s="76">
        <f t="shared" si="15"/>
        <v>4.5454545454545456E-2</v>
      </c>
      <c r="BA90" s="67">
        <f t="shared" si="24"/>
        <v>5</v>
      </c>
      <c r="BB90" s="76">
        <f t="shared" si="27"/>
        <v>0.22727272727272727</v>
      </c>
      <c r="BD90" s="67">
        <f t="shared" si="25"/>
        <v>3</v>
      </c>
      <c r="BE90" s="67">
        <f t="shared" si="26"/>
        <v>2</v>
      </c>
    </row>
    <row r="91" spans="1:57">
      <c r="A91" s="67">
        <v>181</v>
      </c>
      <c r="B91" s="67" t="s">
        <v>145</v>
      </c>
      <c r="C91" s="8" t="s">
        <v>357</v>
      </c>
      <c r="D91" s="67" t="s">
        <v>15</v>
      </c>
      <c r="E91" s="269"/>
      <c r="F91" s="5" t="s">
        <v>431</v>
      </c>
      <c r="G91" s="5"/>
      <c r="H91" s="20"/>
      <c r="I91" s="20"/>
      <c r="J91" s="20" t="s">
        <v>433</v>
      </c>
      <c r="K91" s="20" t="s">
        <v>433</v>
      </c>
      <c r="L91" s="270" t="s">
        <v>446</v>
      </c>
      <c r="M91" s="269" t="s">
        <v>433</v>
      </c>
      <c r="N91" s="5" t="s">
        <v>433</v>
      </c>
      <c r="O91" s="5" t="s">
        <v>433</v>
      </c>
      <c r="P91" s="20"/>
      <c r="Q91" s="20"/>
      <c r="R91" s="5" t="s">
        <v>544</v>
      </c>
      <c r="S91" s="20"/>
      <c r="T91" s="270"/>
      <c r="U91" s="269"/>
      <c r="V91" s="20"/>
      <c r="W91" s="20"/>
      <c r="X91" s="20"/>
      <c r="Y91" s="20"/>
      <c r="Z91" s="20" t="s">
        <v>545</v>
      </c>
      <c r="AA91" s="20" t="s">
        <v>546</v>
      </c>
      <c r="AB91" s="270" t="s">
        <v>546</v>
      </c>
      <c r="AC91" s="269" t="s">
        <v>546</v>
      </c>
      <c r="AD91" s="5" t="s">
        <v>547</v>
      </c>
      <c r="AE91" s="5" t="s">
        <v>523</v>
      </c>
      <c r="AF91" s="5" t="s">
        <v>548</v>
      </c>
      <c r="AG91" s="20"/>
      <c r="AH91" s="5" t="s">
        <v>432</v>
      </c>
      <c r="AI91" s="20"/>
      <c r="AJ91" s="270"/>
      <c r="AK91" s="67">
        <v>181</v>
      </c>
      <c r="AM91" s="67">
        <v>1</v>
      </c>
      <c r="AO91" s="67">
        <f t="shared" si="16"/>
        <v>0</v>
      </c>
      <c r="AP91" s="67">
        <f t="shared" si="17"/>
        <v>3</v>
      </c>
      <c r="AQ91" s="67">
        <f t="shared" si="18"/>
        <v>7</v>
      </c>
      <c r="AR91" s="67">
        <f t="shared" si="19"/>
        <v>8</v>
      </c>
      <c r="AS91" s="67">
        <f t="shared" si="20"/>
        <v>8</v>
      </c>
      <c r="AT91" s="67">
        <f t="shared" si="21"/>
        <v>8</v>
      </c>
      <c r="AU91" s="67">
        <f t="shared" si="22"/>
        <v>0</v>
      </c>
      <c r="AV91" s="67">
        <f t="shared" si="23"/>
        <v>34</v>
      </c>
      <c r="AX91" s="256">
        <v>28</v>
      </c>
      <c r="AY91" s="67">
        <f t="shared" si="14"/>
        <v>140</v>
      </c>
      <c r="AZ91" s="76">
        <f t="shared" si="15"/>
        <v>0.24285714285714285</v>
      </c>
      <c r="BA91" s="67">
        <f t="shared" si="24"/>
        <v>16</v>
      </c>
      <c r="BB91" s="76">
        <f t="shared" si="27"/>
        <v>0.5714285714285714</v>
      </c>
      <c r="BD91" s="67">
        <f t="shared" si="25"/>
        <v>8</v>
      </c>
      <c r="BE91" s="67">
        <f t="shared" si="26"/>
        <v>8</v>
      </c>
    </row>
    <row r="92" spans="1:57">
      <c r="A92" s="67">
        <v>185</v>
      </c>
      <c r="B92" s="67" t="s">
        <v>5</v>
      </c>
      <c r="C92" s="8" t="s">
        <v>42</v>
      </c>
      <c r="D92" s="67" t="s">
        <v>42</v>
      </c>
      <c r="E92" s="269" t="s">
        <v>549</v>
      </c>
      <c r="F92" s="5" t="s">
        <v>549</v>
      </c>
      <c r="G92" s="5" t="s">
        <v>549</v>
      </c>
      <c r="H92" s="5" t="s">
        <v>549</v>
      </c>
      <c r="I92" s="5" t="s">
        <v>549</v>
      </c>
      <c r="J92" s="5" t="s">
        <v>547</v>
      </c>
      <c r="K92" s="5" t="s">
        <v>547</v>
      </c>
      <c r="L92" s="270" t="s">
        <v>545</v>
      </c>
      <c r="M92" s="269" t="s">
        <v>545</v>
      </c>
      <c r="N92" s="5" t="s">
        <v>545</v>
      </c>
      <c r="O92" s="5" t="s">
        <v>547</v>
      </c>
      <c r="P92" s="5" t="s">
        <v>550</v>
      </c>
      <c r="Q92" s="5" t="s">
        <v>546</v>
      </c>
      <c r="R92" s="20"/>
      <c r="S92" s="5" t="s">
        <v>550</v>
      </c>
      <c r="T92" s="270" t="s">
        <v>551</v>
      </c>
      <c r="U92" s="269" t="s">
        <v>551</v>
      </c>
      <c r="V92" s="5" t="s">
        <v>551</v>
      </c>
      <c r="W92" s="5" t="s">
        <v>551</v>
      </c>
      <c r="X92" s="5" t="s">
        <v>551</v>
      </c>
      <c r="Y92" s="5" t="s">
        <v>551</v>
      </c>
      <c r="Z92" s="5" t="s">
        <v>547</v>
      </c>
      <c r="AA92" s="5" t="s">
        <v>547</v>
      </c>
      <c r="AB92" s="270" t="s">
        <v>547</v>
      </c>
      <c r="AC92" s="269" t="s">
        <v>547</v>
      </c>
      <c r="AD92" s="5" t="s">
        <v>547</v>
      </c>
      <c r="AE92" s="5" t="s">
        <v>547</v>
      </c>
      <c r="AF92" s="5" t="s">
        <v>552</v>
      </c>
      <c r="AG92" s="5" t="s">
        <v>552</v>
      </c>
      <c r="AH92" s="5" t="s">
        <v>552</v>
      </c>
      <c r="AI92" s="5" t="s">
        <v>552</v>
      </c>
      <c r="AJ92" s="270" t="s">
        <v>552</v>
      </c>
      <c r="AK92" s="67">
        <v>185</v>
      </c>
      <c r="AM92" s="67">
        <v>1</v>
      </c>
      <c r="AO92" s="67">
        <f t="shared" si="16"/>
        <v>0</v>
      </c>
      <c r="AP92" s="67">
        <f t="shared" si="17"/>
        <v>18</v>
      </c>
      <c r="AQ92" s="67">
        <f t="shared" si="18"/>
        <v>23</v>
      </c>
      <c r="AR92" s="67">
        <f t="shared" si="19"/>
        <v>12</v>
      </c>
      <c r="AS92" s="67">
        <f t="shared" si="20"/>
        <v>31</v>
      </c>
      <c r="AT92" s="67">
        <f t="shared" si="21"/>
        <v>31</v>
      </c>
      <c r="AU92" s="67">
        <f t="shared" si="22"/>
        <v>0</v>
      </c>
      <c r="AV92" s="67">
        <f t="shared" si="23"/>
        <v>115</v>
      </c>
      <c r="AX92" s="256">
        <v>32</v>
      </c>
      <c r="AY92" s="67">
        <f t="shared" si="14"/>
        <v>160</v>
      </c>
      <c r="AZ92" s="76">
        <f t="shared" si="15"/>
        <v>0.71875</v>
      </c>
      <c r="BA92" s="67">
        <f t="shared" si="24"/>
        <v>31</v>
      </c>
      <c r="BB92" s="76">
        <f t="shared" si="27"/>
        <v>0.96875</v>
      </c>
      <c r="BD92" s="67">
        <f t="shared" si="25"/>
        <v>15</v>
      </c>
      <c r="BE92" s="67">
        <f t="shared" si="26"/>
        <v>16</v>
      </c>
    </row>
    <row r="93" spans="1:57">
      <c r="A93" s="67">
        <v>187</v>
      </c>
      <c r="B93" s="67" t="s">
        <v>44</v>
      </c>
      <c r="C93" s="8" t="s">
        <v>349</v>
      </c>
      <c r="D93" s="67" t="s">
        <v>6</v>
      </c>
      <c r="E93" s="269" t="s">
        <v>553</v>
      </c>
      <c r="F93" s="5"/>
      <c r="G93" s="5" t="s">
        <v>553</v>
      </c>
      <c r="H93" s="5" t="s">
        <v>544</v>
      </c>
      <c r="I93" s="20"/>
      <c r="J93" s="20"/>
      <c r="K93" s="20"/>
      <c r="L93" s="270"/>
      <c r="M93" s="269"/>
      <c r="N93" s="20"/>
      <c r="O93" s="20"/>
      <c r="P93" s="20" t="s">
        <v>435</v>
      </c>
      <c r="Q93" s="20"/>
      <c r="R93" s="5" t="s">
        <v>554</v>
      </c>
      <c r="S93" s="20" t="s">
        <v>555</v>
      </c>
      <c r="T93" s="270" t="s">
        <v>544</v>
      </c>
      <c r="U93" s="269" t="s">
        <v>432</v>
      </c>
      <c r="V93" s="20"/>
      <c r="W93" s="20"/>
      <c r="X93" s="20"/>
      <c r="Y93" s="20"/>
      <c r="Z93" s="20"/>
      <c r="AA93" s="5" t="s">
        <v>434</v>
      </c>
      <c r="AB93" s="270"/>
      <c r="AC93" s="269" t="s">
        <v>545</v>
      </c>
      <c r="AD93" s="5" t="s">
        <v>556</v>
      </c>
      <c r="AE93" s="5" t="s">
        <v>557</v>
      </c>
      <c r="AF93" s="5" t="s">
        <v>558</v>
      </c>
      <c r="AG93" s="5" t="s">
        <v>559</v>
      </c>
      <c r="AH93" s="20"/>
      <c r="AI93" s="20"/>
      <c r="AJ93" s="270"/>
      <c r="AK93" s="67">
        <v>187</v>
      </c>
      <c r="AM93" s="67">
        <v>1</v>
      </c>
      <c r="AO93" s="67">
        <f t="shared" si="16"/>
        <v>0</v>
      </c>
      <c r="AP93" s="67">
        <f t="shared" si="17"/>
        <v>7</v>
      </c>
      <c r="AQ93" s="67">
        <f t="shared" si="18"/>
        <v>10</v>
      </c>
      <c r="AR93" s="67">
        <f t="shared" si="19"/>
        <v>2</v>
      </c>
      <c r="AS93" s="67">
        <f t="shared" si="20"/>
        <v>8</v>
      </c>
      <c r="AT93" s="67">
        <f t="shared" si="21"/>
        <v>10</v>
      </c>
      <c r="AU93" s="67">
        <f t="shared" si="22"/>
        <v>2</v>
      </c>
      <c r="AV93" s="67">
        <f t="shared" si="23"/>
        <v>39</v>
      </c>
      <c r="AX93" s="256">
        <v>20</v>
      </c>
      <c r="AY93" s="67">
        <f t="shared" si="14"/>
        <v>100</v>
      </c>
      <c r="AZ93" s="76">
        <f t="shared" si="15"/>
        <v>0.39</v>
      </c>
      <c r="BA93" s="67">
        <f t="shared" si="24"/>
        <v>14</v>
      </c>
      <c r="BB93" s="76">
        <f t="shared" si="27"/>
        <v>0.7</v>
      </c>
      <c r="BD93" s="67">
        <f t="shared" si="25"/>
        <v>7</v>
      </c>
      <c r="BE93" s="67">
        <f t="shared" si="26"/>
        <v>7</v>
      </c>
    </row>
    <row r="94" spans="1:57">
      <c r="A94" s="67">
        <v>192</v>
      </c>
      <c r="B94" s="67" t="s">
        <v>149</v>
      </c>
      <c r="C94" s="8" t="s">
        <v>346</v>
      </c>
      <c r="E94" s="269"/>
      <c r="F94" s="20"/>
      <c r="G94" s="20"/>
      <c r="H94" s="5" t="s">
        <v>560</v>
      </c>
      <c r="I94" s="20"/>
      <c r="J94" s="20"/>
      <c r="K94" s="20"/>
      <c r="L94" s="270"/>
      <c r="M94" s="269" t="s">
        <v>433</v>
      </c>
      <c r="N94" s="20" t="s">
        <v>433</v>
      </c>
      <c r="O94" s="20"/>
      <c r="P94" s="20"/>
      <c r="Q94" s="20"/>
      <c r="R94" s="20"/>
      <c r="S94" s="20"/>
      <c r="T94" s="270"/>
      <c r="U94" s="269"/>
      <c r="V94" s="20"/>
      <c r="W94" s="20"/>
      <c r="X94" s="20"/>
      <c r="Y94" s="20"/>
      <c r="Z94" s="20" t="s">
        <v>433</v>
      </c>
      <c r="AA94" s="20"/>
      <c r="AB94" s="270"/>
      <c r="AC94" s="269"/>
      <c r="AD94" s="5" t="s">
        <v>561</v>
      </c>
      <c r="AE94" s="20"/>
      <c r="AF94" s="20"/>
      <c r="AG94" s="20"/>
      <c r="AH94" s="20"/>
      <c r="AI94" s="20"/>
      <c r="AJ94" s="270"/>
      <c r="AK94" s="67">
        <v>192</v>
      </c>
      <c r="AM94" s="67">
        <v>1</v>
      </c>
      <c r="AO94" s="67">
        <f t="shared" si="16"/>
        <v>0</v>
      </c>
      <c r="AP94" s="67">
        <f t="shared" si="17"/>
        <v>0</v>
      </c>
      <c r="AQ94" s="67">
        <f t="shared" si="18"/>
        <v>0</v>
      </c>
      <c r="AR94" s="67">
        <f t="shared" si="19"/>
        <v>4</v>
      </c>
      <c r="AS94" s="67">
        <f t="shared" si="20"/>
        <v>1</v>
      </c>
      <c r="AT94" s="67">
        <f t="shared" si="21"/>
        <v>2</v>
      </c>
      <c r="AU94" s="67">
        <f t="shared" si="22"/>
        <v>0</v>
      </c>
      <c r="AV94" s="67">
        <f t="shared" si="23"/>
        <v>7</v>
      </c>
      <c r="AX94" s="256">
        <v>20</v>
      </c>
      <c r="AY94" s="67">
        <f t="shared" si="14"/>
        <v>100</v>
      </c>
      <c r="AZ94" s="76">
        <f t="shared" si="15"/>
        <v>7.0000000000000007E-2</v>
      </c>
      <c r="BA94" s="67">
        <f t="shared" si="24"/>
        <v>5</v>
      </c>
      <c r="BB94" s="76">
        <f t="shared" si="27"/>
        <v>0.25</v>
      </c>
      <c r="BD94" s="67">
        <f t="shared" si="25"/>
        <v>3</v>
      </c>
      <c r="BE94" s="67">
        <f t="shared" si="26"/>
        <v>2</v>
      </c>
    </row>
    <row r="95" spans="1:57">
      <c r="A95" s="67">
        <v>193</v>
      </c>
      <c r="B95" s="67" t="s">
        <v>123</v>
      </c>
      <c r="C95" s="8" t="s">
        <v>366</v>
      </c>
      <c r="D95" s="67" t="s">
        <v>6</v>
      </c>
      <c r="E95" s="269"/>
      <c r="F95" s="5"/>
      <c r="G95" s="5"/>
      <c r="H95" s="5"/>
      <c r="I95" s="5"/>
      <c r="J95" s="5"/>
      <c r="K95" s="5"/>
      <c r="L95" s="270"/>
      <c r="M95" s="269"/>
      <c r="N95" s="5"/>
      <c r="O95" s="5"/>
      <c r="P95" s="5"/>
      <c r="Q95" s="5"/>
      <c r="R95" s="20"/>
      <c r="S95" s="5"/>
      <c r="T95" s="270"/>
      <c r="U95" s="269"/>
      <c r="V95" s="5"/>
      <c r="W95" s="20"/>
      <c r="X95" s="5"/>
      <c r="Y95" s="5"/>
      <c r="Z95" s="20"/>
      <c r="AA95" s="20"/>
      <c r="AB95" s="270"/>
      <c r="AC95" s="269"/>
      <c r="AD95" s="5"/>
      <c r="AE95" s="5"/>
      <c r="AF95" s="5"/>
      <c r="AG95" s="5"/>
      <c r="AH95" s="5"/>
      <c r="AI95" s="20"/>
      <c r="AJ95" s="270" t="s">
        <v>562</v>
      </c>
      <c r="AK95" s="67">
        <v>193</v>
      </c>
      <c r="AM95" s="67">
        <v>1</v>
      </c>
      <c r="AO95" s="67">
        <f t="shared" si="16"/>
        <v>0</v>
      </c>
      <c r="AP95" s="67">
        <f t="shared" si="17"/>
        <v>0</v>
      </c>
      <c r="AQ95" s="67">
        <f t="shared" si="18"/>
        <v>1</v>
      </c>
      <c r="AR95" s="67">
        <f t="shared" si="19"/>
        <v>0</v>
      </c>
      <c r="AS95" s="67">
        <f t="shared" si="20"/>
        <v>0</v>
      </c>
      <c r="AT95" s="67">
        <f t="shared" si="21"/>
        <v>1</v>
      </c>
      <c r="AU95" s="67">
        <f t="shared" si="22"/>
        <v>0</v>
      </c>
      <c r="AV95" s="67">
        <f t="shared" si="23"/>
        <v>2</v>
      </c>
      <c r="AX95" s="256">
        <v>29</v>
      </c>
      <c r="AY95" s="67">
        <f t="shared" si="14"/>
        <v>145</v>
      </c>
      <c r="AZ95" s="76">
        <f t="shared" si="15"/>
        <v>1.3793103448275862E-2</v>
      </c>
      <c r="BA95" s="67">
        <f t="shared" si="24"/>
        <v>1</v>
      </c>
      <c r="BB95" s="76">
        <f t="shared" si="27"/>
        <v>3.4482758620689655E-2</v>
      </c>
      <c r="BD95" s="67">
        <f t="shared" si="25"/>
        <v>0</v>
      </c>
      <c r="BE95" s="67">
        <f t="shared" si="26"/>
        <v>1</v>
      </c>
    </row>
    <row r="96" spans="1:57">
      <c r="A96" s="67">
        <v>194</v>
      </c>
      <c r="B96" s="67" t="s">
        <v>62</v>
      </c>
      <c r="C96" s="8" t="s">
        <v>42</v>
      </c>
      <c r="D96" s="67" t="s">
        <v>42</v>
      </c>
      <c r="E96" s="269"/>
      <c r="F96" s="5" t="s">
        <v>548</v>
      </c>
      <c r="G96" s="5" t="s">
        <v>563</v>
      </c>
      <c r="H96" s="5"/>
      <c r="I96" s="5" t="s">
        <v>434</v>
      </c>
      <c r="J96" s="5" t="s">
        <v>434</v>
      </c>
      <c r="K96" s="5" t="s">
        <v>434</v>
      </c>
      <c r="L96" s="270" t="s">
        <v>434</v>
      </c>
      <c r="M96" s="269" t="s">
        <v>564</v>
      </c>
      <c r="N96" s="5" t="s">
        <v>564</v>
      </c>
      <c r="O96" s="5" t="s">
        <v>565</v>
      </c>
      <c r="P96" s="5" t="s">
        <v>544</v>
      </c>
      <c r="Q96" s="5" t="s">
        <v>549</v>
      </c>
      <c r="R96" s="20"/>
      <c r="S96" s="5" t="s">
        <v>548</v>
      </c>
      <c r="T96" s="270"/>
      <c r="U96" s="269" t="s">
        <v>562</v>
      </c>
      <c r="V96" s="5"/>
      <c r="W96" s="20"/>
      <c r="X96" s="5" t="s">
        <v>550</v>
      </c>
      <c r="Y96" s="5" t="s">
        <v>560</v>
      </c>
      <c r="Z96" s="20"/>
      <c r="AA96" s="20"/>
      <c r="AB96" s="270" t="s">
        <v>547</v>
      </c>
      <c r="AC96" s="269" t="s">
        <v>566</v>
      </c>
      <c r="AD96" s="5" t="s">
        <v>547</v>
      </c>
      <c r="AE96" s="5" t="s">
        <v>547</v>
      </c>
      <c r="AF96" s="5" t="s">
        <v>567</v>
      </c>
      <c r="AG96" s="5" t="s">
        <v>548</v>
      </c>
      <c r="AH96" s="5" t="s">
        <v>555</v>
      </c>
      <c r="AI96" s="5" t="s">
        <v>435</v>
      </c>
      <c r="AJ96" s="270"/>
      <c r="AK96" s="67">
        <v>194</v>
      </c>
      <c r="AM96" s="67">
        <v>1</v>
      </c>
      <c r="AO96" s="67">
        <f t="shared" si="16"/>
        <v>0</v>
      </c>
      <c r="AP96" s="67">
        <f t="shared" si="17"/>
        <v>9</v>
      </c>
      <c r="AQ96" s="67">
        <f t="shared" si="18"/>
        <v>10</v>
      </c>
      <c r="AR96" s="67">
        <f t="shared" si="19"/>
        <v>7</v>
      </c>
      <c r="AS96" s="67">
        <f t="shared" si="20"/>
        <v>16</v>
      </c>
      <c r="AT96" s="67">
        <f t="shared" si="21"/>
        <v>11</v>
      </c>
      <c r="AU96" s="67">
        <f t="shared" si="22"/>
        <v>0</v>
      </c>
      <c r="AV96" s="67">
        <f t="shared" si="23"/>
        <v>53</v>
      </c>
      <c r="AX96" s="256">
        <v>30</v>
      </c>
      <c r="AY96" s="67">
        <f t="shared" si="14"/>
        <v>150</v>
      </c>
      <c r="AZ96" s="76">
        <f t="shared" si="15"/>
        <v>0.35333333333333333</v>
      </c>
      <c r="BA96" s="67">
        <f t="shared" si="24"/>
        <v>23</v>
      </c>
      <c r="BB96" s="76">
        <f t="shared" si="27"/>
        <v>0.76666666666666672</v>
      </c>
      <c r="BD96" s="67">
        <f t="shared" si="25"/>
        <v>12</v>
      </c>
      <c r="BE96" s="67">
        <f t="shared" si="26"/>
        <v>11</v>
      </c>
    </row>
    <row r="97" spans="1:57">
      <c r="A97" s="67">
        <v>205</v>
      </c>
      <c r="B97" s="67" t="s">
        <v>74</v>
      </c>
      <c r="C97" s="8" t="s">
        <v>346</v>
      </c>
      <c r="E97" s="269"/>
      <c r="F97" s="20"/>
      <c r="G97" s="20"/>
      <c r="H97" s="20"/>
      <c r="I97" s="20" t="s">
        <v>431</v>
      </c>
      <c r="J97" s="20"/>
      <c r="K97" s="20"/>
      <c r="L97" s="270"/>
      <c r="M97" s="269"/>
      <c r="N97" s="20"/>
      <c r="O97" s="20"/>
      <c r="P97" s="20"/>
      <c r="Q97" s="20"/>
      <c r="R97" s="20"/>
      <c r="S97" s="20"/>
      <c r="T97" s="270"/>
      <c r="U97" s="269"/>
      <c r="V97" s="20"/>
      <c r="W97" s="20"/>
      <c r="X97" s="20" t="s">
        <v>567</v>
      </c>
      <c r="Y97" s="20" t="s">
        <v>432</v>
      </c>
      <c r="Z97" s="20" t="s">
        <v>432</v>
      </c>
      <c r="AA97" s="5" t="s">
        <v>568</v>
      </c>
      <c r="AB97" s="270" t="s">
        <v>560</v>
      </c>
      <c r="AC97" s="269"/>
      <c r="AD97" s="20"/>
      <c r="AE97" s="5" t="s">
        <v>562</v>
      </c>
      <c r="AF97" s="5" t="s">
        <v>432</v>
      </c>
      <c r="AG97" s="5" t="s">
        <v>432</v>
      </c>
      <c r="AH97" s="20"/>
      <c r="AI97" s="20"/>
      <c r="AJ97" s="270"/>
      <c r="AK97" s="67">
        <v>205</v>
      </c>
      <c r="AM97" s="67">
        <v>1</v>
      </c>
      <c r="AO97" s="67">
        <f t="shared" si="16"/>
        <v>0</v>
      </c>
      <c r="AP97" s="67">
        <f t="shared" si="17"/>
        <v>2</v>
      </c>
      <c r="AQ97" s="67">
        <f t="shared" si="18"/>
        <v>7</v>
      </c>
      <c r="AR97" s="67">
        <f t="shared" si="19"/>
        <v>0</v>
      </c>
      <c r="AS97" s="67">
        <f t="shared" si="20"/>
        <v>2</v>
      </c>
      <c r="AT97" s="67">
        <f t="shared" si="21"/>
        <v>2</v>
      </c>
      <c r="AU97" s="67">
        <f t="shared" si="22"/>
        <v>0</v>
      </c>
      <c r="AV97" s="67">
        <f t="shared" si="23"/>
        <v>13</v>
      </c>
      <c r="AX97" s="256">
        <v>12</v>
      </c>
      <c r="AY97" s="67">
        <f t="shared" si="14"/>
        <v>60</v>
      </c>
      <c r="AZ97" s="76">
        <f t="shared" si="15"/>
        <v>0.21666666666666667</v>
      </c>
      <c r="BA97" s="67">
        <f t="shared" si="24"/>
        <v>9</v>
      </c>
      <c r="BB97" s="76">
        <f t="shared" si="27"/>
        <v>0.75</v>
      </c>
      <c r="BD97" s="67">
        <f t="shared" si="25"/>
        <v>1</v>
      </c>
      <c r="BE97" s="67">
        <f t="shared" si="26"/>
        <v>8</v>
      </c>
    </row>
    <row r="98" spans="1:57">
      <c r="A98" s="67">
        <v>206</v>
      </c>
      <c r="B98" s="67" t="s">
        <v>139</v>
      </c>
      <c r="C98" s="8" t="s">
        <v>357</v>
      </c>
      <c r="E98" s="269"/>
      <c r="F98" s="20"/>
      <c r="G98" s="20"/>
      <c r="H98" s="20"/>
      <c r="I98" s="20"/>
      <c r="J98" s="20"/>
      <c r="K98" s="20"/>
      <c r="L98" s="270"/>
      <c r="M98" s="269"/>
      <c r="N98" s="20"/>
      <c r="O98" s="20"/>
      <c r="P98" s="20"/>
      <c r="Q98" s="20"/>
      <c r="R98" s="20"/>
      <c r="S98" s="20"/>
      <c r="T98" s="270"/>
      <c r="U98" s="269"/>
      <c r="V98" s="20"/>
      <c r="W98" s="20"/>
      <c r="X98" s="20"/>
      <c r="Y98" s="20" t="s">
        <v>435</v>
      </c>
      <c r="Z98" s="20"/>
      <c r="AA98" s="20"/>
      <c r="AB98" s="270"/>
      <c r="AC98" s="269"/>
      <c r="AD98" s="20"/>
      <c r="AE98" s="20"/>
      <c r="AF98" s="20"/>
      <c r="AG98" s="20"/>
      <c r="AH98" s="20"/>
      <c r="AI98" s="20"/>
      <c r="AJ98" s="270"/>
      <c r="AK98" s="67">
        <v>206</v>
      </c>
      <c r="AM98" s="67">
        <v>1</v>
      </c>
      <c r="AO98" s="67">
        <f t="shared" si="16"/>
        <v>0</v>
      </c>
      <c r="AP98" s="67">
        <f t="shared" si="17"/>
        <v>0</v>
      </c>
      <c r="AQ98" s="67">
        <f t="shared" si="18"/>
        <v>0</v>
      </c>
      <c r="AR98" s="67">
        <f t="shared" si="19"/>
        <v>0</v>
      </c>
      <c r="AS98" s="67">
        <f t="shared" si="20"/>
        <v>0</v>
      </c>
      <c r="AT98" s="67">
        <f t="shared" si="21"/>
        <v>1</v>
      </c>
      <c r="AU98" s="67">
        <f t="shared" si="22"/>
        <v>0</v>
      </c>
      <c r="AV98" s="67">
        <f t="shared" si="23"/>
        <v>1</v>
      </c>
      <c r="AX98" s="256">
        <v>4</v>
      </c>
      <c r="AY98" s="67">
        <f t="shared" si="14"/>
        <v>20</v>
      </c>
      <c r="AZ98" s="76">
        <f t="shared" si="15"/>
        <v>0.05</v>
      </c>
      <c r="BA98" s="67">
        <f t="shared" si="24"/>
        <v>1</v>
      </c>
      <c r="BB98" s="76">
        <f t="shared" si="27"/>
        <v>0.25</v>
      </c>
      <c r="BD98" s="67">
        <f t="shared" si="25"/>
        <v>0</v>
      </c>
      <c r="BE98" s="67">
        <f t="shared" si="26"/>
        <v>1</v>
      </c>
    </row>
    <row r="99" spans="1:57">
      <c r="A99" s="67">
        <v>210</v>
      </c>
      <c r="B99" s="67" t="s">
        <v>55</v>
      </c>
      <c r="C99" s="8" t="s">
        <v>346</v>
      </c>
      <c r="E99" s="269"/>
      <c r="F99" s="20"/>
      <c r="G99" s="20"/>
      <c r="H99" s="20"/>
      <c r="I99" s="20"/>
      <c r="J99" s="20"/>
      <c r="K99" s="20"/>
      <c r="L99" s="270"/>
      <c r="M99" s="269"/>
      <c r="N99" s="20"/>
      <c r="O99" s="20"/>
      <c r="P99" s="20"/>
      <c r="Q99" s="20"/>
      <c r="R99" s="20"/>
      <c r="S99" s="20"/>
      <c r="T99" s="270"/>
      <c r="U99" s="269"/>
      <c r="V99" s="20"/>
      <c r="W99" s="20"/>
      <c r="X99" s="20"/>
      <c r="Y99" s="20"/>
      <c r="Z99" s="20"/>
      <c r="AA99" s="20"/>
      <c r="AB99" s="270"/>
      <c r="AC99" s="269"/>
      <c r="AD99" s="20"/>
      <c r="AE99" s="20"/>
      <c r="AF99" s="20"/>
      <c r="AG99" s="20"/>
      <c r="AH99" s="20"/>
      <c r="AI99" s="20"/>
      <c r="AJ99" s="270"/>
      <c r="AK99" s="67">
        <v>210</v>
      </c>
      <c r="AL99" s="67">
        <v>1</v>
      </c>
      <c r="AO99" s="67">
        <f t="shared" si="16"/>
        <v>0</v>
      </c>
      <c r="AP99" s="67">
        <f t="shared" si="17"/>
        <v>0</v>
      </c>
      <c r="AQ99" s="67">
        <f t="shared" si="18"/>
        <v>0</v>
      </c>
      <c r="AR99" s="67">
        <f t="shared" si="19"/>
        <v>0</v>
      </c>
      <c r="AS99" s="67">
        <f t="shared" si="20"/>
        <v>0</v>
      </c>
      <c r="AT99" s="67">
        <f t="shared" si="21"/>
        <v>0</v>
      </c>
      <c r="AU99" s="67">
        <f t="shared" si="22"/>
        <v>0</v>
      </c>
      <c r="AV99" s="67">
        <f t="shared" si="23"/>
        <v>0</v>
      </c>
      <c r="AX99" s="256">
        <v>20</v>
      </c>
      <c r="AY99" s="67">
        <f t="shared" ref="AY99:AY162" si="28">5*AX99</f>
        <v>100</v>
      </c>
      <c r="AZ99" s="76">
        <f t="shared" ref="AZ99:AZ162" si="29">AV99/AY99</f>
        <v>0</v>
      </c>
      <c r="BA99" s="67">
        <f t="shared" si="24"/>
        <v>0</v>
      </c>
      <c r="BB99" s="76">
        <f t="shared" si="27"/>
        <v>0</v>
      </c>
      <c r="BD99" s="67">
        <f t="shared" si="25"/>
        <v>0</v>
      </c>
      <c r="BE99" s="67">
        <f t="shared" si="26"/>
        <v>0</v>
      </c>
    </row>
    <row r="100" spans="1:57" s="8" customFormat="1">
      <c r="A100" s="8">
        <v>213</v>
      </c>
      <c r="B100" s="8" t="s">
        <v>62</v>
      </c>
      <c r="C100" s="8" t="s">
        <v>42</v>
      </c>
      <c r="D100" s="8" t="s">
        <v>42</v>
      </c>
      <c r="E100" s="271"/>
      <c r="F100" s="5"/>
      <c r="G100" s="5" t="s">
        <v>431</v>
      </c>
      <c r="H100" s="5"/>
      <c r="I100" s="5"/>
      <c r="J100" s="5"/>
      <c r="K100" s="5"/>
      <c r="L100" s="272" t="s">
        <v>433</v>
      </c>
      <c r="M100" s="271" t="s">
        <v>433</v>
      </c>
      <c r="N100" s="5" t="s">
        <v>433</v>
      </c>
      <c r="O100" s="5"/>
      <c r="P100" s="5"/>
      <c r="Q100" s="5"/>
      <c r="R100" s="5"/>
      <c r="S100" s="5" t="s">
        <v>431</v>
      </c>
      <c r="T100" s="272" t="s">
        <v>555</v>
      </c>
      <c r="U100" s="271"/>
      <c r="V100" s="5"/>
      <c r="W100" s="5"/>
      <c r="X100" s="5"/>
      <c r="Y100" s="5" t="s">
        <v>432</v>
      </c>
      <c r="Z100" s="5" t="s">
        <v>432</v>
      </c>
      <c r="AA100" s="5" t="s">
        <v>569</v>
      </c>
      <c r="AB100" s="272" t="s">
        <v>545</v>
      </c>
      <c r="AC100" s="271" t="s">
        <v>560</v>
      </c>
      <c r="AD100" s="5" t="s">
        <v>570</v>
      </c>
      <c r="AE100" s="5" t="s">
        <v>570</v>
      </c>
      <c r="AF100" s="5" t="s">
        <v>554</v>
      </c>
      <c r="AG100" s="5" t="s">
        <v>560</v>
      </c>
      <c r="AH100" s="5"/>
      <c r="AI100" s="5" t="s">
        <v>568</v>
      </c>
      <c r="AJ100" s="272"/>
      <c r="AK100" s="8">
        <v>213</v>
      </c>
      <c r="AL100" s="67"/>
      <c r="AM100" s="67">
        <v>1</v>
      </c>
      <c r="AO100" s="8">
        <f t="shared" si="16"/>
        <v>0</v>
      </c>
      <c r="AP100" s="8">
        <f t="shared" si="17"/>
        <v>4</v>
      </c>
      <c r="AQ100" s="8">
        <f t="shared" si="18"/>
        <v>7</v>
      </c>
      <c r="AR100" s="8">
        <f t="shared" si="19"/>
        <v>6</v>
      </c>
      <c r="AS100" s="8">
        <f t="shared" si="20"/>
        <v>7</v>
      </c>
      <c r="AT100" s="8">
        <f t="shared" si="21"/>
        <v>8</v>
      </c>
      <c r="AU100" s="8">
        <f t="shared" si="22"/>
        <v>0</v>
      </c>
      <c r="AV100" s="8">
        <f t="shared" si="23"/>
        <v>32</v>
      </c>
      <c r="AX100" s="256">
        <v>30</v>
      </c>
      <c r="AY100" s="67">
        <f t="shared" si="28"/>
        <v>150</v>
      </c>
      <c r="AZ100" s="76">
        <f t="shared" si="29"/>
        <v>0.21333333333333335</v>
      </c>
      <c r="BA100" s="67">
        <f t="shared" si="24"/>
        <v>16</v>
      </c>
      <c r="BB100" s="76">
        <f t="shared" si="27"/>
        <v>0.53333333333333333</v>
      </c>
      <c r="BD100" s="67">
        <f t="shared" si="25"/>
        <v>6</v>
      </c>
      <c r="BE100" s="67">
        <f t="shared" si="26"/>
        <v>10</v>
      </c>
    </row>
    <row r="101" spans="1:57">
      <c r="A101" s="67">
        <v>214</v>
      </c>
      <c r="B101" s="67" t="s">
        <v>63</v>
      </c>
      <c r="C101" s="8" t="s">
        <v>346</v>
      </c>
      <c r="E101" s="269"/>
      <c r="F101" s="20"/>
      <c r="G101" s="20"/>
      <c r="H101" s="20"/>
      <c r="I101" s="20"/>
      <c r="J101" s="20"/>
      <c r="K101" s="20"/>
      <c r="L101" s="270"/>
      <c r="M101" s="269"/>
      <c r="N101" s="20"/>
      <c r="O101" s="20"/>
      <c r="P101" s="20"/>
      <c r="Q101" s="20"/>
      <c r="R101" s="20"/>
      <c r="S101" s="20"/>
      <c r="T101" s="270"/>
      <c r="U101" s="269"/>
      <c r="V101" s="20"/>
      <c r="W101" s="20"/>
      <c r="X101" s="20"/>
      <c r="Y101" s="20"/>
      <c r="Z101" s="20"/>
      <c r="AA101" s="20"/>
      <c r="AB101" s="270"/>
      <c r="AC101" s="269"/>
      <c r="AD101" s="20"/>
      <c r="AE101" s="20"/>
      <c r="AF101" s="20"/>
      <c r="AG101" s="20"/>
      <c r="AH101" s="20"/>
      <c r="AI101" s="20"/>
      <c r="AJ101" s="270"/>
      <c r="AK101" s="67">
        <v>214</v>
      </c>
      <c r="AL101" s="67">
        <v>1</v>
      </c>
      <c r="AO101" s="67">
        <f t="shared" si="16"/>
        <v>0</v>
      </c>
      <c r="AP101" s="67">
        <f t="shared" si="17"/>
        <v>0</v>
      </c>
      <c r="AQ101" s="67">
        <f t="shared" si="18"/>
        <v>0</v>
      </c>
      <c r="AR101" s="67">
        <f t="shared" si="19"/>
        <v>0</v>
      </c>
      <c r="AS101" s="67">
        <f t="shared" si="20"/>
        <v>0</v>
      </c>
      <c r="AT101" s="67">
        <f t="shared" si="21"/>
        <v>0</v>
      </c>
      <c r="AU101" s="67">
        <f t="shared" si="22"/>
        <v>0</v>
      </c>
      <c r="AV101" s="67">
        <f t="shared" si="23"/>
        <v>0</v>
      </c>
      <c r="AX101" s="256">
        <v>10</v>
      </c>
      <c r="AY101" s="67">
        <f t="shared" si="28"/>
        <v>50</v>
      </c>
      <c r="AZ101" s="76">
        <f t="shared" si="29"/>
        <v>0</v>
      </c>
      <c r="BA101" s="67">
        <f t="shared" si="24"/>
        <v>0</v>
      </c>
      <c r="BB101" s="76">
        <f t="shared" si="27"/>
        <v>0</v>
      </c>
      <c r="BD101" s="67">
        <f t="shared" si="25"/>
        <v>0</v>
      </c>
      <c r="BE101" s="67">
        <f t="shared" si="26"/>
        <v>0</v>
      </c>
    </row>
    <row r="102" spans="1:57">
      <c r="A102" s="67">
        <v>216</v>
      </c>
      <c r="B102" s="7" t="s">
        <v>71</v>
      </c>
      <c r="C102" s="8" t="s">
        <v>366</v>
      </c>
      <c r="D102" s="7" t="s">
        <v>42</v>
      </c>
      <c r="E102" s="269"/>
      <c r="F102" s="20"/>
      <c r="G102" s="5" t="s">
        <v>571</v>
      </c>
      <c r="H102" s="5" t="s">
        <v>555</v>
      </c>
      <c r="I102" s="20"/>
      <c r="J102" s="20"/>
      <c r="K102" s="20"/>
      <c r="L102" s="270"/>
      <c r="M102" s="269"/>
      <c r="N102" s="20"/>
      <c r="O102" s="20"/>
      <c r="P102" s="20"/>
      <c r="Q102" s="20"/>
      <c r="R102" s="20"/>
      <c r="S102" s="20"/>
      <c r="T102" s="270"/>
      <c r="U102" s="269" t="s">
        <v>434</v>
      </c>
      <c r="V102" s="20" t="s">
        <v>432</v>
      </c>
      <c r="W102" s="20" t="s">
        <v>554</v>
      </c>
      <c r="X102" s="5" t="s">
        <v>559</v>
      </c>
      <c r="Y102" s="5" t="s">
        <v>572</v>
      </c>
      <c r="Z102" s="5" t="s">
        <v>564</v>
      </c>
      <c r="AA102" s="5" t="s">
        <v>545</v>
      </c>
      <c r="AB102" s="270" t="s">
        <v>547</v>
      </c>
      <c r="AC102" s="269" t="s">
        <v>547</v>
      </c>
      <c r="AD102" s="5" t="s">
        <v>564</v>
      </c>
      <c r="AE102" s="5" t="s">
        <v>545</v>
      </c>
      <c r="AF102" s="5" t="s">
        <v>573</v>
      </c>
      <c r="AG102" s="20"/>
      <c r="AH102" s="20"/>
      <c r="AI102" s="5" t="s">
        <v>574</v>
      </c>
      <c r="AJ102" s="270" t="s">
        <v>432</v>
      </c>
      <c r="AK102" s="67">
        <v>216</v>
      </c>
      <c r="AM102" s="67">
        <v>1</v>
      </c>
      <c r="AO102" s="67">
        <f t="shared" si="16"/>
        <v>0</v>
      </c>
      <c r="AP102" s="67">
        <f t="shared" si="17"/>
        <v>7</v>
      </c>
      <c r="AQ102" s="67">
        <f t="shared" si="18"/>
        <v>7</v>
      </c>
      <c r="AR102" s="67">
        <f t="shared" si="19"/>
        <v>6</v>
      </c>
      <c r="AS102" s="67">
        <f t="shared" si="20"/>
        <v>11</v>
      </c>
      <c r="AT102" s="67">
        <f t="shared" si="21"/>
        <v>9</v>
      </c>
      <c r="AU102" s="67">
        <f t="shared" si="22"/>
        <v>0</v>
      </c>
      <c r="AV102" s="67">
        <f t="shared" si="23"/>
        <v>40</v>
      </c>
      <c r="AX102" s="256">
        <v>24</v>
      </c>
      <c r="AY102" s="67">
        <f t="shared" si="28"/>
        <v>120</v>
      </c>
      <c r="AZ102" s="76">
        <f t="shared" si="29"/>
        <v>0.33333333333333331</v>
      </c>
      <c r="BA102" s="67">
        <f t="shared" si="24"/>
        <v>16</v>
      </c>
      <c r="BB102" s="76">
        <f t="shared" si="27"/>
        <v>0.66666666666666663</v>
      </c>
      <c r="BD102" s="67">
        <f t="shared" si="25"/>
        <v>2</v>
      </c>
      <c r="BE102" s="67">
        <f t="shared" si="26"/>
        <v>14</v>
      </c>
    </row>
    <row r="103" spans="1:57">
      <c r="A103" s="67">
        <v>219</v>
      </c>
      <c r="B103" s="7" t="s">
        <v>106</v>
      </c>
      <c r="C103" s="8" t="s">
        <v>349</v>
      </c>
      <c r="D103" s="7" t="s">
        <v>6</v>
      </c>
      <c r="E103" s="269"/>
      <c r="F103" s="20"/>
      <c r="G103" s="20"/>
      <c r="H103" s="20"/>
      <c r="I103" s="20"/>
      <c r="J103" s="20"/>
      <c r="K103" s="20"/>
      <c r="L103" s="270"/>
      <c r="M103" s="269"/>
      <c r="N103" s="20"/>
      <c r="O103" s="20"/>
      <c r="P103" s="20"/>
      <c r="Q103" s="20"/>
      <c r="R103" s="20"/>
      <c r="S103" s="20"/>
      <c r="T103" s="270"/>
      <c r="U103" s="269"/>
      <c r="V103" s="20"/>
      <c r="W103" s="20"/>
      <c r="X103" s="20"/>
      <c r="Y103" s="20"/>
      <c r="Z103" s="20"/>
      <c r="AA103" s="20"/>
      <c r="AB103" s="270"/>
      <c r="AC103" s="269"/>
      <c r="AD103" s="20"/>
      <c r="AE103" s="20"/>
      <c r="AF103" s="20"/>
      <c r="AG103" s="20"/>
      <c r="AH103" s="20"/>
      <c r="AI103" s="20"/>
      <c r="AJ103" s="270"/>
      <c r="AK103" s="67">
        <v>219</v>
      </c>
      <c r="AL103" s="67">
        <v>1</v>
      </c>
      <c r="AO103" s="67">
        <f t="shared" si="16"/>
        <v>0</v>
      </c>
      <c r="AP103" s="67">
        <f t="shared" si="17"/>
        <v>0</v>
      </c>
      <c r="AQ103" s="67">
        <f t="shared" si="18"/>
        <v>0</v>
      </c>
      <c r="AR103" s="67">
        <f t="shared" si="19"/>
        <v>0</v>
      </c>
      <c r="AS103" s="67">
        <f t="shared" si="20"/>
        <v>0</v>
      </c>
      <c r="AT103" s="67">
        <f t="shared" si="21"/>
        <v>0</v>
      </c>
      <c r="AU103" s="67">
        <f t="shared" si="22"/>
        <v>0</v>
      </c>
      <c r="AV103" s="67">
        <f t="shared" si="23"/>
        <v>0</v>
      </c>
      <c r="AX103" s="256">
        <v>2</v>
      </c>
      <c r="AY103" s="67">
        <f t="shared" si="28"/>
        <v>10</v>
      </c>
      <c r="AZ103" s="76">
        <f t="shared" si="29"/>
        <v>0</v>
      </c>
      <c r="BA103" s="67">
        <f t="shared" si="24"/>
        <v>0</v>
      </c>
      <c r="BB103" s="76">
        <f t="shared" si="27"/>
        <v>0</v>
      </c>
      <c r="BD103" s="67">
        <f t="shared" si="25"/>
        <v>0</v>
      </c>
      <c r="BE103" s="67">
        <f t="shared" si="26"/>
        <v>0</v>
      </c>
    </row>
    <row r="104" spans="1:57">
      <c r="A104" s="67">
        <v>220</v>
      </c>
      <c r="B104" s="7" t="s">
        <v>71</v>
      </c>
      <c r="C104" s="8" t="s">
        <v>366</v>
      </c>
      <c r="D104" s="7" t="s">
        <v>6</v>
      </c>
      <c r="E104" s="269"/>
      <c r="F104" s="5" t="s">
        <v>575</v>
      </c>
      <c r="G104" s="20"/>
      <c r="H104" s="5"/>
      <c r="I104" s="20" t="s">
        <v>555</v>
      </c>
      <c r="J104" s="20" t="s">
        <v>433</v>
      </c>
      <c r="K104" s="20"/>
      <c r="L104" s="270"/>
      <c r="M104" s="269"/>
      <c r="N104" s="20"/>
      <c r="O104" s="20" t="s">
        <v>434</v>
      </c>
      <c r="P104" s="20"/>
      <c r="Q104" s="20"/>
      <c r="R104" s="20"/>
      <c r="S104" s="20"/>
      <c r="T104" s="270"/>
      <c r="U104" s="269" t="s">
        <v>559</v>
      </c>
      <c r="V104" s="5" t="s">
        <v>434</v>
      </c>
      <c r="W104" s="20"/>
      <c r="X104" s="20"/>
      <c r="Y104" s="20"/>
      <c r="Z104" s="20" t="s">
        <v>435</v>
      </c>
      <c r="AA104" s="20" t="s">
        <v>435</v>
      </c>
      <c r="AB104" s="270" t="s">
        <v>433</v>
      </c>
      <c r="AC104" s="269" t="s">
        <v>545</v>
      </c>
      <c r="AD104" s="5" t="s">
        <v>565</v>
      </c>
      <c r="AE104" s="5" t="s">
        <v>545</v>
      </c>
      <c r="AF104" s="20"/>
      <c r="AG104" s="5" t="s">
        <v>431</v>
      </c>
      <c r="AH104" s="5" t="s">
        <v>568</v>
      </c>
      <c r="AI104" s="5" t="s">
        <v>431</v>
      </c>
      <c r="AJ104" s="270"/>
      <c r="AK104" s="67">
        <v>220</v>
      </c>
      <c r="AM104" s="67">
        <v>1</v>
      </c>
      <c r="AO104" s="67">
        <f t="shared" si="16"/>
        <v>0</v>
      </c>
      <c r="AP104" s="67">
        <f t="shared" si="17"/>
        <v>5</v>
      </c>
      <c r="AQ104" s="67">
        <f t="shared" si="18"/>
        <v>4</v>
      </c>
      <c r="AR104" s="67">
        <f t="shared" si="19"/>
        <v>5</v>
      </c>
      <c r="AS104" s="67">
        <f t="shared" si="20"/>
        <v>7</v>
      </c>
      <c r="AT104" s="67">
        <f t="shared" si="21"/>
        <v>7</v>
      </c>
      <c r="AU104" s="67">
        <f t="shared" si="22"/>
        <v>0</v>
      </c>
      <c r="AV104" s="67">
        <f t="shared" si="23"/>
        <v>28</v>
      </c>
      <c r="AX104" s="256">
        <v>22</v>
      </c>
      <c r="AY104" s="67">
        <f t="shared" si="28"/>
        <v>110</v>
      </c>
      <c r="AZ104" s="76">
        <f t="shared" si="29"/>
        <v>0.25454545454545452</v>
      </c>
      <c r="BA104" s="67">
        <f t="shared" si="24"/>
        <v>15</v>
      </c>
      <c r="BB104" s="76">
        <f t="shared" si="27"/>
        <v>0.68181818181818177</v>
      </c>
      <c r="BD104" s="67">
        <f t="shared" si="25"/>
        <v>4</v>
      </c>
      <c r="BE104" s="67">
        <f t="shared" si="26"/>
        <v>11</v>
      </c>
    </row>
    <row r="105" spans="1:57">
      <c r="A105" s="8">
        <v>222</v>
      </c>
      <c r="B105" s="8" t="s">
        <v>131</v>
      </c>
      <c r="C105" s="8" t="s">
        <v>358</v>
      </c>
      <c r="D105" s="8"/>
      <c r="E105" s="269"/>
      <c r="F105" s="20"/>
      <c r="G105" s="20" t="s">
        <v>435</v>
      </c>
      <c r="H105" s="20"/>
      <c r="I105" s="20"/>
      <c r="J105" s="20"/>
      <c r="K105" s="20"/>
      <c r="L105" s="270"/>
      <c r="M105" s="269"/>
      <c r="N105" s="20"/>
      <c r="O105" s="20"/>
      <c r="P105" s="20"/>
      <c r="Q105" s="20"/>
      <c r="R105" s="20"/>
      <c r="S105" s="20" t="s">
        <v>548</v>
      </c>
      <c r="T105" s="270"/>
      <c r="U105" s="269"/>
      <c r="V105" s="20"/>
      <c r="W105" s="20" t="s">
        <v>549</v>
      </c>
      <c r="X105" s="20" t="s">
        <v>576</v>
      </c>
      <c r="Y105" s="20" t="s">
        <v>550</v>
      </c>
      <c r="Z105" s="5" t="s">
        <v>547</v>
      </c>
      <c r="AA105" s="5" t="s">
        <v>547</v>
      </c>
      <c r="AB105" s="270" t="s">
        <v>547</v>
      </c>
      <c r="AC105" s="269" t="s">
        <v>547</v>
      </c>
      <c r="AD105" s="5" t="s">
        <v>547</v>
      </c>
      <c r="AE105" s="5" t="s">
        <v>556</v>
      </c>
      <c r="AF105" s="5" t="s">
        <v>434</v>
      </c>
      <c r="AG105" s="20"/>
      <c r="AH105" s="20"/>
      <c r="AI105" s="20"/>
      <c r="AJ105" s="270"/>
      <c r="AK105" s="8">
        <v>222</v>
      </c>
      <c r="AM105" s="67">
        <v>1</v>
      </c>
      <c r="AO105" s="67">
        <f t="shared" si="16"/>
        <v>0</v>
      </c>
      <c r="AP105" s="67">
        <f t="shared" si="17"/>
        <v>3</v>
      </c>
      <c r="AQ105" s="67">
        <f t="shared" si="18"/>
        <v>7</v>
      </c>
      <c r="AR105" s="67">
        <f t="shared" si="19"/>
        <v>6</v>
      </c>
      <c r="AS105" s="67">
        <f t="shared" si="20"/>
        <v>11</v>
      </c>
      <c r="AT105" s="67">
        <f t="shared" si="21"/>
        <v>9</v>
      </c>
      <c r="AU105" s="67">
        <f t="shared" si="22"/>
        <v>1</v>
      </c>
      <c r="AV105" s="67">
        <f t="shared" si="23"/>
        <v>37</v>
      </c>
      <c r="AX105" s="256">
        <v>17</v>
      </c>
      <c r="AY105" s="67">
        <f t="shared" si="28"/>
        <v>85</v>
      </c>
      <c r="AZ105" s="76">
        <f t="shared" si="29"/>
        <v>0.43529411764705883</v>
      </c>
      <c r="BA105" s="67">
        <f t="shared" si="24"/>
        <v>12</v>
      </c>
      <c r="BB105" s="76">
        <f t="shared" si="27"/>
        <v>0.70588235294117652</v>
      </c>
      <c r="BD105" s="67">
        <f t="shared" si="25"/>
        <v>2</v>
      </c>
      <c r="BE105" s="67">
        <f t="shared" si="26"/>
        <v>10</v>
      </c>
    </row>
    <row r="106" spans="1:57">
      <c r="A106" s="67">
        <v>224</v>
      </c>
      <c r="B106" s="8" t="s">
        <v>68</v>
      </c>
      <c r="C106" s="8" t="s">
        <v>357</v>
      </c>
      <c r="E106" s="269"/>
      <c r="F106" s="20"/>
      <c r="G106" s="20"/>
      <c r="H106" s="20"/>
      <c r="I106" s="20" t="s">
        <v>431</v>
      </c>
      <c r="J106" s="20" t="s">
        <v>433</v>
      </c>
      <c r="K106" s="20" t="s">
        <v>433</v>
      </c>
      <c r="L106" s="270" t="s">
        <v>433</v>
      </c>
      <c r="M106" s="269"/>
      <c r="N106" s="20"/>
      <c r="O106" s="5" t="s">
        <v>433</v>
      </c>
      <c r="P106" s="5" t="s">
        <v>431</v>
      </c>
      <c r="Q106" s="20"/>
      <c r="R106" s="20"/>
      <c r="S106" s="20"/>
      <c r="T106" s="270"/>
      <c r="U106" s="269"/>
      <c r="V106" s="20"/>
      <c r="W106" s="20" t="s">
        <v>555</v>
      </c>
      <c r="X106" s="20"/>
      <c r="Y106" s="20"/>
      <c r="Z106" s="5" t="s">
        <v>433</v>
      </c>
      <c r="AA106" s="20"/>
      <c r="AB106" s="270" t="s">
        <v>433</v>
      </c>
      <c r="AC106" s="269" t="s">
        <v>433</v>
      </c>
      <c r="AD106" s="20"/>
      <c r="AE106" s="5" t="s">
        <v>433</v>
      </c>
      <c r="AF106" s="5" t="s">
        <v>431</v>
      </c>
      <c r="AG106" s="5" t="s">
        <v>432</v>
      </c>
      <c r="AH106" s="5" t="s">
        <v>432</v>
      </c>
      <c r="AI106" s="20"/>
      <c r="AJ106" s="270"/>
      <c r="AK106" s="67">
        <v>224</v>
      </c>
      <c r="AM106" s="67">
        <v>1</v>
      </c>
      <c r="AO106" s="67">
        <f t="shared" si="16"/>
        <v>0</v>
      </c>
      <c r="AP106" s="67">
        <f t="shared" si="17"/>
        <v>4</v>
      </c>
      <c r="AQ106" s="67">
        <f t="shared" si="18"/>
        <v>2</v>
      </c>
      <c r="AR106" s="67">
        <f t="shared" si="19"/>
        <v>8</v>
      </c>
      <c r="AS106" s="67">
        <f t="shared" si="20"/>
        <v>0</v>
      </c>
      <c r="AT106" s="67">
        <f t="shared" si="21"/>
        <v>1</v>
      </c>
      <c r="AU106" s="67">
        <f t="shared" si="22"/>
        <v>0</v>
      </c>
      <c r="AV106" s="67">
        <f t="shared" si="23"/>
        <v>15</v>
      </c>
      <c r="AX106" s="256">
        <v>24</v>
      </c>
      <c r="AY106" s="67">
        <f t="shared" si="28"/>
        <v>120</v>
      </c>
      <c r="AZ106" s="76">
        <f t="shared" si="29"/>
        <v>0.125</v>
      </c>
      <c r="BA106" s="67">
        <f t="shared" si="24"/>
        <v>14</v>
      </c>
      <c r="BB106" s="76">
        <f t="shared" si="27"/>
        <v>0.58333333333333337</v>
      </c>
      <c r="BD106" s="67">
        <f t="shared" si="25"/>
        <v>6</v>
      </c>
      <c r="BE106" s="67">
        <f t="shared" si="26"/>
        <v>8</v>
      </c>
    </row>
    <row r="107" spans="1:57">
      <c r="A107" s="67">
        <v>227</v>
      </c>
      <c r="B107" s="8" t="s">
        <v>123</v>
      </c>
      <c r="C107" s="8" t="s">
        <v>366</v>
      </c>
      <c r="D107" s="8" t="s">
        <v>6</v>
      </c>
      <c r="E107" s="269"/>
      <c r="F107" s="5" t="s">
        <v>569</v>
      </c>
      <c r="G107" s="5" t="s">
        <v>575</v>
      </c>
      <c r="H107" s="5" t="s">
        <v>575</v>
      </c>
      <c r="I107" s="5" t="s">
        <v>544</v>
      </c>
      <c r="J107" s="20"/>
      <c r="K107" s="20"/>
      <c r="L107" s="270"/>
      <c r="M107" s="269"/>
      <c r="N107" s="20" t="s">
        <v>547</v>
      </c>
      <c r="O107" s="20" t="s">
        <v>547</v>
      </c>
      <c r="P107" s="20" t="s">
        <v>559</v>
      </c>
      <c r="Q107" s="5" t="s">
        <v>559</v>
      </c>
      <c r="R107" s="5" t="s">
        <v>544</v>
      </c>
      <c r="S107" s="5" t="s">
        <v>559</v>
      </c>
      <c r="T107" s="270"/>
      <c r="U107" s="269"/>
      <c r="V107" s="20"/>
      <c r="W107" s="20"/>
      <c r="X107" s="20" t="s">
        <v>559</v>
      </c>
      <c r="Y107" s="20" t="s">
        <v>559</v>
      </c>
      <c r="Z107" s="5" t="s">
        <v>577</v>
      </c>
      <c r="AA107" s="5" t="s">
        <v>577</v>
      </c>
      <c r="AB107" s="270" t="s">
        <v>577</v>
      </c>
      <c r="AC107" s="269" t="s">
        <v>577</v>
      </c>
      <c r="AD107" s="5" t="s">
        <v>577</v>
      </c>
      <c r="AE107" s="5" t="s">
        <v>577</v>
      </c>
      <c r="AF107" s="5" t="s">
        <v>559</v>
      </c>
      <c r="AG107" s="20"/>
      <c r="AH107" s="20"/>
      <c r="AI107" s="20"/>
      <c r="AJ107" s="270"/>
      <c r="AK107" s="67">
        <v>227</v>
      </c>
      <c r="AM107" s="67">
        <v>1</v>
      </c>
      <c r="AO107" s="67">
        <f t="shared" si="16"/>
        <v>0</v>
      </c>
      <c r="AP107" s="67">
        <f t="shared" si="17"/>
        <v>10</v>
      </c>
      <c r="AQ107" s="67">
        <f t="shared" si="18"/>
        <v>19</v>
      </c>
      <c r="AR107" s="67">
        <f t="shared" si="19"/>
        <v>8</v>
      </c>
      <c r="AS107" s="67">
        <f t="shared" si="20"/>
        <v>17</v>
      </c>
      <c r="AT107" s="67">
        <f t="shared" si="21"/>
        <v>19</v>
      </c>
      <c r="AU107" s="67">
        <f t="shared" si="22"/>
        <v>0</v>
      </c>
      <c r="AV107" s="67">
        <f t="shared" si="23"/>
        <v>73</v>
      </c>
      <c r="AX107" s="256">
        <v>20</v>
      </c>
      <c r="AY107" s="67">
        <f t="shared" si="28"/>
        <v>100</v>
      </c>
      <c r="AZ107" s="76">
        <f t="shared" si="29"/>
        <v>0.73</v>
      </c>
      <c r="BA107" s="67">
        <f t="shared" si="24"/>
        <v>19</v>
      </c>
      <c r="BB107" s="76">
        <f t="shared" si="27"/>
        <v>0.95</v>
      </c>
      <c r="BD107" s="67">
        <f t="shared" si="25"/>
        <v>10</v>
      </c>
      <c r="BE107" s="67">
        <f t="shared" si="26"/>
        <v>9</v>
      </c>
    </row>
    <row r="108" spans="1:57">
      <c r="A108" s="67">
        <v>228</v>
      </c>
      <c r="B108" s="8" t="s">
        <v>74</v>
      </c>
      <c r="C108" s="8" t="s">
        <v>346</v>
      </c>
      <c r="E108" s="269"/>
      <c r="F108" s="20"/>
      <c r="G108" s="20"/>
      <c r="H108" s="20"/>
      <c r="I108" s="20"/>
      <c r="J108" s="20"/>
      <c r="K108" s="20"/>
      <c r="L108" s="270"/>
      <c r="M108" s="269"/>
      <c r="N108" s="20"/>
      <c r="O108" s="20"/>
      <c r="P108" s="20"/>
      <c r="Q108" s="20"/>
      <c r="R108" s="20"/>
      <c r="S108" s="20"/>
      <c r="T108" s="270"/>
      <c r="U108" s="269"/>
      <c r="V108" s="20"/>
      <c r="W108" s="20"/>
      <c r="X108" s="20"/>
      <c r="Y108" s="20"/>
      <c r="Z108" s="20"/>
      <c r="AA108" s="20"/>
      <c r="AB108" s="270"/>
      <c r="AC108" s="269"/>
      <c r="AD108" s="20"/>
      <c r="AE108" s="20"/>
      <c r="AF108" s="20"/>
      <c r="AG108" s="20"/>
      <c r="AH108" s="20"/>
      <c r="AI108" s="20"/>
      <c r="AJ108" s="270"/>
      <c r="AK108" s="67">
        <v>228</v>
      </c>
      <c r="AL108" s="67">
        <v>1</v>
      </c>
      <c r="AO108" s="67">
        <f t="shared" si="16"/>
        <v>0</v>
      </c>
      <c r="AP108" s="67">
        <f t="shared" si="17"/>
        <v>0</v>
      </c>
      <c r="AQ108" s="67">
        <f t="shared" si="18"/>
        <v>0</v>
      </c>
      <c r="AR108" s="67">
        <f t="shared" si="19"/>
        <v>0</v>
      </c>
      <c r="AS108" s="67">
        <f t="shared" si="20"/>
        <v>0</v>
      </c>
      <c r="AT108" s="67">
        <f t="shared" si="21"/>
        <v>0</v>
      </c>
      <c r="AU108" s="67">
        <f t="shared" si="22"/>
        <v>0</v>
      </c>
      <c r="AV108" s="67">
        <f t="shared" si="23"/>
        <v>0</v>
      </c>
      <c r="AX108" s="256">
        <v>20</v>
      </c>
      <c r="AY108" s="67">
        <f t="shared" si="28"/>
        <v>100</v>
      </c>
      <c r="AZ108" s="76">
        <f t="shared" si="29"/>
        <v>0</v>
      </c>
      <c r="BA108" s="67">
        <f t="shared" si="24"/>
        <v>0</v>
      </c>
      <c r="BB108" s="76">
        <f t="shared" si="27"/>
        <v>0</v>
      </c>
      <c r="BD108" s="67">
        <f t="shared" si="25"/>
        <v>0</v>
      </c>
      <c r="BE108" s="67">
        <f t="shared" si="26"/>
        <v>0</v>
      </c>
    </row>
    <row r="109" spans="1:57">
      <c r="A109" s="67">
        <v>229</v>
      </c>
      <c r="B109" s="8" t="s">
        <v>74</v>
      </c>
      <c r="C109" s="8" t="s">
        <v>346</v>
      </c>
      <c r="E109" s="269"/>
      <c r="F109" s="20"/>
      <c r="G109" s="20"/>
      <c r="H109" s="20"/>
      <c r="I109" s="20"/>
      <c r="J109" s="20"/>
      <c r="K109" s="20"/>
      <c r="L109" s="270"/>
      <c r="M109" s="269" t="s">
        <v>561</v>
      </c>
      <c r="N109" s="20"/>
      <c r="O109" s="20"/>
      <c r="P109" s="20"/>
      <c r="Q109" s="20"/>
      <c r="R109" s="20"/>
      <c r="S109" s="20"/>
      <c r="T109" s="270"/>
      <c r="U109" s="269"/>
      <c r="V109" s="20"/>
      <c r="W109" s="20"/>
      <c r="X109" s="20"/>
      <c r="Y109" s="20"/>
      <c r="Z109" s="20"/>
      <c r="AA109" s="20"/>
      <c r="AB109" s="270"/>
      <c r="AC109" s="269"/>
      <c r="AD109" s="20"/>
      <c r="AE109" s="20"/>
      <c r="AF109" s="20"/>
      <c r="AG109" s="20"/>
      <c r="AH109" s="20"/>
      <c r="AI109" s="20"/>
      <c r="AJ109" s="270"/>
      <c r="AK109" s="67">
        <v>229</v>
      </c>
      <c r="AM109" s="67">
        <v>1</v>
      </c>
      <c r="AO109" s="67">
        <f t="shared" si="16"/>
        <v>0</v>
      </c>
      <c r="AP109" s="67">
        <f t="shared" si="17"/>
        <v>0</v>
      </c>
      <c r="AQ109" s="67">
        <f t="shared" si="18"/>
        <v>0</v>
      </c>
      <c r="AR109" s="67">
        <f t="shared" si="19"/>
        <v>1</v>
      </c>
      <c r="AS109" s="67">
        <f t="shared" si="20"/>
        <v>0</v>
      </c>
      <c r="AT109" s="67">
        <f t="shared" si="21"/>
        <v>1</v>
      </c>
      <c r="AU109" s="67">
        <f t="shared" si="22"/>
        <v>0</v>
      </c>
      <c r="AV109" s="67">
        <f t="shared" si="23"/>
        <v>2</v>
      </c>
      <c r="AX109" s="256">
        <v>14</v>
      </c>
      <c r="AY109" s="67">
        <f t="shared" si="28"/>
        <v>70</v>
      </c>
      <c r="AZ109" s="76">
        <f t="shared" si="29"/>
        <v>2.8571428571428571E-2</v>
      </c>
      <c r="BA109" s="67">
        <f t="shared" si="24"/>
        <v>1</v>
      </c>
      <c r="BB109" s="76">
        <f t="shared" si="27"/>
        <v>7.1428571428571425E-2</v>
      </c>
      <c r="BD109" s="67">
        <f t="shared" si="25"/>
        <v>1</v>
      </c>
      <c r="BE109" s="67">
        <f t="shared" si="26"/>
        <v>0</v>
      </c>
    </row>
    <row r="110" spans="1:57">
      <c r="A110" s="67">
        <v>234</v>
      </c>
      <c r="B110" s="8" t="s">
        <v>44</v>
      </c>
      <c r="C110" s="8" t="s">
        <v>349</v>
      </c>
      <c r="D110" s="8" t="s">
        <v>42</v>
      </c>
      <c r="E110" s="269"/>
      <c r="F110" s="20"/>
      <c r="G110" s="20"/>
      <c r="H110" s="20"/>
      <c r="I110" s="20"/>
      <c r="J110" s="20"/>
      <c r="K110" s="20"/>
      <c r="L110" s="270"/>
      <c r="M110" s="269"/>
      <c r="N110" s="20"/>
      <c r="O110" s="20"/>
      <c r="P110" s="20"/>
      <c r="Q110" s="20"/>
      <c r="R110" s="20"/>
      <c r="S110" s="20"/>
      <c r="T110" s="270"/>
      <c r="U110" s="269"/>
      <c r="V110" s="20" t="s">
        <v>548</v>
      </c>
      <c r="W110" s="20"/>
      <c r="X110" s="20"/>
      <c r="Y110" s="20"/>
      <c r="Z110" s="5" t="s">
        <v>547</v>
      </c>
      <c r="AA110" s="20" t="s">
        <v>577</v>
      </c>
      <c r="AB110" s="270" t="s">
        <v>577</v>
      </c>
      <c r="AC110" s="269" t="s">
        <v>577</v>
      </c>
      <c r="AD110" s="5" t="s">
        <v>577</v>
      </c>
      <c r="AE110" s="5" t="s">
        <v>577</v>
      </c>
      <c r="AF110" s="5" t="s">
        <v>431</v>
      </c>
      <c r="AG110" s="20"/>
      <c r="AH110" s="20"/>
      <c r="AI110" s="20"/>
      <c r="AJ110" s="270"/>
      <c r="AK110" s="67">
        <v>234</v>
      </c>
      <c r="AM110" s="67">
        <v>1</v>
      </c>
      <c r="AO110" s="67">
        <f t="shared" si="16"/>
        <v>0</v>
      </c>
      <c r="AP110" s="67">
        <f t="shared" si="17"/>
        <v>2</v>
      </c>
      <c r="AQ110" s="67">
        <f t="shared" si="18"/>
        <v>6</v>
      </c>
      <c r="AR110" s="67">
        <f t="shared" si="19"/>
        <v>6</v>
      </c>
      <c r="AS110" s="67">
        <f t="shared" si="20"/>
        <v>7</v>
      </c>
      <c r="AT110" s="67">
        <f t="shared" si="21"/>
        <v>6</v>
      </c>
      <c r="AU110" s="67">
        <f t="shared" si="22"/>
        <v>0</v>
      </c>
      <c r="AV110" s="67">
        <f t="shared" si="23"/>
        <v>27</v>
      </c>
      <c r="AX110" s="256">
        <v>11</v>
      </c>
      <c r="AY110" s="67">
        <f t="shared" si="28"/>
        <v>55</v>
      </c>
      <c r="AZ110" s="76">
        <f t="shared" si="29"/>
        <v>0.49090909090909091</v>
      </c>
      <c r="BA110" s="67">
        <f t="shared" si="24"/>
        <v>8</v>
      </c>
      <c r="BB110" s="76">
        <f t="shared" si="27"/>
        <v>0.72727272727272729</v>
      </c>
      <c r="BD110" s="67">
        <f t="shared" si="25"/>
        <v>0</v>
      </c>
      <c r="BE110" s="67">
        <f t="shared" si="26"/>
        <v>8</v>
      </c>
    </row>
    <row r="111" spans="1:57">
      <c r="A111" s="67">
        <v>237</v>
      </c>
      <c r="B111" s="8" t="s">
        <v>63</v>
      </c>
      <c r="C111" s="8" t="s">
        <v>346</v>
      </c>
      <c r="E111" s="269"/>
      <c r="F111" s="20"/>
      <c r="G111" s="20"/>
      <c r="H111" s="20"/>
      <c r="I111" s="20"/>
      <c r="J111" s="20"/>
      <c r="K111" s="20"/>
      <c r="L111" s="270"/>
      <c r="M111" s="269"/>
      <c r="N111" s="20"/>
      <c r="O111" s="20"/>
      <c r="P111" s="20"/>
      <c r="Q111" s="20"/>
      <c r="R111" s="20"/>
      <c r="S111" s="20"/>
      <c r="T111" s="270"/>
      <c r="U111" s="269"/>
      <c r="V111" s="20"/>
      <c r="W111" s="20"/>
      <c r="X111" s="20"/>
      <c r="Y111" s="20"/>
      <c r="Z111" s="20"/>
      <c r="AA111" s="20"/>
      <c r="AB111" s="270"/>
      <c r="AC111" s="269"/>
      <c r="AD111" s="20"/>
      <c r="AE111" s="20"/>
      <c r="AF111" s="20"/>
      <c r="AG111" s="20"/>
      <c r="AH111" s="20"/>
      <c r="AI111" s="20"/>
      <c r="AJ111" s="270"/>
      <c r="AK111" s="67">
        <v>237</v>
      </c>
      <c r="AL111" s="67">
        <v>1</v>
      </c>
      <c r="AO111" s="67">
        <f t="shared" si="16"/>
        <v>0</v>
      </c>
      <c r="AP111" s="67">
        <f t="shared" si="17"/>
        <v>0</v>
      </c>
      <c r="AQ111" s="67">
        <f t="shared" si="18"/>
        <v>0</v>
      </c>
      <c r="AR111" s="67">
        <f t="shared" si="19"/>
        <v>0</v>
      </c>
      <c r="AS111" s="67">
        <f t="shared" si="20"/>
        <v>0</v>
      </c>
      <c r="AT111" s="67">
        <f t="shared" si="21"/>
        <v>0</v>
      </c>
      <c r="AU111" s="67">
        <f t="shared" si="22"/>
        <v>0</v>
      </c>
      <c r="AV111" s="67">
        <f t="shared" si="23"/>
        <v>0</v>
      </c>
      <c r="AX111" s="256">
        <v>5</v>
      </c>
      <c r="AY111" s="67">
        <f t="shared" si="28"/>
        <v>25</v>
      </c>
      <c r="AZ111" s="76">
        <f t="shared" si="29"/>
        <v>0</v>
      </c>
      <c r="BA111" s="67">
        <f t="shared" si="24"/>
        <v>0</v>
      </c>
      <c r="BB111" s="76">
        <f t="shared" si="27"/>
        <v>0</v>
      </c>
      <c r="BD111" s="67">
        <f t="shared" si="25"/>
        <v>0</v>
      </c>
      <c r="BE111" s="67">
        <f t="shared" si="26"/>
        <v>0</v>
      </c>
    </row>
    <row r="112" spans="1:57">
      <c r="A112" s="67">
        <v>241</v>
      </c>
      <c r="B112" s="8" t="s">
        <v>78</v>
      </c>
      <c r="C112" s="8" t="s">
        <v>359</v>
      </c>
      <c r="E112" s="269"/>
      <c r="F112" s="20"/>
      <c r="G112" s="20"/>
      <c r="H112" s="20"/>
      <c r="I112" s="20"/>
      <c r="J112" s="20"/>
      <c r="K112" s="20"/>
      <c r="L112" s="270"/>
      <c r="M112" s="269"/>
      <c r="N112" s="20"/>
      <c r="O112" s="20"/>
      <c r="P112" s="20"/>
      <c r="Q112" s="20"/>
      <c r="R112" s="20"/>
      <c r="S112" s="20"/>
      <c r="T112" s="270"/>
      <c r="U112" s="269"/>
      <c r="V112" s="20"/>
      <c r="W112" s="20"/>
      <c r="X112" s="20" t="s">
        <v>432</v>
      </c>
      <c r="Y112" s="20"/>
      <c r="Z112" s="20"/>
      <c r="AA112" s="20"/>
      <c r="AB112" s="270"/>
      <c r="AC112" s="269"/>
      <c r="AD112" s="20"/>
      <c r="AE112" s="20"/>
      <c r="AF112" s="20"/>
      <c r="AG112" s="20"/>
      <c r="AH112" s="20"/>
      <c r="AI112" s="20"/>
      <c r="AJ112" s="270"/>
      <c r="AK112" s="67">
        <v>241</v>
      </c>
      <c r="AM112" s="67">
        <v>1</v>
      </c>
      <c r="AO112" s="67">
        <f t="shared" si="16"/>
        <v>0</v>
      </c>
      <c r="AP112" s="67">
        <f t="shared" si="17"/>
        <v>0</v>
      </c>
      <c r="AQ112" s="67">
        <f t="shared" si="18"/>
        <v>1</v>
      </c>
      <c r="AR112" s="67">
        <f t="shared" si="19"/>
        <v>0</v>
      </c>
      <c r="AS112" s="67">
        <f t="shared" si="20"/>
        <v>0</v>
      </c>
      <c r="AT112" s="67">
        <f t="shared" si="21"/>
        <v>0</v>
      </c>
      <c r="AU112" s="67">
        <f t="shared" si="22"/>
        <v>0</v>
      </c>
      <c r="AV112" s="67">
        <f t="shared" si="23"/>
        <v>1</v>
      </c>
      <c r="AX112" s="256">
        <v>19</v>
      </c>
      <c r="AY112" s="67">
        <f t="shared" si="28"/>
        <v>95</v>
      </c>
      <c r="AZ112" s="76">
        <f t="shared" si="29"/>
        <v>1.0526315789473684E-2</v>
      </c>
      <c r="BA112" s="67">
        <f t="shared" si="24"/>
        <v>1</v>
      </c>
      <c r="BB112" s="76">
        <f t="shared" si="27"/>
        <v>5.2631578947368418E-2</v>
      </c>
      <c r="BD112" s="67">
        <f t="shared" si="25"/>
        <v>0</v>
      </c>
      <c r="BE112" s="67">
        <f t="shared" si="26"/>
        <v>1</v>
      </c>
    </row>
    <row r="113" spans="1:57">
      <c r="A113" s="67">
        <v>246</v>
      </c>
      <c r="B113" s="8" t="s">
        <v>59</v>
      </c>
      <c r="C113" s="8" t="s">
        <v>346</v>
      </c>
      <c r="E113" s="269"/>
      <c r="F113" s="20"/>
      <c r="G113" s="20"/>
      <c r="H113" s="20"/>
      <c r="I113" s="20"/>
      <c r="J113" s="20"/>
      <c r="K113" s="20"/>
      <c r="L113" s="270"/>
      <c r="M113" s="269"/>
      <c r="N113" s="20"/>
      <c r="O113" s="20"/>
      <c r="P113" s="20"/>
      <c r="Q113" s="20"/>
      <c r="R113" s="20"/>
      <c r="S113" s="20"/>
      <c r="T113" s="270"/>
      <c r="U113" s="269"/>
      <c r="V113" s="20"/>
      <c r="W113" s="20"/>
      <c r="X113" s="20"/>
      <c r="Y113" s="20"/>
      <c r="Z113" s="20"/>
      <c r="AA113" s="20"/>
      <c r="AB113" s="270"/>
      <c r="AC113" s="269"/>
      <c r="AD113" s="20"/>
      <c r="AE113" s="20"/>
      <c r="AF113" s="20"/>
      <c r="AG113" s="20"/>
      <c r="AH113" s="20"/>
      <c r="AI113" s="20"/>
      <c r="AJ113" s="270"/>
      <c r="AK113" s="67">
        <v>246</v>
      </c>
      <c r="AL113" s="67">
        <v>1</v>
      </c>
      <c r="AO113" s="67">
        <f t="shared" si="16"/>
        <v>0</v>
      </c>
      <c r="AP113" s="67">
        <f t="shared" si="17"/>
        <v>0</v>
      </c>
      <c r="AQ113" s="67">
        <f t="shared" si="18"/>
        <v>0</v>
      </c>
      <c r="AR113" s="67">
        <f t="shared" si="19"/>
        <v>0</v>
      </c>
      <c r="AS113" s="67">
        <f t="shared" si="20"/>
        <v>0</v>
      </c>
      <c r="AT113" s="67">
        <f t="shared" si="21"/>
        <v>0</v>
      </c>
      <c r="AU113" s="67">
        <f t="shared" si="22"/>
        <v>0</v>
      </c>
      <c r="AV113" s="67">
        <f t="shared" si="23"/>
        <v>0</v>
      </c>
      <c r="AX113" s="256">
        <v>20</v>
      </c>
      <c r="AY113" s="67">
        <f t="shared" si="28"/>
        <v>100</v>
      </c>
      <c r="AZ113" s="76">
        <f t="shared" si="29"/>
        <v>0</v>
      </c>
      <c r="BA113" s="67">
        <f t="shared" si="24"/>
        <v>0</v>
      </c>
      <c r="BB113" s="76">
        <f t="shared" si="27"/>
        <v>0</v>
      </c>
      <c r="BD113" s="67">
        <f t="shared" si="25"/>
        <v>0</v>
      </c>
      <c r="BE113" s="67">
        <f t="shared" si="26"/>
        <v>0</v>
      </c>
    </row>
    <row r="114" spans="1:57">
      <c r="A114" s="8">
        <v>251</v>
      </c>
      <c r="B114" s="55" t="s">
        <v>161</v>
      </c>
      <c r="C114" s="8" t="s">
        <v>357</v>
      </c>
      <c r="D114" s="8"/>
      <c r="E114" s="269"/>
      <c r="F114" s="20"/>
      <c r="G114" s="20"/>
      <c r="H114" s="20"/>
      <c r="I114" s="20"/>
      <c r="J114" s="20"/>
      <c r="K114" s="20"/>
      <c r="L114" s="270"/>
      <c r="M114" s="269"/>
      <c r="N114" s="20"/>
      <c r="O114" s="20"/>
      <c r="P114" s="20"/>
      <c r="Q114" s="20"/>
      <c r="R114" s="20"/>
      <c r="S114" s="20"/>
      <c r="T114" s="270"/>
      <c r="U114" s="269"/>
      <c r="V114" s="20"/>
      <c r="W114" s="20"/>
      <c r="X114" s="20" t="s">
        <v>578</v>
      </c>
      <c r="Y114" s="20" t="s">
        <v>574</v>
      </c>
      <c r="Z114" s="20" t="s">
        <v>579</v>
      </c>
      <c r="AA114" s="5" t="s">
        <v>579</v>
      </c>
      <c r="AB114" s="270" t="s">
        <v>579</v>
      </c>
      <c r="AC114" s="269" t="s">
        <v>433</v>
      </c>
      <c r="AD114" s="5" t="s">
        <v>433</v>
      </c>
      <c r="AE114" s="20"/>
      <c r="AF114" s="20"/>
      <c r="AG114" s="20"/>
      <c r="AH114" s="20" t="s">
        <v>434</v>
      </c>
      <c r="AI114" s="20"/>
      <c r="AJ114" s="270"/>
      <c r="AK114" s="8">
        <v>251</v>
      </c>
      <c r="AM114" s="67">
        <v>1</v>
      </c>
      <c r="AO114" s="67">
        <f t="shared" si="16"/>
        <v>0</v>
      </c>
      <c r="AP114" s="67">
        <f t="shared" si="17"/>
        <v>2</v>
      </c>
      <c r="AQ114" s="67">
        <f t="shared" si="18"/>
        <v>5</v>
      </c>
      <c r="AR114" s="67">
        <f t="shared" si="19"/>
        <v>5</v>
      </c>
      <c r="AS114" s="67">
        <f t="shared" si="20"/>
        <v>2</v>
      </c>
      <c r="AT114" s="67">
        <f t="shared" si="21"/>
        <v>0</v>
      </c>
      <c r="AU114" s="67">
        <f t="shared" si="22"/>
        <v>0</v>
      </c>
      <c r="AV114" s="67">
        <f t="shared" si="23"/>
        <v>14</v>
      </c>
      <c r="AX114" s="256">
        <v>13</v>
      </c>
      <c r="AY114" s="67">
        <f t="shared" si="28"/>
        <v>65</v>
      </c>
      <c r="AZ114" s="76">
        <f t="shared" si="29"/>
        <v>0.2153846153846154</v>
      </c>
      <c r="BA114" s="67">
        <f t="shared" si="24"/>
        <v>8</v>
      </c>
      <c r="BB114" s="76">
        <f t="shared" si="27"/>
        <v>0.61538461538461542</v>
      </c>
      <c r="BD114" s="67">
        <f t="shared" si="25"/>
        <v>0</v>
      </c>
      <c r="BE114" s="67">
        <f t="shared" si="26"/>
        <v>8</v>
      </c>
    </row>
    <row r="115" spans="1:57">
      <c r="A115" s="8">
        <v>254</v>
      </c>
      <c r="B115" s="8" t="s">
        <v>162</v>
      </c>
      <c r="C115" s="8" t="s">
        <v>12</v>
      </c>
      <c r="D115" s="8" t="s">
        <v>42</v>
      </c>
      <c r="E115" s="271"/>
      <c r="F115" s="5"/>
      <c r="G115" s="5" t="s">
        <v>560</v>
      </c>
      <c r="H115" s="5" t="s">
        <v>560</v>
      </c>
      <c r="I115" s="5" t="s">
        <v>560</v>
      </c>
      <c r="J115" s="5" t="s">
        <v>545</v>
      </c>
      <c r="K115" s="5" t="s">
        <v>433</v>
      </c>
      <c r="L115" s="272" t="s">
        <v>433</v>
      </c>
      <c r="M115" s="271" t="s">
        <v>433</v>
      </c>
      <c r="N115" s="5" t="s">
        <v>580</v>
      </c>
      <c r="O115" s="5" t="s">
        <v>433</v>
      </c>
      <c r="P115" s="5" t="s">
        <v>549</v>
      </c>
      <c r="Q115" s="5" t="s">
        <v>431</v>
      </c>
      <c r="R115" s="5"/>
      <c r="S115" s="5"/>
      <c r="T115" s="272"/>
      <c r="U115" s="271"/>
      <c r="V115" s="5" t="s">
        <v>435</v>
      </c>
      <c r="W115" s="5"/>
      <c r="X115" s="5" t="s">
        <v>431</v>
      </c>
      <c r="Y115" s="5" t="s">
        <v>548</v>
      </c>
      <c r="Z115" s="5" t="s">
        <v>433</v>
      </c>
      <c r="AA115" s="5" t="s">
        <v>547</v>
      </c>
      <c r="AB115" s="272" t="s">
        <v>547</v>
      </c>
      <c r="AC115" s="271" t="s">
        <v>580</v>
      </c>
      <c r="AD115" s="5" t="s">
        <v>580</v>
      </c>
      <c r="AE115" s="5" t="s">
        <v>580</v>
      </c>
      <c r="AF115" s="5" t="s">
        <v>549</v>
      </c>
      <c r="AG115" s="5" t="s">
        <v>434</v>
      </c>
      <c r="AH115" s="5"/>
      <c r="AI115" s="5" t="s">
        <v>432</v>
      </c>
      <c r="AJ115" s="272" t="s">
        <v>434</v>
      </c>
      <c r="AK115" s="8">
        <v>254</v>
      </c>
      <c r="AM115" s="67">
        <v>1</v>
      </c>
      <c r="AN115" s="8"/>
      <c r="AO115" s="67">
        <f t="shared" si="16"/>
        <v>0</v>
      </c>
      <c r="AP115" s="67">
        <f t="shared" si="17"/>
        <v>5</v>
      </c>
      <c r="AQ115" s="67">
        <f t="shared" si="18"/>
        <v>7</v>
      </c>
      <c r="AR115" s="67">
        <f t="shared" si="19"/>
        <v>12</v>
      </c>
      <c r="AS115" s="67">
        <f t="shared" si="20"/>
        <v>15</v>
      </c>
      <c r="AT115" s="67">
        <f t="shared" si="21"/>
        <v>13</v>
      </c>
      <c r="AU115" s="67">
        <f t="shared" si="22"/>
        <v>0</v>
      </c>
      <c r="AV115" s="67">
        <f t="shared" si="23"/>
        <v>52</v>
      </c>
      <c r="AX115" s="256">
        <v>32</v>
      </c>
      <c r="AY115" s="67">
        <f t="shared" si="28"/>
        <v>160</v>
      </c>
      <c r="AZ115" s="76">
        <f t="shared" si="29"/>
        <v>0.32500000000000001</v>
      </c>
      <c r="BA115" s="67">
        <f t="shared" si="24"/>
        <v>24</v>
      </c>
      <c r="BB115" s="76">
        <f t="shared" si="27"/>
        <v>0.75</v>
      </c>
      <c r="BD115" s="67">
        <f t="shared" si="25"/>
        <v>11</v>
      </c>
      <c r="BE115" s="67">
        <f t="shared" si="26"/>
        <v>13</v>
      </c>
    </row>
    <row r="116" spans="1:57">
      <c r="A116" s="8">
        <v>255</v>
      </c>
      <c r="B116" s="8" t="s">
        <v>59</v>
      </c>
      <c r="C116" s="8" t="s">
        <v>346</v>
      </c>
      <c r="D116" s="8"/>
      <c r="E116" s="269"/>
      <c r="F116" s="20"/>
      <c r="G116" s="20"/>
      <c r="H116" s="20"/>
      <c r="I116" s="20"/>
      <c r="J116" s="20"/>
      <c r="K116" s="20"/>
      <c r="L116" s="270"/>
      <c r="M116" s="269"/>
      <c r="N116" s="20"/>
      <c r="O116" s="20"/>
      <c r="P116" s="20"/>
      <c r="Q116" s="20"/>
      <c r="R116" s="20"/>
      <c r="S116" s="20"/>
      <c r="T116" s="270"/>
      <c r="U116" s="269"/>
      <c r="V116" s="20"/>
      <c r="W116" s="20"/>
      <c r="X116" s="20"/>
      <c r="Y116" s="20"/>
      <c r="Z116" s="20"/>
      <c r="AA116" s="20"/>
      <c r="AB116" s="270"/>
      <c r="AC116" s="269"/>
      <c r="AD116" s="20"/>
      <c r="AE116" s="20"/>
      <c r="AF116" s="20"/>
      <c r="AG116" s="20"/>
      <c r="AH116" s="20"/>
      <c r="AI116" s="20"/>
      <c r="AJ116" s="270"/>
      <c r="AK116" s="8">
        <v>255</v>
      </c>
      <c r="AL116" s="8">
        <v>1</v>
      </c>
      <c r="AM116" s="8"/>
      <c r="AO116" s="67">
        <f t="shared" si="16"/>
        <v>0</v>
      </c>
      <c r="AP116" s="67">
        <f t="shared" si="17"/>
        <v>0</v>
      </c>
      <c r="AQ116" s="67">
        <f t="shared" si="18"/>
        <v>0</v>
      </c>
      <c r="AR116" s="67">
        <f t="shared" si="19"/>
        <v>0</v>
      </c>
      <c r="AS116" s="67">
        <f t="shared" si="20"/>
        <v>0</v>
      </c>
      <c r="AT116" s="67">
        <f t="shared" si="21"/>
        <v>0</v>
      </c>
      <c r="AU116" s="67">
        <f t="shared" si="22"/>
        <v>0</v>
      </c>
      <c r="AV116" s="67">
        <f t="shared" si="23"/>
        <v>0</v>
      </c>
      <c r="AX116" s="256">
        <v>1</v>
      </c>
      <c r="AY116" s="67">
        <f t="shared" si="28"/>
        <v>5</v>
      </c>
      <c r="AZ116" s="76">
        <f t="shared" si="29"/>
        <v>0</v>
      </c>
      <c r="BA116" s="67">
        <f t="shared" si="24"/>
        <v>0</v>
      </c>
      <c r="BB116" s="76">
        <f t="shared" si="27"/>
        <v>0</v>
      </c>
      <c r="BD116" s="67">
        <f t="shared" si="25"/>
        <v>0</v>
      </c>
      <c r="BE116" s="67">
        <f t="shared" si="26"/>
        <v>0</v>
      </c>
    </row>
    <row r="117" spans="1:57">
      <c r="A117" s="67">
        <v>256</v>
      </c>
      <c r="B117" s="8" t="s">
        <v>44</v>
      </c>
      <c r="C117" s="8" t="s">
        <v>349</v>
      </c>
      <c r="D117" s="8" t="s">
        <v>42</v>
      </c>
      <c r="E117" s="269"/>
      <c r="F117" s="20"/>
      <c r="G117" s="20"/>
      <c r="H117" s="20"/>
      <c r="I117" s="20"/>
      <c r="J117" s="20"/>
      <c r="K117" s="20"/>
      <c r="L117" s="270"/>
      <c r="M117" s="269"/>
      <c r="N117" s="20"/>
      <c r="O117" s="20"/>
      <c r="P117" s="20"/>
      <c r="Q117" s="20"/>
      <c r="R117" s="20"/>
      <c r="S117" s="20"/>
      <c r="T117" s="270"/>
      <c r="U117" s="269"/>
      <c r="V117" s="20"/>
      <c r="W117" s="20"/>
      <c r="X117" s="5" t="s">
        <v>432</v>
      </c>
      <c r="Y117" s="20" t="s">
        <v>574</v>
      </c>
      <c r="Z117" s="20" t="s">
        <v>433</v>
      </c>
      <c r="AA117" s="20"/>
      <c r="AB117" s="270"/>
      <c r="AC117" s="269"/>
      <c r="AD117" s="20" t="s">
        <v>433</v>
      </c>
      <c r="AE117" s="20" t="s">
        <v>565</v>
      </c>
      <c r="AF117" s="20"/>
      <c r="AG117" s="20"/>
      <c r="AH117" s="20"/>
      <c r="AI117" s="20"/>
      <c r="AJ117" s="270"/>
      <c r="AK117" s="67">
        <v>256</v>
      </c>
      <c r="AM117" s="67">
        <v>1</v>
      </c>
      <c r="AO117" s="67">
        <f t="shared" si="16"/>
        <v>0</v>
      </c>
      <c r="AP117" s="67">
        <f t="shared" si="17"/>
        <v>1</v>
      </c>
      <c r="AQ117" s="67">
        <f t="shared" si="18"/>
        <v>3</v>
      </c>
      <c r="AR117" s="67">
        <f t="shared" si="19"/>
        <v>3</v>
      </c>
      <c r="AS117" s="67">
        <f t="shared" si="20"/>
        <v>0</v>
      </c>
      <c r="AT117" s="67">
        <f t="shared" si="21"/>
        <v>0</v>
      </c>
      <c r="AU117" s="67">
        <f t="shared" si="22"/>
        <v>0</v>
      </c>
      <c r="AV117" s="67">
        <f t="shared" si="23"/>
        <v>7</v>
      </c>
      <c r="AX117" s="256">
        <v>8</v>
      </c>
      <c r="AY117" s="67">
        <f t="shared" si="28"/>
        <v>40</v>
      </c>
      <c r="AZ117" s="76">
        <f t="shared" si="29"/>
        <v>0.17499999999999999</v>
      </c>
      <c r="BA117" s="67">
        <f t="shared" si="24"/>
        <v>5</v>
      </c>
      <c r="BB117" s="76">
        <f t="shared" si="27"/>
        <v>0.625</v>
      </c>
      <c r="BD117" s="67">
        <f t="shared" si="25"/>
        <v>0</v>
      </c>
      <c r="BE117" s="67">
        <f t="shared" si="26"/>
        <v>5</v>
      </c>
    </row>
    <row r="118" spans="1:57">
      <c r="A118" s="67">
        <v>257</v>
      </c>
      <c r="B118" s="8" t="s">
        <v>55</v>
      </c>
      <c r="C118" s="8" t="s">
        <v>346</v>
      </c>
      <c r="E118" s="269"/>
      <c r="F118" s="20"/>
      <c r="G118" s="20"/>
      <c r="H118" s="20"/>
      <c r="I118" s="20"/>
      <c r="J118" s="20"/>
      <c r="K118" s="20"/>
      <c r="L118" s="270"/>
      <c r="M118" s="269"/>
      <c r="N118" s="20"/>
      <c r="O118" s="20"/>
      <c r="P118" s="20"/>
      <c r="Q118" s="20"/>
      <c r="R118" s="20"/>
      <c r="S118" s="20"/>
      <c r="T118" s="270"/>
      <c r="U118" s="269"/>
      <c r="V118" s="20"/>
      <c r="W118" s="20"/>
      <c r="X118" s="20"/>
      <c r="Y118" s="20"/>
      <c r="Z118" s="20"/>
      <c r="AA118" s="20"/>
      <c r="AB118" s="270"/>
      <c r="AC118" s="269"/>
      <c r="AD118" s="20"/>
      <c r="AE118" s="20"/>
      <c r="AF118" s="20"/>
      <c r="AG118" s="20"/>
      <c r="AH118" s="20"/>
      <c r="AI118" s="20"/>
      <c r="AJ118" s="270"/>
      <c r="AK118" s="67">
        <v>257</v>
      </c>
      <c r="AL118" s="67">
        <v>1</v>
      </c>
      <c r="AO118" s="67">
        <f t="shared" si="16"/>
        <v>0</v>
      </c>
      <c r="AP118" s="67">
        <f t="shared" si="17"/>
        <v>0</v>
      </c>
      <c r="AQ118" s="67">
        <f t="shared" si="18"/>
        <v>0</v>
      </c>
      <c r="AR118" s="67">
        <f t="shared" si="19"/>
        <v>0</v>
      </c>
      <c r="AS118" s="67">
        <f t="shared" si="20"/>
        <v>0</v>
      </c>
      <c r="AT118" s="67">
        <f t="shared" si="21"/>
        <v>0</v>
      </c>
      <c r="AU118" s="67">
        <f t="shared" si="22"/>
        <v>0</v>
      </c>
      <c r="AV118" s="67">
        <f t="shared" si="23"/>
        <v>0</v>
      </c>
      <c r="AX118" s="256">
        <v>16</v>
      </c>
      <c r="AY118" s="67">
        <f t="shared" si="28"/>
        <v>80</v>
      </c>
      <c r="AZ118" s="76">
        <f t="shared" si="29"/>
        <v>0</v>
      </c>
      <c r="BA118" s="67">
        <f t="shared" si="24"/>
        <v>0</v>
      </c>
      <c r="BB118" s="76">
        <f t="shared" si="27"/>
        <v>0</v>
      </c>
      <c r="BD118" s="67">
        <f t="shared" si="25"/>
        <v>0</v>
      </c>
      <c r="BE118" s="67">
        <f t="shared" si="26"/>
        <v>0</v>
      </c>
    </row>
    <row r="119" spans="1:57">
      <c r="A119" s="8">
        <v>258</v>
      </c>
      <c r="B119" s="8" t="s">
        <v>74</v>
      </c>
      <c r="C119" s="8" t="s">
        <v>346</v>
      </c>
      <c r="D119" s="8"/>
      <c r="E119" s="24"/>
      <c r="F119" s="5"/>
      <c r="G119" s="5"/>
      <c r="H119" s="5"/>
      <c r="I119" s="5"/>
      <c r="J119" s="5"/>
      <c r="K119" s="5"/>
      <c r="L119" s="25"/>
      <c r="M119" s="24"/>
      <c r="N119" s="5"/>
      <c r="O119" s="5"/>
      <c r="P119" s="5"/>
      <c r="Q119" s="5"/>
      <c r="R119" s="5"/>
      <c r="S119" s="5"/>
      <c r="T119" s="25"/>
      <c r="U119" s="24"/>
      <c r="V119" s="5"/>
      <c r="W119" s="5"/>
      <c r="X119" s="5"/>
      <c r="Y119" s="5"/>
      <c r="Z119" s="5"/>
      <c r="AA119" s="5"/>
      <c r="AB119" s="25"/>
      <c r="AC119" s="24"/>
      <c r="AD119" s="5"/>
      <c r="AE119" s="5"/>
      <c r="AF119" s="5"/>
      <c r="AG119" s="5"/>
      <c r="AH119" s="5"/>
      <c r="AI119" s="5"/>
      <c r="AJ119" s="25"/>
      <c r="AK119" s="67">
        <v>258</v>
      </c>
      <c r="AL119" s="67">
        <v>1</v>
      </c>
      <c r="AO119" s="67">
        <f t="shared" si="16"/>
        <v>0</v>
      </c>
      <c r="AP119" s="67">
        <f t="shared" si="17"/>
        <v>0</v>
      </c>
      <c r="AQ119" s="67">
        <f t="shared" si="18"/>
        <v>0</v>
      </c>
      <c r="AR119" s="67">
        <f t="shared" si="19"/>
        <v>0</v>
      </c>
      <c r="AS119" s="67">
        <f t="shared" si="20"/>
        <v>0</v>
      </c>
      <c r="AT119" s="67">
        <f t="shared" si="21"/>
        <v>0</v>
      </c>
      <c r="AU119" s="67">
        <f t="shared" si="22"/>
        <v>0</v>
      </c>
      <c r="AV119" s="67">
        <f t="shared" si="23"/>
        <v>0</v>
      </c>
      <c r="AX119" s="256">
        <v>5</v>
      </c>
      <c r="AY119" s="67">
        <f t="shared" si="28"/>
        <v>25</v>
      </c>
      <c r="AZ119" s="76">
        <f t="shared" si="29"/>
        <v>0</v>
      </c>
      <c r="BA119" s="67">
        <f t="shared" si="24"/>
        <v>0</v>
      </c>
      <c r="BB119" s="76">
        <f t="shared" si="27"/>
        <v>0</v>
      </c>
      <c r="BD119" s="67">
        <f t="shared" si="25"/>
        <v>0</v>
      </c>
      <c r="BE119" s="67">
        <f t="shared" si="26"/>
        <v>0</v>
      </c>
    </row>
    <row r="120" spans="1:57">
      <c r="A120" s="67">
        <v>263</v>
      </c>
      <c r="B120" s="8" t="s">
        <v>5</v>
      </c>
      <c r="C120" s="8" t="s">
        <v>42</v>
      </c>
      <c r="D120" s="8" t="s">
        <v>6</v>
      </c>
      <c r="E120" s="269"/>
      <c r="F120" s="20"/>
      <c r="G120" s="20"/>
      <c r="H120" s="20"/>
      <c r="I120" s="20"/>
      <c r="J120" s="20"/>
      <c r="K120" s="20"/>
      <c r="L120" s="270"/>
      <c r="M120" s="269"/>
      <c r="N120" s="20"/>
      <c r="O120" s="20"/>
      <c r="P120" s="20"/>
      <c r="Q120" s="20"/>
      <c r="R120" s="20"/>
      <c r="S120" s="20"/>
      <c r="T120" s="270"/>
      <c r="U120" s="269"/>
      <c r="V120" s="20"/>
      <c r="W120" s="20"/>
      <c r="X120" s="20"/>
      <c r="Y120" s="20"/>
      <c r="Z120" s="20"/>
      <c r="AA120" s="20"/>
      <c r="AB120" s="270"/>
      <c r="AC120" s="269"/>
      <c r="AD120" s="20"/>
      <c r="AE120" s="20"/>
      <c r="AF120" s="20"/>
      <c r="AG120" s="20"/>
      <c r="AH120" s="20"/>
      <c r="AI120" s="20"/>
      <c r="AJ120" s="270"/>
      <c r="AK120" s="67">
        <v>263</v>
      </c>
      <c r="AL120" s="67">
        <v>1</v>
      </c>
      <c r="AO120" s="67">
        <f t="shared" si="16"/>
        <v>0</v>
      </c>
      <c r="AP120" s="67">
        <f t="shared" si="17"/>
        <v>0</v>
      </c>
      <c r="AQ120" s="67">
        <f t="shared" si="18"/>
        <v>0</v>
      </c>
      <c r="AR120" s="67">
        <f t="shared" si="19"/>
        <v>0</v>
      </c>
      <c r="AS120" s="67">
        <f t="shared" si="20"/>
        <v>0</v>
      </c>
      <c r="AT120" s="67">
        <f t="shared" si="21"/>
        <v>0</v>
      </c>
      <c r="AU120" s="67">
        <f t="shared" si="22"/>
        <v>0</v>
      </c>
      <c r="AV120" s="67">
        <f t="shared" si="23"/>
        <v>0</v>
      </c>
      <c r="AX120" s="256">
        <v>32</v>
      </c>
      <c r="AY120" s="67">
        <f t="shared" si="28"/>
        <v>160</v>
      </c>
      <c r="AZ120" s="76">
        <f t="shared" si="29"/>
        <v>0</v>
      </c>
      <c r="BA120" s="67">
        <f t="shared" si="24"/>
        <v>0</v>
      </c>
      <c r="BB120" s="76">
        <f t="shared" si="27"/>
        <v>0</v>
      </c>
      <c r="BD120" s="67">
        <f t="shared" si="25"/>
        <v>0</v>
      </c>
      <c r="BE120" s="67">
        <f t="shared" si="26"/>
        <v>0</v>
      </c>
    </row>
    <row r="121" spans="1:57">
      <c r="A121" s="67">
        <v>266</v>
      </c>
      <c r="B121" s="8" t="s">
        <v>197</v>
      </c>
      <c r="C121" s="8" t="s">
        <v>357</v>
      </c>
      <c r="E121" s="269"/>
      <c r="F121" s="20"/>
      <c r="G121" s="20"/>
      <c r="H121" s="20"/>
      <c r="I121" s="20"/>
      <c r="J121" s="20"/>
      <c r="K121" s="20"/>
      <c r="L121" s="270"/>
      <c r="M121" s="269"/>
      <c r="N121" s="20"/>
      <c r="O121" s="20"/>
      <c r="P121" s="20"/>
      <c r="Q121" s="20"/>
      <c r="R121" s="20"/>
      <c r="S121" s="20"/>
      <c r="T121" s="270"/>
      <c r="U121" s="269"/>
      <c r="V121" s="20"/>
      <c r="W121" s="20"/>
      <c r="X121" s="20"/>
      <c r="Y121" s="20"/>
      <c r="Z121" s="20"/>
      <c r="AA121" s="20" t="s">
        <v>564</v>
      </c>
      <c r="AB121" s="270" t="s">
        <v>434</v>
      </c>
      <c r="AC121" s="269"/>
      <c r="AD121" s="20"/>
      <c r="AE121" s="20"/>
      <c r="AF121" s="20"/>
      <c r="AG121" s="20"/>
      <c r="AH121" s="20" t="s">
        <v>581</v>
      </c>
      <c r="AI121" s="20"/>
      <c r="AJ121" s="270"/>
      <c r="AK121" s="67">
        <v>266</v>
      </c>
      <c r="AM121" s="67">
        <v>1</v>
      </c>
      <c r="AO121" s="67">
        <f t="shared" si="16"/>
        <v>0</v>
      </c>
      <c r="AP121" s="67">
        <f t="shared" si="17"/>
        <v>0</v>
      </c>
      <c r="AQ121" s="67">
        <f t="shared" si="18"/>
        <v>1</v>
      </c>
      <c r="AR121" s="67">
        <f t="shared" si="19"/>
        <v>1</v>
      </c>
      <c r="AS121" s="67">
        <f t="shared" si="20"/>
        <v>2</v>
      </c>
      <c r="AT121" s="67">
        <f t="shared" si="21"/>
        <v>1</v>
      </c>
      <c r="AU121" s="67">
        <f t="shared" si="22"/>
        <v>0</v>
      </c>
      <c r="AV121" s="67">
        <f t="shared" si="23"/>
        <v>5</v>
      </c>
      <c r="AX121" s="256">
        <v>22</v>
      </c>
      <c r="AY121" s="67">
        <f t="shared" si="28"/>
        <v>110</v>
      </c>
      <c r="AZ121" s="76">
        <f t="shared" si="29"/>
        <v>4.5454545454545456E-2</v>
      </c>
      <c r="BA121" s="67">
        <f t="shared" si="24"/>
        <v>3</v>
      </c>
      <c r="BB121" s="76">
        <f t="shared" si="27"/>
        <v>0.13636363636363635</v>
      </c>
      <c r="BD121" s="67">
        <f t="shared" si="25"/>
        <v>0</v>
      </c>
      <c r="BE121" s="67">
        <f t="shared" si="26"/>
        <v>3</v>
      </c>
    </row>
    <row r="122" spans="1:57">
      <c r="A122" s="8">
        <v>267</v>
      </c>
      <c r="B122" s="8" t="s">
        <v>73</v>
      </c>
      <c r="C122" s="8" t="s">
        <v>165</v>
      </c>
      <c r="D122" s="8" t="s">
        <v>6</v>
      </c>
      <c r="E122" s="271"/>
      <c r="F122" s="5" t="s">
        <v>432</v>
      </c>
      <c r="G122" s="5" t="s">
        <v>555</v>
      </c>
      <c r="H122" s="5" t="s">
        <v>431</v>
      </c>
      <c r="I122" s="5" t="s">
        <v>549</v>
      </c>
      <c r="J122" s="5"/>
      <c r="K122" s="5"/>
      <c r="L122" s="272" t="s">
        <v>579</v>
      </c>
      <c r="M122" s="271"/>
      <c r="N122" s="5"/>
      <c r="O122" s="5"/>
      <c r="P122" s="5" t="s">
        <v>567</v>
      </c>
      <c r="Q122" s="5" t="s">
        <v>567</v>
      </c>
      <c r="R122" s="5" t="s">
        <v>555</v>
      </c>
      <c r="S122" s="5" t="s">
        <v>544</v>
      </c>
      <c r="T122" s="272"/>
      <c r="U122" s="271"/>
      <c r="V122" s="5" t="s">
        <v>435</v>
      </c>
      <c r="W122" s="5"/>
      <c r="X122" s="5"/>
      <c r="Y122" s="5"/>
      <c r="Z122" s="5" t="s">
        <v>561</v>
      </c>
      <c r="AA122" s="5" t="s">
        <v>547</v>
      </c>
      <c r="AB122" s="272" t="s">
        <v>545</v>
      </c>
      <c r="AC122" s="271" t="s">
        <v>580</v>
      </c>
      <c r="AD122" s="5" t="s">
        <v>547</v>
      </c>
      <c r="AE122" s="5" t="s">
        <v>433</v>
      </c>
      <c r="AF122" s="5" t="s">
        <v>431</v>
      </c>
      <c r="AG122" s="5"/>
      <c r="AH122" s="5"/>
      <c r="AI122" s="5"/>
      <c r="AJ122" s="272"/>
      <c r="AK122" s="8">
        <v>267</v>
      </c>
      <c r="AM122" s="67">
        <v>1</v>
      </c>
      <c r="AN122" s="8"/>
      <c r="AO122" s="67">
        <f t="shared" si="16"/>
        <v>0</v>
      </c>
      <c r="AP122" s="67">
        <f t="shared" si="17"/>
        <v>8</v>
      </c>
      <c r="AQ122" s="67">
        <f t="shared" si="18"/>
        <v>8</v>
      </c>
      <c r="AR122" s="67">
        <f t="shared" si="19"/>
        <v>7</v>
      </c>
      <c r="AS122" s="67">
        <f t="shared" si="20"/>
        <v>5</v>
      </c>
      <c r="AT122" s="67">
        <f t="shared" si="21"/>
        <v>10</v>
      </c>
      <c r="AU122" s="67">
        <f t="shared" si="22"/>
        <v>0</v>
      </c>
      <c r="AV122" s="67">
        <f t="shared" si="23"/>
        <v>38</v>
      </c>
      <c r="AX122" s="256">
        <v>22</v>
      </c>
      <c r="AY122" s="67">
        <f t="shared" si="28"/>
        <v>110</v>
      </c>
      <c r="AZ122" s="76">
        <f t="shared" si="29"/>
        <v>0.34545454545454546</v>
      </c>
      <c r="BA122" s="67">
        <f t="shared" si="24"/>
        <v>17</v>
      </c>
      <c r="BB122" s="76">
        <f t="shared" si="27"/>
        <v>0.77272727272727271</v>
      </c>
      <c r="BD122" s="67">
        <f t="shared" si="25"/>
        <v>9</v>
      </c>
      <c r="BE122" s="67">
        <f t="shared" si="26"/>
        <v>8</v>
      </c>
    </row>
    <row r="123" spans="1:57">
      <c r="A123" s="67">
        <v>270</v>
      </c>
      <c r="B123" s="8" t="s">
        <v>197</v>
      </c>
      <c r="C123" s="8" t="s">
        <v>357</v>
      </c>
      <c r="E123" s="269"/>
      <c r="F123" s="20"/>
      <c r="G123" s="20" t="s">
        <v>555</v>
      </c>
      <c r="H123" s="20"/>
      <c r="I123" s="20"/>
      <c r="J123" s="20"/>
      <c r="K123" s="20" t="s">
        <v>560</v>
      </c>
      <c r="L123" s="270" t="s">
        <v>560</v>
      </c>
      <c r="M123" s="269"/>
      <c r="N123" s="20"/>
      <c r="O123" s="20"/>
      <c r="P123" s="20" t="s">
        <v>431</v>
      </c>
      <c r="Q123" s="20" t="s">
        <v>431</v>
      </c>
      <c r="R123" s="20"/>
      <c r="S123" s="20"/>
      <c r="T123" s="270"/>
      <c r="U123" s="269"/>
      <c r="V123" s="20"/>
      <c r="W123" s="20"/>
      <c r="X123" s="20"/>
      <c r="Y123" s="20"/>
      <c r="Z123" s="20" t="s">
        <v>433</v>
      </c>
      <c r="AA123" s="20"/>
      <c r="AB123" s="270"/>
      <c r="AC123" s="269"/>
      <c r="AD123" s="20" t="s">
        <v>434</v>
      </c>
      <c r="AE123" s="20" t="s">
        <v>433</v>
      </c>
      <c r="AF123" s="20" t="s">
        <v>431</v>
      </c>
      <c r="AG123" s="5" t="s">
        <v>431</v>
      </c>
      <c r="AH123" s="5" t="s">
        <v>559</v>
      </c>
      <c r="AI123" s="20"/>
      <c r="AJ123" s="270"/>
      <c r="AK123" s="67">
        <v>270</v>
      </c>
      <c r="AM123" s="67">
        <v>1</v>
      </c>
      <c r="AO123" s="67">
        <f t="shared" si="16"/>
        <v>0</v>
      </c>
      <c r="AP123" s="67">
        <f t="shared" si="17"/>
        <v>6</v>
      </c>
      <c r="AQ123" s="67">
        <f t="shared" si="18"/>
        <v>1</v>
      </c>
      <c r="AR123" s="67">
        <f t="shared" si="19"/>
        <v>2</v>
      </c>
      <c r="AS123" s="67">
        <f t="shared" si="20"/>
        <v>4</v>
      </c>
      <c r="AT123" s="67">
        <f t="shared" si="21"/>
        <v>4</v>
      </c>
      <c r="AU123" s="67">
        <f t="shared" si="22"/>
        <v>0</v>
      </c>
      <c r="AV123" s="67">
        <f t="shared" si="23"/>
        <v>17</v>
      </c>
      <c r="AX123" s="256">
        <v>19</v>
      </c>
      <c r="AY123" s="67">
        <f t="shared" si="28"/>
        <v>95</v>
      </c>
      <c r="AZ123" s="76">
        <f t="shared" si="29"/>
        <v>0.17894736842105263</v>
      </c>
      <c r="BA123" s="67">
        <f t="shared" si="24"/>
        <v>11</v>
      </c>
      <c r="BB123" s="76">
        <f t="shared" si="27"/>
        <v>0.57894736842105265</v>
      </c>
      <c r="BD123" s="67">
        <f t="shared" si="25"/>
        <v>5</v>
      </c>
      <c r="BE123" s="67">
        <f t="shared" si="26"/>
        <v>6</v>
      </c>
    </row>
    <row r="124" spans="1:57">
      <c r="A124" s="67">
        <v>271</v>
      </c>
      <c r="B124" s="8" t="s">
        <v>62</v>
      </c>
      <c r="C124" s="8" t="s">
        <v>42</v>
      </c>
      <c r="D124" s="8" t="s">
        <v>6</v>
      </c>
      <c r="E124" s="269"/>
      <c r="F124" s="5" t="s">
        <v>582</v>
      </c>
      <c r="G124" s="5" t="s">
        <v>431</v>
      </c>
      <c r="H124" s="5" t="s">
        <v>431</v>
      </c>
      <c r="I124" s="20"/>
      <c r="J124" s="20"/>
      <c r="K124" s="20"/>
      <c r="L124" s="270" t="s">
        <v>433</v>
      </c>
      <c r="M124" s="269" t="s">
        <v>433</v>
      </c>
      <c r="N124" s="20" t="s">
        <v>433</v>
      </c>
      <c r="O124" s="20"/>
      <c r="P124" s="5" t="s">
        <v>431</v>
      </c>
      <c r="Q124" s="20"/>
      <c r="R124" s="5" t="s">
        <v>431</v>
      </c>
      <c r="S124" s="5" t="s">
        <v>583</v>
      </c>
      <c r="T124" s="270"/>
      <c r="U124" s="269"/>
      <c r="V124" s="20"/>
      <c r="W124" s="20"/>
      <c r="X124" s="20"/>
      <c r="Y124" s="20" t="s">
        <v>567</v>
      </c>
      <c r="Z124" s="20" t="s">
        <v>432</v>
      </c>
      <c r="AA124" s="20" t="s">
        <v>584</v>
      </c>
      <c r="AB124" s="270" t="s">
        <v>584</v>
      </c>
      <c r="AC124" s="269" t="s">
        <v>432</v>
      </c>
      <c r="AD124" s="5" t="s">
        <v>546</v>
      </c>
      <c r="AE124" s="5" t="s">
        <v>546</v>
      </c>
      <c r="AF124" s="5" t="s">
        <v>431</v>
      </c>
      <c r="AG124" s="5" t="s">
        <v>431</v>
      </c>
      <c r="AH124" s="20"/>
      <c r="AI124" s="20"/>
      <c r="AJ124" s="270"/>
      <c r="AK124" s="67">
        <v>271</v>
      </c>
      <c r="AM124" s="67">
        <v>1</v>
      </c>
      <c r="AO124" s="67">
        <f t="shared" si="16"/>
        <v>0</v>
      </c>
      <c r="AP124" s="67">
        <f t="shared" si="17"/>
        <v>9</v>
      </c>
      <c r="AQ124" s="67">
        <f t="shared" si="18"/>
        <v>8</v>
      </c>
      <c r="AR124" s="67">
        <f t="shared" si="19"/>
        <v>5</v>
      </c>
      <c r="AS124" s="67">
        <f t="shared" si="20"/>
        <v>5</v>
      </c>
      <c r="AT124" s="67">
        <f t="shared" si="21"/>
        <v>5</v>
      </c>
      <c r="AU124" s="67">
        <f t="shared" si="22"/>
        <v>1</v>
      </c>
      <c r="AV124" s="67">
        <f t="shared" si="23"/>
        <v>33</v>
      </c>
      <c r="AX124" s="256">
        <v>22</v>
      </c>
      <c r="AY124" s="67">
        <f t="shared" si="28"/>
        <v>110</v>
      </c>
      <c r="AZ124" s="76">
        <f t="shared" si="29"/>
        <v>0.3</v>
      </c>
      <c r="BA124" s="67">
        <f t="shared" si="24"/>
        <v>18</v>
      </c>
      <c r="BB124" s="76">
        <f t="shared" si="27"/>
        <v>0.81818181818181823</v>
      </c>
      <c r="BD124" s="67">
        <f t="shared" si="25"/>
        <v>9</v>
      </c>
      <c r="BE124" s="67">
        <f t="shared" si="26"/>
        <v>9</v>
      </c>
    </row>
    <row r="125" spans="1:57">
      <c r="A125" s="67">
        <v>272</v>
      </c>
      <c r="B125" s="8" t="s">
        <v>41</v>
      </c>
      <c r="C125" s="8" t="s">
        <v>42</v>
      </c>
      <c r="D125" s="8" t="s">
        <v>6</v>
      </c>
      <c r="E125" s="269"/>
      <c r="F125" s="20"/>
      <c r="G125" s="20"/>
      <c r="H125" s="20"/>
      <c r="I125" s="20"/>
      <c r="J125" s="20"/>
      <c r="K125" s="20"/>
      <c r="L125" s="270"/>
      <c r="M125" s="269"/>
      <c r="N125" s="20"/>
      <c r="O125" s="20"/>
      <c r="P125" s="20"/>
      <c r="Q125" s="20"/>
      <c r="R125" s="20"/>
      <c r="S125" s="20"/>
      <c r="T125" s="270"/>
      <c r="U125" s="269"/>
      <c r="V125" s="20"/>
      <c r="W125" s="20"/>
      <c r="X125" s="20" t="s">
        <v>567</v>
      </c>
      <c r="Y125" s="20" t="s">
        <v>432</v>
      </c>
      <c r="Z125" s="20"/>
      <c r="AA125" s="5" t="s">
        <v>547</v>
      </c>
      <c r="AB125" s="270" t="s">
        <v>547</v>
      </c>
      <c r="AC125" s="269" t="s">
        <v>547</v>
      </c>
      <c r="AD125" s="5" t="s">
        <v>547</v>
      </c>
      <c r="AE125" s="5" t="s">
        <v>432</v>
      </c>
      <c r="AF125" s="5" t="s">
        <v>546</v>
      </c>
      <c r="AG125" s="5" t="s">
        <v>434</v>
      </c>
      <c r="AH125" s="20"/>
      <c r="AI125" s="20"/>
      <c r="AJ125" s="270"/>
      <c r="AK125" s="67">
        <v>272</v>
      </c>
      <c r="AM125" s="67">
        <v>1</v>
      </c>
      <c r="AO125" s="67">
        <f t="shared" si="16"/>
        <v>0</v>
      </c>
      <c r="AP125" s="67">
        <f t="shared" si="17"/>
        <v>1</v>
      </c>
      <c r="AQ125" s="67">
        <f t="shared" si="18"/>
        <v>8</v>
      </c>
      <c r="AR125" s="67">
        <f t="shared" si="19"/>
        <v>4</v>
      </c>
      <c r="AS125" s="67">
        <f t="shared" si="20"/>
        <v>6</v>
      </c>
      <c r="AT125" s="67">
        <f t="shared" si="21"/>
        <v>5</v>
      </c>
      <c r="AU125" s="67">
        <f t="shared" si="22"/>
        <v>0</v>
      </c>
      <c r="AV125" s="67">
        <f t="shared" si="23"/>
        <v>24</v>
      </c>
      <c r="AX125" s="256">
        <v>16</v>
      </c>
      <c r="AY125" s="67">
        <f t="shared" si="28"/>
        <v>80</v>
      </c>
      <c r="AZ125" s="76">
        <f t="shared" si="29"/>
        <v>0.3</v>
      </c>
      <c r="BA125" s="67">
        <f t="shared" si="24"/>
        <v>9</v>
      </c>
      <c r="BB125" s="76">
        <f t="shared" si="27"/>
        <v>0.5625</v>
      </c>
      <c r="BD125" s="67">
        <f t="shared" si="25"/>
        <v>0</v>
      </c>
      <c r="BE125" s="67">
        <f t="shared" si="26"/>
        <v>9</v>
      </c>
    </row>
    <row r="126" spans="1:57">
      <c r="A126" s="67">
        <v>273</v>
      </c>
      <c r="B126" s="67" t="s">
        <v>5</v>
      </c>
      <c r="C126" s="8" t="s">
        <v>42</v>
      </c>
      <c r="D126" s="67" t="s">
        <v>42</v>
      </c>
      <c r="E126" s="269"/>
      <c r="F126" s="5" t="s">
        <v>578</v>
      </c>
      <c r="G126" s="5" t="s">
        <v>585</v>
      </c>
      <c r="H126" s="5" t="s">
        <v>431</v>
      </c>
      <c r="I126" s="20"/>
      <c r="J126" s="20"/>
      <c r="K126" s="5" t="s">
        <v>433</v>
      </c>
      <c r="L126" s="270" t="s">
        <v>433</v>
      </c>
      <c r="M126" s="269" t="s">
        <v>565</v>
      </c>
      <c r="N126" s="20"/>
      <c r="O126" s="20"/>
      <c r="P126" s="20"/>
      <c r="Q126" s="20" t="s">
        <v>431</v>
      </c>
      <c r="R126" s="20" t="s">
        <v>431</v>
      </c>
      <c r="S126" s="20"/>
      <c r="T126" s="270"/>
      <c r="U126" s="269" t="s">
        <v>586</v>
      </c>
      <c r="V126" s="20"/>
      <c r="W126" s="20"/>
      <c r="X126" s="20"/>
      <c r="Y126" s="20"/>
      <c r="Z126" s="5" t="s">
        <v>547</v>
      </c>
      <c r="AA126" s="5" t="s">
        <v>547</v>
      </c>
      <c r="AB126" s="270" t="s">
        <v>547</v>
      </c>
      <c r="AC126" s="269" t="s">
        <v>545</v>
      </c>
      <c r="AD126" s="5" t="s">
        <v>547</v>
      </c>
      <c r="AE126" s="5" t="s">
        <v>547</v>
      </c>
      <c r="AF126" s="5" t="s">
        <v>431</v>
      </c>
      <c r="AG126" s="5" t="s">
        <v>431</v>
      </c>
      <c r="AH126" s="20"/>
      <c r="AI126" s="20"/>
      <c r="AJ126" s="270"/>
      <c r="AK126" s="67">
        <v>273</v>
      </c>
      <c r="AM126" s="67">
        <v>1</v>
      </c>
      <c r="AO126" s="67">
        <f t="shared" si="16"/>
        <v>0</v>
      </c>
      <c r="AP126" s="67">
        <f t="shared" si="17"/>
        <v>8</v>
      </c>
      <c r="AQ126" s="67">
        <f t="shared" si="18"/>
        <v>8</v>
      </c>
      <c r="AR126" s="67">
        <f t="shared" si="19"/>
        <v>9</v>
      </c>
      <c r="AS126" s="67">
        <f t="shared" si="20"/>
        <v>7</v>
      </c>
      <c r="AT126" s="67">
        <f t="shared" si="21"/>
        <v>8</v>
      </c>
      <c r="AU126" s="67">
        <f t="shared" si="22"/>
        <v>0</v>
      </c>
      <c r="AV126" s="67">
        <f t="shared" si="23"/>
        <v>40</v>
      </c>
      <c r="AX126" s="256">
        <v>28</v>
      </c>
      <c r="AY126" s="67">
        <f t="shared" si="28"/>
        <v>140</v>
      </c>
      <c r="AZ126" s="76">
        <f t="shared" si="29"/>
        <v>0.2857142857142857</v>
      </c>
      <c r="BA126" s="67">
        <f t="shared" si="24"/>
        <v>17</v>
      </c>
      <c r="BB126" s="76">
        <f t="shared" si="27"/>
        <v>0.6071428571428571</v>
      </c>
      <c r="BD126" s="67">
        <f t="shared" si="25"/>
        <v>8</v>
      </c>
      <c r="BE126" s="67">
        <f t="shared" si="26"/>
        <v>9</v>
      </c>
    </row>
    <row r="127" spans="1:57">
      <c r="A127" s="67">
        <v>280</v>
      </c>
      <c r="B127" s="8" t="s">
        <v>123</v>
      </c>
      <c r="C127" s="8" t="s">
        <v>366</v>
      </c>
      <c r="D127" s="8" t="s">
        <v>42</v>
      </c>
      <c r="E127" s="269" t="s">
        <v>544</v>
      </c>
      <c r="F127" s="5"/>
      <c r="G127" s="20"/>
      <c r="H127" s="5" t="s">
        <v>435</v>
      </c>
      <c r="I127" s="20"/>
      <c r="J127" s="20"/>
      <c r="K127" s="20"/>
      <c r="L127" s="270"/>
      <c r="M127" s="269"/>
      <c r="N127" s="20" t="s">
        <v>564</v>
      </c>
      <c r="O127" s="20" t="s">
        <v>433</v>
      </c>
      <c r="P127" s="5" t="s">
        <v>431</v>
      </c>
      <c r="Q127" s="5" t="s">
        <v>431</v>
      </c>
      <c r="R127" s="5" t="s">
        <v>431</v>
      </c>
      <c r="S127" s="20"/>
      <c r="T127" s="270" t="s">
        <v>559</v>
      </c>
      <c r="U127" s="269" t="s">
        <v>559</v>
      </c>
      <c r="V127" s="20"/>
      <c r="W127" s="20"/>
      <c r="X127" s="20" t="s">
        <v>559</v>
      </c>
      <c r="Y127" s="5" t="s">
        <v>551</v>
      </c>
      <c r="Z127" s="5" t="s">
        <v>547</v>
      </c>
      <c r="AA127" s="5" t="s">
        <v>547</v>
      </c>
      <c r="AB127" s="270" t="s">
        <v>547</v>
      </c>
      <c r="AC127" s="269" t="s">
        <v>547</v>
      </c>
      <c r="AD127" s="5" t="s">
        <v>547</v>
      </c>
      <c r="AE127" s="5" t="s">
        <v>547</v>
      </c>
      <c r="AF127" s="5" t="s">
        <v>552</v>
      </c>
      <c r="AG127" s="5" t="s">
        <v>549</v>
      </c>
      <c r="AH127" s="20"/>
      <c r="AI127" s="20"/>
      <c r="AJ127" s="270" t="s">
        <v>559</v>
      </c>
      <c r="AK127" s="67">
        <v>280</v>
      </c>
      <c r="AM127" s="67">
        <v>1</v>
      </c>
      <c r="AO127" s="67">
        <f t="shared" si="16"/>
        <v>0</v>
      </c>
      <c r="AP127" s="67">
        <f t="shared" si="17"/>
        <v>11</v>
      </c>
      <c r="AQ127" s="67">
        <f t="shared" si="18"/>
        <v>13</v>
      </c>
      <c r="AR127" s="67">
        <f t="shared" si="19"/>
        <v>8</v>
      </c>
      <c r="AS127" s="67">
        <f t="shared" si="20"/>
        <v>14</v>
      </c>
      <c r="AT127" s="67">
        <f t="shared" si="21"/>
        <v>15</v>
      </c>
      <c r="AU127" s="67">
        <f t="shared" si="22"/>
        <v>0</v>
      </c>
      <c r="AV127" s="67">
        <f t="shared" si="23"/>
        <v>61</v>
      </c>
      <c r="AX127" s="256">
        <v>24</v>
      </c>
      <c r="AY127" s="67">
        <f t="shared" si="28"/>
        <v>120</v>
      </c>
      <c r="AZ127" s="76">
        <f t="shared" si="29"/>
        <v>0.5083333333333333</v>
      </c>
      <c r="BA127" s="8">
        <f t="shared" si="24"/>
        <v>20</v>
      </c>
      <c r="BB127" s="76">
        <f t="shared" si="27"/>
        <v>0.83333333333333337</v>
      </c>
      <c r="BD127" s="67">
        <f t="shared" si="25"/>
        <v>8</v>
      </c>
      <c r="BE127" s="67">
        <f t="shared" si="26"/>
        <v>12</v>
      </c>
    </row>
    <row r="128" spans="1:57">
      <c r="A128" s="67">
        <v>283</v>
      </c>
      <c r="B128" s="67" t="s">
        <v>74</v>
      </c>
      <c r="C128" s="8" t="s">
        <v>346</v>
      </c>
      <c r="E128" s="269"/>
      <c r="F128" s="20"/>
      <c r="G128" s="20"/>
      <c r="H128" s="20"/>
      <c r="I128" s="20"/>
      <c r="J128" s="20"/>
      <c r="K128" s="20"/>
      <c r="L128" s="270"/>
      <c r="M128" s="269"/>
      <c r="N128" s="20"/>
      <c r="O128" s="20"/>
      <c r="P128" s="20"/>
      <c r="Q128" s="20"/>
      <c r="R128" s="20"/>
      <c r="S128" s="20"/>
      <c r="T128" s="270"/>
      <c r="U128" s="269"/>
      <c r="V128" s="20"/>
      <c r="W128" s="20"/>
      <c r="X128" s="20"/>
      <c r="Y128" s="20"/>
      <c r="Z128" s="20"/>
      <c r="AA128" s="20"/>
      <c r="AB128" s="270"/>
      <c r="AC128" s="269"/>
      <c r="AD128" s="20"/>
      <c r="AE128" s="20"/>
      <c r="AF128" s="20"/>
      <c r="AG128" s="20"/>
      <c r="AH128" s="20"/>
      <c r="AI128" s="20"/>
      <c r="AJ128" s="270"/>
      <c r="AK128" s="67">
        <v>283</v>
      </c>
      <c r="AL128" s="67">
        <v>1</v>
      </c>
      <c r="AO128" s="67">
        <f t="shared" si="16"/>
        <v>0</v>
      </c>
      <c r="AP128" s="67">
        <f t="shared" si="17"/>
        <v>0</v>
      </c>
      <c r="AQ128" s="67">
        <f t="shared" si="18"/>
        <v>0</v>
      </c>
      <c r="AR128" s="67">
        <f t="shared" si="19"/>
        <v>0</v>
      </c>
      <c r="AS128" s="67">
        <f t="shared" si="20"/>
        <v>0</v>
      </c>
      <c r="AT128" s="67">
        <f t="shared" si="21"/>
        <v>0</v>
      </c>
      <c r="AU128" s="67">
        <f t="shared" si="22"/>
        <v>0</v>
      </c>
      <c r="AV128" s="67">
        <f t="shared" si="23"/>
        <v>0</v>
      </c>
      <c r="AX128" s="256">
        <v>2</v>
      </c>
      <c r="AY128" s="67">
        <f t="shared" si="28"/>
        <v>10</v>
      </c>
      <c r="AZ128" s="76">
        <f t="shared" si="29"/>
        <v>0</v>
      </c>
      <c r="BA128" s="67">
        <f t="shared" si="24"/>
        <v>0</v>
      </c>
      <c r="BB128" s="76">
        <f t="shared" si="27"/>
        <v>0</v>
      </c>
      <c r="BD128" s="67">
        <f t="shared" si="25"/>
        <v>0</v>
      </c>
      <c r="BE128" s="67">
        <f t="shared" si="26"/>
        <v>0</v>
      </c>
    </row>
    <row r="129" spans="1:57">
      <c r="A129" s="67">
        <v>286</v>
      </c>
      <c r="B129" s="67" t="s">
        <v>63</v>
      </c>
      <c r="C129" s="8" t="s">
        <v>346</v>
      </c>
      <c r="E129" s="269"/>
      <c r="F129" s="20"/>
      <c r="G129" s="20"/>
      <c r="H129" s="20"/>
      <c r="I129" s="20"/>
      <c r="J129" s="20"/>
      <c r="K129" s="20"/>
      <c r="L129" s="270"/>
      <c r="M129" s="269"/>
      <c r="N129" s="20"/>
      <c r="O129" s="20"/>
      <c r="P129" s="20"/>
      <c r="Q129" s="20"/>
      <c r="R129" s="20"/>
      <c r="S129" s="20"/>
      <c r="T129" s="270"/>
      <c r="U129" s="269"/>
      <c r="V129" s="20"/>
      <c r="W129" s="20"/>
      <c r="X129" s="20"/>
      <c r="Y129" s="20"/>
      <c r="Z129" s="20"/>
      <c r="AA129" s="20"/>
      <c r="AB129" s="270"/>
      <c r="AC129" s="269"/>
      <c r="AD129" s="20"/>
      <c r="AE129" s="20"/>
      <c r="AF129" s="20"/>
      <c r="AG129" s="20"/>
      <c r="AH129" s="20"/>
      <c r="AI129" s="20"/>
      <c r="AJ129" s="270"/>
      <c r="AK129" s="67">
        <v>286</v>
      </c>
      <c r="AL129" s="67">
        <v>1</v>
      </c>
      <c r="AO129" s="67">
        <f t="shared" si="16"/>
        <v>0</v>
      </c>
      <c r="AP129" s="67">
        <f t="shared" si="17"/>
        <v>0</v>
      </c>
      <c r="AQ129" s="67">
        <f t="shared" si="18"/>
        <v>0</v>
      </c>
      <c r="AR129" s="67">
        <f t="shared" si="19"/>
        <v>0</v>
      </c>
      <c r="AS129" s="67">
        <f t="shared" si="20"/>
        <v>0</v>
      </c>
      <c r="AT129" s="67">
        <f t="shared" si="21"/>
        <v>0</v>
      </c>
      <c r="AU129" s="67">
        <f t="shared" si="22"/>
        <v>0</v>
      </c>
      <c r="AV129" s="67">
        <f t="shared" si="23"/>
        <v>0</v>
      </c>
      <c r="AX129" s="256">
        <v>12</v>
      </c>
      <c r="AY129" s="67">
        <f t="shared" si="28"/>
        <v>60</v>
      </c>
      <c r="AZ129" s="76">
        <f t="shared" si="29"/>
        <v>0</v>
      </c>
      <c r="BA129" s="67">
        <f t="shared" si="24"/>
        <v>0</v>
      </c>
      <c r="BB129" s="76">
        <f t="shared" si="27"/>
        <v>0</v>
      </c>
      <c r="BD129" s="67">
        <f t="shared" si="25"/>
        <v>0</v>
      </c>
      <c r="BE129" s="67">
        <f t="shared" si="26"/>
        <v>0</v>
      </c>
    </row>
    <row r="130" spans="1:57">
      <c r="A130" s="67">
        <v>287</v>
      </c>
      <c r="B130" s="67" t="s">
        <v>71</v>
      </c>
      <c r="C130" s="8" t="s">
        <v>452</v>
      </c>
      <c r="D130" s="67" t="s">
        <v>42</v>
      </c>
      <c r="E130" s="269" t="s">
        <v>555</v>
      </c>
      <c r="F130" s="5" t="s">
        <v>555</v>
      </c>
      <c r="G130" s="5" t="s">
        <v>431</v>
      </c>
      <c r="H130" s="20"/>
      <c r="I130" s="20"/>
      <c r="J130" s="5" t="s">
        <v>433</v>
      </c>
      <c r="K130" s="20"/>
      <c r="L130" s="270"/>
      <c r="M130" s="269"/>
      <c r="N130" s="20"/>
      <c r="O130" s="20"/>
      <c r="P130" s="20"/>
      <c r="Q130" s="20"/>
      <c r="R130" s="20" t="s">
        <v>555</v>
      </c>
      <c r="S130" s="20" t="s">
        <v>434</v>
      </c>
      <c r="T130" s="270" t="s">
        <v>555</v>
      </c>
      <c r="U130" s="269" t="s">
        <v>559</v>
      </c>
      <c r="V130" s="5" t="s">
        <v>560</v>
      </c>
      <c r="W130" s="5" t="s">
        <v>555</v>
      </c>
      <c r="X130" s="5" t="s">
        <v>432</v>
      </c>
      <c r="Y130" s="5" t="s">
        <v>560</v>
      </c>
      <c r="Z130" s="5" t="s">
        <v>580</v>
      </c>
      <c r="AA130" s="5" t="s">
        <v>547</v>
      </c>
      <c r="AB130" s="270" t="s">
        <v>547</v>
      </c>
      <c r="AC130" s="269" t="s">
        <v>587</v>
      </c>
      <c r="AD130" s="5" t="s">
        <v>577</v>
      </c>
      <c r="AE130" s="5" t="s">
        <v>577</v>
      </c>
      <c r="AF130" s="5" t="s">
        <v>560</v>
      </c>
      <c r="AG130" s="5" t="s">
        <v>546</v>
      </c>
      <c r="AH130" s="5" t="s">
        <v>435</v>
      </c>
      <c r="AI130" s="5" t="s">
        <v>560</v>
      </c>
      <c r="AJ130" s="270" t="s">
        <v>546</v>
      </c>
      <c r="AK130" s="67">
        <v>287</v>
      </c>
      <c r="AM130" s="67">
        <v>1</v>
      </c>
      <c r="AO130" s="67">
        <f t="shared" si="16"/>
        <v>0</v>
      </c>
      <c r="AP130" s="67">
        <f t="shared" si="17"/>
        <v>7</v>
      </c>
      <c r="AQ130" s="67">
        <f t="shared" si="18"/>
        <v>10</v>
      </c>
      <c r="AR130" s="67">
        <f t="shared" si="19"/>
        <v>7</v>
      </c>
      <c r="AS130" s="67">
        <f t="shared" si="20"/>
        <v>14</v>
      </c>
      <c r="AT130" s="67">
        <f t="shared" si="21"/>
        <v>19</v>
      </c>
      <c r="AU130" s="67">
        <f t="shared" si="22"/>
        <v>0</v>
      </c>
      <c r="AV130" s="67">
        <f t="shared" si="23"/>
        <v>57</v>
      </c>
      <c r="AX130" s="256">
        <v>27</v>
      </c>
      <c r="AY130" s="67">
        <f t="shared" si="28"/>
        <v>135</v>
      </c>
      <c r="AZ130" s="76">
        <f t="shared" si="29"/>
        <v>0.42222222222222222</v>
      </c>
      <c r="BA130" s="67">
        <f t="shared" si="24"/>
        <v>23</v>
      </c>
      <c r="BB130" s="76">
        <f t="shared" si="27"/>
        <v>0.85185185185185186</v>
      </c>
      <c r="BD130" s="67">
        <f t="shared" si="25"/>
        <v>7</v>
      </c>
      <c r="BE130" s="67">
        <f t="shared" si="26"/>
        <v>16</v>
      </c>
    </row>
    <row r="131" spans="1:57">
      <c r="A131" s="67">
        <v>288</v>
      </c>
      <c r="B131" s="67" t="s">
        <v>71</v>
      </c>
      <c r="C131" s="8" t="s">
        <v>366</v>
      </c>
      <c r="D131" s="67" t="s">
        <v>42</v>
      </c>
      <c r="E131" s="269"/>
      <c r="F131" s="5" t="s">
        <v>435</v>
      </c>
      <c r="G131" s="5" t="s">
        <v>567</v>
      </c>
      <c r="H131" s="5" t="s">
        <v>558</v>
      </c>
      <c r="I131" s="5" t="s">
        <v>435</v>
      </c>
      <c r="J131" s="5" t="s">
        <v>588</v>
      </c>
      <c r="K131" s="5" t="s">
        <v>565</v>
      </c>
      <c r="L131" s="270" t="s">
        <v>433</v>
      </c>
      <c r="M131" s="269" t="s">
        <v>433</v>
      </c>
      <c r="N131" s="5" t="s">
        <v>565</v>
      </c>
      <c r="O131" s="5" t="s">
        <v>565</v>
      </c>
      <c r="P131" s="20"/>
      <c r="Q131" s="20"/>
      <c r="R131" s="5" t="s">
        <v>554</v>
      </c>
      <c r="S131" s="5" t="s">
        <v>554</v>
      </c>
      <c r="T131" s="270" t="s">
        <v>434</v>
      </c>
      <c r="U131" s="269" t="s">
        <v>569</v>
      </c>
      <c r="V131" s="5" t="s">
        <v>557</v>
      </c>
      <c r="W131" s="5" t="s">
        <v>574</v>
      </c>
      <c r="X131" s="5" t="s">
        <v>574</v>
      </c>
      <c r="Y131" s="5" t="s">
        <v>432</v>
      </c>
      <c r="Z131" s="5" t="s">
        <v>556</v>
      </c>
      <c r="AA131" s="5" t="s">
        <v>577</v>
      </c>
      <c r="AB131" s="270" t="s">
        <v>577</v>
      </c>
      <c r="AC131" s="269" t="s">
        <v>577</v>
      </c>
      <c r="AD131" s="5" t="s">
        <v>577</v>
      </c>
      <c r="AE131" s="5" t="s">
        <v>577</v>
      </c>
      <c r="AF131" s="5" t="s">
        <v>559</v>
      </c>
      <c r="AG131" s="5" t="s">
        <v>559</v>
      </c>
      <c r="AH131" s="5" t="s">
        <v>567</v>
      </c>
      <c r="AI131" s="5" t="s">
        <v>555</v>
      </c>
      <c r="AJ131" s="270" t="s">
        <v>431</v>
      </c>
      <c r="AK131" s="67">
        <v>288</v>
      </c>
      <c r="AM131" s="67">
        <v>1</v>
      </c>
      <c r="AO131" s="67">
        <f t="shared" si="16"/>
        <v>0</v>
      </c>
      <c r="AP131" s="67">
        <f t="shared" si="17"/>
        <v>10</v>
      </c>
      <c r="AQ131" s="67">
        <f t="shared" si="18"/>
        <v>21</v>
      </c>
      <c r="AR131" s="67">
        <f t="shared" si="19"/>
        <v>12</v>
      </c>
      <c r="AS131" s="67">
        <f t="shared" si="20"/>
        <v>12</v>
      </c>
      <c r="AT131" s="67">
        <f t="shared" si="21"/>
        <v>14</v>
      </c>
      <c r="AU131" s="67">
        <f t="shared" si="22"/>
        <v>0</v>
      </c>
      <c r="AV131" s="67">
        <f t="shared" si="23"/>
        <v>69</v>
      </c>
      <c r="AX131" s="256">
        <v>32</v>
      </c>
      <c r="AY131" s="67">
        <f t="shared" si="28"/>
        <v>160</v>
      </c>
      <c r="AZ131" s="76">
        <f t="shared" si="29"/>
        <v>0.43125000000000002</v>
      </c>
      <c r="BA131" s="67">
        <f t="shared" si="24"/>
        <v>29</v>
      </c>
      <c r="BB131" s="76">
        <f t="shared" si="27"/>
        <v>0.90625</v>
      </c>
      <c r="BD131" s="67">
        <f t="shared" si="25"/>
        <v>13</v>
      </c>
      <c r="BE131" s="67">
        <f t="shared" si="26"/>
        <v>16</v>
      </c>
    </row>
    <row r="132" spans="1:57">
      <c r="A132" s="67">
        <v>291</v>
      </c>
      <c r="B132" s="67" t="s">
        <v>80</v>
      </c>
      <c r="C132" s="8" t="s">
        <v>346</v>
      </c>
      <c r="E132" s="269"/>
      <c r="F132" s="20"/>
      <c r="G132" s="20"/>
      <c r="H132" s="20"/>
      <c r="I132" s="20"/>
      <c r="J132" s="20" t="s">
        <v>433</v>
      </c>
      <c r="K132" s="20"/>
      <c r="L132" s="270"/>
      <c r="M132" s="269"/>
      <c r="N132" s="20"/>
      <c r="O132" s="20"/>
      <c r="P132" s="20"/>
      <c r="Q132" s="20"/>
      <c r="R132" s="20"/>
      <c r="S132" s="20"/>
      <c r="T132" s="270"/>
      <c r="U132" s="269"/>
      <c r="V132" s="20"/>
      <c r="W132" s="20"/>
      <c r="X132" s="20"/>
      <c r="Y132" s="20"/>
      <c r="Z132" s="20"/>
      <c r="AA132" s="20"/>
      <c r="AB132" s="270"/>
      <c r="AC132" s="269" t="s">
        <v>433</v>
      </c>
      <c r="AD132" s="5" t="s">
        <v>433</v>
      </c>
      <c r="AE132" s="20"/>
      <c r="AF132" s="20"/>
      <c r="AG132" s="20"/>
      <c r="AH132" s="20"/>
      <c r="AI132" s="20"/>
      <c r="AJ132" s="270"/>
      <c r="AK132" s="67">
        <v>291</v>
      </c>
      <c r="AM132" s="67">
        <v>1</v>
      </c>
      <c r="AO132" s="67">
        <f t="shared" ref="AO132:AO195" si="30">COUNTIF(E132:AJ132,"*a*")</f>
        <v>0</v>
      </c>
      <c r="AP132" s="67">
        <f t="shared" ref="AP132:AP195" si="31">COUNTIF(E132:AJ132,"*b*")</f>
        <v>0</v>
      </c>
      <c r="AQ132" s="67">
        <f t="shared" ref="AQ132:AQ195" si="32">COUNTIF(E132:AJ132,"*l*")</f>
        <v>0</v>
      </c>
      <c r="AR132" s="67">
        <f t="shared" ref="AR132:AR195" si="33">COUNTIF(E132:AJ132,"*h*")</f>
        <v>3</v>
      </c>
      <c r="AS132" s="67">
        <f t="shared" ref="AS132:AS195" si="34">COUNTIF(E132:AJ132,"*m*")</f>
        <v>0</v>
      </c>
      <c r="AT132" s="67">
        <f t="shared" ref="AT132:AT195" si="35">COUNTIF(E132:AJ132,"*d*")</f>
        <v>0</v>
      </c>
      <c r="AU132" s="67">
        <f t="shared" ref="AU132:AU195" si="36">COUNTIF(E132:AJ132,"*o*")</f>
        <v>0</v>
      </c>
      <c r="AV132" s="67">
        <f t="shared" ref="AV132:AV195" si="37">SUM(AO132:AU132)</f>
        <v>3</v>
      </c>
      <c r="AX132" s="256">
        <v>12</v>
      </c>
      <c r="AY132" s="67">
        <f t="shared" si="28"/>
        <v>60</v>
      </c>
      <c r="AZ132" s="76">
        <f t="shared" si="29"/>
        <v>0.05</v>
      </c>
      <c r="BA132" s="67">
        <f t="shared" ref="BA132:BA195" si="38">COUNTA(E132:AJ132)</f>
        <v>3</v>
      </c>
      <c r="BB132" s="76">
        <f t="shared" si="27"/>
        <v>0.25</v>
      </c>
      <c r="BC132" s="8"/>
      <c r="BD132" s="67">
        <f t="shared" ref="BD132:BD195" si="39">COUNTA(E132:T132)</f>
        <v>1</v>
      </c>
      <c r="BE132" s="67">
        <f t="shared" ref="BE132:BE195" si="40">COUNTA(U132:AJ132)</f>
        <v>2</v>
      </c>
    </row>
    <row r="133" spans="1:57">
      <c r="A133" s="67">
        <v>292</v>
      </c>
      <c r="B133" s="67" t="s">
        <v>74</v>
      </c>
      <c r="C133" s="8" t="s">
        <v>346</v>
      </c>
      <c r="E133" s="269"/>
      <c r="F133" s="20"/>
      <c r="G133" s="20"/>
      <c r="H133" s="20"/>
      <c r="I133" s="20"/>
      <c r="J133" s="20"/>
      <c r="K133" s="20"/>
      <c r="L133" s="270"/>
      <c r="M133" s="269"/>
      <c r="N133" s="20"/>
      <c r="O133" s="20"/>
      <c r="P133" s="20"/>
      <c r="Q133" s="20"/>
      <c r="R133" s="20"/>
      <c r="S133" s="20"/>
      <c r="T133" s="270"/>
      <c r="U133" s="269"/>
      <c r="V133" s="20"/>
      <c r="W133" s="20"/>
      <c r="X133" s="20"/>
      <c r="Y133" s="20"/>
      <c r="Z133" s="20"/>
      <c r="AA133" s="20"/>
      <c r="AB133" s="270"/>
      <c r="AC133" s="269"/>
      <c r="AD133" s="20"/>
      <c r="AE133" s="20"/>
      <c r="AF133" s="20"/>
      <c r="AG133" s="20"/>
      <c r="AH133" s="20"/>
      <c r="AI133" s="20"/>
      <c r="AJ133" s="270"/>
      <c r="AK133" s="67">
        <v>292</v>
      </c>
      <c r="AL133" s="67">
        <v>1</v>
      </c>
      <c r="AO133" s="67">
        <f t="shared" si="30"/>
        <v>0</v>
      </c>
      <c r="AP133" s="67">
        <f t="shared" si="31"/>
        <v>0</v>
      </c>
      <c r="AQ133" s="67">
        <f t="shared" si="32"/>
        <v>0</v>
      </c>
      <c r="AR133" s="67">
        <f t="shared" si="33"/>
        <v>0</v>
      </c>
      <c r="AS133" s="67">
        <f t="shared" si="34"/>
        <v>0</v>
      </c>
      <c r="AT133" s="67">
        <f t="shared" si="35"/>
        <v>0</v>
      </c>
      <c r="AU133" s="67">
        <f t="shared" si="36"/>
        <v>0</v>
      </c>
      <c r="AV133" s="67">
        <f t="shared" si="37"/>
        <v>0</v>
      </c>
      <c r="AX133" s="256">
        <v>12</v>
      </c>
      <c r="AY133" s="67">
        <f t="shared" si="28"/>
        <v>60</v>
      </c>
      <c r="AZ133" s="76">
        <f t="shared" si="29"/>
        <v>0</v>
      </c>
      <c r="BA133" s="67">
        <f t="shared" si="38"/>
        <v>0</v>
      </c>
      <c r="BB133" s="76">
        <f t="shared" ref="BB133:BB196" si="41">BA133/AX133</f>
        <v>0</v>
      </c>
      <c r="BD133" s="67">
        <f t="shared" si="39"/>
        <v>0</v>
      </c>
      <c r="BE133" s="67">
        <f t="shared" si="40"/>
        <v>0</v>
      </c>
    </row>
    <row r="134" spans="1:57">
      <c r="A134" s="67">
        <v>293</v>
      </c>
      <c r="B134" s="67" t="s">
        <v>106</v>
      </c>
      <c r="C134" s="8" t="s">
        <v>349</v>
      </c>
      <c r="D134" s="67" t="s">
        <v>6</v>
      </c>
      <c r="E134" s="269" t="s">
        <v>555</v>
      </c>
      <c r="F134" s="20"/>
      <c r="G134" s="20"/>
      <c r="H134" s="5" t="s">
        <v>431</v>
      </c>
      <c r="I134" s="5" t="s">
        <v>431</v>
      </c>
      <c r="J134" s="5" t="s">
        <v>433</v>
      </c>
      <c r="K134" s="5" t="s">
        <v>561</v>
      </c>
      <c r="L134" s="270" t="s">
        <v>433</v>
      </c>
      <c r="M134" s="269" t="s">
        <v>433</v>
      </c>
      <c r="N134" s="5" t="s">
        <v>433</v>
      </c>
      <c r="O134" s="5" t="s">
        <v>433</v>
      </c>
      <c r="P134" s="5" t="s">
        <v>431</v>
      </c>
      <c r="Q134" s="20"/>
      <c r="R134" s="5" t="s">
        <v>555</v>
      </c>
      <c r="S134" s="5" t="s">
        <v>589</v>
      </c>
      <c r="T134" s="270"/>
      <c r="U134" s="269" t="s">
        <v>558</v>
      </c>
      <c r="V134" s="5" t="s">
        <v>432</v>
      </c>
      <c r="W134" s="20"/>
      <c r="X134" s="20"/>
      <c r="Y134" s="20"/>
      <c r="Z134" s="20"/>
      <c r="AA134" s="20" t="s">
        <v>577</v>
      </c>
      <c r="AB134" s="270" t="s">
        <v>577</v>
      </c>
      <c r="AC134" s="269" t="s">
        <v>590</v>
      </c>
      <c r="AD134" s="5" t="s">
        <v>565</v>
      </c>
      <c r="AE134" s="5" t="s">
        <v>565</v>
      </c>
      <c r="AF134" s="20"/>
      <c r="AG134" s="20"/>
      <c r="AH134" s="20"/>
      <c r="AI134" s="20"/>
      <c r="AJ134" s="270" t="s">
        <v>434</v>
      </c>
      <c r="AK134" s="67">
        <v>293</v>
      </c>
      <c r="AM134" s="67">
        <v>1</v>
      </c>
      <c r="AO134" s="67">
        <f t="shared" si="30"/>
        <v>0</v>
      </c>
      <c r="AP134" s="67">
        <f t="shared" si="31"/>
        <v>5</v>
      </c>
      <c r="AQ134" s="67">
        <f t="shared" si="32"/>
        <v>6</v>
      </c>
      <c r="AR134" s="67">
        <f t="shared" si="33"/>
        <v>11</v>
      </c>
      <c r="AS134" s="67">
        <f t="shared" si="34"/>
        <v>5</v>
      </c>
      <c r="AT134" s="67">
        <f t="shared" si="35"/>
        <v>8</v>
      </c>
      <c r="AU134" s="67">
        <f t="shared" si="36"/>
        <v>0</v>
      </c>
      <c r="AV134" s="67">
        <f t="shared" si="37"/>
        <v>35</v>
      </c>
      <c r="AX134" s="256">
        <v>31</v>
      </c>
      <c r="AY134" s="67">
        <f t="shared" si="28"/>
        <v>155</v>
      </c>
      <c r="AZ134" s="76">
        <f t="shared" si="29"/>
        <v>0.22580645161290322</v>
      </c>
      <c r="BA134" s="67">
        <f t="shared" si="38"/>
        <v>20</v>
      </c>
      <c r="BB134" s="76">
        <f t="shared" si="41"/>
        <v>0.64516129032258063</v>
      </c>
      <c r="BD134" s="67">
        <f t="shared" si="39"/>
        <v>12</v>
      </c>
      <c r="BE134" s="67">
        <f t="shared" si="40"/>
        <v>8</v>
      </c>
    </row>
    <row r="135" spans="1:57">
      <c r="A135" s="67">
        <v>299</v>
      </c>
      <c r="B135" s="67" t="s">
        <v>63</v>
      </c>
      <c r="C135" s="8" t="s">
        <v>346</v>
      </c>
      <c r="E135" s="269"/>
      <c r="F135" s="20"/>
      <c r="G135" s="20"/>
      <c r="H135" s="20"/>
      <c r="I135" s="20"/>
      <c r="J135" s="20"/>
      <c r="K135" s="20"/>
      <c r="L135" s="270"/>
      <c r="M135" s="269"/>
      <c r="N135" s="20"/>
      <c r="O135" s="20"/>
      <c r="P135" s="20"/>
      <c r="Q135" s="20"/>
      <c r="R135" s="20"/>
      <c r="S135" s="20"/>
      <c r="T135" s="270"/>
      <c r="U135" s="269"/>
      <c r="V135" s="20"/>
      <c r="W135" s="20"/>
      <c r="X135" s="20"/>
      <c r="Y135" s="20"/>
      <c r="Z135" s="20"/>
      <c r="AA135" s="20"/>
      <c r="AB135" s="270"/>
      <c r="AC135" s="269"/>
      <c r="AD135" s="20"/>
      <c r="AE135" s="20"/>
      <c r="AF135" s="20"/>
      <c r="AG135" s="20"/>
      <c r="AH135" s="20"/>
      <c r="AI135" s="20"/>
      <c r="AJ135" s="270"/>
      <c r="AK135" s="67">
        <v>299</v>
      </c>
      <c r="AL135" s="67">
        <v>1</v>
      </c>
      <c r="AO135" s="67">
        <f t="shared" si="30"/>
        <v>0</v>
      </c>
      <c r="AP135" s="67">
        <f t="shared" si="31"/>
        <v>0</v>
      </c>
      <c r="AQ135" s="67">
        <f t="shared" si="32"/>
        <v>0</v>
      </c>
      <c r="AR135" s="67">
        <f t="shared" si="33"/>
        <v>0</v>
      </c>
      <c r="AS135" s="67">
        <f t="shared" si="34"/>
        <v>0</v>
      </c>
      <c r="AT135" s="67">
        <f t="shared" si="35"/>
        <v>0</v>
      </c>
      <c r="AU135" s="67">
        <f t="shared" si="36"/>
        <v>0</v>
      </c>
      <c r="AV135" s="67">
        <f t="shared" si="37"/>
        <v>0</v>
      </c>
      <c r="AX135" s="256">
        <v>5</v>
      </c>
      <c r="AY135" s="67">
        <f t="shared" si="28"/>
        <v>25</v>
      </c>
      <c r="AZ135" s="76">
        <f t="shared" si="29"/>
        <v>0</v>
      </c>
      <c r="BA135" s="67">
        <f t="shared" si="38"/>
        <v>0</v>
      </c>
      <c r="BB135" s="76">
        <f t="shared" si="41"/>
        <v>0</v>
      </c>
      <c r="BD135" s="67">
        <f t="shared" si="39"/>
        <v>0</v>
      </c>
      <c r="BE135" s="67">
        <f t="shared" si="40"/>
        <v>0</v>
      </c>
    </row>
    <row r="136" spans="1:57">
      <c r="A136" s="67">
        <v>301</v>
      </c>
      <c r="B136" s="67" t="s">
        <v>123</v>
      </c>
      <c r="C136" s="8" t="s">
        <v>366</v>
      </c>
      <c r="D136" s="67" t="s">
        <v>42</v>
      </c>
      <c r="E136" s="269"/>
      <c r="F136" s="20"/>
      <c r="G136" s="5" t="s">
        <v>431</v>
      </c>
      <c r="H136" s="5"/>
      <c r="I136" s="5"/>
      <c r="J136" s="5"/>
      <c r="K136" s="20" t="s">
        <v>434</v>
      </c>
      <c r="L136" s="270" t="s">
        <v>433</v>
      </c>
      <c r="M136" s="269"/>
      <c r="N136" s="20" t="s">
        <v>433</v>
      </c>
      <c r="O136" s="20"/>
      <c r="P136" s="20"/>
      <c r="Q136" s="20"/>
      <c r="R136" s="20"/>
      <c r="S136" s="20"/>
      <c r="T136" s="270"/>
      <c r="U136" s="269"/>
      <c r="V136" s="20" t="s">
        <v>434</v>
      </c>
      <c r="W136" s="20" t="s">
        <v>435</v>
      </c>
      <c r="X136" s="20"/>
      <c r="Y136" s="20" t="s">
        <v>431</v>
      </c>
      <c r="Z136" s="5" t="s">
        <v>545</v>
      </c>
      <c r="AA136" s="5" t="s">
        <v>577</v>
      </c>
      <c r="AB136" s="270" t="s">
        <v>580</v>
      </c>
      <c r="AC136" s="269" t="s">
        <v>577</v>
      </c>
      <c r="AD136" s="5" t="s">
        <v>560</v>
      </c>
      <c r="AE136" s="20"/>
      <c r="AF136" s="20"/>
      <c r="AG136" s="20"/>
      <c r="AH136" s="20"/>
      <c r="AI136" s="20"/>
      <c r="AJ136" s="270" t="s">
        <v>434</v>
      </c>
      <c r="AK136" s="67">
        <v>301</v>
      </c>
      <c r="AM136" s="67">
        <v>1</v>
      </c>
      <c r="AO136" s="67">
        <f t="shared" si="30"/>
        <v>0</v>
      </c>
      <c r="AP136" s="67">
        <f t="shared" si="31"/>
        <v>2</v>
      </c>
      <c r="AQ136" s="67">
        <f t="shared" si="32"/>
        <v>3</v>
      </c>
      <c r="AR136" s="67">
        <f t="shared" si="33"/>
        <v>6</v>
      </c>
      <c r="AS136" s="67">
        <f t="shared" si="34"/>
        <v>8</v>
      </c>
      <c r="AT136" s="67">
        <f t="shared" si="35"/>
        <v>6</v>
      </c>
      <c r="AU136" s="67">
        <f t="shared" si="36"/>
        <v>0</v>
      </c>
      <c r="AV136" s="67">
        <f t="shared" si="37"/>
        <v>25</v>
      </c>
      <c r="AX136" s="256">
        <v>21</v>
      </c>
      <c r="AY136" s="67">
        <f t="shared" si="28"/>
        <v>105</v>
      </c>
      <c r="AZ136" s="76">
        <f t="shared" si="29"/>
        <v>0.23809523809523808</v>
      </c>
      <c r="BA136" s="67">
        <f t="shared" si="38"/>
        <v>13</v>
      </c>
      <c r="BB136" s="76">
        <f t="shared" si="41"/>
        <v>0.61904761904761907</v>
      </c>
      <c r="BD136" s="67">
        <f t="shared" si="39"/>
        <v>4</v>
      </c>
      <c r="BE136" s="67">
        <f t="shared" si="40"/>
        <v>9</v>
      </c>
    </row>
    <row r="137" spans="1:57">
      <c r="A137" s="67">
        <v>302</v>
      </c>
      <c r="B137" s="67" t="s">
        <v>41</v>
      </c>
      <c r="C137" s="8" t="s">
        <v>42</v>
      </c>
      <c r="D137" s="67" t="s">
        <v>42</v>
      </c>
      <c r="E137" s="269" t="s">
        <v>568</v>
      </c>
      <c r="F137" s="5" t="s">
        <v>549</v>
      </c>
      <c r="G137" s="5" t="s">
        <v>559</v>
      </c>
      <c r="H137" s="5" t="s">
        <v>435</v>
      </c>
      <c r="I137" s="20"/>
      <c r="J137" s="5" t="s">
        <v>577</v>
      </c>
      <c r="K137" s="5" t="s">
        <v>577</v>
      </c>
      <c r="L137" s="270" t="s">
        <v>577</v>
      </c>
      <c r="M137" s="269" t="s">
        <v>577</v>
      </c>
      <c r="N137" s="5" t="s">
        <v>577</v>
      </c>
      <c r="O137" s="5" t="s">
        <v>577</v>
      </c>
      <c r="P137" s="5" t="s">
        <v>559</v>
      </c>
      <c r="Q137" s="20"/>
      <c r="R137" s="5" t="s">
        <v>554</v>
      </c>
      <c r="S137" s="5" t="s">
        <v>567</v>
      </c>
      <c r="T137" s="270" t="s">
        <v>559</v>
      </c>
      <c r="U137" s="269" t="s">
        <v>432</v>
      </c>
      <c r="V137" s="5" t="s">
        <v>569</v>
      </c>
      <c r="W137" s="5" t="s">
        <v>567</v>
      </c>
      <c r="X137" s="5" t="s">
        <v>554</v>
      </c>
      <c r="Y137" s="5" t="s">
        <v>574</v>
      </c>
      <c r="Z137" s="5" t="s">
        <v>577</v>
      </c>
      <c r="AA137" s="5" t="s">
        <v>577</v>
      </c>
      <c r="AB137" s="270" t="s">
        <v>577</v>
      </c>
      <c r="AC137" s="269" t="s">
        <v>577</v>
      </c>
      <c r="AD137" s="5" t="s">
        <v>577</v>
      </c>
      <c r="AE137" s="5" t="s">
        <v>577</v>
      </c>
      <c r="AF137" s="5" t="s">
        <v>558</v>
      </c>
      <c r="AG137" s="5" t="s">
        <v>558</v>
      </c>
      <c r="AH137" s="5" t="s">
        <v>431</v>
      </c>
      <c r="AI137" s="5" t="s">
        <v>581</v>
      </c>
      <c r="AJ137" s="270" t="s">
        <v>432</v>
      </c>
      <c r="AK137" s="67">
        <v>302</v>
      </c>
      <c r="AM137" s="67">
        <v>1</v>
      </c>
      <c r="AO137" s="67">
        <f t="shared" si="30"/>
        <v>0</v>
      </c>
      <c r="AP137" s="67">
        <f t="shared" si="31"/>
        <v>10</v>
      </c>
      <c r="AQ137" s="67">
        <f t="shared" si="32"/>
        <v>27</v>
      </c>
      <c r="AR137" s="67">
        <f t="shared" si="33"/>
        <v>12</v>
      </c>
      <c r="AS137" s="67">
        <f t="shared" si="34"/>
        <v>20</v>
      </c>
      <c r="AT137" s="67">
        <f t="shared" si="35"/>
        <v>23</v>
      </c>
      <c r="AU137" s="67">
        <f t="shared" si="36"/>
        <v>0</v>
      </c>
      <c r="AV137" s="67">
        <f t="shared" si="37"/>
        <v>92</v>
      </c>
      <c r="AX137" s="256">
        <v>31</v>
      </c>
      <c r="AY137" s="67">
        <f t="shared" si="28"/>
        <v>155</v>
      </c>
      <c r="AZ137" s="76">
        <f t="shared" si="29"/>
        <v>0.59354838709677415</v>
      </c>
      <c r="BA137" s="67">
        <f t="shared" si="38"/>
        <v>30</v>
      </c>
      <c r="BB137" s="76">
        <f t="shared" si="41"/>
        <v>0.967741935483871</v>
      </c>
      <c r="BD137" s="67">
        <f t="shared" si="39"/>
        <v>14</v>
      </c>
      <c r="BE137" s="67">
        <f t="shared" si="40"/>
        <v>16</v>
      </c>
    </row>
    <row r="138" spans="1:57">
      <c r="A138" s="67">
        <v>303</v>
      </c>
      <c r="B138" s="67" t="s">
        <v>136</v>
      </c>
      <c r="C138" s="8" t="s">
        <v>12</v>
      </c>
      <c r="D138" s="67" t="s">
        <v>42</v>
      </c>
      <c r="E138" s="269"/>
      <c r="F138" s="20"/>
      <c r="G138" s="5" t="s">
        <v>549</v>
      </c>
      <c r="H138" s="5" t="s">
        <v>560</v>
      </c>
      <c r="I138" s="5" t="s">
        <v>549</v>
      </c>
      <c r="J138" s="5" t="s">
        <v>545</v>
      </c>
      <c r="K138" s="5" t="s">
        <v>560</v>
      </c>
      <c r="L138" s="270" t="s">
        <v>545</v>
      </c>
      <c r="M138" s="269" t="s">
        <v>545</v>
      </c>
      <c r="N138" s="5" t="s">
        <v>577</v>
      </c>
      <c r="O138" s="5" t="s">
        <v>580</v>
      </c>
      <c r="P138" s="5" t="s">
        <v>549</v>
      </c>
      <c r="Q138" s="5" t="s">
        <v>549</v>
      </c>
      <c r="R138" s="5" t="s">
        <v>431</v>
      </c>
      <c r="S138" s="5" t="s">
        <v>431</v>
      </c>
      <c r="T138" s="270"/>
      <c r="U138" s="269" t="s">
        <v>435</v>
      </c>
      <c r="V138" s="5" t="s">
        <v>435</v>
      </c>
      <c r="W138" s="5" t="s">
        <v>435</v>
      </c>
      <c r="X138" s="5" t="s">
        <v>434</v>
      </c>
      <c r="Y138" s="5" t="s">
        <v>568</v>
      </c>
      <c r="Z138" s="5" t="s">
        <v>580</v>
      </c>
      <c r="AA138" s="5" t="s">
        <v>577</v>
      </c>
      <c r="AB138" s="270" t="s">
        <v>577</v>
      </c>
      <c r="AC138" s="269" t="s">
        <v>580</v>
      </c>
      <c r="AD138" s="5" t="s">
        <v>560</v>
      </c>
      <c r="AE138" s="5" t="s">
        <v>577</v>
      </c>
      <c r="AF138" s="5" t="s">
        <v>558</v>
      </c>
      <c r="AG138" s="5" t="s">
        <v>560</v>
      </c>
      <c r="AH138" s="5" t="s">
        <v>434</v>
      </c>
      <c r="AI138" s="5" t="s">
        <v>560</v>
      </c>
      <c r="AJ138" s="270" t="s">
        <v>567</v>
      </c>
      <c r="AK138" s="67">
        <v>303</v>
      </c>
      <c r="AM138" s="67">
        <v>1</v>
      </c>
      <c r="AO138" s="67">
        <f t="shared" si="30"/>
        <v>0</v>
      </c>
      <c r="AP138" s="67">
        <f t="shared" si="31"/>
        <v>7</v>
      </c>
      <c r="AQ138" s="67">
        <f t="shared" si="32"/>
        <v>10</v>
      </c>
      <c r="AR138" s="67">
        <f t="shared" si="33"/>
        <v>10</v>
      </c>
      <c r="AS138" s="67">
        <f t="shared" si="34"/>
        <v>23</v>
      </c>
      <c r="AT138" s="67">
        <f t="shared" si="35"/>
        <v>23</v>
      </c>
      <c r="AU138" s="67">
        <f t="shared" si="36"/>
        <v>0</v>
      </c>
      <c r="AV138" s="67">
        <f t="shared" si="37"/>
        <v>73</v>
      </c>
      <c r="AX138" s="256">
        <v>32</v>
      </c>
      <c r="AY138" s="67">
        <f t="shared" si="28"/>
        <v>160</v>
      </c>
      <c r="AZ138" s="76">
        <f t="shared" si="29"/>
        <v>0.45624999999999999</v>
      </c>
      <c r="BA138" s="67">
        <f t="shared" si="38"/>
        <v>29</v>
      </c>
      <c r="BB138" s="76">
        <f t="shared" si="41"/>
        <v>0.90625</v>
      </c>
      <c r="BD138" s="67">
        <f t="shared" si="39"/>
        <v>13</v>
      </c>
      <c r="BE138" s="67">
        <f t="shared" si="40"/>
        <v>16</v>
      </c>
    </row>
    <row r="139" spans="1:57">
      <c r="A139" s="67">
        <v>304</v>
      </c>
      <c r="B139" s="67" t="s">
        <v>93</v>
      </c>
      <c r="C139" s="8" t="s">
        <v>12</v>
      </c>
      <c r="D139" s="67" t="s">
        <v>42</v>
      </c>
      <c r="E139" s="269"/>
      <c r="F139" s="5" t="s">
        <v>434</v>
      </c>
      <c r="G139" s="5" t="s">
        <v>549</v>
      </c>
      <c r="H139" s="5" t="s">
        <v>591</v>
      </c>
      <c r="I139" s="5" t="s">
        <v>567</v>
      </c>
      <c r="J139" s="5" t="s">
        <v>545</v>
      </c>
      <c r="K139" s="5" t="s">
        <v>577</v>
      </c>
      <c r="L139" s="270" t="s">
        <v>433</v>
      </c>
      <c r="M139" s="269" t="s">
        <v>592</v>
      </c>
      <c r="N139" s="5" t="s">
        <v>545</v>
      </c>
      <c r="O139" s="5" t="s">
        <v>593</v>
      </c>
      <c r="P139" s="5" t="s">
        <v>469</v>
      </c>
      <c r="Q139" s="5" t="s">
        <v>469</v>
      </c>
      <c r="R139" s="5" t="s">
        <v>549</v>
      </c>
      <c r="S139" s="5" t="s">
        <v>560</v>
      </c>
      <c r="T139" s="270"/>
      <c r="U139" s="269"/>
      <c r="V139" s="5" t="s">
        <v>568</v>
      </c>
      <c r="W139" s="5" t="s">
        <v>551</v>
      </c>
      <c r="X139" s="20"/>
      <c r="Y139" s="5" t="s">
        <v>594</v>
      </c>
      <c r="Z139" s="5" t="s">
        <v>577</v>
      </c>
      <c r="AA139" s="5" t="s">
        <v>577</v>
      </c>
      <c r="AB139" s="270" t="s">
        <v>577</v>
      </c>
      <c r="AC139" s="269" t="s">
        <v>565</v>
      </c>
      <c r="AD139" s="5" t="s">
        <v>577</v>
      </c>
      <c r="AE139" s="5" t="s">
        <v>577</v>
      </c>
      <c r="AF139" s="5" t="s">
        <v>559</v>
      </c>
      <c r="AG139" s="5" t="s">
        <v>469</v>
      </c>
      <c r="AH139" s="5" t="s">
        <v>567</v>
      </c>
      <c r="AI139" s="20"/>
      <c r="AJ139" s="270"/>
      <c r="AK139" s="67">
        <v>304</v>
      </c>
      <c r="AM139" s="67">
        <v>1</v>
      </c>
      <c r="AO139" s="67">
        <f t="shared" si="30"/>
        <v>0</v>
      </c>
      <c r="AP139" s="67">
        <f t="shared" si="31"/>
        <v>11</v>
      </c>
      <c r="AQ139" s="67">
        <f t="shared" si="32"/>
        <v>17</v>
      </c>
      <c r="AR139" s="67">
        <f t="shared" si="33"/>
        <v>12</v>
      </c>
      <c r="AS139" s="67">
        <f t="shared" si="34"/>
        <v>21</v>
      </c>
      <c r="AT139" s="67">
        <f t="shared" si="35"/>
        <v>18</v>
      </c>
      <c r="AU139" s="67">
        <f t="shared" si="36"/>
        <v>5</v>
      </c>
      <c r="AV139" s="67">
        <f t="shared" si="37"/>
        <v>84</v>
      </c>
      <c r="AX139" s="256">
        <v>28</v>
      </c>
      <c r="AY139" s="67">
        <f t="shared" si="28"/>
        <v>140</v>
      </c>
      <c r="AZ139" s="76">
        <f t="shared" si="29"/>
        <v>0.6</v>
      </c>
      <c r="BA139" s="8">
        <f t="shared" si="38"/>
        <v>26</v>
      </c>
      <c r="BB139" s="76">
        <f t="shared" si="41"/>
        <v>0.9285714285714286</v>
      </c>
      <c r="BD139" s="67">
        <f t="shared" si="39"/>
        <v>14</v>
      </c>
      <c r="BE139" s="67">
        <f t="shared" si="40"/>
        <v>12</v>
      </c>
    </row>
    <row r="140" spans="1:57">
      <c r="A140" s="67">
        <v>308</v>
      </c>
      <c r="B140" s="67" t="s">
        <v>123</v>
      </c>
      <c r="C140" s="8" t="s">
        <v>366</v>
      </c>
      <c r="D140" s="67" t="s">
        <v>6</v>
      </c>
      <c r="E140" s="269"/>
      <c r="F140" s="5" t="s">
        <v>567</v>
      </c>
      <c r="G140" s="5" t="s">
        <v>559</v>
      </c>
      <c r="H140" s="5" t="s">
        <v>559</v>
      </c>
      <c r="I140" s="5" t="s">
        <v>559</v>
      </c>
      <c r="J140" s="5" t="s">
        <v>590</v>
      </c>
      <c r="K140" s="5" t="s">
        <v>592</v>
      </c>
      <c r="L140" s="270"/>
      <c r="M140" s="269"/>
      <c r="N140" s="20"/>
      <c r="O140" s="5" t="s">
        <v>435</v>
      </c>
      <c r="P140" s="20"/>
      <c r="Q140" s="20"/>
      <c r="R140" s="20"/>
      <c r="S140" s="20"/>
      <c r="T140" s="270" t="s">
        <v>434</v>
      </c>
      <c r="U140" s="269"/>
      <c r="V140" s="20"/>
      <c r="W140" s="20"/>
      <c r="X140" s="20"/>
      <c r="Y140" s="5" t="s">
        <v>555</v>
      </c>
      <c r="Z140" s="5" t="s">
        <v>577</v>
      </c>
      <c r="AA140" s="5" t="s">
        <v>577</v>
      </c>
      <c r="AB140" s="270" t="s">
        <v>577</v>
      </c>
      <c r="AC140" s="269" t="s">
        <v>577</v>
      </c>
      <c r="AD140" s="5" t="s">
        <v>595</v>
      </c>
      <c r="AE140" s="5" t="s">
        <v>577</v>
      </c>
      <c r="AF140" s="5" t="s">
        <v>559</v>
      </c>
      <c r="AG140" s="20"/>
      <c r="AH140" s="20"/>
      <c r="AI140" s="20"/>
      <c r="AJ140" s="270"/>
      <c r="AK140" s="67">
        <v>308</v>
      </c>
      <c r="AM140" s="67">
        <v>1</v>
      </c>
      <c r="AO140" s="67">
        <f t="shared" si="30"/>
        <v>0</v>
      </c>
      <c r="AP140" s="67">
        <f t="shared" si="31"/>
        <v>6</v>
      </c>
      <c r="AQ140" s="67">
        <f t="shared" si="32"/>
        <v>11</v>
      </c>
      <c r="AR140" s="67">
        <f t="shared" si="33"/>
        <v>8</v>
      </c>
      <c r="AS140" s="67">
        <f t="shared" si="34"/>
        <v>13</v>
      </c>
      <c r="AT140" s="67">
        <f t="shared" si="35"/>
        <v>12</v>
      </c>
      <c r="AU140" s="67">
        <f t="shared" si="36"/>
        <v>0</v>
      </c>
      <c r="AV140" s="67">
        <f t="shared" si="37"/>
        <v>50</v>
      </c>
      <c r="AX140" s="256">
        <v>20</v>
      </c>
      <c r="AY140" s="67">
        <f t="shared" si="28"/>
        <v>100</v>
      </c>
      <c r="AZ140" s="76">
        <f t="shared" si="29"/>
        <v>0.5</v>
      </c>
      <c r="BA140" s="67">
        <f t="shared" si="38"/>
        <v>16</v>
      </c>
      <c r="BB140" s="76">
        <f t="shared" si="41"/>
        <v>0.8</v>
      </c>
      <c r="BD140" s="67">
        <f t="shared" si="39"/>
        <v>8</v>
      </c>
      <c r="BE140" s="67">
        <f t="shared" si="40"/>
        <v>8</v>
      </c>
    </row>
    <row r="141" spans="1:57">
      <c r="A141" s="67">
        <v>311</v>
      </c>
      <c r="B141" s="8" t="s">
        <v>130</v>
      </c>
      <c r="C141" s="8" t="s">
        <v>357</v>
      </c>
      <c r="E141" s="269"/>
      <c r="F141" s="20"/>
      <c r="G141" s="20"/>
      <c r="H141" s="20"/>
      <c r="I141" s="20"/>
      <c r="J141" s="20"/>
      <c r="K141" s="20"/>
      <c r="L141" s="270"/>
      <c r="M141" s="269"/>
      <c r="N141" s="5" t="s">
        <v>433</v>
      </c>
      <c r="O141" s="5" t="s">
        <v>433</v>
      </c>
      <c r="P141" s="20"/>
      <c r="Q141" s="20"/>
      <c r="R141" s="20"/>
      <c r="S141" s="20"/>
      <c r="T141" s="270"/>
      <c r="U141" s="269"/>
      <c r="V141" s="20"/>
      <c r="W141" s="5" t="s">
        <v>567</v>
      </c>
      <c r="X141" s="20"/>
      <c r="Y141" s="5" t="s">
        <v>431</v>
      </c>
      <c r="Z141" s="20"/>
      <c r="AA141" s="5" t="s">
        <v>577</v>
      </c>
      <c r="AB141" s="270" t="s">
        <v>577</v>
      </c>
      <c r="AC141" s="269" t="s">
        <v>565</v>
      </c>
      <c r="AD141" s="5" t="s">
        <v>577</v>
      </c>
      <c r="AE141" s="20"/>
      <c r="AF141" s="20"/>
      <c r="AG141" s="20"/>
      <c r="AH141" s="5" t="s">
        <v>431</v>
      </c>
      <c r="AI141" s="20"/>
      <c r="AJ141" s="270"/>
      <c r="AK141" s="67">
        <v>311</v>
      </c>
      <c r="AM141" s="67">
        <v>1</v>
      </c>
      <c r="AO141" s="67">
        <f t="shared" si="30"/>
        <v>0</v>
      </c>
      <c r="AP141" s="67">
        <f t="shared" si="31"/>
        <v>3</v>
      </c>
      <c r="AQ141" s="67">
        <f t="shared" si="32"/>
        <v>5</v>
      </c>
      <c r="AR141" s="67">
        <f t="shared" si="33"/>
        <v>6</v>
      </c>
      <c r="AS141" s="67">
        <f t="shared" si="34"/>
        <v>3</v>
      </c>
      <c r="AT141" s="67">
        <f t="shared" si="35"/>
        <v>3</v>
      </c>
      <c r="AU141" s="67">
        <f t="shared" si="36"/>
        <v>0</v>
      </c>
      <c r="AV141" s="67">
        <f t="shared" si="37"/>
        <v>20</v>
      </c>
      <c r="AX141" s="256">
        <v>19</v>
      </c>
      <c r="AY141" s="67">
        <f t="shared" si="28"/>
        <v>95</v>
      </c>
      <c r="AZ141" s="76">
        <f t="shared" si="29"/>
        <v>0.21052631578947367</v>
      </c>
      <c r="BA141" s="67">
        <f t="shared" si="38"/>
        <v>9</v>
      </c>
      <c r="BB141" s="76">
        <f t="shared" si="41"/>
        <v>0.47368421052631576</v>
      </c>
      <c r="BD141" s="67">
        <f t="shared" si="39"/>
        <v>2</v>
      </c>
      <c r="BE141" s="67">
        <f t="shared" si="40"/>
        <v>7</v>
      </c>
    </row>
    <row r="142" spans="1:57">
      <c r="A142" s="67">
        <v>315</v>
      </c>
      <c r="B142" s="8" t="s">
        <v>71</v>
      </c>
      <c r="C142" s="8" t="s">
        <v>366</v>
      </c>
      <c r="D142" s="67" t="s">
        <v>42</v>
      </c>
      <c r="E142" s="269" t="s">
        <v>559</v>
      </c>
      <c r="F142" s="5" t="s">
        <v>559</v>
      </c>
      <c r="G142" s="5" t="s">
        <v>559</v>
      </c>
      <c r="H142" s="5" t="s">
        <v>559</v>
      </c>
      <c r="I142" s="5" t="s">
        <v>559</v>
      </c>
      <c r="J142" s="5" t="s">
        <v>577</v>
      </c>
      <c r="K142" s="5" t="s">
        <v>577</v>
      </c>
      <c r="L142" s="270"/>
      <c r="M142" s="269" t="s">
        <v>577</v>
      </c>
      <c r="N142" s="5" t="s">
        <v>577</v>
      </c>
      <c r="O142" s="5" t="s">
        <v>577</v>
      </c>
      <c r="P142" s="5" t="s">
        <v>431</v>
      </c>
      <c r="Q142" s="20"/>
      <c r="R142" s="5"/>
      <c r="S142" s="5" t="s">
        <v>434</v>
      </c>
      <c r="T142" s="270" t="s">
        <v>562</v>
      </c>
      <c r="U142" s="269"/>
      <c r="V142" s="5" t="s">
        <v>578</v>
      </c>
      <c r="W142" s="5" t="s">
        <v>559</v>
      </c>
      <c r="X142" s="5" t="s">
        <v>435</v>
      </c>
      <c r="Y142" s="5" t="s">
        <v>558</v>
      </c>
      <c r="Z142" s="5" t="s">
        <v>577</v>
      </c>
      <c r="AA142" s="5" t="s">
        <v>577</v>
      </c>
      <c r="AB142" s="270" t="s">
        <v>577</v>
      </c>
      <c r="AC142" s="269"/>
      <c r="AD142" s="20"/>
      <c r="AE142" s="20"/>
      <c r="AF142" s="20"/>
      <c r="AG142" s="20"/>
      <c r="AH142" s="5" t="s">
        <v>559</v>
      </c>
      <c r="AI142" s="20" t="s">
        <v>559</v>
      </c>
      <c r="AJ142" s="270"/>
      <c r="AK142" s="67">
        <v>315</v>
      </c>
      <c r="AM142" s="67">
        <v>1</v>
      </c>
      <c r="AO142" s="67">
        <f t="shared" si="30"/>
        <v>0</v>
      </c>
      <c r="AP142" s="67">
        <f t="shared" si="31"/>
        <v>10</v>
      </c>
      <c r="AQ142" s="67">
        <f t="shared" si="32"/>
        <v>19</v>
      </c>
      <c r="AR142" s="67">
        <f t="shared" si="33"/>
        <v>8</v>
      </c>
      <c r="AS142" s="67">
        <f t="shared" si="34"/>
        <v>19</v>
      </c>
      <c r="AT142" s="67">
        <f t="shared" si="35"/>
        <v>19</v>
      </c>
      <c r="AU142" s="67">
        <f t="shared" si="36"/>
        <v>0</v>
      </c>
      <c r="AV142" s="67">
        <f t="shared" si="37"/>
        <v>75</v>
      </c>
      <c r="AX142" s="256">
        <v>26</v>
      </c>
      <c r="AY142" s="67">
        <f t="shared" si="28"/>
        <v>130</v>
      </c>
      <c r="AZ142" s="76">
        <f t="shared" si="29"/>
        <v>0.57692307692307687</v>
      </c>
      <c r="BA142" s="67">
        <f t="shared" si="38"/>
        <v>22</v>
      </c>
      <c r="BB142" s="76">
        <f t="shared" si="41"/>
        <v>0.84615384615384615</v>
      </c>
      <c r="BD142" s="67">
        <f t="shared" si="39"/>
        <v>13</v>
      </c>
      <c r="BE142" s="67">
        <f t="shared" si="40"/>
        <v>9</v>
      </c>
    </row>
    <row r="143" spans="1:57">
      <c r="A143" s="67">
        <v>321</v>
      </c>
      <c r="B143" s="8" t="s">
        <v>54</v>
      </c>
      <c r="C143" s="8" t="s">
        <v>345</v>
      </c>
      <c r="E143" s="269"/>
      <c r="F143" s="20"/>
      <c r="G143" s="20"/>
      <c r="H143" s="20"/>
      <c r="I143" s="20"/>
      <c r="J143" s="20"/>
      <c r="K143" s="20"/>
      <c r="L143" s="270"/>
      <c r="M143" s="269"/>
      <c r="N143" s="20"/>
      <c r="O143" s="20"/>
      <c r="P143" s="20"/>
      <c r="Q143" s="20"/>
      <c r="R143" s="20"/>
      <c r="S143" s="20"/>
      <c r="T143" s="270"/>
      <c r="U143" s="269"/>
      <c r="V143" s="20"/>
      <c r="W143" s="20"/>
      <c r="X143" s="20"/>
      <c r="Y143" s="20"/>
      <c r="Z143" s="20"/>
      <c r="AA143" s="20"/>
      <c r="AB143" s="270"/>
      <c r="AC143" s="269"/>
      <c r="AD143" s="20"/>
      <c r="AE143" s="20"/>
      <c r="AF143" s="20"/>
      <c r="AG143" s="20"/>
      <c r="AH143" s="20"/>
      <c r="AI143" s="20"/>
      <c r="AJ143" s="270"/>
      <c r="AK143" s="67">
        <v>321</v>
      </c>
      <c r="AL143" s="67">
        <v>1</v>
      </c>
      <c r="AO143" s="67">
        <f t="shared" si="30"/>
        <v>0</v>
      </c>
      <c r="AP143" s="67">
        <f t="shared" si="31"/>
        <v>0</v>
      </c>
      <c r="AQ143" s="67">
        <f t="shared" si="32"/>
        <v>0</v>
      </c>
      <c r="AR143" s="67">
        <f t="shared" si="33"/>
        <v>0</v>
      </c>
      <c r="AS143" s="67">
        <f t="shared" si="34"/>
        <v>0</v>
      </c>
      <c r="AT143" s="67">
        <f t="shared" si="35"/>
        <v>0</v>
      </c>
      <c r="AU143" s="67">
        <f t="shared" si="36"/>
        <v>0</v>
      </c>
      <c r="AV143" s="67">
        <f t="shared" si="37"/>
        <v>0</v>
      </c>
      <c r="AX143" s="256">
        <v>7</v>
      </c>
      <c r="AY143" s="67">
        <f t="shared" si="28"/>
        <v>35</v>
      </c>
      <c r="AZ143" s="76">
        <f t="shared" si="29"/>
        <v>0</v>
      </c>
      <c r="BA143" s="67">
        <f t="shared" si="38"/>
        <v>0</v>
      </c>
      <c r="BB143" s="76">
        <f t="shared" si="41"/>
        <v>0</v>
      </c>
      <c r="BD143" s="67">
        <f t="shared" si="39"/>
        <v>0</v>
      </c>
      <c r="BE143" s="67">
        <f t="shared" si="40"/>
        <v>0</v>
      </c>
    </row>
    <row r="144" spans="1:57">
      <c r="A144" s="67">
        <v>331</v>
      </c>
      <c r="B144" s="8" t="s">
        <v>240</v>
      </c>
      <c r="C144" s="8" t="s">
        <v>42</v>
      </c>
      <c r="D144" s="67" t="s">
        <v>42</v>
      </c>
      <c r="E144" s="269"/>
      <c r="F144" s="20"/>
      <c r="G144" s="20"/>
      <c r="H144" s="5" t="s">
        <v>567</v>
      </c>
      <c r="I144" s="20"/>
      <c r="J144" s="20"/>
      <c r="K144" s="20"/>
      <c r="L144" s="270" t="s">
        <v>595</v>
      </c>
      <c r="M144" s="269" t="s">
        <v>577</v>
      </c>
      <c r="N144" s="20"/>
      <c r="O144" s="5" t="s">
        <v>433</v>
      </c>
      <c r="P144" s="20"/>
      <c r="Q144" s="20"/>
      <c r="R144" s="20"/>
      <c r="S144" s="20"/>
      <c r="T144" s="270"/>
      <c r="U144" s="269" t="s">
        <v>555</v>
      </c>
      <c r="V144" s="20"/>
      <c r="W144" s="5" t="s">
        <v>581</v>
      </c>
      <c r="X144" s="20" t="s">
        <v>432</v>
      </c>
      <c r="Y144" s="5" t="s">
        <v>432</v>
      </c>
      <c r="Z144" s="20"/>
      <c r="AA144" s="5" t="s">
        <v>432</v>
      </c>
      <c r="AB144" s="270" t="s">
        <v>432</v>
      </c>
      <c r="AC144" s="269" t="s">
        <v>577</v>
      </c>
      <c r="AD144" s="5" t="s">
        <v>590</v>
      </c>
      <c r="AE144" s="5" t="s">
        <v>577</v>
      </c>
      <c r="AF144" s="5" t="s">
        <v>567</v>
      </c>
      <c r="AG144" s="5" t="s">
        <v>431</v>
      </c>
      <c r="AH144" s="20"/>
      <c r="AI144" s="5" t="s">
        <v>559</v>
      </c>
      <c r="AJ144" s="270" t="s">
        <v>574</v>
      </c>
      <c r="AK144" s="67">
        <v>331</v>
      </c>
      <c r="AM144" s="67">
        <v>1</v>
      </c>
      <c r="AO144" s="67">
        <f t="shared" si="30"/>
        <v>0</v>
      </c>
      <c r="AP144" s="67">
        <f t="shared" si="31"/>
        <v>6</v>
      </c>
      <c r="AQ144" s="67">
        <f t="shared" si="32"/>
        <v>13</v>
      </c>
      <c r="AR144" s="67">
        <f t="shared" si="33"/>
        <v>6</v>
      </c>
      <c r="AS144" s="67">
        <f t="shared" si="34"/>
        <v>6</v>
      </c>
      <c r="AT144" s="67">
        <f t="shared" si="35"/>
        <v>7</v>
      </c>
      <c r="AU144" s="67">
        <f t="shared" si="36"/>
        <v>0</v>
      </c>
      <c r="AV144" s="67">
        <f t="shared" si="37"/>
        <v>38</v>
      </c>
      <c r="AX144" s="256">
        <v>24</v>
      </c>
      <c r="AY144" s="67">
        <f t="shared" si="28"/>
        <v>120</v>
      </c>
      <c r="AZ144" s="76">
        <f t="shared" si="29"/>
        <v>0.31666666666666665</v>
      </c>
      <c r="BA144" s="67">
        <f t="shared" si="38"/>
        <v>17</v>
      </c>
      <c r="BB144" s="76">
        <f t="shared" si="41"/>
        <v>0.70833333333333337</v>
      </c>
      <c r="BD144" s="67">
        <f t="shared" si="39"/>
        <v>4</v>
      </c>
      <c r="BE144" s="67">
        <f t="shared" si="40"/>
        <v>13</v>
      </c>
    </row>
    <row r="145" spans="1:57">
      <c r="A145" s="8">
        <v>334</v>
      </c>
      <c r="B145" s="8" t="s">
        <v>5</v>
      </c>
      <c r="C145" s="8" t="s">
        <v>42</v>
      </c>
      <c r="D145" s="8" t="s">
        <v>6</v>
      </c>
      <c r="E145" s="269"/>
      <c r="F145" s="20"/>
      <c r="G145" s="5"/>
      <c r="H145" s="20"/>
      <c r="I145" s="20"/>
      <c r="J145" s="20"/>
      <c r="K145" s="20" t="s">
        <v>432</v>
      </c>
      <c r="L145" s="270" t="s">
        <v>433</v>
      </c>
      <c r="M145" s="269" t="s">
        <v>433</v>
      </c>
      <c r="N145" s="5" t="s">
        <v>433</v>
      </c>
      <c r="O145" s="20"/>
      <c r="P145" s="20"/>
      <c r="Q145" s="5" t="s">
        <v>435</v>
      </c>
      <c r="R145" s="5" t="s">
        <v>549</v>
      </c>
      <c r="S145" s="20"/>
      <c r="T145" s="270"/>
      <c r="U145" s="269"/>
      <c r="V145" s="20" t="s">
        <v>559</v>
      </c>
      <c r="W145" s="5" t="s">
        <v>559</v>
      </c>
      <c r="X145" s="20" t="s">
        <v>432</v>
      </c>
      <c r="Y145" s="5" t="s">
        <v>432</v>
      </c>
      <c r="Z145" s="5" t="s">
        <v>432</v>
      </c>
      <c r="AA145" s="5" t="s">
        <v>432</v>
      </c>
      <c r="AB145" s="270" t="s">
        <v>432</v>
      </c>
      <c r="AC145" s="269" t="s">
        <v>577</v>
      </c>
      <c r="AD145" s="5" t="s">
        <v>557</v>
      </c>
      <c r="AE145" s="20"/>
      <c r="AF145" s="20"/>
      <c r="AG145" s="20"/>
      <c r="AH145" s="20" t="s">
        <v>431</v>
      </c>
      <c r="AI145" s="20" t="s">
        <v>568</v>
      </c>
      <c r="AJ145" s="270"/>
      <c r="AK145" s="8">
        <v>334</v>
      </c>
      <c r="AM145" s="8">
        <v>1</v>
      </c>
      <c r="AO145" s="67">
        <f t="shared" si="30"/>
        <v>0</v>
      </c>
      <c r="AP145" s="67">
        <f t="shared" si="31"/>
        <v>4</v>
      </c>
      <c r="AQ145" s="67">
        <f t="shared" si="32"/>
        <v>11</v>
      </c>
      <c r="AR145" s="67">
        <f t="shared" si="33"/>
        <v>4</v>
      </c>
      <c r="AS145" s="67">
        <f t="shared" si="34"/>
        <v>6</v>
      </c>
      <c r="AT145" s="67">
        <f t="shared" si="35"/>
        <v>5</v>
      </c>
      <c r="AU145" s="67">
        <f t="shared" si="36"/>
        <v>0</v>
      </c>
      <c r="AV145" s="67">
        <f t="shared" si="37"/>
        <v>30</v>
      </c>
      <c r="AX145" s="256">
        <v>28</v>
      </c>
      <c r="AY145" s="67">
        <f t="shared" si="28"/>
        <v>140</v>
      </c>
      <c r="AZ145" s="76">
        <f t="shared" si="29"/>
        <v>0.21428571428571427</v>
      </c>
      <c r="BA145" s="67">
        <f t="shared" si="38"/>
        <v>17</v>
      </c>
      <c r="BB145" s="76">
        <f t="shared" si="41"/>
        <v>0.6071428571428571</v>
      </c>
      <c r="BD145" s="67">
        <f t="shared" si="39"/>
        <v>6</v>
      </c>
      <c r="BE145" s="67">
        <f t="shared" si="40"/>
        <v>11</v>
      </c>
    </row>
    <row r="146" spans="1:57">
      <c r="A146" s="67">
        <v>335</v>
      </c>
      <c r="B146" s="8" t="s">
        <v>74</v>
      </c>
      <c r="C146" s="8" t="s">
        <v>346</v>
      </c>
      <c r="E146" s="269"/>
      <c r="F146" s="20"/>
      <c r="G146" s="20"/>
      <c r="H146" s="20"/>
      <c r="I146" s="20"/>
      <c r="J146" s="20"/>
      <c r="K146" s="20"/>
      <c r="L146" s="270"/>
      <c r="M146" s="269"/>
      <c r="N146" s="20"/>
      <c r="O146" s="20"/>
      <c r="P146" s="20"/>
      <c r="Q146" s="20"/>
      <c r="R146" s="20"/>
      <c r="S146" s="20"/>
      <c r="T146" s="270"/>
      <c r="U146" s="269"/>
      <c r="V146" s="20"/>
      <c r="W146" s="20"/>
      <c r="X146" s="20"/>
      <c r="Y146" s="20"/>
      <c r="Z146" s="20"/>
      <c r="AA146" s="20"/>
      <c r="AB146" s="270"/>
      <c r="AC146" s="269"/>
      <c r="AD146" s="20"/>
      <c r="AE146" s="20"/>
      <c r="AF146" s="20"/>
      <c r="AG146" s="20"/>
      <c r="AH146" s="20"/>
      <c r="AI146" s="20"/>
      <c r="AJ146" s="270"/>
      <c r="AK146" s="67">
        <v>335</v>
      </c>
      <c r="AL146" s="67">
        <v>1</v>
      </c>
      <c r="AO146" s="67">
        <f t="shared" si="30"/>
        <v>0</v>
      </c>
      <c r="AP146" s="67">
        <f t="shared" si="31"/>
        <v>0</v>
      </c>
      <c r="AQ146" s="67">
        <f t="shared" si="32"/>
        <v>0</v>
      </c>
      <c r="AR146" s="67">
        <f t="shared" si="33"/>
        <v>0</v>
      </c>
      <c r="AS146" s="67">
        <f t="shared" si="34"/>
        <v>0</v>
      </c>
      <c r="AT146" s="67">
        <f t="shared" si="35"/>
        <v>0</v>
      </c>
      <c r="AU146" s="67">
        <f t="shared" si="36"/>
        <v>0</v>
      </c>
      <c r="AV146" s="67">
        <f t="shared" si="37"/>
        <v>0</v>
      </c>
      <c r="AX146" s="256">
        <v>8</v>
      </c>
      <c r="AY146" s="67">
        <f t="shared" si="28"/>
        <v>40</v>
      </c>
      <c r="AZ146" s="76">
        <f t="shared" si="29"/>
        <v>0</v>
      </c>
      <c r="BA146" s="67">
        <f t="shared" si="38"/>
        <v>0</v>
      </c>
      <c r="BB146" s="76">
        <f t="shared" si="41"/>
        <v>0</v>
      </c>
      <c r="BD146" s="67">
        <f t="shared" si="39"/>
        <v>0</v>
      </c>
      <c r="BE146" s="67">
        <f t="shared" si="40"/>
        <v>0</v>
      </c>
    </row>
    <row r="147" spans="1:57">
      <c r="A147" s="67">
        <v>336</v>
      </c>
      <c r="B147" s="8" t="s">
        <v>55</v>
      </c>
      <c r="C147" s="8" t="s">
        <v>346</v>
      </c>
      <c r="E147" s="269"/>
      <c r="F147" s="20"/>
      <c r="G147" s="20"/>
      <c r="H147" s="20"/>
      <c r="I147" s="20"/>
      <c r="J147" s="20"/>
      <c r="K147" s="20"/>
      <c r="L147" s="270"/>
      <c r="M147" s="269"/>
      <c r="N147" s="20"/>
      <c r="O147" s="20"/>
      <c r="P147" s="20"/>
      <c r="Q147" s="20"/>
      <c r="R147" s="20"/>
      <c r="S147" s="20"/>
      <c r="T147" s="270"/>
      <c r="U147" s="269"/>
      <c r="V147" s="20"/>
      <c r="W147" s="20"/>
      <c r="X147" s="20"/>
      <c r="Y147" s="20"/>
      <c r="Z147" s="20"/>
      <c r="AA147" s="20"/>
      <c r="AB147" s="270"/>
      <c r="AC147" s="269"/>
      <c r="AD147" s="20"/>
      <c r="AE147" s="20"/>
      <c r="AF147" s="20"/>
      <c r="AG147" s="20"/>
      <c r="AH147" s="20"/>
      <c r="AI147" s="20"/>
      <c r="AJ147" s="270"/>
      <c r="AK147" s="67">
        <v>336</v>
      </c>
      <c r="AL147" s="67">
        <v>1</v>
      </c>
      <c r="AO147" s="67">
        <f t="shared" si="30"/>
        <v>0</v>
      </c>
      <c r="AP147" s="67">
        <f t="shared" si="31"/>
        <v>0</v>
      </c>
      <c r="AQ147" s="67">
        <f t="shared" si="32"/>
        <v>0</v>
      </c>
      <c r="AR147" s="67">
        <f t="shared" si="33"/>
        <v>0</v>
      </c>
      <c r="AS147" s="67">
        <f t="shared" si="34"/>
        <v>0</v>
      </c>
      <c r="AT147" s="67">
        <f t="shared" si="35"/>
        <v>0</v>
      </c>
      <c r="AU147" s="67">
        <f t="shared" si="36"/>
        <v>0</v>
      </c>
      <c r="AV147" s="67">
        <f t="shared" si="37"/>
        <v>0</v>
      </c>
      <c r="AX147" s="256">
        <v>16</v>
      </c>
      <c r="AY147" s="67">
        <f t="shared" si="28"/>
        <v>80</v>
      </c>
      <c r="AZ147" s="76">
        <f t="shared" si="29"/>
        <v>0</v>
      </c>
      <c r="BA147" s="67">
        <f t="shared" si="38"/>
        <v>0</v>
      </c>
      <c r="BB147" s="76">
        <f t="shared" si="41"/>
        <v>0</v>
      </c>
      <c r="BD147" s="67">
        <f t="shared" si="39"/>
        <v>0</v>
      </c>
      <c r="BE147" s="67">
        <f t="shared" si="40"/>
        <v>0</v>
      </c>
    </row>
    <row r="148" spans="1:57">
      <c r="A148" s="67">
        <v>339</v>
      </c>
      <c r="B148" s="8" t="s">
        <v>91</v>
      </c>
      <c r="C148" s="8" t="s">
        <v>470</v>
      </c>
      <c r="D148" s="67" t="s">
        <v>42</v>
      </c>
      <c r="E148" s="269" t="s">
        <v>559</v>
      </c>
      <c r="F148" s="5" t="s">
        <v>549</v>
      </c>
      <c r="G148" s="5" t="s">
        <v>549</v>
      </c>
      <c r="H148" s="5" t="s">
        <v>549</v>
      </c>
      <c r="I148" s="5" t="s">
        <v>549</v>
      </c>
      <c r="J148" s="5" t="s">
        <v>590</v>
      </c>
      <c r="K148" s="5" t="s">
        <v>590</v>
      </c>
      <c r="L148" s="270" t="s">
        <v>590</v>
      </c>
      <c r="M148" s="269"/>
      <c r="N148" s="5" t="s">
        <v>590</v>
      </c>
      <c r="O148" s="5" t="s">
        <v>590</v>
      </c>
      <c r="P148" s="5" t="s">
        <v>549</v>
      </c>
      <c r="Q148" s="5" t="s">
        <v>549</v>
      </c>
      <c r="R148" s="5" t="s">
        <v>549</v>
      </c>
      <c r="S148" s="5" t="s">
        <v>549</v>
      </c>
      <c r="T148" s="270"/>
      <c r="U148" s="269" t="s">
        <v>562</v>
      </c>
      <c r="V148" s="5" t="s">
        <v>432</v>
      </c>
      <c r="W148" s="5" t="s">
        <v>557</v>
      </c>
      <c r="X148" s="5" t="s">
        <v>432</v>
      </c>
      <c r="Y148" s="5" t="s">
        <v>569</v>
      </c>
      <c r="Z148" s="5" t="s">
        <v>577</v>
      </c>
      <c r="AA148" s="5" t="s">
        <v>577</v>
      </c>
      <c r="AB148" s="270" t="s">
        <v>577</v>
      </c>
      <c r="AC148" s="269" t="s">
        <v>558</v>
      </c>
      <c r="AD148" s="5" t="s">
        <v>577</v>
      </c>
      <c r="AE148" s="5" t="s">
        <v>558</v>
      </c>
      <c r="AF148" s="5" t="s">
        <v>558</v>
      </c>
      <c r="AG148" s="5" t="s">
        <v>558</v>
      </c>
      <c r="AH148" s="5" t="s">
        <v>558</v>
      </c>
      <c r="AI148" s="5" t="s">
        <v>432</v>
      </c>
      <c r="AJ148" s="270" t="s">
        <v>562</v>
      </c>
      <c r="AK148" s="67">
        <v>339</v>
      </c>
      <c r="AM148" s="67">
        <v>1</v>
      </c>
      <c r="AO148" s="67">
        <f t="shared" si="30"/>
        <v>0</v>
      </c>
      <c r="AP148" s="67">
        <f t="shared" si="31"/>
        <v>9</v>
      </c>
      <c r="AQ148" s="67">
        <f t="shared" si="32"/>
        <v>17</v>
      </c>
      <c r="AR148" s="67">
        <f t="shared" si="33"/>
        <v>9</v>
      </c>
      <c r="AS148" s="67">
        <f t="shared" si="34"/>
        <v>25</v>
      </c>
      <c r="AT148" s="67">
        <f t="shared" si="35"/>
        <v>26</v>
      </c>
      <c r="AU148" s="67">
        <f t="shared" si="36"/>
        <v>0</v>
      </c>
      <c r="AV148" s="67">
        <f t="shared" si="37"/>
        <v>86</v>
      </c>
      <c r="AX148" s="256">
        <v>31</v>
      </c>
      <c r="AY148" s="67">
        <f t="shared" si="28"/>
        <v>155</v>
      </c>
      <c r="AZ148" s="76">
        <f t="shared" si="29"/>
        <v>0.55483870967741933</v>
      </c>
      <c r="BA148" s="67">
        <f t="shared" si="38"/>
        <v>30</v>
      </c>
      <c r="BB148" s="76">
        <f t="shared" si="41"/>
        <v>0.967741935483871</v>
      </c>
      <c r="BD148" s="67">
        <f t="shared" si="39"/>
        <v>14</v>
      </c>
      <c r="BE148" s="67">
        <f t="shared" si="40"/>
        <v>16</v>
      </c>
    </row>
    <row r="149" spans="1:57">
      <c r="A149" s="67">
        <v>340</v>
      </c>
      <c r="B149" s="8" t="s">
        <v>44</v>
      </c>
      <c r="C149" s="8" t="s">
        <v>349</v>
      </c>
      <c r="D149" s="8" t="s">
        <v>6</v>
      </c>
      <c r="E149" s="269"/>
      <c r="F149" s="20"/>
      <c r="G149" s="20"/>
      <c r="H149" s="20"/>
      <c r="I149" s="20"/>
      <c r="J149" s="20"/>
      <c r="K149" s="20"/>
      <c r="L149" s="270"/>
      <c r="M149" s="269"/>
      <c r="N149" s="20"/>
      <c r="O149" s="20"/>
      <c r="P149" s="20"/>
      <c r="Q149" s="20"/>
      <c r="R149" s="20"/>
      <c r="S149" s="20"/>
      <c r="T149" s="270"/>
      <c r="U149" s="269"/>
      <c r="V149" s="20"/>
      <c r="W149" s="20"/>
      <c r="X149" s="20"/>
      <c r="Y149" s="5" t="s">
        <v>431</v>
      </c>
      <c r="Z149" s="20" t="s">
        <v>565</v>
      </c>
      <c r="AA149" s="5" t="s">
        <v>433</v>
      </c>
      <c r="AB149" s="270"/>
      <c r="AC149" s="269"/>
      <c r="AD149" s="5" t="s">
        <v>565</v>
      </c>
      <c r="AE149" s="20"/>
      <c r="AF149" s="20" t="s">
        <v>555</v>
      </c>
      <c r="AG149" s="20"/>
      <c r="AH149" s="20"/>
      <c r="AI149" s="20"/>
      <c r="AJ149" s="270"/>
      <c r="AK149" s="67">
        <v>340</v>
      </c>
      <c r="AM149" s="67">
        <v>1</v>
      </c>
      <c r="AO149" s="67">
        <f t="shared" si="30"/>
        <v>0</v>
      </c>
      <c r="AP149" s="67">
        <f t="shared" si="31"/>
        <v>2</v>
      </c>
      <c r="AQ149" s="67">
        <f t="shared" si="32"/>
        <v>2</v>
      </c>
      <c r="AR149" s="67">
        <f t="shared" si="33"/>
        <v>3</v>
      </c>
      <c r="AS149" s="67">
        <f t="shared" si="34"/>
        <v>0</v>
      </c>
      <c r="AT149" s="67">
        <f t="shared" si="35"/>
        <v>1</v>
      </c>
      <c r="AU149" s="67">
        <f t="shared" si="36"/>
        <v>0</v>
      </c>
      <c r="AV149" s="67">
        <f t="shared" si="37"/>
        <v>8</v>
      </c>
      <c r="AX149" s="256">
        <v>10</v>
      </c>
      <c r="AY149" s="67">
        <f t="shared" si="28"/>
        <v>50</v>
      </c>
      <c r="AZ149" s="76">
        <f t="shared" si="29"/>
        <v>0.16</v>
      </c>
      <c r="BA149" s="67">
        <f t="shared" si="38"/>
        <v>5</v>
      </c>
      <c r="BB149" s="76">
        <f t="shared" si="41"/>
        <v>0.5</v>
      </c>
      <c r="BD149" s="67">
        <f t="shared" si="39"/>
        <v>0</v>
      </c>
      <c r="BE149" s="67">
        <f t="shared" si="40"/>
        <v>5</v>
      </c>
    </row>
    <row r="150" spans="1:57">
      <c r="A150" s="67">
        <v>343</v>
      </c>
      <c r="B150" s="8" t="s">
        <v>216</v>
      </c>
      <c r="C150" s="8" t="s">
        <v>42</v>
      </c>
      <c r="D150" s="8" t="s">
        <v>6</v>
      </c>
      <c r="E150" s="269" t="s">
        <v>434</v>
      </c>
      <c r="F150" s="5" t="s">
        <v>549</v>
      </c>
      <c r="G150" s="5" t="s">
        <v>548</v>
      </c>
      <c r="H150" s="20"/>
      <c r="I150" s="5" t="s">
        <v>431</v>
      </c>
      <c r="J150" s="5" t="s">
        <v>433</v>
      </c>
      <c r="K150" s="5" t="s">
        <v>434</v>
      </c>
      <c r="L150" s="270" t="s">
        <v>435</v>
      </c>
      <c r="M150" s="269" t="s">
        <v>432</v>
      </c>
      <c r="N150" s="5" t="s">
        <v>434</v>
      </c>
      <c r="O150" s="5" t="s">
        <v>433</v>
      </c>
      <c r="P150" s="5" t="s">
        <v>555</v>
      </c>
      <c r="Q150" s="5" t="s">
        <v>549</v>
      </c>
      <c r="R150" s="5" t="s">
        <v>559</v>
      </c>
      <c r="S150" s="5" t="s">
        <v>549</v>
      </c>
      <c r="T150" s="270"/>
      <c r="U150" s="269"/>
      <c r="V150" s="5" t="s">
        <v>435</v>
      </c>
      <c r="W150" s="5" t="s">
        <v>559</v>
      </c>
      <c r="X150" s="5" t="s">
        <v>434</v>
      </c>
      <c r="Y150" s="5" t="s">
        <v>574</v>
      </c>
      <c r="Z150" s="5" t="s">
        <v>579</v>
      </c>
      <c r="AA150" s="5" t="s">
        <v>558</v>
      </c>
      <c r="AB150" s="270" t="s">
        <v>434</v>
      </c>
      <c r="AC150" s="269" t="s">
        <v>577</v>
      </c>
      <c r="AD150" s="5" t="s">
        <v>596</v>
      </c>
      <c r="AE150" s="5" t="s">
        <v>595</v>
      </c>
      <c r="AF150" s="5" t="s">
        <v>559</v>
      </c>
      <c r="AG150" s="5" t="s">
        <v>559</v>
      </c>
      <c r="AH150" s="5" t="s">
        <v>549</v>
      </c>
      <c r="AI150" s="5" t="s">
        <v>549</v>
      </c>
      <c r="AJ150" s="270"/>
      <c r="AK150" s="67">
        <v>343</v>
      </c>
      <c r="AM150" s="67">
        <v>1</v>
      </c>
      <c r="AO150" s="67">
        <f t="shared" si="30"/>
        <v>0</v>
      </c>
      <c r="AP150" s="67">
        <f t="shared" si="31"/>
        <v>13</v>
      </c>
      <c r="AQ150" s="67">
        <f t="shared" si="32"/>
        <v>10</v>
      </c>
      <c r="AR150" s="67">
        <f t="shared" si="33"/>
        <v>5</v>
      </c>
      <c r="AS150" s="67">
        <f t="shared" si="34"/>
        <v>18</v>
      </c>
      <c r="AT150" s="67">
        <f t="shared" si="35"/>
        <v>14</v>
      </c>
      <c r="AU150" s="67">
        <f t="shared" si="36"/>
        <v>0</v>
      </c>
      <c r="AV150" s="67">
        <f t="shared" si="37"/>
        <v>60</v>
      </c>
      <c r="AX150" s="256">
        <v>31</v>
      </c>
      <c r="AY150" s="67">
        <f t="shared" si="28"/>
        <v>155</v>
      </c>
      <c r="AZ150" s="76">
        <f t="shared" si="29"/>
        <v>0.38709677419354838</v>
      </c>
      <c r="BA150" s="67">
        <f t="shared" si="38"/>
        <v>28</v>
      </c>
      <c r="BB150" s="76">
        <f t="shared" si="41"/>
        <v>0.90322580645161288</v>
      </c>
      <c r="BD150" s="67">
        <f t="shared" si="39"/>
        <v>14</v>
      </c>
      <c r="BE150" s="67">
        <f t="shared" si="40"/>
        <v>14</v>
      </c>
    </row>
    <row r="151" spans="1:57">
      <c r="A151" s="67">
        <v>344</v>
      </c>
      <c r="B151" s="8" t="s">
        <v>63</v>
      </c>
      <c r="C151" s="8" t="s">
        <v>346</v>
      </c>
      <c r="E151" s="269"/>
      <c r="F151" s="20"/>
      <c r="G151" s="20"/>
      <c r="H151" s="20"/>
      <c r="I151" s="20"/>
      <c r="J151" s="20"/>
      <c r="K151" s="20"/>
      <c r="L151" s="270"/>
      <c r="M151" s="269"/>
      <c r="N151" s="20"/>
      <c r="O151" s="20"/>
      <c r="P151" s="20"/>
      <c r="Q151" s="20"/>
      <c r="R151" s="20"/>
      <c r="S151" s="20"/>
      <c r="T151" s="270"/>
      <c r="U151" s="269"/>
      <c r="V151" s="20"/>
      <c r="W151" s="20"/>
      <c r="X151" s="20"/>
      <c r="Y151" s="20"/>
      <c r="Z151" s="20"/>
      <c r="AA151" s="20"/>
      <c r="AB151" s="270"/>
      <c r="AC151" s="269"/>
      <c r="AD151" s="20"/>
      <c r="AE151" s="20"/>
      <c r="AF151" s="20"/>
      <c r="AG151" s="20"/>
      <c r="AH151" s="20"/>
      <c r="AI151" s="20"/>
      <c r="AJ151" s="270"/>
      <c r="AK151" s="67">
        <v>344</v>
      </c>
      <c r="AL151" s="67">
        <v>1</v>
      </c>
      <c r="AO151" s="67">
        <f t="shared" si="30"/>
        <v>0</v>
      </c>
      <c r="AP151" s="67">
        <f t="shared" si="31"/>
        <v>0</v>
      </c>
      <c r="AQ151" s="67">
        <f t="shared" si="32"/>
        <v>0</v>
      </c>
      <c r="AR151" s="67">
        <f t="shared" si="33"/>
        <v>0</v>
      </c>
      <c r="AS151" s="67">
        <f t="shared" si="34"/>
        <v>0</v>
      </c>
      <c r="AT151" s="67">
        <f t="shared" si="35"/>
        <v>0</v>
      </c>
      <c r="AU151" s="67">
        <f t="shared" si="36"/>
        <v>0</v>
      </c>
      <c r="AV151" s="67">
        <f t="shared" si="37"/>
        <v>0</v>
      </c>
      <c r="AX151" s="256">
        <v>15</v>
      </c>
      <c r="AY151" s="67">
        <f t="shared" si="28"/>
        <v>75</v>
      </c>
      <c r="AZ151" s="76">
        <f t="shared" si="29"/>
        <v>0</v>
      </c>
      <c r="BA151" s="67">
        <f t="shared" si="38"/>
        <v>0</v>
      </c>
      <c r="BB151" s="76">
        <f t="shared" si="41"/>
        <v>0</v>
      </c>
      <c r="BD151" s="67">
        <f t="shared" si="39"/>
        <v>0</v>
      </c>
      <c r="BE151" s="67">
        <f t="shared" si="40"/>
        <v>0</v>
      </c>
    </row>
    <row r="152" spans="1:57">
      <c r="A152" s="67">
        <v>345</v>
      </c>
      <c r="B152" s="8" t="s">
        <v>59</v>
      </c>
      <c r="C152" s="8" t="s">
        <v>346</v>
      </c>
      <c r="E152" s="269"/>
      <c r="F152" s="20"/>
      <c r="G152" s="20"/>
      <c r="H152" s="20"/>
      <c r="I152" s="20" t="s">
        <v>431</v>
      </c>
      <c r="J152" s="20"/>
      <c r="K152" s="20"/>
      <c r="L152" s="270"/>
      <c r="M152" s="269"/>
      <c r="N152" s="20"/>
      <c r="O152" s="20"/>
      <c r="P152" s="20" t="s">
        <v>431</v>
      </c>
      <c r="Q152" s="20" t="s">
        <v>431</v>
      </c>
      <c r="R152" s="20"/>
      <c r="S152" s="20"/>
      <c r="T152" s="270"/>
      <c r="U152" s="269"/>
      <c r="V152" s="20"/>
      <c r="W152" s="20"/>
      <c r="X152" s="20"/>
      <c r="Y152" s="20"/>
      <c r="Z152" s="20"/>
      <c r="AA152" s="20"/>
      <c r="AB152" s="270"/>
      <c r="AC152" s="269"/>
      <c r="AD152" s="20"/>
      <c r="AE152" s="20" t="s">
        <v>433</v>
      </c>
      <c r="AF152" s="20"/>
      <c r="AG152" s="20"/>
      <c r="AH152" s="20"/>
      <c r="AI152" s="20"/>
      <c r="AJ152" s="270"/>
      <c r="AK152" s="67">
        <v>345</v>
      </c>
      <c r="AM152" s="67">
        <v>1</v>
      </c>
      <c r="AO152" s="67">
        <f t="shared" si="30"/>
        <v>0</v>
      </c>
      <c r="AP152" s="67">
        <f t="shared" si="31"/>
        <v>3</v>
      </c>
      <c r="AQ152" s="67">
        <f t="shared" si="32"/>
        <v>0</v>
      </c>
      <c r="AR152" s="67">
        <f t="shared" si="33"/>
        <v>1</v>
      </c>
      <c r="AS152" s="67">
        <f t="shared" si="34"/>
        <v>0</v>
      </c>
      <c r="AT152" s="67">
        <f t="shared" si="35"/>
        <v>0</v>
      </c>
      <c r="AU152" s="67">
        <f t="shared" si="36"/>
        <v>0</v>
      </c>
      <c r="AV152" s="67">
        <f t="shared" si="37"/>
        <v>4</v>
      </c>
      <c r="AX152" s="256">
        <v>16</v>
      </c>
      <c r="AY152" s="67">
        <f t="shared" si="28"/>
        <v>80</v>
      </c>
      <c r="AZ152" s="76">
        <f t="shared" si="29"/>
        <v>0.05</v>
      </c>
      <c r="BA152" s="67">
        <f t="shared" si="38"/>
        <v>4</v>
      </c>
      <c r="BB152" s="76">
        <f t="shared" si="41"/>
        <v>0.25</v>
      </c>
      <c r="BD152" s="67">
        <f t="shared" si="39"/>
        <v>3</v>
      </c>
      <c r="BE152" s="67">
        <f t="shared" si="40"/>
        <v>1</v>
      </c>
    </row>
    <row r="153" spans="1:57">
      <c r="A153" s="67">
        <v>346</v>
      </c>
      <c r="B153" s="8" t="s">
        <v>5</v>
      </c>
      <c r="C153" s="8" t="s">
        <v>42</v>
      </c>
      <c r="D153" s="8" t="s">
        <v>6</v>
      </c>
      <c r="E153" s="269" t="s">
        <v>597</v>
      </c>
      <c r="F153" s="5" t="s">
        <v>549</v>
      </c>
      <c r="G153" s="5" t="s">
        <v>559</v>
      </c>
      <c r="H153" s="5" t="s">
        <v>567</v>
      </c>
      <c r="I153" s="5" t="s">
        <v>431</v>
      </c>
      <c r="J153" s="5" t="s">
        <v>433</v>
      </c>
      <c r="K153" s="5" t="s">
        <v>561</v>
      </c>
      <c r="L153" s="270" t="s">
        <v>564</v>
      </c>
      <c r="M153" s="269" t="s">
        <v>564</v>
      </c>
      <c r="N153" s="5" t="s">
        <v>577</v>
      </c>
      <c r="O153" s="5" t="s">
        <v>565</v>
      </c>
      <c r="P153" s="5" t="s">
        <v>549</v>
      </c>
      <c r="Q153" s="20"/>
      <c r="R153" s="5" t="s">
        <v>567</v>
      </c>
      <c r="S153" s="5" t="s">
        <v>567</v>
      </c>
      <c r="T153" s="270"/>
      <c r="U153" s="269" t="s">
        <v>559</v>
      </c>
      <c r="V153" s="5" t="s">
        <v>559</v>
      </c>
      <c r="W153" s="5" t="s">
        <v>559</v>
      </c>
      <c r="X153" s="20"/>
      <c r="Y153" s="5" t="s">
        <v>559</v>
      </c>
      <c r="Z153" s="5" t="s">
        <v>595</v>
      </c>
      <c r="AA153" s="5" t="s">
        <v>598</v>
      </c>
      <c r="AB153" s="270" t="s">
        <v>580</v>
      </c>
      <c r="AC153" s="269" t="s">
        <v>577</v>
      </c>
      <c r="AD153" s="5" t="s">
        <v>595</v>
      </c>
      <c r="AE153" s="5" t="s">
        <v>546</v>
      </c>
      <c r="AF153" s="5" t="s">
        <v>578</v>
      </c>
      <c r="AG153" s="5" t="s">
        <v>559</v>
      </c>
      <c r="AH153" s="5" t="s">
        <v>559</v>
      </c>
      <c r="AI153" s="5" t="s">
        <v>562</v>
      </c>
      <c r="AJ153" s="270"/>
      <c r="AK153" s="67">
        <v>346</v>
      </c>
      <c r="AM153" s="67">
        <v>1</v>
      </c>
      <c r="AO153" s="67">
        <f t="shared" si="30"/>
        <v>0</v>
      </c>
      <c r="AP153" s="67">
        <f t="shared" si="31"/>
        <v>15</v>
      </c>
      <c r="AQ153" s="67">
        <f t="shared" si="32"/>
        <v>21</v>
      </c>
      <c r="AR153" s="67">
        <f t="shared" si="33"/>
        <v>11</v>
      </c>
      <c r="AS153" s="67">
        <f t="shared" si="34"/>
        <v>20</v>
      </c>
      <c r="AT153" s="67">
        <f t="shared" si="35"/>
        <v>15</v>
      </c>
      <c r="AU153" s="67">
        <f t="shared" si="36"/>
        <v>0</v>
      </c>
      <c r="AV153" s="67">
        <f t="shared" si="37"/>
        <v>82</v>
      </c>
      <c r="AX153" s="256">
        <v>30</v>
      </c>
      <c r="AY153" s="67">
        <f t="shared" si="28"/>
        <v>150</v>
      </c>
      <c r="AZ153" s="76">
        <f t="shared" si="29"/>
        <v>0.54666666666666663</v>
      </c>
      <c r="BA153" s="67">
        <f t="shared" si="38"/>
        <v>28</v>
      </c>
      <c r="BB153" s="76">
        <f t="shared" si="41"/>
        <v>0.93333333333333335</v>
      </c>
      <c r="BD153" s="67">
        <f t="shared" si="39"/>
        <v>14</v>
      </c>
      <c r="BE153" s="67">
        <f t="shared" si="40"/>
        <v>14</v>
      </c>
    </row>
    <row r="154" spans="1:57">
      <c r="A154" s="67">
        <v>347</v>
      </c>
      <c r="B154" s="8" t="s">
        <v>141</v>
      </c>
      <c r="C154" s="8" t="s">
        <v>346</v>
      </c>
      <c r="E154" s="269"/>
      <c r="F154" s="20"/>
      <c r="G154" s="20"/>
      <c r="H154" s="20"/>
      <c r="I154" s="20"/>
      <c r="J154" s="20"/>
      <c r="K154" s="20"/>
      <c r="L154" s="270"/>
      <c r="M154" s="269"/>
      <c r="N154" s="20"/>
      <c r="O154" s="20"/>
      <c r="P154" s="5" t="s">
        <v>435</v>
      </c>
      <c r="Q154" s="20"/>
      <c r="R154" s="20"/>
      <c r="S154" s="20"/>
      <c r="T154" s="270"/>
      <c r="U154" s="269"/>
      <c r="V154" s="20"/>
      <c r="W154" s="20"/>
      <c r="X154" s="20"/>
      <c r="Y154" s="20"/>
      <c r="Z154" s="20"/>
      <c r="AA154" s="20"/>
      <c r="AB154" s="270"/>
      <c r="AC154" s="269"/>
      <c r="AD154" s="20"/>
      <c r="AE154" s="20"/>
      <c r="AF154" s="20"/>
      <c r="AG154" s="20"/>
      <c r="AH154" s="20"/>
      <c r="AI154" s="20"/>
      <c r="AJ154" s="270"/>
      <c r="AK154" s="67">
        <v>347</v>
      </c>
      <c r="AM154" s="67">
        <v>1</v>
      </c>
      <c r="AO154" s="67">
        <f t="shared" si="30"/>
        <v>0</v>
      </c>
      <c r="AP154" s="67">
        <f t="shared" si="31"/>
        <v>0</v>
      </c>
      <c r="AQ154" s="67">
        <f t="shared" si="32"/>
        <v>0</v>
      </c>
      <c r="AR154" s="67">
        <f t="shared" si="33"/>
        <v>0</v>
      </c>
      <c r="AS154" s="67">
        <f t="shared" si="34"/>
        <v>0</v>
      </c>
      <c r="AT154" s="67">
        <f t="shared" si="35"/>
        <v>1</v>
      </c>
      <c r="AU154" s="67">
        <f t="shared" si="36"/>
        <v>0</v>
      </c>
      <c r="AV154" s="67">
        <f t="shared" si="37"/>
        <v>1</v>
      </c>
      <c r="AX154" s="256">
        <v>11</v>
      </c>
      <c r="AY154" s="67">
        <f t="shared" si="28"/>
        <v>55</v>
      </c>
      <c r="AZ154" s="76">
        <f t="shared" si="29"/>
        <v>1.8181818181818181E-2</v>
      </c>
      <c r="BA154" s="67">
        <f t="shared" si="38"/>
        <v>1</v>
      </c>
      <c r="BB154" s="76">
        <f t="shared" si="41"/>
        <v>9.0909090909090912E-2</v>
      </c>
      <c r="BD154" s="67">
        <f t="shared" si="39"/>
        <v>1</v>
      </c>
      <c r="BE154" s="67">
        <f t="shared" si="40"/>
        <v>0</v>
      </c>
    </row>
    <row r="155" spans="1:57">
      <c r="A155" s="67">
        <v>348</v>
      </c>
      <c r="B155" s="8" t="s">
        <v>106</v>
      </c>
      <c r="C155" s="8" t="s">
        <v>349</v>
      </c>
      <c r="D155" s="8" t="s">
        <v>6</v>
      </c>
      <c r="E155" s="269"/>
      <c r="F155" s="20"/>
      <c r="G155" s="20"/>
      <c r="H155" s="20"/>
      <c r="I155" s="20"/>
      <c r="J155" s="20"/>
      <c r="K155" s="20"/>
      <c r="L155" s="270"/>
      <c r="M155" s="269"/>
      <c r="N155" s="20" t="s">
        <v>432</v>
      </c>
      <c r="O155" s="20" t="s">
        <v>433</v>
      </c>
      <c r="P155" s="20"/>
      <c r="Q155" s="20" t="s">
        <v>558</v>
      </c>
      <c r="R155" s="5" t="s">
        <v>578</v>
      </c>
      <c r="S155" s="20"/>
      <c r="T155" s="270"/>
      <c r="U155" s="269"/>
      <c r="V155" s="20"/>
      <c r="W155" s="20"/>
      <c r="X155" s="20"/>
      <c r="Y155" s="20"/>
      <c r="Z155" s="20" t="s">
        <v>432</v>
      </c>
      <c r="AA155" s="20" t="s">
        <v>577</v>
      </c>
      <c r="AB155" s="270"/>
      <c r="AC155" s="269"/>
      <c r="AD155" s="20"/>
      <c r="AE155" s="20"/>
      <c r="AF155" s="20"/>
      <c r="AG155" s="20"/>
      <c r="AH155" s="20"/>
      <c r="AI155" s="20"/>
      <c r="AJ155" s="270"/>
      <c r="AK155" s="67">
        <v>348</v>
      </c>
      <c r="AM155" s="67">
        <v>1</v>
      </c>
      <c r="AO155" s="67">
        <f t="shared" si="30"/>
        <v>0</v>
      </c>
      <c r="AP155" s="67">
        <f t="shared" si="31"/>
        <v>1</v>
      </c>
      <c r="AQ155" s="67">
        <f t="shared" si="32"/>
        <v>5</v>
      </c>
      <c r="AR155" s="67">
        <f t="shared" si="33"/>
        <v>2</v>
      </c>
      <c r="AS155" s="67">
        <f t="shared" si="34"/>
        <v>3</v>
      </c>
      <c r="AT155" s="67">
        <f t="shared" si="35"/>
        <v>2</v>
      </c>
      <c r="AU155" s="67">
        <f t="shared" si="36"/>
        <v>0</v>
      </c>
      <c r="AV155" s="67">
        <f t="shared" si="37"/>
        <v>13</v>
      </c>
      <c r="AX155" s="256">
        <v>10</v>
      </c>
      <c r="AY155" s="67">
        <f t="shared" si="28"/>
        <v>50</v>
      </c>
      <c r="AZ155" s="76">
        <f t="shared" si="29"/>
        <v>0.26</v>
      </c>
      <c r="BA155" s="67">
        <f t="shared" si="38"/>
        <v>6</v>
      </c>
      <c r="BB155" s="76">
        <f t="shared" si="41"/>
        <v>0.6</v>
      </c>
      <c r="BD155" s="67">
        <f t="shared" si="39"/>
        <v>4</v>
      </c>
      <c r="BE155" s="67">
        <f t="shared" si="40"/>
        <v>2</v>
      </c>
    </row>
    <row r="156" spans="1:57">
      <c r="A156" s="67">
        <v>349</v>
      </c>
      <c r="B156" s="8" t="s">
        <v>103</v>
      </c>
      <c r="C156" s="8" t="s">
        <v>357</v>
      </c>
      <c r="D156" s="8" t="s">
        <v>15</v>
      </c>
      <c r="E156" s="269"/>
      <c r="F156" s="20"/>
      <c r="G156" s="5" t="s">
        <v>435</v>
      </c>
      <c r="H156" s="20"/>
      <c r="I156" s="20" t="s">
        <v>431</v>
      </c>
      <c r="J156" s="20" t="s">
        <v>579</v>
      </c>
      <c r="K156" s="5" t="s">
        <v>564</v>
      </c>
      <c r="L156" s="270" t="s">
        <v>433</v>
      </c>
      <c r="M156" s="269" t="s">
        <v>433</v>
      </c>
      <c r="N156" s="5" t="s">
        <v>433</v>
      </c>
      <c r="O156" s="20"/>
      <c r="P156" s="20"/>
      <c r="Q156" s="20"/>
      <c r="R156" s="20" t="s">
        <v>434</v>
      </c>
      <c r="S156" s="20"/>
      <c r="T156" s="270"/>
      <c r="U156" s="269"/>
      <c r="V156" s="20" t="s">
        <v>558</v>
      </c>
      <c r="W156" s="20" t="s">
        <v>562</v>
      </c>
      <c r="X156" s="20"/>
      <c r="Y156" s="20"/>
      <c r="Z156" s="20" t="s">
        <v>565</v>
      </c>
      <c r="AA156" s="5" t="s">
        <v>565</v>
      </c>
      <c r="AB156" s="270" t="s">
        <v>577</v>
      </c>
      <c r="AC156" s="269" t="s">
        <v>577</v>
      </c>
      <c r="AD156" s="5" t="s">
        <v>595</v>
      </c>
      <c r="AE156" s="5" t="s">
        <v>433</v>
      </c>
      <c r="AF156" s="20"/>
      <c r="AG156" s="20"/>
      <c r="AH156" s="5" t="s">
        <v>562</v>
      </c>
      <c r="AI156" s="5" t="s">
        <v>558</v>
      </c>
      <c r="AJ156" s="270"/>
      <c r="AK156" s="67">
        <v>349</v>
      </c>
      <c r="AM156" s="67">
        <v>1</v>
      </c>
      <c r="AO156" s="67">
        <f t="shared" si="30"/>
        <v>0</v>
      </c>
      <c r="AP156" s="67">
        <f t="shared" si="31"/>
        <v>1</v>
      </c>
      <c r="AQ156" s="67">
        <f t="shared" si="32"/>
        <v>10</v>
      </c>
      <c r="AR156" s="67">
        <f t="shared" si="33"/>
        <v>11</v>
      </c>
      <c r="AS156" s="67">
        <f t="shared" si="34"/>
        <v>7</v>
      </c>
      <c r="AT156" s="67">
        <f t="shared" si="35"/>
        <v>7</v>
      </c>
      <c r="AU156" s="67">
        <f t="shared" si="36"/>
        <v>0</v>
      </c>
      <c r="AV156" s="67">
        <f t="shared" si="37"/>
        <v>36</v>
      </c>
      <c r="AX156" s="256">
        <v>27</v>
      </c>
      <c r="AY156" s="67">
        <f t="shared" si="28"/>
        <v>135</v>
      </c>
      <c r="AZ156" s="76">
        <f t="shared" si="29"/>
        <v>0.26666666666666666</v>
      </c>
      <c r="BA156" s="67">
        <f t="shared" si="38"/>
        <v>18</v>
      </c>
      <c r="BB156" s="76">
        <f t="shared" si="41"/>
        <v>0.66666666666666663</v>
      </c>
      <c r="BD156" s="67">
        <f t="shared" si="39"/>
        <v>8</v>
      </c>
      <c r="BE156" s="67">
        <f t="shared" si="40"/>
        <v>10</v>
      </c>
    </row>
    <row r="157" spans="1:57">
      <c r="A157" s="67">
        <v>350</v>
      </c>
      <c r="B157" s="8" t="s">
        <v>80</v>
      </c>
      <c r="C157" s="8" t="s">
        <v>346</v>
      </c>
      <c r="E157" s="269"/>
      <c r="F157" s="20"/>
      <c r="G157" s="20"/>
      <c r="H157" s="20"/>
      <c r="I157" s="20"/>
      <c r="J157" s="20"/>
      <c r="K157" s="20"/>
      <c r="L157" s="270"/>
      <c r="M157" s="269" t="s">
        <v>561</v>
      </c>
      <c r="N157" s="20"/>
      <c r="O157" s="20" t="s">
        <v>433</v>
      </c>
      <c r="P157" s="20"/>
      <c r="Q157" s="20"/>
      <c r="R157" s="20"/>
      <c r="S157" s="20"/>
      <c r="T157" s="270"/>
      <c r="U157" s="269"/>
      <c r="V157" s="20"/>
      <c r="W157" s="20"/>
      <c r="X157" s="20" t="s">
        <v>431</v>
      </c>
      <c r="Y157" s="20"/>
      <c r="Z157" s="5" t="s">
        <v>433</v>
      </c>
      <c r="AA157" s="5" t="s">
        <v>433</v>
      </c>
      <c r="AB157" s="270" t="s">
        <v>433</v>
      </c>
      <c r="AC157" s="269" t="s">
        <v>545</v>
      </c>
      <c r="AD157" s="5" t="s">
        <v>433</v>
      </c>
      <c r="AE157" s="5" t="s">
        <v>433</v>
      </c>
      <c r="AF157" s="5" t="s">
        <v>431</v>
      </c>
      <c r="AG157" s="5" t="s">
        <v>431</v>
      </c>
      <c r="AH157" s="20"/>
      <c r="AI157" s="20"/>
      <c r="AJ157" s="270"/>
      <c r="AK157" s="67">
        <v>350</v>
      </c>
      <c r="AM157" s="67">
        <v>1</v>
      </c>
      <c r="AO157" s="67">
        <f t="shared" si="30"/>
        <v>0</v>
      </c>
      <c r="AP157" s="67">
        <f t="shared" si="31"/>
        <v>3</v>
      </c>
      <c r="AQ157" s="67">
        <f t="shared" si="32"/>
        <v>0</v>
      </c>
      <c r="AR157" s="67">
        <f t="shared" si="33"/>
        <v>8</v>
      </c>
      <c r="AS157" s="67">
        <f t="shared" si="34"/>
        <v>1</v>
      </c>
      <c r="AT157" s="67">
        <f t="shared" si="35"/>
        <v>2</v>
      </c>
      <c r="AU157" s="67">
        <f t="shared" si="36"/>
        <v>0</v>
      </c>
      <c r="AV157" s="67">
        <f t="shared" si="37"/>
        <v>14</v>
      </c>
      <c r="AX157" s="256">
        <v>17</v>
      </c>
      <c r="AY157" s="67">
        <f t="shared" si="28"/>
        <v>85</v>
      </c>
      <c r="AZ157" s="76">
        <f t="shared" si="29"/>
        <v>0.16470588235294117</v>
      </c>
      <c r="BA157" s="67">
        <f t="shared" si="38"/>
        <v>11</v>
      </c>
      <c r="BB157" s="76">
        <f t="shared" si="41"/>
        <v>0.6470588235294118</v>
      </c>
      <c r="BD157" s="67">
        <f t="shared" si="39"/>
        <v>2</v>
      </c>
      <c r="BE157" s="67">
        <f t="shared" si="40"/>
        <v>9</v>
      </c>
    </row>
    <row r="158" spans="1:57">
      <c r="A158" s="67">
        <v>351</v>
      </c>
      <c r="B158" s="8" t="s">
        <v>106</v>
      </c>
      <c r="C158" s="8" t="s">
        <v>349</v>
      </c>
      <c r="D158" s="8" t="s">
        <v>6</v>
      </c>
      <c r="E158" s="269" t="s">
        <v>568</v>
      </c>
      <c r="F158" s="5" t="s">
        <v>578</v>
      </c>
      <c r="G158" s="5" t="s">
        <v>567</v>
      </c>
      <c r="H158" s="5" t="s">
        <v>431</v>
      </c>
      <c r="I158" s="5" t="s">
        <v>432</v>
      </c>
      <c r="J158" s="20"/>
      <c r="K158" s="5" t="s">
        <v>565</v>
      </c>
      <c r="L158" s="270"/>
      <c r="M158" s="269" t="s">
        <v>565</v>
      </c>
      <c r="N158" s="5" t="s">
        <v>577</v>
      </c>
      <c r="O158" s="5" t="s">
        <v>565</v>
      </c>
      <c r="P158" s="5" t="s">
        <v>549</v>
      </c>
      <c r="Q158" s="5" t="s">
        <v>546</v>
      </c>
      <c r="R158" s="5" t="s">
        <v>559</v>
      </c>
      <c r="S158" s="5" t="s">
        <v>548</v>
      </c>
      <c r="T158" s="270" t="s">
        <v>431</v>
      </c>
      <c r="U158" s="269" t="s">
        <v>554</v>
      </c>
      <c r="V158" s="5" t="s">
        <v>432</v>
      </c>
      <c r="W158" s="5" t="s">
        <v>568</v>
      </c>
      <c r="X158" s="20"/>
      <c r="Y158" s="20"/>
      <c r="Z158" s="5" t="s">
        <v>577</v>
      </c>
      <c r="AA158" s="5" t="s">
        <v>577</v>
      </c>
      <c r="AB158" s="270" t="s">
        <v>577</v>
      </c>
      <c r="AC158" s="269" t="s">
        <v>577</v>
      </c>
      <c r="AD158" s="5" t="s">
        <v>577</v>
      </c>
      <c r="AE158" s="5" t="s">
        <v>577</v>
      </c>
      <c r="AF158" s="5" t="s">
        <v>549</v>
      </c>
      <c r="AG158" s="5" t="s">
        <v>548</v>
      </c>
      <c r="AH158" s="5" t="s">
        <v>568</v>
      </c>
      <c r="AI158" s="5" t="s">
        <v>432</v>
      </c>
      <c r="AJ158" s="270" t="s">
        <v>554</v>
      </c>
      <c r="AK158" s="67">
        <v>351</v>
      </c>
      <c r="AM158" s="67">
        <v>1</v>
      </c>
      <c r="AO158" s="67">
        <f t="shared" si="30"/>
        <v>0</v>
      </c>
      <c r="AP158" s="67">
        <f t="shared" si="31"/>
        <v>11</v>
      </c>
      <c r="AQ158" s="67">
        <f t="shared" si="32"/>
        <v>22</v>
      </c>
      <c r="AR158" s="67">
        <f t="shared" si="33"/>
        <v>10</v>
      </c>
      <c r="AS158" s="67">
        <f t="shared" si="34"/>
        <v>17</v>
      </c>
      <c r="AT158" s="67">
        <f t="shared" si="35"/>
        <v>13</v>
      </c>
      <c r="AU158" s="67">
        <f t="shared" si="36"/>
        <v>0</v>
      </c>
      <c r="AV158" s="67">
        <f t="shared" si="37"/>
        <v>73</v>
      </c>
      <c r="AX158" s="256">
        <v>29</v>
      </c>
      <c r="AY158" s="67">
        <f t="shared" si="28"/>
        <v>145</v>
      </c>
      <c r="AZ158" s="76">
        <f t="shared" si="29"/>
        <v>0.50344827586206897</v>
      </c>
      <c r="BA158" s="67">
        <f t="shared" si="38"/>
        <v>28</v>
      </c>
      <c r="BB158" s="76">
        <f t="shared" si="41"/>
        <v>0.96551724137931039</v>
      </c>
      <c r="BD158" s="67">
        <f t="shared" si="39"/>
        <v>14</v>
      </c>
      <c r="BE158" s="67">
        <f t="shared" si="40"/>
        <v>14</v>
      </c>
    </row>
    <row r="159" spans="1:57">
      <c r="A159" s="67">
        <v>354</v>
      </c>
      <c r="B159" s="8" t="s">
        <v>136</v>
      </c>
      <c r="C159" s="8" t="s">
        <v>12</v>
      </c>
      <c r="D159" s="8" t="s">
        <v>77</v>
      </c>
      <c r="E159" s="269"/>
      <c r="F159" s="5" t="s">
        <v>431</v>
      </c>
      <c r="G159" s="5" t="s">
        <v>431</v>
      </c>
      <c r="H159" s="20"/>
      <c r="I159" s="20"/>
      <c r="J159" s="20"/>
      <c r="K159" s="20" t="s">
        <v>433</v>
      </c>
      <c r="L159" s="270"/>
      <c r="M159" s="269" t="s">
        <v>433</v>
      </c>
      <c r="N159" s="5" t="s">
        <v>564</v>
      </c>
      <c r="O159" s="5" t="s">
        <v>432</v>
      </c>
      <c r="P159" s="5" t="s">
        <v>431</v>
      </c>
      <c r="Q159" s="20"/>
      <c r="R159" s="20"/>
      <c r="S159" s="20"/>
      <c r="T159" s="270"/>
      <c r="U159" s="269"/>
      <c r="V159" s="20" t="s">
        <v>432</v>
      </c>
      <c r="W159" s="20"/>
      <c r="X159" s="20" t="s">
        <v>431</v>
      </c>
      <c r="Y159" s="20"/>
      <c r="Z159" s="5"/>
      <c r="AA159" s="5" t="s">
        <v>579</v>
      </c>
      <c r="AB159" s="270" t="s">
        <v>579</v>
      </c>
      <c r="AC159" s="269" t="s">
        <v>433</v>
      </c>
      <c r="AD159" s="5" t="s">
        <v>432</v>
      </c>
      <c r="AE159" s="5" t="s">
        <v>433</v>
      </c>
      <c r="AF159" s="20"/>
      <c r="AG159" s="5" t="s">
        <v>431</v>
      </c>
      <c r="AH159" s="5" t="s">
        <v>431</v>
      </c>
      <c r="AI159" s="20"/>
      <c r="AJ159" s="270"/>
      <c r="AK159" s="67">
        <v>354</v>
      </c>
      <c r="AM159" s="67">
        <v>1</v>
      </c>
      <c r="AO159" s="67">
        <f t="shared" si="30"/>
        <v>0</v>
      </c>
      <c r="AP159" s="67">
        <f t="shared" si="31"/>
        <v>6</v>
      </c>
      <c r="AQ159" s="67">
        <f t="shared" si="32"/>
        <v>5</v>
      </c>
      <c r="AR159" s="67">
        <f t="shared" si="33"/>
        <v>7</v>
      </c>
      <c r="AS159" s="67">
        <f t="shared" si="34"/>
        <v>1</v>
      </c>
      <c r="AT159" s="67">
        <f t="shared" si="35"/>
        <v>0</v>
      </c>
      <c r="AU159" s="67">
        <f t="shared" si="36"/>
        <v>0</v>
      </c>
      <c r="AV159" s="67">
        <f t="shared" si="37"/>
        <v>19</v>
      </c>
      <c r="AX159" s="256">
        <v>31</v>
      </c>
      <c r="AY159" s="67">
        <f t="shared" si="28"/>
        <v>155</v>
      </c>
      <c r="AZ159" s="76">
        <f t="shared" si="29"/>
        <v>0.12258064516129032</v>
      </c>
      <c r="BA159" s="67">
        <f t="shared" si="38"/>
        <v>16</v>
      </c>
      <c r="BB159" s="76">
        <f t="shared" si="41"/>
        <v>0.5161290322580645</v>
      </c>
      <c r="BD159" s="67">
        <f t="shared" si="39"/>
        <v>7</v>
      </c>
      <c r="BE159" s="67">
        <f t="shared" si="40"/>
        <v>9</v>
      </c>
    </row>
    <row r="160" spans="1:57">
      <c r="A160" s="67">
        <v>358</v>
      </c>
      <c r="B160" s="8" t="s">
        <v>136</v>
      </c>
      <c r="C160" s="8" t="s">
        <v>12</v>
      </c>
      <c r="D160" s="8" t="s">
        <v>42</v>
      </c>
      <c r="E160" s="269"/>
      <c r="F160" s="20"/>
      <c r="G160" s="5" t="s">
        <v>435</v>
      </c>
      <c r="H160" s="20"/>
      <c r="I160" s="20"/>
      <c r="J160" s="20" t="s">
        <v>433</v>
      </c>
      <c r="K160" s="5" t="s">
        <v>433</v>
      </c>
      <c r="L160" s="270" t="s">
        <v>433</v>
      </c>
      <c r="M160" s="269" t="s">
        <v>433</v>
      </c>
      <c r="N160" s="20"/>
      <c r="O160" s="20"/>
      <c r="P160" s="20"/>
      <c r="Q160" s="20"/>
      <c r="R160" s="20"/>
      <c r="S160" s="20"/>
      <c r="T160" s="270"/>
      <c r="U160" s="269"/>
      <c r="V160" s="20"/>
      <c r="W160" s="20"/>
      <c r="X160" s="20"/>
      <c r="Y160" s="20" t="s">
        <v>432</v>
      </c>
      <c r="Z160" s="5" t="s">
        <v>569</v>
      </c>
      <c r="AA160" s="5" t="s">
        <v>577</v>
      </c>
      <c r="AB160" s="270" t="s">
        <v>565</v>
      </c>
      <c r="AC160" s="269" t="s">
        <v>577</v>
      </c>
      <c r="AD160" s="5" t="s">
        <v>577</v>
      </c>
      <c r="AE160" s="5" t="s">
        <v>568</v>
      </c>
      <c r="AF160" s="20"/>
      <c r="AG160" s="5" t="s">
        <v>435</v>
      </c>
      <c r="AH160" s="20"/>
      <c r="AI160" s="20"/>
      <c r="AJ160" s="270"/>
      <c r="AK160" s="67">
        <v>358</v>
      </c>
      <c r="AM160" s="67">
        <v>1</v>
      </c>
      <c r="AO160" s="67">
        <f t="shared" si="30"/>
        <v>0</v>
      </c>
      <c r="AP160" s="67">
        <f t="shared" si="31"/>
        <v>0</v>
      </c>
      <c r="AQ160" s="67">
        <f t="shared" si="32"/>
        <v>7</v>
      </c>
      <c r="AR160" s="67">
        <f t="shared" si="33"/>
        <v>8</v>
      </c>
      <c r="AS160" s="67">
        <f t="shared" si="34"/>
        <v>5</v>
      </c>
      <c r="AT160" s="67">
        <f t="shared" si="35"/>
        <v>6</v>
      </c>
      <c r="AU160" s="67">
        <f t="shared" si="36"/>
        <v>0</v>
      </c>
      <c r="AV160" s="67">
        <f t="shared" si="37"/>
        <v>26</v>
      </c>
      <c r="AX160" s="256">
        <v>31</v>
      </c>
      <c r="AY160" s="67">
        <f t="shared" si="28"/>
        <v>155</v>
      </c>
      <c r="AZ160" s="76">
        <f t="shared" si="29"/>
        <v>0.16774193548387098</v>
      </c>
      <c r="BA160" s="67">
        <f t="shared" si="38"/>
        <v>13</v>
      </c>
      <c r="BB160" s="76">
        <f t="shared" si="41"/>
        <v>0.41935483870967744</v>
      </c>
      <c r="BD160" s="67">
        <f t="shared" si="39"/>
        <v>5</v>
      </c>
      <c r="BE160" s="67">
        <f t="shared" si="40"/>
        <v>8</v>
      </c>
    </row>
    <row r="161" spans="1:57">
      <c r="A161" s="67">
        <v>359</v>
      </c>
      <c r="B161" s="8" t="s">
        <v>78</v>
      </c>
      <c r="C161" s="8" t="s">
        <v>359</v>
      </c>
      <c r="E161" s="269"/>
      <c r="F161" s="20"/>
      <c r="G161" s="20"/>
      <c r="H161" s="20"/>
      <c r="I161" s="20"/>
      <c r="J161" s="20"/>
      <c r="K161" s="20"/>
      <c r="L161" s="270"/>
      <c r="M161" s="269"/>
      <c r="N161" s="20"/>
      <c r="O161" s="5" t="s">
        <v>433</v>
      </c>
      <c r="P161" s="20" t="s">
        <v>431</v>
      </c>
      <c r="Q161" s="20" t="s">
        <v>431</v>
      </c>
      <c r="R161" s="5" t="s">
        <v>434</v>
      </c>
      <c r="S161" s="20"/>
      <c r="T161" s="270"/>
      <c r="U161" s="269"/>
      <c r="V161" s="20"/>
      <c r="W161" s="20" t="s">
        <v>432</v>
      </c>
      <c r="X161" s="20"/>
      <c r="Y161" s="20" t="s">
        <v>431</v>
      </c>
      <c r="Z161" s="5" t="s">
        <v>434</v>
      </c>
      <c r="AA161" s="20"/>
      <c r="AB161" s="270" t="s">
        <v>577</v>
      </c>
      <c r="AC161" s="269" t="s">
        <v>577</v>
      </c>
      <c r="AD161" s="20"/>
      <c r="AE161" s="20"/>
      <c r="AF161" s="20" t="s">
        <v>431</v>
      </c>
      <c r="AG161" s="5" t="s">
        <v>431</v>
      </c>
      <c r="AH161" s="20"/>
      <c r="AI161" s="20"/>
      <c r="AJ161" s="270"/>
      <c r="AK161" s="67">
        <v>359</v>
      </c>
      <c r="AM161" s="67">
        <v>1</v>
      </c>
      <c r="AO161" s="67">
        <f t="shared" si="30"/>
        <v>0</v>
      </c>
      <c r="AP161" s="67">
        <f t="shared" si="31"/>
        <v>5</v>
      </c>
      <c r="AQ161" s="67">
        <f t="shared" si="32"/>
        <v>3</v>
      </c>
      <c r="AR161" s="67">
        <f t="shared" si="33"/>
        <v>3</v>
      </c>
      <c r="AS161" s="67">
        <f t="shared" si="34"/>
        <v>4</v>
      </c>
      <c r="AT161" s="67">
        <f t="shared" si="35"/>
        <v>2</v>
      </c>
      <c r="AU161" s="67">
        <f t="shared" si="36"/>
        <v>0</v>
      </c>
      <c r="AV161" s="67">
        <f t="shared" si="37"/>
        <v>17</v>
      </c>
      <c r="AX161" s="256">
        <v>15</v>
      </c>
      <c r="AY161" s="67">
        <f t="shared" si="28"/>
        <v>75</v>
      </c>
      <c r="AZ161" s="76">
        <f t="shared" si="29"/>
        <v>0.22666666666666666</v>
      </c>
      <c r="BA161" s="67">
        <f t="shared" si="38"/>
        <v>11</v>
      </c>
      <c r="BB161" s="76">
        <f t="shared" si="41"/>
        <v>0.73333333333333328</v>
      </c>
      <c r="BD161" s="67">
        <f t="shared" si="39"/>
        <v>4</v>
      </c>
      <c r="BE161" s="67">
        <f t="shared" si="40"/>
        <v>7</v>
      </c>
    </row>
    <row r="162" spans="1:57">
      <c r="A162" s="67">
        <v>360</v>
      </c>
      <c r="B162" s="8" t="s">
        <v>71</v>
      </c>
      <c r="C162" s="8" t="s">
        <v>366</v>
      </c>
      <c r="D162" s="8" t="s">
        <v>77</v>
      </c>
      <c r="E162" s="269"/>
      <c r="F162" s="5"/>
      <c r="G162" s="20"/>
      <c r="H162" s="20"/>
      <c r="I162" s="20"/>
      <c r="J162" s="20"/>
      <c r="K162" s="20"/>
      <c r="L162" s="270" t="s">
        <v>545</v>
      </c>
      <c r="M162" s="269" t="s">
        <v>433</v>
      </c>
      <c r="N162" s="20"/>
      <c r="O162" s="20"/>
      <c r="P162" s="20"/>
      <c r="Q162" s="20"/>
      <c r="R162" s="20" t="s">
        <v>431</v>
      </c>
      <c r="S162" s="20" t="s">
        <v>549</v>
      </c>
      <c r="T162" s="270"/>
      <c r="U162" s="269"/>
      <c r="V162" s="20"/>
      <c r="W162" s="20"/>
      <c r="X162" s="20"/>
      <c r="Y162" s="20"/>
      <c r="Z162" s="20"/>
      <c r="AA162" s="5" t="s">
        <v>432</v>
      </c>
      <c r="AB162" s="270" t="s">
        <v>565</v>
      </c>
      <c r="AC162" s="269" t="s">
        <v>565</v>
      </c>
      <c r="AD162" s="5" t="s">
        <v>565</v>
      </c>
      <c r="AE162" s="20"/>
      <c r="AF162" s="20"/>
      <c r="AG162" s="20"/>
      <c r="AH162" s="20"/>
      <c r="AI162" s="20"/>
      <c r="AJ162" s="270" t="s">
        <v>435</v>
      </c>
      <c r="AK162" s="67">
        <v>360</v>
      </c>
      <c r="AM162" s="67">
        <v>1</v>
      </c>
      <c r="AO162" s="67">
        <f t="shared" si="30"/>
        <v>0</v>
      </c>
      <c r="AP162" s="67">
        <f t="shared" si="31"/>
        <v>2</v>
      </c>
      <c r="AQ162" s="67">
        <f t="shared" si="32"/>
        <v>4</v>
      </c>
      <c r="AR162" s="67">
        <f t="shared" si="33"/>
        <v>5</v>
      </c>
      <c r="AS162" s="67">
        <f t="shared" si="34"/>
        <v>2</v>
      </c>
      <c r="AT162" s="67">
        <f t="shared" si="35"/>
        <v>3</v>
      </c>
      <c r="AU162" s="67">
        <f t="shared" si="36"/>
        <v>0</v>
      </c>
      <c r="AV162" s="67">
        <f t="shared" si="37"/>
        <v>16</v>
      </c>
      <c r="AX162" s="256">
        <v>24</v>
      </c>
      <c r="AY162" s="67">
        <f t="shared" si="28"/>
        <v>120</v>
      </c>
      <c r="AZ162" s="76">
        <f t="shared" si="29"/>
        <v>0.13333333333333333</v>
      </c>
      <c r="BA162" s="67">
        <f t="shared" si="38"/>
        <v>9</v>
      </c>
      <c r="BB162" s="76">
        <f t="shared" si="41"/>
        <v>0.375</v>
      </c>
      <c r="BD162" s="67">
        <f t="shared" si="39"/>
        <v>4</v>
      </c>
      <c r="BE162" s="67">
        <f t="shared" si="40"/>
        <v>5</v>
      </c>
    </row>
    <row r="163" spans="1:57">
      <c r="A163" s="67">
        <v>361</v>
      </c>
      <c r="B163" s="8" t="s">
        <v>55</v>
      </c>
      <c r="C163" s="8" t="s">
        <v>346</v>
      </c>
      <c r="E163" s="269"/>
      <c r="F163" s="20"/>
      <c r="G163" s="20"/>
      <c r="H163" s="20"/>
      <c r="I163" s="20"/>
      <c r="J163" s="20"/>
      <c r="K163" s="20"/>
      <c r="L163" s="270"/>
      <c r="M163" s="269"/>
      <c r="N163" s="20"/>
      <c r="O163" s="20"/>
      <c r="P163" s="20"/>
      <c r="Q163" s="20"/>
      <c r="R163" s="20"/>
      <c r="S163" s="20"/>
      <c r="T163" s="270"/>
      <c r="U163" s="269"/>
      <c r="V163" s="20"/>
      <c r="W163" s="20"/>
      <c r="X163" s="20"/>
      <c r="Y163" s="20"/>
      <c r="Z163" s="20"/>
      <c r="AA163" s="20"/>
      <c r="AB163" s="270"/>
      <c r="AC163" s="269"/>
      <c r="AD163" s="20"/>
      <c r="AE163" s="20"/>
      <c r="AF163" s="20"/>
      <c r="AG163" s="20"/>
      <c r="AH163" s="20"/>
      <c r="AI163" s="20"/>
      <c r="AJ163" s="270"/>
      <c r="AK163" s="67">
        <v>361</v>
      </c>
      <c r="AL163" s="67">
        <v>1</v>
      </c>
      <c r="AO163" s="67">
        <f t="shared" si="30"/>
        <v>0</v>
      </c>
      <c r="AP163" s="67">
        <f t="shared" si="31"/>
        <v>0</v>
      </c>
      <c r="AQ163" s="67">
        <f t="shared" si="32"/>
        <v>0</v>
      </c>
      <c r="AR163" s="67">
        <f t="shared" si="33"/>
        <v>0</v>
      </c>
      <c r="AS163" s="67">
        <f t="shared" si="34"/>
        <v>0</v>
      </c>
      <c r="AT163" s="67">
        <f t="shared" si="35"/>
        <v>0</v>
      </c>
      <c r="AU163" s="67">
        <f t="shared" si="36"/>
        <v>0</v>
      </c>
      <c r="AV163" s="67">
        <f t="shared" si="37"/>
        <v>0</v>
      </c>
      <c r="AX163" s="256">
        <v>18</v>
      </c>
      <c r="AY163" s="67">
        <f t="shared" ref="AY163:AY226" si="42">5*AX163</f>
        <v>90</v>
      </c>
      <c r="AZ163" s="76">
        <f t="shared" ref="AZ163:AZ226" si="43">AV163/AY163</f>
        <v>0</v>
      </c>
      <c r="BA163" s="67">
        <f t="shared" si="38"/>
        <v>0</v>
      </c>
      <c r="BB163" s="76">
        <f t="shared" si="41"/>
        <v>0</v>
      </c>
      <c r="BD163" s="67">
        <f t="shared" si="39"/>
        <v>0</v>
      </c>
      <c r="BE163" s="67">
        <f t="shared" si="40"/>
        <v>0</v>
      </c>
    </row>
    <row r="164" spans="1:57">
      <c r="A164" s="67">
        <v>363</v>
      </c>
      <c r="B164" s="8" t="s">
        <v>216</v>
      </c>
      <c r="C164" s="8" t="s">
        <v>42</v>
      </c>
      <c r="D164" s="8" t="s">
        <v>6</v>
      </c>
      <c r="E164" s="269" t="s">
        <v>559</v>
      </c>
      <c r="F164" s="5" t="s">
        <v>559</v>
      </c>
      <c r="G164" s="5" t="s">
        <v>559</v>
      </c>
      <c r="H164" s="5" t="s">
        <v>431</v>
      </c>
      <c r="I164" s="5" t="s">
        <v>431</v>
      </c>
      <c r="J164" s="5" t="s">
        <v>590</v>
      </c>
      <c r="K164" s="5" t="s">
        <v>590</v>
      </c>
      <c r="L164" s="270"/>
      <c r="M164" s="269" t="s">
        <v>433</v>
      </c>
      <c r="N164" s="5" t="s">
        <v>433</v>
      </c>
      <c r="O164" s="5" t="s">
        <v>433</v>
      </c>
      <c r="P164" s="5" t="s">
        <v>434</v>
      </c>
      <c r="Q164" s="20"/>
      <c r="R164" s="5" t="s">
        <v>559</v>
      </c>
      <c r="S164" s="20"/>
      <c r="T164" s="270" t="s">
        <v>562</v>
      </c>
      <c r="U164" s="269" t="s">
        <v>554</v>
      </c>
      <c r="V164" s="5" t="s">
        <v>432</v>
      </c>
      <c r="W164" s="5" t="s">
        <v>559</v>
      </c>
      <c r="X164" s="5" t="s">
        <v>558</v>
      </c>
      <c r="Y164" s="5" t="s">
        <v>558</v>
      </c>
      <c r="Z164" s="5" t="s">
        <v>577</v>
      </c>
      <c r="AA164" s="5" t="s">
        <v>577</v>
      </c>
      <c r="AB164" s="270" t="s">
        <v>577</v>
      </c>
      <c r="AC164" s="269" t="s">
        <v>577</v>
      </c>
      <c r="AD164" s="5" t="s">
        <v>577</v>
      </c>
      <c r="AE164" s="5" t="s">
        <v>577</v>
      </c>
      <c r="AF164" s="5" t="s">
        <v>557</v>
      </c>
      <c r="AG164" s="20"/>
      <c r="AH164" s="5" t="s">
        <v>559</v>
      </c>
      <c r="AI164" s="20"/>
      <c r="AJ164" s="270" t="s">
        <v>432</v>
      </c>
      <c r="AK164" s="67">
        <v>363</v>
      </c>
      <c r="AM164" s="67">
        <v>1</v>
      </c>
      <c r="AO164" s="67">
        <f t="shared" si="30"/>
        <v>0</v>
      </c>
      <c r="AP164" s="67">
        <f t="shared" si="31"/>
        <v>9</v>
      </c>
      <c r="AQ164" s="67">
        <f t="shared" si="32"/>
        <v>19</v>
      </c>
      <c r="AR164" s="67">
        <f t="shared" si="33"/>
        <v>11</v>
      </c>
      <c r="AS164" s="67">
        <f t="shared" si="34"/>
        <v>18</v>
      </c>
      <c r="AT164" s="67">
        <f t="shared" si="35"/>
        <v>18</v>
      </c>
      <c r="AU164" s="67">
        <f t="shared" si="36"/>
        <v>0</v>
      </c>
      <c r="AV164" s="67">
        <f t="shared" si="37"/>
        <v>75</v>
      </c>
      <c r="AX164" s="256">
        <v>30</v>
      </c>
      <c r="AY164" s="67">
        <f t="shared" si="42"/>
        <v>150</v>
      </c>
      <c r="AZ164" s="76">
        <f t="shared" si="43"/>
        <v>0.5</v>
      </c>
      <c r="BA164" s="67">
        <f t="shared" si="38"/>
        <v>27</v>
      </c>
      <c r="BB164" s="76">
        <f t="shared" si="41"/>
        <v>0.9</v>
      </c>
      <c r="BD164" s="67">
        <f t="shared" si="39"/>
        <v>13</v>
      </c>
      <c r="BE164" s="67">
        <f t="shared" si="40"/>
        <v>14</v>
      </c>
    </row>
    <row r="165" spans="1:57">
      <c r="A165" s="67">
        <v>365</v>
      </c>
      <c r="B165" s="8" t="s">
        <v>197</v>
      </c>
      <c r="C165" s="8" t="s">
        <v>357</v>
      </c>
      <c r="E165" s="269"/>
      <c r="F165" s="20"/>
      <c r="G165" s="20"/>
      <c r="H165" s="20"/>
      <c r="I165" s="20"/>
      <c r="J165" s="20"/>
      <c r="K165" s="20"/>
      <c r="L165" s="270"/>
      <c r="M165" s="269"/>
      <c r="N165" s="20"/>
      <c r="O165" s="20"/>
      <c r="P165" s="20" t="s">
        <v>431</v>
      </c>
      <c r="Q165" s="20" t="s">
        <v>431</v>
      </c>
      <c r="R165" s="20"/>
      <c r="S165" s="20"/>
      <c r="T165" s="270"/>
      <c r="U165" s="269"/>
      <c r="V165" s="20"/>
      <c r="W165" s="20"/>
      <c r="X165" s="20"/>
      <c r="Y165" s="20"/>
      <c r="Z165" s="20"/>
      <c r="AA165" s="20"/>
      <c r="AB165" s="270"/>
      <c r="AC165" s="269" t="s">
        <v>433</v>
      </c>
      <c r="AD165" s="20"/>
      <c r="AE165" s="20"/>
      <c r="AF165" s="20"/>
      <c r="AG165" s="20"/>
      <c r="AH165" s="20"/>
      <c r="AI165" s="20"/>
      <c r="AJ165" s="270"/>
      <c r="AK165" s="67">
        <v>365</v>
      </c>
      <c r="AM165" s="67">
        <v>1</v>
      </c>
      <c r="AO165" s="67">
        <f t="shared" si="30"/>
        <v>0</v>
      </c>
      <c r="AP165" s="67">
        <f t="shared" si="31"/>
        <v>2</v>
      </c>
      <c r="AQ165" s="67">
        <f t="shared" si="32"/>
        <v>0</v>
      </c>
      <c r="AR165" s="67">
        <f t="shared" si="33"/>
        <v>1</v>
      </c>
      <c r="AS165" s="67">
        <f t="shared" si="34"/>
        <v>0</v>
      </c>
      <c r="AT165" s="67">
        <f t="shared" si="35"/>
        <v>0</v>
      </c>
      <c r="AU165" s="67">
        <f t="shared" si="36"/>
        <v>0</v>
      </c>
      <c r="AV165" s="67">
        <f t="shared" si="37"/>
        <v>3</v>
      </c>
      <c r="AX165" s="256">
        <v>7</v>
      </c>
      <c r="AY165" s="67">
        <f t="shared" si="42"/>
        <v>35</v>
      </c>
      <c r="AZ165" s="76">
        <f t="shared" si="43"/>
        <v>8.5714285714285715E-2</v>
      </c>
      <c r="BA165" s="67">
        <f t="shared" si="38"/>
        <v>3</v>
      </c>
      <c r="BB165" s="76">
        <f t="shared" si="41"/>
        <v>0.42857142857142855</v>
      </c>
      <c r="BD165" s="67">
        <f t="shared" si="39"/>
        <v>2</v>
      </c>
      <c r="BE165" s="67">
        <f t="shared" si="40"/>
        <v>1</v>
      </c>
    </row>
    <row r="166" spans="1:57">
      <c r="A166" s="67">
        <v>367</v>
      </c>
      <c r="B166" s="8" t="s">
        <v>80</v>
      </c>
      <c r="C166" s="8" t="s">
        <v>346</v>
      </c>
      <c r="E166" s="269"/>
      <c r="F166" s="20"/>
      <c r="G166" s="20"/>
      <c r="H166" s="20" t="s">
        <v>567</v>
      </c>
      <c r="I166" s="20" t="s">
        <v>432</v>
      </c>
      <c r="J166" s="20"/>
      <c r="K166" s="20"/>
      <c r="L166" s="270" t="s">
        <v>545</v>
      </c>
      <c r="M166" s="269"/>
      <c r="N166" s="20"/>
      <c r="O166" s="20"/>
      <c r="P166" s="5" t="s">
        <v>548</v>
      </c>
      <c r="Q166" s="20"/>
      <c r="R166" s="20"/>
      <c r="S166" s="20"/>
      <c r="T166" s="270"/>
      <c r="U166" s="269"/>
      <c r="V166" s="20"/>
      <c r="W166" s="20"/>
      <c r="X166" s="20"/>
      <c r="Y166" s="20"/>
      <c r="Z166" s="20"/>
      <c r="AA166" s="20"/>
      <c r="AB166" s="270"/>
      <c r="AC166" s="269"/>
      <c r="AD166" s="20"/>
      <c r="AE166" s="20" t="s">
        <v>433</v>
      </c>
      <c r="AF166" s="20"/>
      <c r="AG166" s="20" t="s">
        <v>431</v>
      </c>
      <c r="AH166" s="20"/>
      <c r="AI166" s="20"/>
      <c r="AJ166" s="270"/>
      <c r="AK166" s="67">
        <v>367</v>
      </c>
      <c r="AM166" s="67">
        <v>1</v>
      </c>
      <c r="AO166" s="67">
        <f t="shared" si="30"/>
        <v>0</v>
      </c>
      <c r="AP166" s="67">
        <f t="shared" si="31"/>
        <v>3</v>
      </c>
      <c r="AQ166" s="67">
        <f t="shared" si="32"/>
        <v>2</v>
      </c>
      <c r="AR166" s="67">
        <f t="shared" si="33"/>
        <v>2</v>
      </c>
      <c r="AS166" s="67">
        <f t="shared" si="34"/>
        <v>2</v>
      </c>
      <c r="AT166" s="67">
        <f t="shared" si="35"/>
        <v>1</v>
      </c>
      <c r="AU166" s="67">
        <f t="shared" si="36"/>
        <v>0</v>
      </c>
      <c r="AV166" s="67">
        <f t="shared" si="37"/>
        <v>10</v>
      </c>
      <c r="AX166" s="256">
        <v>11</v>
      </c>
      <c r="AY166" s="67">
        <f t="shared" si="42"/>
        <v>55</v>
      </c>
      <c r="AZ166" s="76">
        <f t="shared" si="43"/>
        <v>0.18181818181818182</v>
      </c>
      <c r="BA166" s="67">
        <f t="shared" si="38"/>
        <v>6</v>
      </c>
      <c r="BB166" s="76">
        <f t="shared" si="41"/>
        <v>0.54545454545454541</v>
      </c>
      <c r="BD166" s="67">
        <f t="shared" si="39"/>
        <v>4</v>
      </c>
      <c r="BE166" s="67">
        <f t="shared" si="40"/>
        <v>2</v>
      </c>
    </row>
    <row r="167" spans="1:57">
      <c r="A167" s="67">
        <v>371</v>
      </c>
      <c r="B167" s="8" t="s">
        <v>73</v>
      </c>
      <c r="C167" s="8" t="s">
        <v>165</v>
      </c>
      <c r="D167" s="8" t="s">
        <v>42</v>
      </c>
      <c r="E167" s="269"/>
      <c r="F167" s="20"/>
      <c r="G167" s="5" t="s">
        <v>431</v>
      </c>
      <c r="H167" s="20"/>
      <c r="I167" s="20" t="s">
        <v>434</v>
      </c>
      <c r="J167" s="20" t="s">
        <v>433</v>
      </c>
      <c r="K167" s="20"/>
      <c r="L167" s="270" t="s">
        <v>433</v>
      </c>
      <c r="M167" s="269"/>
      <c r="N167" s="5" t="s">
        <v>433</v>
      </c>
      <c r="O167" s="20"/>
      <c r="P167" s="20"/>
      <c r="Q167" s="20"/>
      <c r="R167" s="5"/>
      <c r="S167" s="20" t="s">
        <v>574</v>
      </c>
      <c r="T167" s="270" t="s">
        <v>554</v>
      </c>
      <c r="U167" s="269" t="s">
        <v>559</v>
      </c>
      <c r="V167" s="5" t="s">
        <v>562</v>
      </c>
      <c r="W167" s="5" t="s">
        <v>432</v>
      </c>
      <c r="X167" s="5" t="s">
        <v>432</v>
      </c>
      <c r="Y167" s="5" t="s">
        <v>568</v>
      </c>
      <c r="Z167" s="5" t="s">
        <v>577</v>
      </c>
      <c r="AA167" s="5" t="s">
        <v>577</v>
      </c>
      <c r="AB167" s="270" t="s">
        <v>577</v>
      </c>
      <c r="AC167" s="269" t="s">
        <v>577</v>
      </c>
      <c r="AD167" s="5" t="s">
        <v>577</v>
      </c>
      <c r="AE167" s="5" t="s">
        <v>579</v>
      </c>
      <c r="AF167" s="5" t="s">
        <v>562</v>
      </c>
      <c r="AG167" s="20"/>
      <c r="AH167" s="20"/>
      <c r="AI167" s="20"/>
      <c r="AJ167" s="270" t="s">
        <v>435</v>
      </c>
      <c r="AK167" s="67">
        <v>371</v>
      </c>
      <c r="AM167" s="67">
        <v>1</v>
      </c>
      <c r="AO167" s="67">
        <f t="shared" si="30"/>
        <v>0</v>
      </c>
      <c r="AP167" s="67">
        <f t="shared" si="31"/>
        <v>4</v>
      </c>
      <c r="AQ167" s="67">
        <f t="shared" si="32"/>
        <v>14</v>
      </c>
      <c r="AR167" s="67">
        <f t="shared" si="33"/>
        <v>9</v>
      </c>
      <c r="AS167" s="67">
        <f t="shared" si="34"/>
        <v>8</v>
      </c>
      <c r="AT167" s="67">
        <f t="shared" si="35"/>
        <v>10</v>
      </c>
      <c r="AU167" s="67">
        <f t="shared" si="36"/>
        <v>0</v>
      </c>
      <c r="AV167" s="67">
        <f t="shared" si="37"/>
        <v>45</v>
      </c>
      <c r="AX167" s="256">
        <v>32</v>
      </c>
      <c r="AY167" s="67">
        <f t="shared" si="42"/>
        <v>160</v>
      </c>
      <c r="AZ167" s="76">
        <f t="shared" si="43"/>
        <v>0.28125</v>
      </c>
      <c r="BA167" s="67">
        <f t="shared" si="38"/>
        <v>20</v>
      </c>
      <c r="BB167" s="76">
        <f t="shared" si="41"/>
        <v>0.625</v>
      </c>
      <c r="BD167" s="67">
        <f t="shared" si="39"/>
        <v>7</v>
      </c>
      <c r="BE167" s="67">
        <f t="shared" si="40"/>
        <v>13</v>
      </c>
    </row>
    <row r="168" spans="1:57">
      <c r="A168" s="67">
        <v>375</v>
      </c>
      <c r="B168" s="8" t="s">
        <v>44</v>
      </c>
      <c r="C168" s="8" t="s">
        <v>349</v>
      </c>
      <c r="D168" s="8" t="s">
        <v>6</v>
      </c>
      <c r="E168" s="269"/>
      <c r="F168" s="20"/>
      <c r="G168" s="20"/>
      <c r="H168" s="20"/>
      <c r="I168" s="5" t="s">
        <v>435</v>
      </c>
      <c r="J168" s="20" t="s">
        <v>561</v>
      </c>
      <c r="K168" s="20"/>
      <c r="L168" s="270"/>
      <c r="M168" s="269"/>
      <c r="N168" s="20"/>
      <c r="O168" s="20" t="s">
        <v>590</v>
      </c>
      <c r="P168" s="5" t="s">
        <v>549</v>
      </c>
      <c r="Q168" s="20" t="s">
        <v>434</v>
      </c>
      <c r="R168" s="5" t="s">
        <v>568</v>
      </c>
      <c r="S168" s="20"/>
      <c r="T168" s="270"/>
      <c r="U168" s="269"/>
      <c r="V168" s="20"/>
      <c r="W168" s="20"/>
      <c r="X168" s="20"/>
      <c r="Y168" s="20"/>
      <c r="Z168" s="20"/>
      <c r="AA168" s="20" t="s">
        <v>590</v>
      </c>
      <c r="AB168" s="270"/>
      <c r="AC168" s="269" t="s">
        <v>577</v>
      </c>
      <c r="AD168" s="20" t="s">
        <v>577</v>
      </c>
      <c r="AE168" s="5" t="s">
        <v>590</v>
      </c>
      <c r="AF168" s="20"/>
      <c r="AG168" s="20"/>
      <c r="AH168" s="20"/>
      <c r="AI168" s="20"/>
      <c r="AJ168" s="270"/>
      <c r="AK168" s="67">
        <v>375</v>
      </c>
      <c r="AM168" s="67">
        <v>1</v>
      </c>
      <c r="AO168" s="67">
        <f t="shared" si="30"/>
        <v>0</v>
      </c>
      <c r="AP168" s="67">
        <f t="shared" si="31"/>
        <v>1</v>
      </c>
      <c r="AQ168" s="67">
        <f t="shared" si="32"/>
        <v>3</v>
      </c>
      <c r="AR168" s="67">
        <f t="shared" si="33"/>
        <v>6</v>
      </c>
      <c r="AS168" s="67">
        <f t="shared" si="34"/>
        <v>8</v>
      </c>
      <c r="AT168" s="67">
        <f t="shared" si="35"/>
        <v>8</v>
      </c>
      <c r="AU168" s="67">
        <f t="shared" si="36"/>
        <v>0</v>
      </c>
      <c r="AV168" s="67">
        <f t="shared" si="37"/>
        <v>26</v>
      </c>
      <c r="AX168" s="256">
        <v>11</v>
      </c>
      <c r="AY168" s="67">
        <f t="shared" si="42"/>
        <v>55</v>
      </c>
      <c r="AZ168" s="76">
        <f t="shared" si="43"/>
        <v>0.47272727272727272</v>
      </c>
      <c r="BA168" s="67">
        <f t="shared" si="38"/>
        <v>10</v>
      </c>
      <c r="BB168" s="76">
        <f t="shared" si="41"/>
        <v>0.90909090909090906</v>
      </c>
      <c r="BD168" s="67">
        <f t="shared" si="39"/>
        <v>6</v>
      </c>
      <c r="BE168" s="67">
        <f t="shared" si="40"/>
        <v>4</v>
      </c>
    </row>
    <row r="169" spans="1:57">
      <c r="A169" s="67">
        <v>376</v>
      </c>
      <c r="B169" s="8" t="s">
        <v>106</v>
      </c>
      <c r="C169" s="8" t="s">
        <v>349</v>
      </c>
      <c r="D169" s="8" t="s">
        <v>6</v>
      </c>
      <c r="E169" s="269"/>
      <c r="F169" s="20"/>
      <c r="G169" s="5"/>
      <c r="H169" s="20"/>
      <c r="I169" s="20"/>
      <c r="J169" s="20"/>
      <c r="K169" s="20"/>
      <c r="L169" s="270"/>
      <c r="M169" s="269"/>
      <c r="N169" s="20"/>
      <c r="O169" s="20"/>
      <c r="P169" s="20"/>
      <c r="Q169" s="20"/>
      <c r="R169" s="20"/>
      <c r="S169" s="20"/>
      <c r="T169" s="270"/>
      <c r="U169" s="269"/>
      <c r="V169" s="20"/>
      <c r="W169" s="20"/>
      <c r="X169" s="20"/>
      <c r="Y169" s="20"/>
      <c r="Z169" s="20"/>
      <c r="AA169" s="20"/>
      <c r="AB169" s="270"/>
      <c r="AC169" s="269"/>
      <c r="AD169" s="20"/>
      <c r="AE169" s="20"/>
      <c r="AF169" s="20"/>
      <c r="AG169" s="20"/>
      <c r="AH169" s="20"/>
      <c r="AI169" s="20"/>
      <c r="AJ169" s="270"/>
      <c r="AK169" s="67">
        <v>376</v>
      </c>
      <c r="AL169" s="67">
        <v>1</v>
      </c>
      <c r="AO169" s="67">
        <f t="shared" si="30"/>
        <v>0</v>
      </c>
      <c r="AP169" s="67">
        <f t="shared" si="31"/>
        <v>0</v>
      </c>
      <c r="AQ169" s="67">
        <f t="shared" si="32"/>
        <v>0</v>
      </c>
      <c r="AR169" s="67">
        <f t="shared" si="33"/>
        <v>0</v>
      </c>
      <c r="AS169" s="67">
        <f t="shared" si="34"/>
        <v>0</v>
      </c>
      <c r="AT169" s="67">
        <f t="shared" si="35"/>
        <v>0</v>
      </c>
      <c r="AU169" s="67">
        <f t="shared" si="36"/>
        <v>0</v>
      </c>
      <c r="AV169" s="67">
        <f t="shared" si="37"/>
        <v>0</v>
      </c>
      <c r="AX169" s="256">
        <v>2</v>
      </c>
      <c r="AY169" s="67">
        <f t="shared" si="42"/>
        <v>10</v>
      </c>
      <c r="AZ169" s="76">
        <f t="shared" si="43"/>
        <v>0</v>
      </c>
      <c r="BA169" s="67">
        <f t="shared" si="38"/>
        <v>0</v>
      </c>
      <c r="BB169" s="76">
        <f t="shared" si="41"/>
        <v>0</v>
      </c>
      <c r="BD169" s="67">
        <f t="shared" si="39"/>
        <v>0</v>
      </c>
      <c r="BE169" s="67">
        <f t="shared" si="40"/>
        <v>0</v>
      </c>
    </row>
    <row r="170" spans="1:57">
      <c r="A170" s="67">
        <v>377</v>
      </c>
      <c r="B170" s="8" t="s">
        <v>62</v>
      </c>
      <c r="C170" s="8" t="s">
        <v>42</v>
      </c>
      <c r="D170" s="8" t="s">
        <v>6</v>
      </c>
      <c r="E170" s="269" t="s">
        <v>434</v>
      </c>
      <c r="F170" s="5" t="s">
        <v>432</v>
      </c>
      <c r="G170" s="5" t="s">
        <v>432</v>
      </c>
      <c r="H170" s="5" t="s">
        <v>431</v>
      </c>
      <c r="I170" s="5"/>
      <c r="J170" s="5" t="s">
        <v>433</v>
      </c>
      <c r="K170" s="5" t="s">
        <v>433</v>
      </c>
      <c r="L170" s="270"/>
      <c r="M170" s="269"/>
      <c r="N170" s="20" t="s">
        <v>564</v>
      </c>
      <c r="O170" s="5" t="s">
        <v>433</v>
      </c>
      <c r="P170" s="5" t="s">
        <v>431</v>
      </c>
      <c r="Q170" s="5" t="s">
        <v>559</v>
      </c>
      <c r="R170" s="5" t="s">
        <v>559</v>
      </c>
      <c r="S170" s="5" t="s">
        <v>563</v>
      </c>
      <c r="T170" s="270" t="s">
        <v>562</v>
      </c>
      <c r="U170" s="269"/>
      <c r="V170" s="5" t="s">
        <v>559</v>
      </c>
      <c r="W170" s="20"/>
      <c r="X170" s="5" t="s">
        <v>574</v>
      </c>
      <c r="Y170" s="5" t="s">
        <v>431</v>
      </c>
      <c r="Z170" s="5" t="s">
        <v>577</v>
      </c>
      <c r="AA170" s="5" t="s">
        <v>577</v>
      </c>
      <c r="AB170" s="270" t="s">
        <v>577</v>
      </c>
      <c r="AC170" s="269" t="s">
        <v>577</v>
      </c>
      <c r="AD170" s="5" t="s">
        <v>577</v>
      </c>
      <c r="AE170" s="5" t="s">
        <v>546</v>
      </c>
      <c r="AF170" s="5" t="s">
        <v>574</v>
      </c>
      <c r="AG170" s="5" t="s">
        <v>431</v>
      </c>
      <c r="AH170" s="20"/>
      <c r="AI170" s="5" t="s">
        <v>562</v>
      </c>
      <c r="AJ170" s="270"/>
      <c r="AK170" s="67">
        <v>377</v>
      </c>
      <c r="AM170" s="67">
        <v>1</v>
      </c>
      <c r="AO170" s="67">
        <f t="shared" si="30"/>
        <v>0</v>
      </c>
      <c r="AP170" s="67">
        <f t="shared" si="31"/>
        <v>10</v>
      </c>
      <c r="AQ170" s="67">
        <f t="shared" si="32"/>
        <v>16</v>
      </c>
      <c r="AR170" s="67">
        <f t="shared" si="33"/>
        <v>9</v>
      </c>
      <c r="AS170" s="67">
        <f t="shared" si="34"/>
        <v>12</v>
      </c>
      <c r="AT170" s="67">
        <f t="shared" si="35"/>
        <v>11</v>
      </c>
      <c r="AU170" s="67">
        <f t="shared" si="36"/>
        <v>0</v>
      </c>
      <c r="AV170" s="67">
        <f t="shared" si="37"/>
        <v>58</v>
      </c>
      <c r="AX170" s="256">
        <v>28</v>
      </c>
      <c r="AY170" s="67">
        <f t="shared" si="42"/>
        <v>140</v>
      </c>
      <c r="AZ170" s="76">
        <f t="shared" si="43"/>
        <v>0.41428571428571431</v>
      </c>
      <c r="BA170" s="67">
        <f t="shared" si="38"/>
        <v>25</v>
      </c>
      <c r="BB170" s="76">
        <f t="shared" si="41"/>
        <v>0.8928571428571429</v>
      </c>
      <c r="BD170" s="67">
        <f t="shared" si="39"/>
        <v>13</v>
      </c>
      <c r="BE170" s="67">
        <f t="shared" si="40"/>
        <v>12</v>
      </c>
    </row>
    <row r="171" spans="1:57">
      <c r="A171" s="67">
        <v>380</v>
      </c>
      <c r="B171" s="8" t="s">
        <v>136</v>
      </c>
      <c r="C171" s="8" t="s">
        <v>12</v>
      </c>
      <c r="D171" s="8" t="s">
        <v>42</v>
      </c>
      <c r="E171" s="269"/>
      <c r="F171" s="5" t="s">
        <v>562</v>
      </c>
      <c r="G171" s="5" t="s">
        <v>431</v>
      </c>
      <c r="H171" s="5" t="s">
        <v>431</v>
      </c>
      <c r="I171" s="5" t="s">
        <v>431</v>
      </c>
      <c r="J171" s="20"/>
      <c r="K171" s="20"/>
      <c r="L171" s="270"/>
      <c r="M171" s="269"/>
      <c r="N171" s="20"/>
      <c r="O171" s="20"/>
      <c r="P171" s="20"/>
      <c r="Q171" s="20"/>
      <c r="R171" s="20" t="s">
        <v>431</v>
      </c>
      <c r="S171" s="20" t="s">
        <v>431</v>
      </c>
      <c r="T171" s="270"/>
      <c r="U171" s="269" t="s">
        <v>435</v>
      </c>
      <c r="V171" s="5" t="s">
        <v>432</v>
      </c>
      <c r="W171" s="5" t="s">
        <v>574</v>
      </c>
      <c r="X171" s="5" t="s">
        <v>432</v>
      </c>
      <c r="Y171" s="5" t="s">
        <v>432</v>
      </c>
      <c r="Z171" s="5" t="s">
        <v>577</v>
      </c>
      <c r="AA171" s="5" t="s">
        <v>577</v>
      </c>
      <c r="AB171" s="270" t="s">
        <v>577</v>
      </c>
      <c r="AC171" s="269" t="s">
        <v>577</v>
      </c>
      <c r="AD171" s="5" t="s">
        <v>577</v>
      </c>
      <c r="AE171" s="5" t="s">
        <v>577</v>
      </c>
      <c r="AF171" s="5" t="s">
        <v>432</v>
      </c>
      <c r="AG171" s="5" t="s">
        <v>432</v>
      </c>
      <c r="AH171" s="5" t="s">
        <v>554</v>
      </c>
      <c r="AI171" s="5" t="s">
        <v>432</v>
      </c>
      <c r="AJ171" s="270" t="s">
        <v>569</v>
      </c>
      <c r="AK171" s="67">
        <v>380</v>
      </c>
      <c r="AM171" s="67">
        <v>1</v>
      </c>
      <c r="AO171" s="67">
        <f t="shared" si="30"/>
        <v>0</v>
      </c>
      <c r="AP171" s="67">
        <f t="shared" si="31"/>
        <v>7</v>
      </c>
      <c r="AQ171" s="67">
        <f t="shared" si="32"/>
        <v>16</v>
      </c>
      <c r="AR171" s="67">
        <f t="shared" si="33"/>
        <v>6</v>
      </c>
      <c r="AS171" s="67">
        <f t="shared" si="34"/>
        <v>7</v>
      </c>
      <c r="AT171" s="67">
        <f t="shared" si="35"/>
        <v>10</v>
      </c>
      <c r="AU171" s="67">
        <f t="shared" si="36"/>
        <v>0</v>
      </c>
      <c r="AV171" s="67">
        <f t="shared" si="37"/>
        <v>46</v>
      </c>
      <c r="AX171" s="256">
        <v>30</v>
      </c>
      <c r="AY171" s="67">
        <f t="shared" si="42"/>
        <v>150</v>
      </c>
      <c r="AZ171" s="76">
        <f t="shared" si="43"/>
        <v>0.30666666666666664</v>
      </c>
      <c r="BA171" s="67">
        <f t="shared" si="38"/>
        <v>22</v>
      </c>
      <c r="BB171" s="76">
        <f t="shared" si="41"/>
        <v>0.73333333333333328</v>
      </c>
      <c r="BD171" s="67">
        <f t="shared" si="39"/>
        <v>6</v>
      </c>
      <c r="BE171" s="67">
        <f t="shared" si="40"/>
        <v>16</v>
      </c>
    </row>
    <row r="172" spans="1:57">
      <c r="A172" s="67">
        <v>386</v>
      </c>
      <c r="B172" s="8" t="s">
        <v>80</v>
      </c>
      <c r="C172" s="8" t="s">
        <v>346</v>
      </c>
      <c r="E172" s="269"/>
      <c r="F172" s="20"/>
      <c r="G172" s="20"/>
      <c r="H172" s="20"/>
      <c r="I172" s="20"/>
      <c r="J172" s="20"/>
      <c r="K172" s="20"/>
      <c r="L172" s="270" t="s">
        <v>433</v>
      </c>
      <c r="M172" s="269"/>
      <c r="N172" s="20"/>
      <c r="O172" s="20"/>
      <c r="P172" s="20"/>
      <c r="Q172" s="20" t="s">
        <v>557</v>
      </c>
      <c r="R172" s="20"/>
      <c r="S172" s="20"/>
      <c r="T172" s="270"/>
      <c r="U172" s="269"/>
      <c r="V172" s="20"/>
      <c r="W172" s="20"/>
      <c r="X172" s="20"/>
      <c r="Y172" s="20"/>
      <c r="Z172" s="5" t="s">
        <v>432</v>
      </c>
      <c r="AA172" s="5" t="s">
        <v>434</v>
      </c>
      <c r="AB172" s="270" t="s">
        <v>560</v>
      </c>
      <c r="AC172" s="269" t="s">
        <v>435</v>
      </c>
      <c r="AD172" s="5" t="s">
        <v>434</v>
      </c>
      <c r="AE172" s="20"/>
      <c r="AF172" s="5" t="s">
        <v>435</v>
      </c>
      <c r="AG172" s="20"/>
      <c r="AH172" s="20"/>
      <c r="AI172" s="20"/>
      <c r="AJ172" s="270"/>
      <c r="AK172" s="67">
        <v>386</v>
      </c>
      <c r="AM172" s="67">
        <v>1</v>
      </c>
      <c r="AO172" s="67">
        <f t="shared" si="30"/>
        <v>0</v>
      </c>
      <c r="AP172" s="67">
        <f t="shared" si="31"/>
        <v>0</v>
      </c>
      <c r="AQ172" s="67">
        <f t="shared" si="32"/>
        <v>2</v>
      </c>
      <c r="AR172" s="67">
        <f t="shared" si="33"/>
        <v>1</v>
      </c>
      <c r="AS172" s="67">
        <f t="shared" si="34"/>
        <v>4</v>
      </c>
      <c r="AT172" s="67">
        <f t="shared" si="35"/>
        <v>3</v>
      </c>
      <c r="AU172" s="67">
        <f t="shared" si="36"/>
        <v>0</v>
      </c>
      <c r="AV172" s="67">
        <f t="shared" si="37"/>
        <v>10</v>
      </c>
      <c r="AX172" s="256">
        <v>16</v>
      </c>
      <c r="AY172" s="67">
        <f t="shared" si="42"/>
        <v>80</v>
      </c>
      <c r="AZ172" s="76">
        <f t="shared" si="43"/>
        <v>0.125</v>
      </c>
      <c r="BA172" s="67">
        <f t="shared" si="38"/>
        <v>8</v>
      </c>
      <c r="BB172" s="76">
        <f t="shared" si="41"/>
        <v>0.5</v>
      </c>
      <c r="BD172" s="67">
        <f t="shared" si="39"/>
        <v>2</v>
      </c>
      <c r="BE172" s="67">
        <f t="shared" si="40"/>
        <v>6</v>
      </c>
    </row>
    <row r="173" spans="1:57">
      <c r="A173" s="67">
        <v>392</v>
      </c>
      <c r="B173" s="8" t="s">
        <v>80</v>
      </c>
      <c r="C173" s="8" t="s">
        <v>346</v>
      </c>
      <c r="E173" s="269"/>
      <c r="F173" s="20"/>
      <c r="G173" s="20"/>
      <c r="H173" s="20"/>
      <c r="I173" s="20"/>
      <c r="J173" s="20"/>
      <c r="K173" s="20"/>
      <c r="L173" s="270"/>
      <c r="M173" s="269"/>
      <c r="N173" s="20"/>
      <c r="O173" s="20"/>
      <c r="P173" s="20"/>
      <c r="Q173" s="20"/>
      <c r="R173" s="20"/>
      <c r="S173" s="20"/>
      <c r="T173" s="270"/>
      <c r="U173" s="269"/>
      <c r="V173" s="20"/>
      <c r="W173" s="20"/>
      <c r="X173" s="20"/>
      <c r="Y173" s="20"/>
      <c r="Z173" s="20"/>
      <c r="AA173" s="20"/>
      <c r="AB173" s="270"/>
      <c r="AC173" s="269"/>
      <c r="AD173" s="20"/>
      <c r="AE173" s="20"/>
      <c r="AF173" s="20"/>
      <c r="AG173" s="20"/>
      <c r="AH173" s="20"/>
      <c r="AI173" s="20"/>
      <c r="AJ173" s="270"/>
      <c r="AK173" s="67">
        <v>392</v>
      </c>
      <c r="AL173" s="67">
        <v>1</v>
      </c>
      <c r="AO173" s="67">
        <f t="shared" si="30"/>
        <v>0</v>
      </c>
      <c r="AP173" s="67">
        <f t="shared" si="31"/>
        <v>0</v>
      </c>
      <c r="AQ173" s="67">
        <f t="shared" si="32"/>
        <v>0</v>
      </c>
      <c r="AR173" s="67">
        <f t="shared" si="33"/>
        <v>0</v>
      </c>
      <c r="AS173" s="67">
        <f t="shared" si="34"/>
        <v>0</v>
      </c>
      <c r="AT173" s="67">
        <f t="shared" si="35"/>
        <v>0</v>
      </c>
      <c r="AU173" s="67">
        <f t="shared" si="36"/>
        <v>0</v>
      </c>
      <c r="AV173" s="67">
        <f t="shared" si="37"/>
        <v>0</v>
      </c>
      <c r="AX173" s="256">
        <v>16</v>
      </c>
      <c r="AY173" s="67">
        <f t="shared" si="42"/>
        <v>80</v>
      </c>
      <c r="AZ173" s="76">
        <f t="shared" si="43"/>
        <v>0</v>
      </c>
      <c r="BA173" s="67">
        <f t="shared" si="38"/>
        <v>0</v>
      </c>
      <c r="BB173" s="76">
        <f t="shared" si="41"/>
        <v>0</v>
      </c>
      <c r="BD173" s="67">
        <f t="shared" si="39"/>
        <v>0</v>
      </c>
      <c r="BE173" s="67">
        <f t="shared" si="40"/>
        <v>0</v>
      </c>
    </row>
    <row r="174" spans="1:57">
      <c r="A174" s="8">
        <v>401</v>
      </c>
      <c r="B174" s="8" t="s">
        <v>123</v>
      </c>
      <c r="C174" s="8" t="s">
        <v>366</v>
      </c>
      <c r="D174" s="8" t="s">
        <v>42</v>
      </c>
      <c r="E174" s="269" t="s">
        <v>469</v>
      </c>
      <c r="F174" s="5" t="s">
        <v>469</v>
      </c>
      <c r="G174" s="5" t="s">
        <v>469</v>
      </c>
      <c r="H174" s="5" t="s">
        <v>559</v>
      </c>
      <c r="I174" s="20"/>
      <c r="J174" s="20"/>
      <c r="K174" s="5" t="s">
        <v>565</v>
      </c>
      <c r="L174" s="270" t="s">
        <v>432</v>
      </c>
      <c r="M174" s="269" t="s">
        <v>565</v>
      </c>
      <c r="N174" s="5" t="s">
        <v>565</v>
      </c>
      <c r="O174" s="5" t="s">
        <v>433</v>
      </c>
      <c r="P174" s="20"/>
      <c r="Q174" s="5" t="s">
        <v>559</v>
      </c>
      <c r="R174" s="20"/>
      <c r="S174" s="5" t="s">
        <v>469</v>
      </c>
      <c r="T174" s="270"/>
      <c r="U174" s="269"/>
      <c r="V174" s="20"/>
      <c r="W174" s="20"/>
      <c r="X174" s="20" t="s">
        <v>559</v>
      </c>
      <c r="Y174" s="20" t="s">
        <v>559</v>
      </c>
      <c r="Z174" s="5" t="s">
        <v>577</v>
      </c>
      <c r="AA174" s="5" t="s">
        <v>577</v>
      </c>
      <c r="AB174" s="270" t="s">
        <v>577</v>
      </c>
      <c r="AC174" s="269" t="s">
        <v>577</v>
      </c>
      <c r="AD174" s="5" t="s">
        <v>577</v>
      </c>
      <c r="AE174" s="5" t="s">
        <v>577</v>
      </c>
      <c r="AF174" s="20"/>
      <c r="AG174" s="20"/>
      <c r="AH174" s="20"/>
      <c r="AI174" s="20"/>
      <c r="AJ174" s="270"/>
      <c r="AK174" s="8">
        <v>401</v>
      </c>
      <c r="AM174" s="8">
        <v>1</v>
      </c>
      <c r="AO174" s="67">
        <f t="shared" si="30"/>
        <v>0</v>
      </c>
      <c r="AP174" s="67">
        <f t="shared" si="31"/>
        <v>8</v>
      </c>
      <c r="AQ174" s="67">
        <f t="shared" si="32"/>
        <v>18</v>
      </c>
      <c r="AR174" s="67">
        <f t="shared" si="33"/>
        <v>10</v>
      </c>
      <c r="AS174" s="67">
        <f t="shared" si="34"/>
        <v>14</v>
      </c>
      <c r="AT174" s="67">
        <f t="shared" si="35"/>
        <v>14</v>
      </c>
      <c r="AU174" s="67">
        <f t="shared" si="36"/>
        <v>4</v>
      </c>
      <c r="AV174" s="67">
        <f t="shared" si="37"/>
        <v>68</v>
      </c>
      <c r="AX174" s="256">
        <v>23</v>
      </c>
      <c r="AY174" s="67">
        <f t="shared" si="42"/>
        <v>115</v>
      </c>
      <c r="AZ174" s="76">
        <f t="shared" si="43"/>
        <v>0.59130434782608698</v>
      </c>
      <c r="BA174" s="67">
        <f t="shared" si="38"/>
        <v>19</v>
      </c>
      <c r="BB174" s="76">
        <f t="shared" si="41"/>
        <v>0.82608695652173914</v>
      </c>
      <c r="BD174" s="67">
        <f t="shared" si="39"/>
        <v>11</v>
      </c>
      <c r="BE174" s="67">
        <f t="shared" si="40"/>
        <v>8</v>
      </c>
    </row>
    <row r="175" spans="1:57">
      <c r="A175" s="67">
        <v>402</v>
      </c>
      <c r="B175" s="8" t="s">
        <v>88</v>
      </c>
      <c r="C175" s="8" t="s">
        <v>12</v>
      </c>
      <c r="D175" s="8" t="s">
        <v>6</v>
      </c>
      <c r="E175" s="269" t="s">
        <v>431</v>
      </c>
      <c r="F175" s="5" t="s">
        <v>431</v>
      </c>
      <c r="G175" s="5" t="s">
        <v>560</v>
      </c>
      <c r="H175" s="5" t="s">
        <v>431</v>
      </c>
      <c r="I175" s="5" t="s">
        <v>548</v>
      </c>
      <c r="J175" s="5" t="s">
        <v>577</v>
      </c>
      <c r="K175" s="5" t="s">
        <v>433</v>
      </c>
      <c r="L175" s="270"/>
      <c r="M175" s="269" t="s">
        <v>433</v>
      </c>
      <c r="N175" s="5" t="s">
        <v>592</v>
      </c>
      <c r="O175" s="5" t="s">
        <v>433</v>
      </c>
      <c r="P175" s="5" t="s">
        <v>431</v>
      </c>
      <c r="Q175" s="5" t="s">
        <v>431</v>
      </c>
      <c r="R175" s="20"/>
      <c r="S175" s="5" t="s">
        <v>434</v>
      </c>
      <c r="T175" s="270" t="s">
        <v>434</v>
      </c>
      <c r="U175" s="269" t="s">
        <v>562</v>
      </c>
      <c r="V175" s="5" t="s">
        <v>431</v>
      </c>
      <c r="W175" s="20"/>
      <c r="X175" s="5" t="s">
        <v>432</v>
      </c>
      <c r="Y175" s="5" t="s">
        <v>432</v>
      </c>
      <c r="Z175" s="5" t="s">
        <v>577</v>
      </c>
      <c r="AA175" s="5" t="s">
        <v>577</v>
      </c>
      <c r="AB175" s="270" t="s">
        <v>577</v>
      </c>
      <c r="AC175" s="269" t="s">
        <v>577</v>
      </c>
      <c r="AD175" s="5" t="s">
        <v>577</v>
      </c>
      <c r="AE175" s="5" t="s">
        <v>577</v>
      </c>
      <c r="AF175" s="5" t="s">
        <v>559</v>
      </c>
      <c r="AG175" s="5" t="s">
        <v>432</v>
      </c>
      <c r="AH175" s="5" t="s">
        <v>559</v>
      </c>
      <c r="AI175" s="5" t="s">
        <v>559</v>
      </c>
      <c r="AJ175" s="270" t="s">
        <v>559</v>
      </c>
      <c r="AK175" s="67">
        <v>402</v>
      </c>
      <c r="AM175" s="8">
        <v>1</v>
      </c>
      <c r="AO175" s="67">
        <f t="shared" si="30"/>
        <v>0</v>
      </c>
      <c r="AP175" s="67">
        <f t="shared" si="31"/>
        <v>11</v>
      </c>
      <c r="AQ175" s="67">
        <f t="shared" si="32"/>
        <v>15</v>
      </c>
      <c r="AR175" s="67">
        <f t="shared" si="33"/>
        <v>11</v>
      </c>
      <c r="AS175" s="67">
        <f t="shared" si="34"/>
        <v>16</v>
      </c>
      <c r="AT175" s="67">
        <f t="shared" si="35"/>
        <v>13</v>
      </c>
      <c r="AU175" s="67">
        <f t="shared" si="36"/>
        <v>0</v>
      </c>
      <c r="AV175" s="67">
        <f t="shared" si="37"/>
        <v>66</v>
      </c>
      <c r="AX175" s="256">
        <v>32</v>
      </c>
      <c r="AY175" s="67">
        <f t="shared" si="42"/>
        <v>160</v>
      </c>
      <c r="AZ175" s="76">
        <f t="shared" si="43"/>
        <v>0.41249999999999998</v>
      </c>
      <c r="BA175" s="67">
        <f t="shared" si="38"/>
        <v>29</v>
      </c>
      <c r="BB175" s="76">
        <f t="shared" si="41"/>
        <v>0.90625</v>
      </c>
      <c r="BD175" s="67">
        <f t="shared" si="39"/>
        <v>14</v>
      </c>
      <c r="BE175" s="67">
        <f t="shared" si="40"/>
        <v>15</v>
      </c>
    </row>
    <row r="176" spans="1:57">
      <c r="A176" s="67">
        <v>412</v>
      </c>
      <c r="B176" s="8" t="s">
        <v>41</v>
      </c>
      <c r="C176" s="8" t="s">
        <v>42</v>
      </c>
      <c r="D176" s="8" t="s">
        <v>42</v>
      </c>
      <c r="E176" s="269"/>
      <c r="F176" s="5" t="s">
        <v>559</v>
      </c>
      <c r="G176" s="5" t="s">
        <v>559</v>
      </c>
      <c r="H176" s="5" t="s">
        <v>559</v>
      </c>
      <c r="I176" s="5" t="s">
        <v>559</v>
      </c>
      <c r="J176" s="5" t="s">
        <v>577</v>
      </c>
      <c r="K176" s="20"/>
      <c r="L176" s="270" t="s">
        <v>577</v>
      </c>
      <c r="M176" s="269" t="s">
        <v>577</v>
      </c>
      <c r="N176" s="5" t="s">
        <v>577</v>
      </c>
      <c r="O176" s="5" t="s">
        <v>577</v>
      </c>
      <c r="P176" s="5" t="s">
        <v>559</v>
      </c>
      <c r="Q176" s="5" t="s">
        <v>559</v>
      </c>
      <c r="R176" s="5" t="s">
        <v>559</v>
      </c>
      <c r="S176" s="5" t="s">
        <v>599</v>
      </c>
      <c r="T176" s="270" t="s">
        <v>469</v>
      </c>
      <c r="U176" s="269" t="s">
        <v>559</v>
      </c>
      <c r="V176" s="5" t="s">
        <v>559</v>
      </c>
      <c r="W176" s="5" t="s">
        <v>600</v>
      </c>
      <c r="X176" s="5" t="s">
        <v>551</v>
      </c>
      <c r="Y176" s="5" t="s">
        <v>551</v>
      </c>
      <c r="Z176" s="5" t="s">
        <v>577</v>
      </c>
      <c r="AA176" s="5" t="s">
        <v>577</v>
      </c>
      <c r="AB176" s="270" t="s">
        <v>577</v>
      </c>
      <c r="AC176" s="269" t="s">
        <v>577</v>
      </c>
      <c r="AD176" s="5" t="s">
        <v>570</v>
      </c>
      <c r="AE176" s="5" t="s">
        <v>577</v>
      </c>
      <c r="AF176" s="5" t="s">
        <v>432</v>
      </c>
      <c r="AG176" s="5" t="s">
        <v>432</v>
      </c>
      <c r="AH176" s="5" t="s">
        <v>560</v>
      </c>
      <c r="AI176" s="20"/>
      <c r="AJ176" s="270" t="s">
        <v>435</v>
      </c>
      <c r="AK176" s="67">
        <v>412</v>
      </c>
      <c r="AM176" s="8">
        <v>1</v>
      </c>
      <c r="AO176" s="67">
        <f t="shared" si="30"/>
        <v>0</v>
      </c>
      <c r="AP176" s="67">
        <f t="shared" si="31"/>
        <v>14</v>
      </c>
      <c r="AQ176" s="67">
        <f t="shared" si="32"/>
        <v>27</v>
      </c>
      <c r="AR176" s="67">
        <f t="shared" si="33"/>
        <v>11</v>
      </c>
      <c r="AS176" s="67">
        <f t="shared" si="34"/>
        <v>26</v>
      </c>
      <c r="AT176" s="67">
        <f t="shared" si="35"/>
        <v>27</v>
      </c>
      <c r="AU176" s="67">
        <f t="shared" si="36"/>
        <v>2</v>
      </c>
      <c r="AV176" s="67">
        <f t="shared" si="37"/>
        <v>107</v>
      </c>
      <c r="AX176" s="256">
        <v>29</v>
      </c>
      <c r="AY176" s="67">
        <f t="shared" si="42"/>
        <v>145</v>
      </c>
      <c r="AZ176" s="76">
        <f t="shared" si="43"/>
        <v>0.73793103448275865</v>
      </c>
      <c r="BA176" s="67">
        <f t="shared" si="38"/>
        <v>29</v>
      </c>
      <c r="BB176" s="76">
        <f t="shared" si="41"/>
        <v>1</v>
      </c>
      <c r="BD176" s="67">
        <f t="shared" si="39"/>
        <v>14</v>
      </c>
      <c r="BE176" s="67">
        <f t="shared" si="40"/>
        <v>15</v>
      </c>
    </row>
    <row r="177" spans="1:57">
      <c r="A177" s="67">
        <v>414</v>
      </c>
      <c r="B177" s="8" t="s">
        <v>62</v>
      </c>
      <c r="C177" s="8" t="s">
        <v>42</v>
      </c>
      <c r="D177" s="8" t="s">
        <v>42</v>
      </c>
      <c r="E177" s="269" t="s">
        <v>549</v>
      </c>
      <c r="F177" s="5" t="s">
        <v>548</v>
      </c>
      <c r="G177" s="5" t="s">
        <v>431</v>
      </c>
      <c r="H177" s="5" t="s">
        <v>431</v>
      </c>
      <c r="I177" s="5" t="s">
        <v>431</v>
      </c>
      <c r="J177" s="5" t="s">
        <v>433</v>
      </c>
      <c r="K177" s="5" t="s">
        <v>433</v>
      </c>
      <c r="L177" s="270" t="s">
        <v>433</v>
      </c>
      <c r="M177" s="269" t="s">
        <v>433</v>
      </c>
      <c r="N177" s="5" t="s">
        <v>433</v>
      </c>
      <c r="O177" s="5" t="s">
        <v>433</v>
      </c>
      <c r="P177" s="5" t="s">
        <v>431</v>
      </c>
      <c r="Q177" s="5" t="s">
        <v>431</v>
      </c>
      <c r="R177" s="5" t="s">
        <v>554</v>
      </c>
      <c r="S177" s="5" t="s">
        <v>549</v>
      </c>
      <c r="T177" s="270" t="s">
        <v>434</v>
      </c>
      <c r="U177" s="269" t="s">
        <v>562</v>
      </c>
      <c r="V177" s="5" t="s">
        <v>560</v>
      </c>
      <c r="W177" s="20"/>
      <c r="X177" s="5" t="s">
        <v>432</v>
      </c>
      <c r="Y177" s="5" t="s">
        <v>432</v>
      </c>
      <c r="Z177" s="5" t="s">
        <v>598</v>
      </c>
      <c r="AA177" s="5" t="s">
        <v>577</v>
      </c>
      <c r="AB177" s="270" t="s">
        <v>577</v>
      </c>
      <c r="AC177" s="269" t="s">
        <v>577</v>
      </c>
      <c r="AD177" s="5" t="s">
        <v>577</v>
      </c>
      <c r="AE177" s="5" t="s">
        <v>577</v>
      </c>
      <c r="AF177" s="5" t="s">
        <v>431</v>
      </c>
      <c r="AG177" s="5" t="s">
        <v>431</v>
      </c>
      <c r="AH177" s="5" t="s">
        <v>431</v>
      </c>
      <c r="AI177" s="5" t="s">
        <v>432</v>
      </c>
      <c r="AJ177" s="270" t="s">
        <v>558</v>
      </c>
      <c r="AK177" s="67">
        <v>414</v>
      </c>
      <c r="AM177" s="8">
        <v>1</v>
      </c>
      <c r="AO177" s="67">
        <f t="shared" si="30"/>
        <v>0</v>
      </c>
      <c r="AP177" s="67">
        <f t="shared" si="31"/>
        <v>12</v>
      </c>
      <c r="AQ177" s="67">
        <f t="shared" si="32"/>
        <v>12</v>
      </c>
      <c r="AR177" s="67">
        <f t="shared" si="33"/>
        <v>12</v>
      </c>
      <c r="AS177" s="67">
        <f t="shared" si="34"/>
        <v>12</v>
      </c>
      <c r="AT177" s="67">
        <f t="shared" si="35"/>
        <v>11</v>
      </c>
      <c r="AU177" s="67">
        <f t="shared" si="36"/>
        <v>0</v>
      </c>
      <c r="AV177" s="67">
        <f t="shared" si="37"/>
        <v>59</v>
      </c>
      <c r="AX177" s="256">
        <v>32</v>
      </c>
      <c r="AY177" s="67">
        <f t="shared" si="42"/>
        <v>160</v>
      </c>
      <c r="AZ177" s="76">
        <f t="shared" si="43"/>
        <v>0.36875000000000002</v>
      </c>
      <c r="BA177" s="67">
        <f t="shared" si="38"/>
        <v>31</v>
      </c>
      <c r="BB177" s="76">
        <f t="shared" si="41"/>
        <v>0.96875</v>
      </c>
      <c r="BD177" s="67">
        <f t="shared" si="39"/>
        <v>16</v>
      </c>
      <c r="BE177" s="67">
        <f t="shared" si="40"/>
        <v>15</v>
      </c>
    </row>
    <row r="178" spans="1:57">
      <c r="A178" s="67">
        <v>417</v>
      </c>
      <c r="B178" s="8" t="s">
        <v>78</v>
      </c>
      <c r="C178" s="8" t="s">
        <v>359</v>
      </c>
      <c r="E178" s="269"/>
      <c r="F178" s="20"/>
      <c r="G178" s="20"/>
      <c r="H178" s="20"/>
      <c r="I178" s="20"/>
      <c r="J178" s="20"/>
      <c r="K178" s="20"/>
      <c r="L178" s="270"/>
      <c r="M178" s="269"/>
      <c r="N178" s="20"/>
      <c r="O178" s="20"/>
      <c r="P178" s="20"/>
      <c r="Q178" s="20"/>
      <c r="R178" s="20"/>
      <c r="S178" s="20"/>
      <c r="T178" s="270"/>
      <c r="U178" s="269"/>
      <c r="V178" s="20"/>
      <c r="W178" s="20"/>
      <c r="X178" s="20"/>
      <c r="Y178" s="20"/>
      <c r="Z178" s="20"/>
      <c r="AA178" s="20"/>
      <c r="AB178" s="270"/>
      <c r="AC178" s="269"/>
      <c r="AD178" s="20"/>
      <c r="AE178" s="20"/>
      <c r="AF178" s="20"/>
      <c r="AG178" s="20"/>
      <c r="AH178" s="20"/>
      <c r="AI178" s="20"/>
      <c r="AJ178" s="270"/>
      <c r="AK178" s="67">
        <v>417</v>
      </c>
      <c r="AL178" s="67">
        <v>1</v>
      </c>
      <c r="AO178" s="67">
        <f t="shared" si="30"/>
        <v>0</v>
      </c>
      <c r="AP178" s="67">
        <f t="shared" si="31"/>
        <v>0</v>
      </c>
      <c r="AQ178" s="67">
        <f t="shared" si="32"/>
        <v>0</v>
      </c>
      <c r="AR178" s="67">
        <f t="shared" si="33"/>
        <v>0</v>
      </c>
      <c r="AS178" s="67">
        <f t="shared" si="34"/>
        <v>0</v>
      </c>
      <c r="AT178" s="67">
        <f t="shared" si="35"/>
        <v>0</v>
      </c>
      <c r="AU178" s="67">
        <f t="shared" si="36"/>
        <v>0</v>
      </c>
      <c r="AV178" s="67">
        <f t="shared" si="37"/>
        <v>0</v>
      </c>
      <c r="AX178" s="256">
        <v>23</v>
      </c>
      <c r="AY178" s="67">
        <f t="shared" si="42"/>
        <v>115</v>
      </c>
      <c r="AZ178" s="76">
        <f t="shared" si="43"/>
        <v>0</v>
      </c>
      <c r="BA178" s="67">
        <f t="shared" si="38"/>
        <v>0</v>
      </c>
      <c r="BB178" s="76">
        <f t="shared" si="41"/>
        <v>0</v>
      </c>
      <c r="BD178" s="67">
        <f t="shared" si="39"/>
        <v>0</v>
      </c>
      <c r="BE178" s="67">
        <f t="shared" si="40"/>
        <v>0</v>
      </c>
    </row>
    <row r="179" spans="1:57">
      <c r="A179" s="67">
        <v>418</v>
      </c>
      <c r="B179" s="8" t="s">
        <v>80</v>
      </c>
      <c r="C179" s="8" t="s">
        <v>346</v>
      </c>
      <c r="E179" s="269"/>
      <c r="F179" s="20"/>
      <c r="G179" s="20"/>
      <c r="H179" s="5" t="s">
        <v>431</v>
      </c>
      <c r="I179" s="20"/>
      <c r="J179" s="20"/>
      <c r="K179" s="20"/>
      <c r="L179" s="270"/>
      <c r="M179" s="269"/>
      <c r="N179" s="20"/>
      <c r="O179" s="5" t="s">
        <v>433</v>
      </c>
      <c r="P179" s="20"/>
      <c r="Q179" s="20"/>
      <c r="R179" s="20"/>
      <c r="S179" s="20"/>
      <c r="T179" s="270"/>
      <c r="U179" s="269"/>
      <c r="V179" s="20"/>
      <c r="W179" s="20"/>
      <c r="X179" s="5" t="s">
        <v>434</v>
      </c>
      <c r="Y179" s="5" t="s">
        <v>435</v>
      </c>
      <c r="Z179" s="5" t="s">
        <v>433</v>
      </c>
      <c r="AA179" s="20"/>
      <c r="AB179" s="270"/>
      <c r="AC179" s="269"/>
      <c r="AD179" s="20"/>
      <c r="AE179" s="20"/>
      <c r="AF179" s="5" t="s">
        <v>435</v>
      </c>
      <c r="AG179" s="20"/>
      <c r="AH179" s="20"/>
      <c r="AI179" s="20"/>
      <c r="AJ179" s="270"/>
      <c r="AK179" s="67">
        <v>418</v>
      </c>
      <c r="AM179" s="67">
        <v>1</v>
      </c>
      <c r="AO179" s="67">
        <f t="shared" si="30"/>
        <v>0</v>
      </c>
      <c r="AP179" s="67">
        <f t="shared" si="31"/>
        <v>1</v>
      </c>
      <c r="AQ179" s="67">
        <f t="shared" si="32"/>
        <v>0</v>
      </c>
      <c r="AR179" s="67">
        <f t="shared" si="33"/>
        <v>2</v>
      </c>
      <c r="AS179" s="67">
        <f t="shared" si="34"/>
        <v>1</v>
      </c>
      <c r="AT179" s="67">
        <f t="shared" si="35"/>
        <v>2</v>
      </c>
      <c r="AU179" s="67">
        <f t="shared" si="36"/>
        <v>0</v>
      </c>
      <c r="AV179" s="67">
        <f t="shared" si="37"/>
        <v>6</v>
      </c>
      <c r="AX179" s="256">
        <v>19</v>
      </c>
      <c r="AY179" s="67">
        <f t="shared" si="42"/>
        <v>95</v>
      </c>
      <c r="AZ179" s="76">
        <f t="shared" si="43"/>
        <v>6.3157894736842107E-2</v>
      </c>
      <c r="BA179" s="67">
        <f t="shared" si="38"/>
        <v>6</v>
      </c>
      <c r="BB179" s="76">
        <f t="shared" si="41"/>
        <v>0.31578947368421051</v>
      </c>
      <c r="BD179" s="67">
        <f t="shared" si="39"/>
        <v>2</v>
      </c>
      <c r="BE179" s="67">
        <f t="shared" si="40"/>
        <v>4</v>
      </c>
    </row>
    <row r="180" spans="1:57">
      <c r="A180" s="67">
        <v>419</v>
      </c>
      <c r="B180" s="8" t="s">
        <v>123</v>
      </c>
      <c r="C180" s="8" t="s">
        <v>366</v>
      </c>
      <c r="D180" s="8" t="s">
        <v>6</v>
      </c>
      <c r="E180" s="269"/>
      <c r="F180" s="5" t="s">
        <v>559</v>
      </c>
      <c r="G180" s="5" t="s">
        <v>559</v>
      </c>
      <c r="H180" s="5" t="s">
        <v>559</v>
      </c>
      <c r="I180" s="5" t="s">
        <v>559</v>
      </c>
      <c r="J180" s="5" t="s">
        <v>577</v>
      </c>
      <c r="K180" s="5" t="s">
        <v>577</v>
      </c>
      <c r="L180" s="270" t="s">
        <v>558</v>
      </c>
      <c r="M180" s="269" t="s">
        <v>577</v>
      </c>
      <c r="N180" s="5" t="s">
        <v>577</v>
      </c>
      <c r="O180" s="5" t="s">
        <v>577</v>
      </c>
      <c r="P180" s="5" t="s">
        <v>559</v>
      </c>
      <c r="Q180" s="5" t="s">
        <v>559</v>
      </c>
      <c r="R180" s="5" t="s">
        <v>559</v>
      </c>
      <c r="S180" s="5" t="s">
        <v>432</v>
      </c>
      <c r="T180" s="270" t="s">
        <v>435</v>
      </c>
      <c r="U180" s="269"/>
      <c r="V180" s="20"/>
      <c r="W180" s="5" t="s">
        <v>567</v>
      </c>
      <c r="X180" s="5" t="s">
        <v>559</v>
      </c>
      <c r="Y180" s="5" t="s">
        <v>559</v>
      </c>
      <c r="Z180" s="5" t="s">
        <v>558</v>
      </c>
      <c r="AA180" s="5" t="s">
        <v>577</v>
      </c>
      <c r="AB180" s="270" t="s">
        <v>577</v>
      </c>
      <c r="AC180" s="269" t="s">
        <v>558</v>
      </c>
      <c r="AD180" s="5" t="s">
        <v>577</v>
      </c>
      <c r="AE180" s="5" t="s">
        <v>577</v>
      </c>
      <c r="AF180" s="5" t="s">
        <v>559</v>
      </c>
      <c r="AG180" s="5" t="s">
        <v>558</v>
      </c>
      <c r="AH180" s="5" t="s">
        <v>559</v>
      </c>
      <c r="AI180" s="20"/>
      <c r="AJ180" s="270"/>
      <c r="AK180" s="67">
        <v>419</v>
      </c>
      <c r="AM180" s="67">
        <v>1</v>
      </c>
      <c r="AO180" s="67">
        <f t="shared" si="30"/>
        <v>0</v>
      </c>
      <c r="AP180" s="67">
        <f t="shared" si="31"/>
        <v>12</v>
      </c>
      <c r="AQ180" s="67">
        <f t="shared" si="32"/>
        <v>26</v>
      </c>
      <c r="AR180" s="67">
        <f t="shared" si="33"/>
        <v>9</v>
      </c>
      <c r="AS180" s="67">
        <f t="shared" si="34"/>
        <v>24</v>
      </c>
      <c r="AT180" s="67">
        <f t="shared" si="35"/>
        <v>25</v>
      </c>
      <c r="AU180" s="67">
        <f t="shared" si="36"/>
        <v>0</v>
      </c>
      <c r="AV180" s="67">
        <f t="shared" si="37"/>
        <v>96</v>
      </c>
      <c r="AX180" s="256">
        <v>27</v>
      </c>
      <c r="AY180" s="67">
        <f t="shared" si="42"/>
        <v>135</v>
      </c>
      <c r="AZ180" s="76">
        <f t="shared" si="43"/>
        <v>0.71111111111111114</v>
      </c>
      <c r="BA180" s="67">
        <f t="shared" si="38"/>
        <v>27</v>
      </c>
      <c r="BB180" s="76">
        <f t="shared" si="41"/>
        <v>1</v>
      </c>
      <c r="BD180" s="67">
        <f t="shared" si="39"/>
        <v>15</v>
      </c>
      <c r="BE180" s="67">
        <f t="shared" si="40"/>
        <v>12</v>
      </c>
    </row>
    <row r="181" spans="1:57">
      <c r="A181" s="67">
        <v>421</v>
      </c>
      <c r="B181" s="8" t="s">
        <v>41</v>
      </c>
      <c r="C181" s="8" t="s">
        <v>42</v>
      </c>
      <c r="D181" s="8" t="s">
        <v>6</v>
      </c>
      <c r="E181" s="269" t="s">
        <v>549</v>
      </c>
      <c r="F181" s="5" t="s">
        <v>559</v>
      </c>
      <c r="G181" s="5" t="s">
        <v>559</v>
      </c>
      <c r="H181" s="5" t="s">
        <v>549</v>
      </c>
      <c r="I181" s="5" t="s">
        <v>555</v>
      </c>
      <c r="J181" s="5" t="s">
        <v>545</v>
      </c>
      <c r="K181" s="5" t="s">
        <v>545</v>
      </c>
      <c r="L181" s="270" t="s">
        <v>545</v>
      </c>
      <c r="M181" s="269" t="s">
        <v>545</v>
      </c>
      <c r="N181" s="5" t="s">
        <v>577</v>
      </c>
      <c r="O181" s="5" t="s">
        <v>545</v>
      </c>
      <c r="P181" s="5" t="s">
        <v>549</v>
      </c>
      <c r="Q181" s="5" t="s">
        <v>549</v>
      </c>
      <c r="R181" s="5" t="s">
        <v>431</v>
      </c>
      <c r="S181" s="5" t="s">
        <v>578</v>
      </c>
      <c r="T181" s="270" t="s">
        <v>558</v>
      </c>
      <c r="U181" s="269" t="s">
        <v>562</v>
      </c>
      <c r="V181" s="5" t="s">
        <v>559</v>
      </c>
      <c r="W181" s="5" t="s">
        <v>600</v>
      </c>
      <c r="X181" s="5" t="s">
        <v>559</v>
      </c>
      <c r="Y181" s="5" t="s">
        <v>600</v>
      </c>
      <c r="Z181" s="5" t="s">
        <v>577</v>
      </c>
      <c r="AA181" s="5" t="s">
        <v>570</v>
      </c>
      <c r="AB181" s="270" t="s">
        <v>577</v>
      </c>
      <c r="AC181" s="269" t="s">
        <v>577</v>
      </c>
      <c r="AD181" s="5" t="s">
        <v>577</v>
      </c>
      <c r="AE181" s="5" t="s">
        <v>570</v>
      </c>
      <c r="AF181" s="5" t="s">
        <v>558</v>
      </c>
      <c r="AG181" s="5" t="s">
        <v>558</v>
      </c>
      <c r="AH181" s="5" t="s">
        <v>559</v>
      </c>
      <c r="AI181" s="5" t="s">
        <v>559</v>
      </c>
      <c r="AJ181" s="270" t="s">
        <v>554</v>
      </c>
      <c r="AK181" s="67">
        <v>421</v>
      </c>
      <c r="AM181" s="67">
        <v>1</v>
      </c>
      <c r="AO181" s="67">
        <f t="shared" si="30"/>
        <v>0</v>
      </c>
      <c r="AP181" s="67">
        <f t="shared" si="31"/>
        <v>16</v>
      </c>
      <c r="AQ181" s="67">
        <f t="shared" si="32"/>
        <v>21</v>
      </c>
      <c r="AR181" s="67">
        <f t="shared" si="33"/>
        <v>12</v>
      </c>
      <c r="AS181" s="67">
        <f t="shared" si="34"/>
        <v>28</v>
      </c>
      <c r="AT181" s="67">
        <f t="shared" si="35"/>
        <v>30</v>
      </c>
      <c r="AU181" s="67">
        <f t="shared" si="36"/>
        <v>0</v>
      </c>
      <c r="AV181" s="67">
        <f t="shared" si="37"/>
        <v>107</v>
      </c>
      <c r="AX181" s="256">
        <v>32</v>
      </c>
      <c r="AY181" s="67">
        <f t="shared" si="42"/>
        <v>160</v>
      </c>
      <c r="AZ181" s="76">
        <f t="shared" si="43"/>
        <v>0.66874999999999996</v>
      </c>
      <c r="BA181" s="67">
        <f t="shared" si="38"/>
        <v>32</v>
      </c>
      <c r="BB181" s="76">
        <f t="shared" si="41"/>
        <v>1</v>
      </c>
      <c r="BD181" s="67">
        <f t="shared" si="39"/>
        <v>16</v>
      </c>
      <c r="BE181" s="67">
        <f t="shared" si="40"/>
        <v>16</v>
      </c>
    </row>
    <row r="182" spans="1:57">
      <c r="A182" s="67">
        <v>424</v>
      </c>
      <c r="B182" s="8" t="s">
        <v>63</v>
      </c>
      <c r="C182" s="8" t="s">
        <v>346</v>
      </c>
      <c r="E182" s="269"/>
      <c r="F182" s="20"/>
      <c r="G182" s="20"/>
      <c r="H182" s="20"/>
      <c r="I182" s="20"/>
      <c r="J182" s="20"/>
      <c r="K182" s="20"/>
      <c r="L182" s="270"/>
      <c r="M182" s="269"/>
      <c r="N182" s="20"/>
      <c r="O182" s="20"/>
      <c r="P182" s="20"/>
      <c r="Q182" s="20"/>
      <c r="R182" s="20"/>
      <c r="S182" s="20"/>
      <c r="T182" s="270"/>
      <c r="U182" s="269"/>
      <c r="V182" s="20"/>
      <c r="W182" s="20"/>
      <c r="X182" s="20"/>
      <c r="Y182" s="20"/>
      <c r="Z182" s="20"/>
      <c r="AA182" s="20"/>
      <c r="AB182" s="270"/>
      <c r="AC182" s="269"/>
      <c r="AD182" s="20"/>
      <c r="AE182" s="20"/>
      <c r="AF182" s="20"/>
      <c r="AG182" s="20"/>
      <c r="AH182" s="20"/>
      <c r="AI182" s="20"/>
      <c r="AJ182" s="270"/>
      <c r="AK182" s="67">
        <v>424</v>
      </c>
      <c r="AL182" s="67">
        <v>1</v>
      </c>
      <c r="AO182" s="67">
        <f t="shared" si="30"/>
        <v>0</v>
      </c>
      <c r="AP182" s="67">
        <f t="shared" si="31"/>
        <v>0</v>
      </c>
      <c r="AQ182" s="67">
        <f t="shared" si="32"/>
        <v>0</v>
      </c>
      <c r="AR182" s="67">
        <f t="shared" si="33"/>
        <v>0</v>
      </c>
      <c r="AS182" s="67">
        <f t="shared" si="34"/>
        <v>0</v>
      </c>
      <c r="AT182" s="67">
        <f t="shared" si="35"/>
        <v>0</v>
      </c>
      <c r="AU182" s="67">
        <f t="shared" si="36"/>
        <v>0</v>
      </c>
      <c r="AV182" s="67">
        <f t="shared" si="37"/>
        <v>0</v>
      </c>
      <c r="AX182" s="256">
        <v>8</v>
      </c>
      <c r="AY182" s="67">
        <f t="shared" si="42"/>
        <v>40</v>
      </c>
      <c r="AZ182" s="76">
        <f t="shared" si="43"/>
        <v>0</v>
      </c>
      <c r="BA182" s="67">
        <f t="shared" si="38"/>
        <v>0</v>
      </c>
      <c r="BB182" s="76">
        <f t="shared" si="41"/>
        <v>0</v>
      </c>
      <c r="BD182" s="67">
        <f t="shared" si="39"/>
        <v>0</v>
      </c>
      <c r="BE182" s="67">
        <f t="shared" si="40"/>
        <v>0</v>
      </c>
    </row>
    <row r="183" spans="1:57">
      <c r="A183" s="67">
        <v>425</v>
      </c>
      <c r="B183" s="8" t="s">
        <v>63</v>
      </c>
      <c r="C183" s="8" t="s">
        <v>346</v>
      </c>
      <c r="E183" s="269"/>
      <c r="F183" s="20"/>
      <c r="G183" s="20"/>
      <c r="H183" s="20"/>
      <c r="I183" s="20"/>
      <c r="J183" s="20"/>
      <c r="K183" s="20"/>
      <c r="L183" s="270"/>
      <c r="M183" s="269"/>
      <c r="N183" s="20"/>
      <c r="O183" s="20"/>
      <c r="P183" s="20"/>
      <c r="Q183" s="20"/>
      <c r="R183" s="20"/>
      <c r="S183" s="20"/>
      <c r="T183" s="270"/>
      <c r="U183" s="269"/>
      <c r="V183" s="20"/>
      <c r="W183" s="20"/>
      <c r="X183" s="20"/>
      <c r="Y183" s="20"/>
      <c r="Z183" s="20"/>
      <c r="AA183" s="20"/>
      <c r="AB183" s="270"/>
      <c r="AC183" s="269"/>
      <c r="AD183" s="20"/>
      <c r="AE183" s="20"/>
      <c r="AF183" s="20"/>
      <c r="AG183" s="20"/>
      <c r="AH183" s="20"/>
      <c r="AI183" s="20"/>
      <c r="AJ183" s="270"/>
      <c r="AK183" s="67">
        <v>425</v>
      </c>
      <c r="AL183" s="67">
        <v>1</v>
      </c>
      <c r="AO183" s="67">
        <f t="shared" si="30"/>
        <v>0</v>
      </c>
      <c r="AP183" s="67">
        <f t="shared" si="31"/>
        <v>0</v>
      </c>
      <c r="AQ183" s="67">
        <f t="shared" si="32"/>
        <v>0</v>
      </c>
      <c r="AR183" s="67">
        <f t="shared" si="33"/>
        <v>0</v>
      </c>
      <c r="AS183" s="67">
        <f t="shared" si="34"/>
        <v>0</v>
      </c>
      <c r="AT183" s="67">
        <f t="shared" si="35"/>
        <v>0</v>
      </c>
      <c r="AU183" s="67">
        <f t="shared" si="36"/>
        <v>0</v>
      </c>
      <c r="AV183" s="67">
        <f t="shared" si="37"/>
        <v>0</v>
      </c>
      <c r="AX183" s="256">
        <v>7</v>
      </c>
      <c r="AY183" s="67">
        <f t="shared" si="42"/>
        <v>35</v>
      </c>
      <c r="AZ183" s="76">
        <f t="shared" si="43"/>
        <v>0</v>
      </c>
      <c r="BA183" s="67">
        <f t="shared" si="38"/>
        <v>0</v>
      </c>
      <c r="BB183" s="76">
        <f t="shared" si="41"/>
        <v>0</v>
      </c>
      <c r="BD183" s="67">
        <f t="shared" si="39"/>
        <v>0</v>
      </c>
      <c r="BE183" s="67">
        <f t="shared" si="40"/>
        <v>0</v>
      </c>
    </row>
    <row r="184" spans="1:57">
      <c r="A184" s="67">
        <v>426</v>
      </c>
      <c r="B184" s="8" t="s">
        <v>44</v>
      </c>
      <c r="C184" s="8" t="s">
        <v>349</v>
      </c>
      <c r="D184" s="8" t="s">
        <v>6</v>
      </c>
      <c r="E184" s="269"/>
      <c r="F184" s="20"/>
      <c r="G184" s="20"/>
      <c r="H184" s="20"/>
      <c r="I184" s="20"/>
      <c r="J184" s="20"/>
      <c r="K184" s="20"/>
      <c r="L184" s="270"/>
      <c r="M184" s="269"/>
      <c r="N184" s="20" t="s">
        <v>561</v>
      </c>
      <c r="O184" s="20"/>
      <c r="P184" s="20"/>
      <c r="Q184" s="20"/>
      <c r="R184" s="20"/>
      <c r="S184" s="20"/>
      <c r="T184" s="270"/>
      <c r="U184" s="269"/>
      <c r="V184" s="20"/>
      <c r="W184" s="20"/>
      <c r="X184" s="5" t="s">
        <v>435</v>
      </c>
      <c r="Y184" s="20"/>
      <c r="Z184" s="20"/>
      <c r="AA184" s="20"/>
      <c r="AB184" s="270"/>
      <c r="AC184" s="269"/>
      <c r="AD184" s="20"/>
      <c r="AE184" s="20"/>
      <c r="AF184" s="20"/>
      <c r="AG184" s="20"/>
      <c r="AH184" s="20"/>
      <c r="AI184" s="20"/>
      <c r="AJ184" s="270"/>
      <c r="AK184" s="67">
        <v>426</v>
      </c>
      <c r="AM184" s="67">
        <v>1</v>
      </c>
      <c r="AO184" s="67">
        <f t="shared" si="30"/>
        <v>0</v>
      </c>
      <c r="AP184" s="67">
        <f t="shared" si="31"/>
        <v>0</v>
      </c>
      <c r="AQ184" s="67">
        <f t="shared" si="32"/>
        <v>0</v>
      </c>
      <c r="AR184" s="67">
        <f t="shared" si="33"/>
        <v>1</v>
      </c>
      <c r="AS184" s="67">
        <f t="shared" si="34"/>
        <v>0</v>
      </c>
      <c r="AT184" s="67">
        <f t="shared" si="35"/>
        <v>2</v>
      </c>
      <c r="AU184" s="67">
        <f t="shared" si="36"/>
        <v>0</v>
      </c>
      <c r="AV184" s="67">
        <f t="shared" si="37"/>
        <v>3</v>
      </c>
      <c r="AX184" s="256">
        <v>5</v>
      </c>
      <c r="AY184" s="67">
        <f t="shared" si="42"/>
        <v>25</v>
      </c>
      <c r="AZ184" s="76">
        <f t="shared" si="43"/>
        <v>0.12</v>
      </c>
      <c r="BA184" s="67">
        <f t="shared" si="38"/>
        <v>2</v>
      </c>
      <c r="BB184" s="76">
        <f t="shared" si="41"/>
        <v>0.4</v>
      </c>
      <c r="BD184" s="67">
        <f t="shared" si="39"/>
        <v>1</v>
      </c>
      <c r="BE184" s="67">
        <f t="shared" si="40"/>
        <v>1</v>
      </c>
    </row>
    <row r="185" spans="1:57">
      <c r="A185" s="67">
        <v>429</v>
      </c>
      <c r="B185" s="8" t="s">
        <v>73</v>
      </c>
      <c r="C185" s="8" t="s">
        <v>165</v>
      </c>
      <c r="D185" s="8" t="s">
        <v>6</v>
      </c>
      <c r="E185" s="269" t="s">
        <v>558</v>
      </c>
      <c r="F185" s="5" t="s">
        <v>559</v>
      </c>
      <c r="G185" s="5" t="s">
        <v>559</v>
      </c>
      <c r="H185" s="5" t="s">
        <v>600</v>
      </c>
      <c r="I185" s="5" t="s">
        <v>559</v>
      </c>
      <c r="J185" s="5" t="s">
        <v>577</v>
      </c>
      <c r="K185" s="5" t="s">
        <v>577</v>
      </c>
      <c r="L185" s="270" t="s">
        <v>590</v>
      </c>
      <c r="M185" s="269" t="s">
        <v>590</v>
      </c>
      <c r="N185" s="5" t="s">
        <v>433</v>
      </c>
      <c r="O185" s="5" t="s">
        <v>433</v>
      </c>
      <c r="P185" s="5" t="s">
        <v>431</v>
      </c>
      <c r="Q185" s="5" t="s">
        <v>431</v>
      </c>
      <c r="R185" s="5" t="s">
        <v>431</v>
      </c>
      <c r="S185" s="5" t="s">
        <v>431</v>
      </c>
      <c r="T185" s="270" t="s">
        <v>431</v>
      </c>
      <c r="U185" s="269" t="s">
        <v>435</v>
      </c>
      <c r="V185" s="5" t="s">
        <v>432</v>
      </c>
      <c r="W185" s="5" t="s">
        <v>558</v>
      </c>
      <c r="X185" s="5" t="s">
        <v>559</v>
      </c>
      <c r="Y185" s="5" t="s">
        <v>558</v>
      </c>
      <c r="Z185" s="5" t="s">
        <v>577</v>
      </c>
      <c r="AA185" s="5" t="s">
        <v>577</v>
      </c>
      <c r="AB185" s="270" t="s">
        <v>577</v>
      </c>
      <c r="AC185" s="269" t="s">
        <v>577</v>
      </c>
      <c r="AD185" s="5" t="s">
        <v>577</v>
      </c>
      <c r="AE185" s="5" t="s">
        <v>577</v>
      </c>
      <c r="AF185" s="5" t="s">
        <v>559</v>
      </c>
      <c r="AG185" s="5" t="s">
        <v>559</v>
      </c>
      <c r="AH185" s="5" t="s">
        <v>559</v>
      </c>
      <c r="AI185" s="5" t="s">
        <v>568</v>
      </c>
      <c r="AJ185" s="270" t="s">
        <v>558</v>
      </c>
      <c r="AK185" s="67">
        <v>429</v>
      </c>
      <c r="AM185" s="67">
        <v>1</v>
      </c>
      <c r="AO185" s="67">
        <f t="shared" si="30"/>
        <v>0</v>
      </c>
      <c r="AP185" s="67">
        <f t="shared" si="31"/>
        <v>13</v>
      </c>
      <c r="AQ185" s="67">
        <f t="shared" si="32"/>
        <v>22</v>
      </c>
      <c r="AR185" s="67">
        <f t="shared" si="33"/>
        <v>12</v>
      </c>
      <c r="AS185" s="67">
        <f t="shared" si="34"/>
        <v>23</v>
      </c>
      <c r="AT185" s="67">
        <f t="shared" si="35"/>
        <v>23</v>
      </c>
      <c r="AU185" s="67">
        <f t="shared" si="36"/>
        <v>0</v>
      </c>
      <c r="AV185" s="67">
        <f t="shared" si="37"/>
        <v>93</v>
      </c>
      <c r="AX185" s="256">
        <v>32</v>
      </c>
      <c r="AY185" s="67">
        <f t="shared" si="42"/>
        <v>160</v>
      </c>
      <c r="AZ185" s="76">
        <f t="shared" si="43"/>
        <v>0.58125000000000004</v>
      </c>
      <c r="BA185" s="67">
        <f t="shared" si="38"/>
        <v>32</v>
      </c>
      <c r="BB185" s="76">
        <f t="shared" si="41"/>
        <v>1</v>
      </c>
      <c r="BD185" s="67">
        <f t="shared" si="39"/>
        <v>16</v>
      </c>
      <c r="BE185" s="67">
        <f t="shared" si="40"/>
        <v>16</v>
      </c>
    </row>
    <row r="186" spans="1:57">
      <c r="A186" s="67">
        <v>434</v>
      </c>
      <c r="B186" s="8" t="s">
        <v>56</v>
      </c>
      <c r="C186" s="8" t="s">
        <v>360</v>
      </c>
      <c r="E186" s="269"/>
      <c r="F186" s="20"/>
      <c r="G186" s="20"/>
      <c r="H186" s="20"/>
      <c r="I186" s="20"/>
      <c r="J186" s="20"/>
      <c r="K186" s="20"/>
      <c r="L186" s="270"/>
      <c r="M186" s="269"/>
      <c r="N186" s="20"/>
      <c r="O186" s="20"/>
      <c r="P186" s="20"/>
      <c r="Q186" s="20"/>
      <c r="R186" s="20"/>
      <c r="S186" s="20"/>
      <c r="T186" s="270"/>
      <c r="U186" s="269"/>
      <c r="V186" s="20"/>
      <c r="W186" s="20"/>
      <c r="X186" s="20"/>
      <c r="Y186" s="20"/>
      <c r="Z186" s="20"/>
      <c r="AA186" s="20"/>
      <c r="AB186" s="270"/>
      <c r="AC186" s="269"/>
      <c r="AD186" s="20"/>
      <c r="AE186" s="20"/>
      <c r="AF186" s="20"/>
      <c r="AG186" s="20"/>
      <c r="AH186" s="20"/>
      <c r="AI186" s="20"/>
      <c r="AJ186" s="270"/>
      <c r="AK186" s="67">
        <v>434</v>
      </c>
      <c r="AL186" s="67">
        <v>1</v>
      </c>
      <c r="AO186" s="67">
        <f t="shared" si="30"/>
        <v>0</v>
      </c>
      <c r="AP186" s="67">
        <f t="shared" si="31"/>
        <v>0</v>
      </c>
      <c r="AQ186" s="67">
        <f t="shared" si="32"/>
        <v>0</v>
      </c>
      <c r="AR186" s="67">
        <f t="shared" si="33"/>
        <v>0</v>
      </c>
      <c r="AS186" s="67">
        <f t="shared" si="34"/>
        <v>0</v>
      </c>
      <c r="AT186" s="67">
        <f t="shared" si="35"/>
        <v>0</v>
      </c>
      <c r="AU186" s="67">
        <f t="shared" si="36"/>
        <v>0</v>
      </c>
      <c r="AV186" s="67">
        <f t="shared" si="37"/>
        <v>0</v>
      </c>
      <c r="AX186" s="256">
        <v>4</v>
      </c>
      <c r="AY186" s="67">
        <f t="shared" si="42"/>
        <v>20</v>
      </c>
      <c r="AZ186" s="76">
        <f t="shared" si="43"/>
        <v>0</v>
      </c>
      <c r="BA186" s="67">
        <f t="shared" si="38"/>
        <v>0</v>
      </c>
      <c r="BB186" s="76">
        <f t="shared" si="41"/>
        <v>0</v>
      </c>
      <c r="BD186" s="67">
        <f t="shared" si="39"/>
        <v>0</v>
      </c>
      <c r="BE186" s="67">
        <f t="shared" si="40"/>
        <v>0</v>
      </c>
    </row>
    <row r="187" spans="1:57">
      <c r="A187" s="67">
        <v>435</v>
      </c>
      <c r="B187" s="8" t="s">
        <v>201</v>
      </c>
      <c r="C187" s="8" t="s">
        <v>357</v>
      </c>
      <c r="D187" s="8" t="s">
        <v>15</v>
      </c>
      <c r="E187" s="269"/>
      <c r="F187" s="20"/>
      <c r="G187" s="20"/>
      <c r="H187" s="20"/>
      <c r="I187" s="20"/>
      <c r="J187" s="20"/>
      <c r="K187" s="20" t="s">
        <v>432</v>
      </c>
      <c r="L187" s="270"/>
      <c r="M187" s="269"/>
      <c r="N187" s="20" t="s">
        <v>433</v>
      </c>
      <c r="O187" s="20"/>
      <c r="P187" s="20" t="s">
        <v>431</v>
      </c>
      <c r="Q187" s="20" t="s">
        <v>431</v>
      </c>
      <c r="R187" s="5" t="s">
        <v>431</v>
      </c>
      <c r="S187" s="20"/>
      <c r="T187" s="270"/>
      <c r="U187" s="269"/>
      <c r="V187" s="20"/>
      <c r="W187" s="20"/>
      <c r="X187" s="20"/>
      <c r="Y187" s="20"/>
      <c r="Z187" s="20"/>
      <c r="AA187" s="20" t="s">
        <v>434</v>
      </c>
      <c r="AB187" s="270" t="s">
        <v>561</v>
      </c>
      <c r="AC187" s="269" t="s">
        <v>435</v>
      </c>
      <c r="AD187" s="20"/>
      <c r="AE187" s="5" t="s">
        <v>565</v>
      </c>
      <c r="AF187" s="5" t="s">
        <v>562</v>
      </c>
      <c r="AG187" s="5" t="s">
        <v>560</v>
      </c>
      <c r="AH187" s="5"/>
      <c r="AI187" s="20"/>
      <c r="AJ187" s="270"/>
      <c r="AK187" s="67">
        <v>435</v>
      </c>
      <c r="AM187" s="67">
        <v>1</v>
      </c>
      <c r="AO187" s="67">
        <f t="shared" si="30"/>
        <v>0</v>
      </c>
      <c r="AP187" s="67">
        <f t="shared" si="31"/>
        <v>3</v>
      </c>
      <c r="AQ187" s="67">
        <f t="shared" si="32"/>
        <v>3</v>
      </c>
      <c r="AR187" s="67">
        <f t="shared" si="33"/>
        <v>3</v>
      </c>
      <c r="AS187" s="67">
        <f t="shared" si="34"/>
        <v>2</v>
      </c>
      <c r="AT187" s="67">
        <f t="shared" si="35"/>
        <v>4</v>
      </c>
      <c r="AU187" s="67">
        <f t="shared" si="36"/>
        <v>0</v>
      </c>
      <c r="AV187" s="67">
        <f t="shared" si="37"/>
        <v>15</v>
      </c>
      <c r="AX187" s="256">
        <v>27</v>
      </c>
      <c r="AY187" s="67">
        <f t="shared" si="42"/>
        <v>135</v>
      </c>
      <c r="AZ187" s="76">
        <f t="shared" si="43"/>
        <v>0.1111111111111111</v>
      </c>
      <c r="BA187" s="67">
        <f t="shared" si="38"/>
        <v>11</v>
      </c>
      <c r="BB187" s="76">
        <f t="shared" si="41"/>
        <v>0.40740740740740738</v>
      </c>
      <c r="BD187" s="67">
        <f t="shared" si="39"/>
        <v>5</v>
      </c>
      <c r="BE187" s="67">
        <f t="shared" si="40"/>
        <v>6</v>
      </c>
    </row>
    <row r="188" spans="1:57">
      <c r="A188" s="67">
        <v>436</v>
      </c>
      <c r="B188" s="8" t="s">
        <v>44</v>
      </c>
      <c r="C188" s="8" t="s">
        <v>349</v>
      </c>
      <c r="D188" s="8" t="s">
        <v>6</v>
      </c>
      <c r="E188" s="269"/>
      <c r="F188" s="5" t="s">
        <v>559</v>
      </c>
      <c r="G188" s="5" t="s">
        <v>559</v>
      </c>
      <c r="H188" s="5" t="s">
        <v>568</v>
      </c>
      <c r="I188" s="5" t="s">
        <v>431</v>
      </c>
      <c r="J188" s="5" t="s">
        <v>564</v>
      </c>
      <c r="K188" s="20"/>
      <c r="L188" s="270"/>
      <c r="M188" s="269"/>
      <c r="N188" s="5" t="s">
        <v>433</v>
      </c>
      <c r="O188" s="20"/>
      <c r="P188" s="20"/>
      <c r="Q188" s="20"/>
      <c r="R188" s="20" t="s">
        <v>559</v>
      </c>
      <c r="S188" s="20"/>
      <c r="T188" s="270"/>
      <c r="U188" s="269"/>
      <c r="V188" s="20"/>
      <c r="W188" s="20"/>
      <c r="X188" s="20"/>
      <c r="Y188" s="20"/>
      <c r="Z188" s="20" t="s">
        <v>433</v>
      </c>
      <c r="AA188" s="20"/>
      <c r="AB188" s="270"/>
      <c r="AC188" s="269" t="s">
        <v>432</v>
      </c>
      <c r="AD188" s="20" t="s">
        <v>565</v>
      </c>
      <c r="AE188" s="20"/>
      <c r="AF188" s="20"/>
      <c r="AG188" s="20"/>
      <c r="AH188" s="20"/>
      <c r="AI188" s="20"/>
      <c r="AJ188" s="270"/>
      <c r="AK188" s="67">
        <v>436</v>
      </c>
      <c r="AM188" s="67">
        <v>1</v>
      </c>
      <c r="AO188" s="67">
        <f t="shared" si="30"/>
        <v>0</v>
      </c>
      <c r="AP188" s="67">
        <f t="shared" si="31"/>
        <v>4</v>
      </c>
      <c r="AQ188" s="67">
        <f t="shared" si="32"/>
        <v>6</v>
      </c>
      <c r="AR188" s="67">
        <f t="shared" si="33"/>
        <v>4</v>
      </c>
      <c r="AS188" s="67">
        <f t="shared" si="34"/>
        <v>5</v>
      </c>
      <c r="AT188" s="67">
        <f t="shared" si="35"/>
        <v>3</v>
      </c>
      <c r="AU188" s="67">
        <f t="shared" si="36"/>
        <v>0</v>
      </c>
      <c r="AV188" s="67">
        <f t="shared" si="37"/>
        <v>22</v>
      </c>
      <c r="AX188" s="256">
        <v>20</v>
      </c>
      <c r="AY188" s="67">
        <f t="shared" si="42"/>
        <v>100</v>
      </c>
      <c r="AZ188" s="76">
        <f t="shared" si="43"/>
        <v>0.22</v>
      </c>
      <c r="BA188" s="67">
        <f t="shared" si="38"/>
        <v>10</v>
      </c>
      <c r="BB188" s="76">
        <f t="shared" si="41"/>
        <v>0.5</v>
      </c>
      <c r="BD188" s="67">
        <f t="shared" si="39"/>
        <v>7</v>
      </c>
      <c r="BE188" s="67">
        <f t="shared" si="40"/>
        <v>3</v>
      </c>
    </row>
    <row r="189" spans="1:57">
      <c r="A189" s="67">
        <v>437</v>
      </c>
      <c r="B189" s="8" t="s">
        <v>68</v>
      </c>
      <c r="C189" s="8" t="s">
        <v>357</v>
      </c>
      <c r="E189" s="269"/>
      <c r="F189" s="20"/>
      <c r="G189" s="20" t="s">
        <v>559</v>
      </c>
      <c r="H189" s="20" t="s">
        <v>581</v>
      </c>
      <c r="I189" s="20" t="s">
        <v>548</v>
      </c>
      <c r="J189" s="20"/>
      <c r="K189" s="20"/>
      <c r="L189" s="270"/>
      <c r="M189" s="269"/>
      <c r="N189" s="20"/>
      <c r="O189" s="20" t="s">
        <v>433</v>
      </c>
      <c r="P189" s="20" t="s">
        <v>431</v>
      </c>
      <c r="Q189" s="20"/>
      <c r="R189" s="5" t="s">
        <v>559</v>
      </c>
      <c r="S189" s="20"/>
      <c r="T189" s="270"/>
      <c r="U189" s="269"/>
      <c r="V189" s="20"/>
      <c r="W189" s="20" t="s">
        <v>562</v>
      </c>
      <c r="X189" s="20" t="s">
        <v>432</v>
      </c>
      <c r="Y189" s="20" t="s">
        <v>562</v>
      </c>
      <c r="Z189" s="20"/>
      <c r="AA189" s="5" t="s">
        <v>557</v>
      </c>
      <c r="AB189" s="270" t="s">
        <v>577</v>
      </c>
      <c r="AC189" s="269" t="s">
        <v>577</v>
      </c>
      <c r="AD189" s="5" t="s">
        <v>590</v>
      </c>
      <c r="AE189" s="5" t="s">
        <v>435</v>
      </c>
      <c r="AF189" s="5" t="s">
        <v>559</v>
      </c>
      <c r="AG189" s="5" t="s">
        <v>558</v>
      </c>
      <c r="AH189" s="5" t="s">
        <v>559</v>
      </c>
      <c r="AI189" s="20"/>
      <c r="AJ189" s="270"/>
      <c r="AK189" s="67">
        <v>437</v>
      </c>
      <c r="AM189" s="67">
        <v>1</v>
      </c>
      <c r="AO189" s="67">
        <f t="shared" si="30"/>
        <v>0</v>
      </c>
      <c r="AP189" s="67">
        <f t="shared" si="31"/>
        <v>6</v>
      </c>
      <c r="AQ189" s="67">
        <f t="shared" si="32"/>
        <v>12</v>
      </c>
      <c r="AR189" s="67">
        <f t="shared" si="33"/>
        <v>4</v>
      </c>
      <c r="AS189" s="67">
        <f t="shared" si="34"/>
        <v>10</v>
      </c>
      <c r="AT189" s="67">
        <f t="shared" si="35"/>
        <v>12</v>
      </c>
      <c r="AU189" s="67">
        <f t="shared" si="36"/>
        <v>0</v>
      </c>
      <c r="AV189" s="67">
        <f t="shared" si="37"/>
        <v>44</v>
      </c>
      <c r="AX189" s="256">
        <v>24</v>
      </c>
      <c r="AY189" s="67">
        <f t="shared" si="42"/>
        <v>120</v>
      </c>
      <c r="AZ189" s="76">
        <f t="shared" si="43"/>
        <v>0.36666666666666664</v>
      </c>
      <c r="BA189" s="67">
        <f t="shared" si="38"/>
        <v>17</v>
      </c>
      <c r="BB189" s="76">
        <f t="shared" si="41"/>
        <v>0.70833333333333337</v>
      </c>
      <c r="BD189" s="67">
        <f t="shared" si="39"/>
        <v>6</v>
      </c>
      <c r="BE189" s="67">
        <f t="shared" si="40"/>
        <v>11</v>
      </c>
    </row>
    <row r="190" spans="1:57">
      <c r="A190" s="67">
        <v>440</v>
      </c>
      <c r="B190" s="8" t="s">
        <v>5</v>
      </c>
      <c r="C190" s="8" t="s">
        <v>42</v>
      </c>
      <c r="D190" s="8" t="s">
        <v>42</v>
      </c>
      <c r="E190" s="269"/>
      <c r="F190" s="5" t="s">
        <v>432</v>
      </c>
      <c r="G190" s="20"/>
      <c r="H190" s="20"/>
      <c r="I190" s="5" t="s">
        <v>574</v>
      </c>
      <c r="J190" s="20" t="s">
        <v>561</v>
      </c>
      <c r="K190" s="5" t="s">
        <v>433</v>
      </c>
      <c r="L190" s="270" t="s">
        <v>433</v>
      </c>
      <c r="M190" s="269"/>
      <c r="N190" s="5" t="s">
        <v>433</v>
      </c>
      <c r="O190" s="5" t="s">
        <v>433</v>
      </c>
      <c r="P190" s="5" t="s">
        <v>431</v>
      </c>
      <c r="Q190" s="20"/>
      <c r="R190" s="20"/>
      <c r="S190" s="5" t="s">
        <v>559</v>
      </c>
      <c r="T190" s="270"/>
      <c r="U190" s="269"/>
      <c r="V190" s="20" t="s">
        <v>559</v>
      </c>
      <c r="W190" s="20" t="s">
        <v>559</v>
      </c>
      <c r="X190" s="5" t="s">
        <v>559</v>
      </c>
      <c r="Y190" s="5" t="s">
        <v>559</v>
      </c>
      <c r="Z190" s="5" t="s">
        <v>577</v>
      </c>
      <c r="AA190" s="5" t="s">
        <v>577</v>
      </c>
      <c r="AB190" s="270" t="s">
        <v>577</v>
      </c>
      <c r="AC190" s="269" t="s">
        <v>577</v>
      </c>
      <c r="AD190" s="5" t="s">
        <v>577</v>
      </c>
      <c r="AE190" s="5" t="s">
        <v>577</v>
      </c>
      <c r="AF190" s="5" t="s">
        <v>559</v>
      </c>
      <c r="AG190" s="5" t="s">
        <v>432</v>
      </c>
      <c r="AH190" s="5" t="s">
        <v>435</v>
      </c>
      <c r="AI190" s="20"/>
      <c r="AJ190" s="270"/>
      <c r="AK190" s="67">
        <v>440</v>
      </c>
      <c r="AM190" s="67">
        <v>1</v>
      </c>
      <c r="AO190" s="67">
        <f t="shared" si="30"/>
        <v>0</v>
      </c>
      <c r="AP190" s="67">
        <f t="shared" si="31"/>
        <v>8</v>
      </c>
      <c r="AQ190" s="67">
        <f t="shared" si="32"/>
        <v>15</v>
      </c>
      <c r="AR190" s="67">
        <f t="shared" si="33"/>
        <v>11</v>
      </c>
      <c r="AS190" s="67">
        <f t="shared" si="34"/>
        <v>12</v>
      </c>
      <c r="AT190" s="67">
        <f t="shared" si="35"/>
        <v>14</v>
      </c>
      <c r="AU190" s="67">
        <f t="shared" si="36"/>
        <v>0</v>
      </c>
      <c r="AV190" s="67">
        <f t="shared" si="37"/>
        <v>60</v>
      </c>
      <c r="AX190" s="256">
        <v>26</v>
      </c>
      <c r="AY190" s="67">
        <f t="shared" si="42"/>
        <v>130</v>
      </c>
      <c r="AZ190" s="76">
        <f t="shared" si="43"/>
        <v>0.46153846153846156</v>
      </c>
      <c r="BA190" s="67">
        <f t="shared" si="38"/>
        <v>22</v>
      </c>
      <c r="BB190" s="76">
        <f t="shared" si="41"/>
        <v>0.84615384615384615</v>
      </c>
      <c r="BD190" s="67">
        <f t="shared" si="39"/>
        <v>9</v>
      </c>
      <c r="BE190" s="67">
        <f t="shared" si="40"/>
        <v>13</v>
      </c>
    </row>
    <row r="191" spans="1:57">
      <c r="A191" s="67" t="s">
        <v>271</v>
      </c>
      <c r="B191" s="8" t="s">
        <v>55</v>
      </c>
      <c r="C191" s="8" t="s">
        <v>346</v>
      </c>
      <c r="E191" s="269"/>
      <c r="F191" s="20"/>
      <c r="G191" s="20"/>
      <c r="H191" s="20"/>
      <c r="I191" s="20"/>
      <c r="J191" s="20"/>
      <c r="K191" s="20"/>
      <c r="L191" s="270"/>
      <c r="M191" s="269"/>
      <c r="N191" s="20"/>
      <c r="O191" s="20"/>
      <c r="P191" s="20"/>
      <c r="Q191" s="20"/>
      <c r="R191" s="20"/>
      <c r="S191" s="20"/>
      <c r="T191" s="270"/>
      <c r="U191" s="269"/>
      <c r="V191" s="20"/>
      <c r="W191" s="20"/>
      <c r="X191" s="20"/>
      <c r="Y191" s="20"/>
      <c r="Z191" s="20"/>
      <c r="AA191" s="20"/>
      <c r="AB191" s="270"/>
      <c r="AC191" s="269"/>
      <c r="AD191" s="20"/>
      <c r="AE191" s="20"/>
      <c r="AF191" s="20"/>
      <c r="AG191" s="20"/>
      <c r="AH191" s="20"/>
      <c r="AI191" s="20"/>
      <c r="AJ191" s="270"/>
      <c r="AK191" s="67" t="s">
        <v>271</v>
      </c>
      <c r="AL191" s="67">
        <v>1</v>
      </c>
      <c r="AO191" s="67">
        <f t="shared" si="30"/>
        <v>0</v>
      </c>
      <c r="AP191" s="67">
        <f t="shared" si="31"/>
        <v>0</v>
      </c>
      <c r="AQ191" s="67">
        <f t="shared" si="32"/>
        <v>0</v>
      </c>
      <c r="AR191" s="67">
        <f t="shared" si="33"/>
        <v>0</v>
      </c>
      <c r="AS191" s="67">
        <f t="shared" si="34"/>
        <v>0</v>
      </c>
      <c r="AT191" s="67">
        <f t="shared" si="35"/>
        <v>0</v>
      </c>
      <c r="AU191" s="67">
        <f t="shared" si="36"/>
        <v>0</v>
      </c>
      <c r="AV191" s="67">
        <f t="shared" si="37"/>
        <v>0</v>
      </c>
      <c r="AX191" s="256">
        <v>20</v>
      </c>
      <c r="AY191" s="67">
        <f t="shared" si="42"/>
        <v>100</v>
      </c>
      <c r="AZ191" s="76">
        <f t="shared" si="43"/>
        <v>0</v>
      </c>
      <c r="BA191" s="67">
        <f t="shared" si="38"/>
        <v>0</v>
      </c>
      <c r="BB191" s="76">
        <f t="shared" si="41"/>
        <v>0</v>
      </c>
      <c r="BD191" s="67">
        <f t="shared" si="39"/>
        <v>0</v>
      </c>
      <c r="BE191" s="67">
        <f t="shared" si="40"/>
        <v>0</v>
      </c>
    </row>
    <row r="192" spans="1:57">
      <c r="A192" s="67">
        <v>444</v>
      </c>
      <c r="B192" s="8" t="s">
        <v>44</v>
      </c>
      <c r="C192" s="8" t="s">
        <v>349</v>
      </c>
      <c r="D192" s="8" t="s">
        <v>6</v>
      </c>
      <c r="E192" s="269"/>
      <c r="F192" s="5" t="s">
        <v>559</v>
      </c>
      <c r="G192" s="5" t="s">
        <v>549</v>
      </c>
      <c r="H192" s="5" t="s">
        <v>431</v>
      </c>
      <c r="I192" s="5"/>
      <c r="J192" s="20"/>
      <c r="K192" s="20"/>
      <c r="L192" s="270"/>
      <c r="M192" s="269"/>
      <c r="N192" s="20"/>
      <c r="O192" s="20"/>
      <c r="P192" s="20"/>
      <c r="Q192" s="20"/>
      <c r="R192" s="5" t="s">
        <v>469</v>
      </c>
      <c r="S192" s="20" t="s">
        <v>469</v>
      </c>
      <c r="T192" s="270"/>
      <c r="U192" s="269"/>
      <c r="V192" s="20"/>
      <c r="W192" s="20"/>
      <c r="X192" s="20"/>
      <c r="Y192" s="20"/>
      <c r="Z192" s="20"/>
      <c r="AA192" s="5" t="s">
        <v>577</v>
      </c>
      <c r="AB192" s="270"/>
      <c r="AC192" s="269" t="s">
        <v>562</v>
      </c>
      <c r="AD192" s="5" t="s">
        <v>577</v>
      </c>
      <c r="AE192" s="5" t="s">
        <v>570</v>
      </c>
      <c r="AF192" s="5" t="s">
        <v>432</v>
      </c>
      <c r="AG192" s="20"/>
      <c r="AH192" s="20"/>
      <c r="AI192" s="20"/>
      <c r="AJ192" s="270"/>
      <c r="AK192" s="67">
        <v>444</v>
      </c>
      <c r="AM192" s="67">
        <v>1</v>
      </c>
      <c r="AO192" s="67">
        <f t="shared" si="30"/>
        <v>0</v>
      </c>
      <c r="AP192" s="67">
        <f t="shared" si="31"/>
        <v>5</v>
      </c>
      <c r="AQ192" s="67">
        <f t="shared" si="32"/>
        <v>8</v>
      </c>
      <c r="AR192" s="67">
        <f t="shared" si="33"/>
        <v>3</v>
      </c>
      <c r="AS192" s="67">
        <f t="shared" si="34"/>
        <v>7</v>
      </c>
      <c r="AT192" s="67">
        <f t="shared" si="35"/>
        <v>8</v>
      </c>
      <c r="AU192" s="67">
        <f t="shared" si="36"/>
        <v>2</v>
      </c>
      <c r="AV192" s="67">
        <f t="shared" si="37"/>
        <v>33</v>
      </c>
      <c r="AX192" s="256">
        <v>12</v>
      </c>
      <c r="AY192" s="67">
        <f t="shared" si="42"/>
        <v>60</v>
      </c>
      <c r="AZ192" s="76">
        <f t="shared" si="43"/>
        <v>0.55000000000000004</v>
      </c>
      <c r="BA192" s="67">
        <f t="shared" si="38"/>
        <v>10</v>
      </c>
      <c r="BB192" s="76">
        <f t="shared" si="41"/>
        <v>0.83333333333333337</v>
      </c>
      <c r="BD192" s="67">
        <f t="shared" si="39"/>
        <v>5</v>
      </c>
      <c r="BE192" s="67">
        <f t="shared" si="40"/>
        <v>5</v>
      </c>
    </row>
    <row r="193" spans="1:57">
      <c r="A193" s="67">
        <v>445</v>
      </c>
      <c r="B193" s="8" t="s">
        <v>106</v>
      </c>
      <c r="C193" s="8" t="s">
        <v>349</v>
      </c>
      <c r="D193" s="8" t="s">
        <v>6</v>
      </c>
      <c r="E193" s="269" t="s">
        <v>562</v>
      </c>
      <c r="F193" s="5" t="s">
        <v>549</v>
      </c>
      <c r="G193" s="20"/>
      <c r="H193" s="20"/>
      <c r="I193" s="20"/>
      <c r="J193" s="20"/>
      <c r="K193" s="20" t="s">
        <v>433</v>
      </c>
      <c r="L193" s="270" t="s">
        <v>579</v>
      </c>
      <c r="M193" s="269" t="s">
        <v>433</v>
      </c>
      <c r="N193" s="5" t="s">
        <v>432</v>
      </c>
      <c r="O193" s="20"/>
      <c r="P193" s="5" t="s">
        <v>555</v>
      </c>
      <c r="Q193" s="5" t="s">
        <v>434</v>
      </c>
      <c r="R193" s="20"/>
      <c r="S193" s="5" t="s">
        <v>578</v>
      </c>
      <c r="T193" s="270" t="s">
        <v>559</v>
      </c>
      <c r="U193" s="269" t="s">
        <v>600</v>
      </c>
      <c r="V193" s="5" t="s">
        <v>555</v>
      </c>
      <c r="W193" s="20"/>
      <c r="X193" s="5" t="s">
        <v>548</v>
      </c>
      <c r="Y193" s="5" t="s">
        <v>549</v>
      </c>
      <c r="Z193" s="5" t="s">
        <v>561</v>
      </c>
      <c r="AA193" s="5" t="s">
        <v>433</v>
      </c>
      <c r="AB193" s="270" t="s">
        <v>433</v>
      </c>
      <c r="AC193" s="269"/>
      <c r="AD193" s="20"/>
      <c r="AE193" s="5" t="s">
        <v>433</v>
      </c>
      <c r="AF193" s="5" t="s">
        <v>431</v>
      </c>
      <c r="AG193" s="5" t="s">
        <v>574</v>
      </c>
      <c r="AH193" s="5" t="s">
        <v>554</v>
      </c>
      <c r="AI193" s="5" t="s">
        <v>548</v>
      </c>
      <c r="AJ193" s="270" t="s">
        <v>600</v>
      </c>
      <c r="AK193" s="67">
        <v>445</v>
      </c>
      <c r="AM193" s="67">
        <v>1</v>
      </c>
      <c r="AO193" s="67">
        <f t="shared" si="30"/>
        <v>0</v>
      </c>
      <c r="AP193" s="67">
        <f t="shared" si="31"/>
        <v>13</v>
      </c>
      <c r="AQ193" s="67">
        <f t="shared" si="32"/>
        <v>9</v>
      </c>
      <c r="AR193" s="67">
        <f t="shared" si="33"/>
        <v>7</v>
      </c>
      <c r="AS193" s="67">
        <f t="shared" si="34"/>
        <v>9</v>
      </c>
      <c r="AT193" s="67">
        <f t="shared" si="35"/>
        <v>10</v>
      </c>
      <c r="AU193" s="67">
        <f t="shared" si="36"/>
        <v>0</v>
      </c>
      <c r="AV193" s="67">
        <f t="shared" si="37"/>
        <v>48</v>
      </c>
      <c r="AX193" s="256">
        <v>28</v>
      </c>
      <c r="AY193" s="67">
        <f t="shared" si="42"/>
        <v>140</v>
      </c>
      <c r="AZ193" s="76">
        <f t="shared" si="43"/>
        <v>0.34285714285714286</v>
      </c>
      <c r="BA193" s="67">
        <f t="shared" si="38"/>
        <v>23</v>
      </c>
      <c r="BB193" s="76">
        <f t="shared" si="41"/>
        <v>0.8214285714285714</v>
      </c>
      <c r="BD193" s="67">
        <f t="shared" si="39"/>
        <v>10</v>
      </c>
      <c r="BE193" s="67">
        <f t="shared" si="40"/>
        <v>13</v>
      </c>
    </row>
    <row r="194" spans="1:57">
      <c r="A194" s="67">
        <v>449</v>
      </c>
      <c r="B194" s="8" t="s">
        <v>62</v>
      </c>
      <c r="C194" s="8" t="s">
        <v>42</v>
      </c>
      <c r="D194" s="8" t="s">
        <v>42</v>
      </c>
      <c r="E194" s="269" t="s">
        <v>544</v>
      </c>
      <c r="F194" s="5" t="s">
        <v>431</v>
      </c>
      <c r="G194" s="5"/>
      <c r="H194" s="5" t="s">
        <v>431</v>
      </c>
      <c r="I194" s="5" t="s">
        <v>431</v>
      </c>
      <c r="J194" s="5" t="s">
        <v>433</v>
      </c>
      <c r="K194" s="5" t="s">
        <v>565</v>
      </c>
      <c r="L194" s="270" t="s">
        <v>433</v>
      </c>
      <c r="M194" s="269" t="s">
        <v>565</v>
      </c>
      <c r="N194" s="20"/>
      <c r="O194" s="5" t="s">
        <v>545</v>
      </c>
      <c r="P194" s="5" t="s">
        <v>567</v>
      </c>
      <c r="Q194" s="5" t="s">
        <v>431</v>
      </c>
      <c r="R194" s="20"/>
      <c r="S194" s="5" t="s">
        <v>431</v>
      </c>
      <c r="T194" s="270" t="s">
        <v>554</v>
      </c>
      <c r="U194" s="269" t="s">
        <v>435</v>
      </c>
      <c r="V194" s="5" t="s">
        <v>555</v>
      </c>
      <c r="W194" s="5" t="s">
        <v>555</v>
      </c>
      <c r="X194" s="5" t="s">
        <v>567</v>
      </c>
      <c r="Y194" s="5" t="s">
        <v>567</v>
      </c>
      <c r="Z194" s="5" t="s">
        <v>579</v>
      </c>
      <c r="AA194" s="5" t="s">
        <v>579</v>
      </c>
      <c r="AB194" s="270" t="s">
        <v>565</v>
      </c>
      <c r="AC194" s="269" t="s">
        <v>579</v>
      </c>
      <c r="AD194" s="5" t="s">
        <v>579</v>
      </c>
      <c r="AE194" s="5" t="s">
        <v>579</v>
      </c>
      <c r="AF194" s="5" t="s">
        <v>567</v>
      </c>
      <c r="AG194" s="5" t="s">
        <v>567</v>
      </c>
      <c r="AH194" s="5" t="s">
        <v>567</v>
      </c>
      <c r="AI194" s="5" t="s">
        <v>548</v>
      </c>
      <c r="AJ194" s="270"/>
      <c r="AK194" s="67">
        <v>449</v>
      </c>
      <c r="AM194" s="67">
        <v>1</v>
      </c>
      <c r="AO194" s="67">
        <f t="shared" si="30"/>
        <v>0</v>
      </c>
      <c r="AP194" s="67">
        <f t="shared" si="31"/>
        <v>16</v>
      </c>
      <c r="AQ194" s="67">
        <f t="shared" si="32"/>
        <v>16</v>
      </c>
      <c r="AR194" s="67">
        <f t="shared" si="33"/>
        <v>11</v>
      </c>
      <c r="AS194" s="67">
        <f t="shared" si="34"/>
        <v>2</v>
      </c>
      <c r="AT194" s="67">
        <f t="shared" si="35"/>
        <v>6</v>
      </c>
      <c r="AU194" s="67">
        <f t="shared" si="36"/>
        <v>0</v>
      </c>
      <c r="AV194" s="67">
        <f t="shared" si="37"/>
        <v>51</v>
      </c>
      <c r="AX194" s="256">
        <v>30</v>
      </c>
      <c r="AY194" s="67">
        <f t="shared" si="42"/>
        <v>150</v>
      </c>
      <c r="AZ194" s="76">
        <f t="shared" si="43"/>
        <v>0.34</v>
      </c>
      <c r="BA194" s="67">
        <f t="shared" si="38"/>
        <v>28</v>
      </c>
      <c r="BB194" s="76">
        <f t="shared" si="41"/>
        <v>0.93333333333333335</v>
      </c>
      <c r="BD194" s="67">
        <f t="shared" si="39"/>
        <v>13</v>
      </c>
      <c r="BE194" s="67">
        <f t="shared" si="40"/>
        <v>15</v>
      </c>
    </row>
    <row r="195" spans="1:57">
      <c r="A195" s="67">
        <v>450</v>
      </c>
      <c r="B195" s="8" t="s">
        <v>73</v>
      </c>
      <c r="C195" s="8" t="s">
        <v>165</v>
      </c>
      <c r="D195" s="8" t="s">
        <v>6</v>
      </c>
      <c r="E195" s="269"/>
      <c r="F195" s="5" t="s">
        <v>559</v>
      </c>
      <c r="G195" s="5" t="s">
        <v>559</v>
      </c>
      <c r="H195" s="5" t="s">
        <v>567</v>
      </c>
      <c r="I195" s="5" t="s">
        <v>549</v>
      </c>
      <c r="J195" s="5" t="s">
        <v>577</v>
      </c>
      <c r="K195" s="5" t="s">
        <v>577</v>
      </c>
      <c r="L195" s="270" t="s">
        <v>561</v>
      </c>
      <c r="M195" s="269" t="s">
        <v>433</v>
      </c>
      <c r="N195" s="5" t="s">
        <v>433</v>
      </c>
      <c r="O195" s="5" t="s">
        <v>590</v>
      </c>
      <c r="P195" s="5" t="s">
        <v>567</v>
      </c>
      <c r="Q195" s="5" t="s">
        <v>431</v>
      </c>
      <c r="R195" s="5" t="s">
        <v>431</v>
      </c>
      <c r="S195" s="5" t="s">
        <v>548</v>
      </c>
      <c r="T195" s="270" t="s">
        <v>560</v>
      </c>
      <c r="U195" s="269"/>
      <c r="V195" s="20"/>
      <c r="W195" s="5" t="s">
        <v>432</v>
      </c>
      <c r="X195" s="5" t="s">
        <v>432</v>
      </c>
      <c r="Y195" s="5" t="s">
        <v>431</v>
      </c>
      <c r="Z195" s="5" t="s">
        <v>579</v>
      </c>
      <c r="AA195" s="5" t="s">
        <v>577</v>
      </c>
      <c r="AB195" s="270" t="s">
        <v>577</v>
      </c>
      <c r="AC195" s="269" t="s">
        <v>577</v>
      </c>
      <c r="AD195" s="5" t="s">
        <v>595</v>
      </c>
      <c r="AE195" s="5" t="s">
        <v>595</v>
      </c>
      <c r="AF195" s="5" t="s">
        <v>574</v>
      </c>
      <c r="AG195" s="5" t="s">
        <v>431</v>
      </c>
      <c r="AH195" s="5" t="s">
        <v>431</v>
      </c>
      <c r="AI195" s="5" t="s">
        <v>431</v>
      </c>
      <c r="AJ195" s="270"/>
      <c r="AK195" s="67">
        <v>450</v>
      </c>
      <c r="AM195" s="67">
        <v>1</v>
      </c>
      <c r="AO195" s="67">
        <f t="shared" si="30"/>
        <v>0</v>
      </c>
      <c r="AP195" s="67">
        <f t="shared" si="31"/>
        <v>13</v>
      </c>
      <c r="AQ195" s="67">
        <f t="shared" si="32"/>
        <v>15</v>
      </c>
      <c r="AR195" s="67">
        <f t="shared" si="33"/>
        <v>12</v>
      </c>
      <c r="AS195" s="67">
        <f t="shared" si="34"/>
        <v>13</v>
      </c>
      <c r="AT195" s="67">
        <f t="shared" si="35"/>
        <v>11</v>
      </c>
      <c r="AU195" s="67">
        <f t="shared" si="36"/>
        <v>0</v>
      </c>
      <c r="AV195" s="67">
        <f t="shared" si="37"/>
        <v>64</v>
      </c>
      <c r="AX195" s="256">
        <v>28</v>
      </c>
      <c r="AY195" s="67">
        <f t="shared" si="42"/>
        <v>140</v>
      </c>
      <c r="AZ195" s="76">
        <f t="shared" si="43"/>
        <v>0.45714285714285713</v>
      </c>
      <c r="BA195" s="67">
        <f t="shared" si="38"/>
        <v>28</v>
      </c>
      <c r="BB195" s="76">
        <f t="shared" si="41"/>
        <v>1</v>
      </c>
      <c r="BD195" s="67">
        <f t="shared" si="39"/>
        <v>15</v>
      </c>
      <c r="BE195" s="67">
        <f t="shared" si="40"/>
        <v>13</v>
      </c>
    </row>
    <row r="196" spans="1:57">
      <c r="A196" s="67">
        <v>452</v>
      </c>
      <c r="B196" s="8" t="s">
        <v>63</v>
      </c>
      <c r="C196" s="8" t="s">
        <v>346</v>
      </c>
      <c r="E196" s="269"/>
      <c r="F196" s="20"/>
      <c r="G196" s="20"/>
      <c r="H196" s="20"/>
      <c r="I196" s="20"/>
      <c r="J196" s="20"/>
      <c r="K196" s="20"/>
      <c r="L196" s="270"/>
      <c r="M196" s="269"/>
      <c r="N196" s="20"/>
      <c r="O196" s="20"/>
      <c r="P196" s="20"/>
      <c r="Q196" s="20"/>
      <c r="R196" s="20"/>
      <c r="S196" s="20"/>
      <c r="T196" s="270"/>
      <c r="U196" s="269"/>
      <c r="V196" s="20"/>
      <c r="W196" s="20"/>
      <c r="X196" s="20"/>
      <c r="Y196" s="20"/>
      <c r="Z196" s="20"/>
      <c r="AA196" s="20"/>
      <c r="AB196" s="270"/>
      <c r="AC196" s="269"/>
      <c r="AD196" s="20"/>
      <c r="AE196" s="20"/>
      <c r="AF196" s="20"/>
      <c r="AG196" s="20"/>
      <c r="AH196" s="20"/>
      <c r="AI196" s="20"/>
      <c r="AJ196" s="270"/>
      <c r="AK196" s="67">
        <v>452</v>
      </c>
      <c r="AL196" s="67">
        <v>1</v>
      </c>
      <c r="AO196" s="67">
        <f t="shared" ref="AO196:AO254" si="44">COUNTIF(E196:AJ196,"*a*")</f>
        <v>0</v>
      </c>
      <c r="AP196" s="67">
        <f t="shared" ref="AP196:AP254" si="45">COUNTIF(E196:AJ196,"*b*")</f>
        <v>0</v>
      </c>
      <c r="AQ196" s="67">
        <f t="shared" ref="AQ196:AQ254" si="46">COUNTIF(E196:AJ196,"*l*")</f>
        <v>0</v>
      </c>
      <c r="AR196" s="67">
        <f t="shared" ref="AR196:AR254" si="47">COUNTIF(E196:AJ196,"*h*")</f>
        <v>0</v>
      </c>
      <c r="AS196" s="67">
        <f t="shared" ref="AS196:AS254" si="48">COUNTIF(E196:AJ196,"*m*")</f>
        <v>0</v>
      </c>
      <c r="AT196" s="67">
        <f t="shared" ref="AT196:AT254" si="49">COUNTIF(E196:AJ196,"*d*")</f>
        <v>0</v>
      </c>
      <c r="AU196" s="67">
        <f t="shared" ref="AU196:AU254" si="50">COUNTIF(E196:AJ196,"*o*")</f>
        <v>0</v>
      </c>
      <c r="AV196" s="67">
        <f t="shared" ref="AV196:AV254" si="51">SUM(AO196:AU196)</f>
        <v>0</v>
      </c>
      <c r="AX196" s="256">
        <v>10</v>
      </c>
      <c r="AY196" s="67">
        <f t="shared" si="42"/>
        <v>50</v>
      </c>
      <c r="AZ196" s="76">
        <f t="shared" si="43"/>
        <v>0</v>
      </c>
      <c r="BA196" s="67">
        <f t="shared" ref="BA196:BA254" si="52">COUNTA(E196:AJ196)</f>
        <v>0</v>
      </c>
      <c r="BB196" s="76">
        <f t="shared" si="41"/>
        <v>0</v>
      </c>
      <c r="BD196" s="67">
        <f t="shared" ref="BD196:BD254" si="53">COUNTA(E196:T196)</f>
        <v>0</v>
      </c>
      <c r="BE196" s="67">
        <f t="shared" ref="BE196:BE254" si="54">COUNTA(U196:AJ196)</f>
        <v>0</v>
      </c>
    </row>
    <row r="197" spans="1:57">
      <c r="A197" s="67">
        <v>454</v>
      </c>
      <c r="B197" s="8" t="s">
        <v>88</v>
      </c>
      <c r="C197" s="8" t="s">
        <v>12</v>
      </c>
      <c r="D197" s="67" t="s">
        <v>42</v>
      </c>
      <c r="E197" s="269"/>
      <c r="F197" s="5" t="s">
        <v>560</v>
      </c>
      <c r="G197" s="5" t="s">
        <v>560</v>
      </c>
      <c r="H197" s="20"/>
      <c r="I197" s="20"/>
      <c r="J197" s="20" t="s">
        <v>433</v>
      </c>
      <c r="K197" s="20"/>
      <c r="L197" s="270"/>
      <c r="M197" s="269"/>
      <c r="N197" s="20" t="s">
        <v>433</v>
      </c>
      <c r="O197" s="20" t="s">
        <v>433</v>
      </c>
      <c r="P197" s="5" t="s">
        <v>560</v>
      </c>
      <c r="Q197" s="5" t="s">
        <v>434</v>
      </c>
      <c r="R197" s="5" t="s">
        <v>435</v>
      </c>
      <c r="S197" s="5" t="s">
        <v>434</v>
      </c>
      <c r="T197" s="270" t="s">
        <v>435</v>
      </c>
      <c r="U197" s="269" t="s">
        <v>434</v>
      </c>
      <c r="V197" s="5" t="s">
        <v>549</v>
      </c>
      <c r="W197" s="5" t="s">
        <v>558</v>
      </c>
      <c r="X197" s="5" t="s">
        <v>558</v>
      </c>
      <c r="Y197" s="5" t="s">
        <v>558</v>
      </c>
      <c r="Z197" s="5" t="s">
        <v>577</v>
      </c>
      <c r="AA197" s="5" t="s">
        <v>577</v>
      </c>
      <c r="AB197" s="270" t="s">
        <v>577</v>
      </c>
      <c r="AC197" s="269" t="s">
        <v>577</v>
      </c>
      <c r="AD197" s="5" t="s">
        <v>577</v>
      </c>
      <c r="AE197" s="5" t="s">
        <v>590</v>
      </c>
      <c r="AF197" s="5" t="s">
        <v>558</v>
      </c>
      <c r="AG197" s="5" t="s">
        <v>558</v>
      </c>
      <c r="AH197" s="5" t="s">
        <v>558</v>
      </c>
      <c r="AI197" s="5" t="s">
        <v>558</v>
      </c>
      <c r="AJ197" s="270" t="s">
        <v>558</v>
      </c>
      <c r="AK197" s="67">
        <v>454</v>
      </c>
      <c r="AM197" s="67">
        <v>1</v>
      </c>
      <c r="AO197" s="67">
        <f t="shared" si="44"/>
        <v>0</v>
      </c>
      <c r="AP197" s="67">
        <f t="shared" si="45"/>
        <v>1</v>
      </c>
      <c r="AQ197" s="67">
        <f t="shared" si="46"/>
        <v>13</v>
      </c>
      <c r="AR197" s="67">
        <f t="shared" si="47"/>
        <v>9</v>
      </c>
      <c r="AS197" s="67">
        <f t="shared" si="48"/>
        <v>21</v>
      </c>
      <c r="AT197" s="67">
        <f t="shared" si="49"/>
        <v>20</v>
      </c>
      <c r="AU197" s="67">
        <f t="shared" si="50"/>
        <v>0</v>
      </c>
      <c r="AV197" s="67">
        <f t="shared" si="51"/>
        <v>64</v>
      </c>
      <c r="AX197" s="256">
        <v>32</v>
      </c>
      <c r="AY197" s="67">
        <f t="shared" si="42"/>
        <v>160</v>
      </c>
      <c r="AZ197" s="76">
        <f t="shared" si="43"/>
        <v>0.4</v>
      </c>
      <c r="BA197" s="67">
        <f t="shared" si="52"/>
        <v>26</v>
      </c>
      <c r="BB197" s="76">
        <f t="shared" ref="BB197:BB255" si="55">BA197/AX197</f>
        <v>0.8125</v>
      </c>
      <c r="BD197" s="67">
        <f t="shared" si="53"/>
        <v>10</v>
      </c>
      <c r="BE197" s="67">
        <f t="shared" si="54"/>
        <v>16</v>
      </c>
    </row>
    <row r="198" spans="1:57">
      <c r="A198" s="67">
        <v>459</v>
      </c>
      <c r="B198" s="8" t="s">
        <v>201</v>
      </c>
      <c r="C198" s="8" t="s">
        <v>357</v>
      </c>
      <c r="D198" s="8" t="s">
        <v>42</v>
      </c>
      <c r="E198" s="269"/>
      <c r="F198" s="5" t="s">
        <v>549</v>
      </c>
      <c r="G198" s="5" t="s">
        <v>549</v>
      </c>
      <c r="H198" s="5" t="s">
        <v>549</v>
      </c>
      <c r="I198" s="5" t="s">
        <v>549</v>
      </c>
      <c r="J198" s="5" t="s">
        <v>590</v>
      </c>
      <c r="K198" s="5" t="s">
        <v>590</v>
      </c>
      <c r="L198" s="270" t="s">
        <v>590</v>
      </c>
      <c r="M198" s="269" t="s">
        <v>590</v>
      </c>
      <c r="N198" s="5" t="s">
        <v>590</v>
      </c>
      <c r="O198" s="5" t="s">
        <v>590</v>
      </c>
      <c r="P198" s="5" t="s">
        <v>549</v>
      </c>
      <c r="Q198" s="5" t="s">
        <v>549</v>
      </c>
      <c r="R198" s="5" t="s">
        <v>549</v>
      </c>
      <c r="S198" s="5" t="s">
        <v>549</v>
      </c>
      <c r="T198" s="270"/>
      <c r="U198" s="269"/>
      <c r="V198" s="5" t="s">
        <v>562</v>
      </c>
      <c r="W198" s="5" t="s">
        <v>558</v>
      </c>
      <c r="X198" s="5" t="s">
        <v>559</v>
      </c>
      <c r="Y198" s="5" t="s">
        <v>559</v>
      </c>
      <c r="Z198" s="5" t="s">
        <v>577</v>
      </c>
      <c r="AA198" s="5" t="s">
        <v>577</v>
      </c>
      <c r="AB198" s="270" t="s">
        <v>577</v>
      </c>
      <c r="AC198" s="269" t="s">
        <v>577</v>
      </c>
      <c r="AD198" s="5" t="s">
        <v>577</v>
      </c>
      <c r="AE198" s="5" t="s">
        <v>577</v>
      </c>
      <c r="AF198" s="5" t="s">
        <v>559</v>
      </c>
      <c r="AG198" s="5" t="s">
        <v>559</v>
      </c>
      <c r="AH198" s="5" t="s">
        <v>600</v>
      </c>
      <c r="AI198" s="5" t="s">
        <v>558</v>
      </c>
      <c r="AJ198" s="270"/>
      <c r="AK198" s="67">
        <v>459</v>
      </c>
      <c r="AM198" s="67">
        <v>1</v>
      </c>
      <c r="AO198" s="67">
        <f t="shared" si="44"/>
        <v>0</v>
      </c>
      <c r="AP198" s="67">
        <f t="shared" si="45"/>
        <v>13</v>
      </c>
      <c r="AQ198" s="67">
        <f t="shared" si="46"/>
        <v>14</v>
      </c>
      <c r="AR198" s="67">
        <f t="shared" si="47"/>
        <v>12</v>
      </c>
      <c r="AS198" s="67">
        <f t="shared" si="48"/>
        <v>27</v>
      </c>
      <c r="AT198" s="67">
        <f t="shared" si="49"/>
        <v>28</v>
      </c>
      <c r="AU198" s="67">
        <f t="shared" si="50"/>
        <v>0</v>
      </c>
      <c r="AV198" s="67">
        <f t="shared" si="51"/>
        <v>94</v>
      </c>
      <c r="AX198" s="256">
        <v>28</v>
      </c>
      <c r="AY198" s="67">
        <f t="shared" si="42"/>
        <v>140</v>
      </c>
      <c r="AZ198" s="76">
        <f t="shared" si="43"/>
        <v>0.67142857142857137</v>
      </c>
      <c r="BA198" s="67">
        <f t="shared" si="52"/>
        <v>28</v>
      </c>
      <c r="BB198" s="76">
        <f t="shared" si="55"/>
        <v>1</v>
      </c>
      <c r="BD198" s="67">
        <f t="shared" si="53"/>
        <v>14</v>
      </c>
      <c r="BE198" s="67">
        <f t="shared" si="54"/>
        <v>14</v>
      </c>
    </row>
    <row r="199" spans="1:57">
      <c r="A199" s="67">
        <v>464</v>
      </c>
      <c r="B199" s="8" t="s">
        <v>99</v>
      </c>
      <c r="C199" s="8" t="s">
        <v>346</v>
      </c>
      <c r="E199" s="269"/>
      <c r="F199" s="20"/>
      <c r="G199" s="20"/>
      <c r="H199" s="20"/>
      <c r="I199" s="20"/>
      <c r="J199" s="20"/>
      <c r="K199" s="20"/>
      <c r="L199" s="270"/>
      <c r="M199" s="269"/>
      <c r="N199" s="20"/>
      <c r="O199" s="20"/>
      <c r="P199" s="20"/>
      <c r="Q199" s="20"/>
      <c r="R199" s="20"/>
      <c r="S199" s="20"/>
      <c r="T199" s="270"/>
      <c r="U199" s="269"/>
      <c r="V199" s="20"/>
      <c r="W199" s="20"/>
      <c r="X199" s="20"/>
      <c r="Y199" s="20"/>
      <c r="Z199" s="20"/>
      <c r="AA199" s="20"/>
      <c r="AB199" s="270"/>
      <c r="AC199" s="269" t="s">
        <v>432</v>
      </c>
      <c r="AD199" s="20"/>
      <c r="AE199" s="20"/>
      <c r="AF199" s="20"/>
      <c r="AG199" s="20"/>
      <c r="AH199" s="20"/>
      <c r="AI199" s="20"/>
      <c r="AJ199" s="270"/>
      <c r="AK199" s="67">
        <v>464</v>
      </c>
      <c r="AM199" s="67">
        <v>1</v>
      </c>
      <c r="AO199" s="67">
        <f t="shared" si="44"/>
        <v>0</v>
      </c>
      <c r="AP199" s="67">
        <f t="shared" si="45"/>
        <v>0</v>
      </c>
      <c r="AQ199" s="67">
        <f t="shared" si="46"/>
        <v>1</v>
      </c>
      <c r="AR199" s="67">
        <f t="shared" si="47"/>
        <v>0</v>
      </c>
      <c r="AS199" s="67">
        <f t="shared" si="48"/>
        <v>0</v>
      </c>
      <c r="AT199" s="67">
        <f t="shared" si="49"/>
        <v>0</v>
      </c>
      <c r="AU199" s="67">
        <f t="shared" si="50"/>
        <v>0</v>
      </c>
      <c r="AV199" s="67">
        <f t="shared" si="51"/>
        <v>1</v>
      </c>
      <c r="AX199" s="256">
        <v>24</v>
      </c>
      <c r="AY199" s="67">
        <f t="shared" si="42"/>
        <v>120</v>
      </c>
      <c r="AZ199" s="76">
        <f t="shared" si="43"/>
        <v>8.3333333333333332E-3</v>
      </c>
      <c r="BA199" s="67">
        <f t="shared" si="52"/>
        <v>1</v>
      </c>
      <c r="BB199" s="76">
        <f t="shared" si="55"/>
        <v>4.1666666666666664E-2</v>
      </c>
      <c r="BD199" s="67">
        <f t="shared" si="53"/>
        <v>0</v>
      </c>
      <c r="BE199" s="67">
        <f t="shared" si="54"/>
        <v>1</v>
      </c>
    </row>
    <row r="200" spans="1:57">
      <c r="A200" s="67">
        <v>466</v>
      </c>
      <c r="B200" s="8" t="s">
        <v>41</v>
      </c>
      <c r="C200" s="8" t="s">
        <v>42</v>
      </c>
      <c r="D200" s="8" t="s">
        <v>6</v>
      </c>
      <c r="E200" s="269" t="s">
        <v>434</v>
      </c>
      <c r="F200" s="5" t="s">
        <v>434</v>
      </c>
      <c r="G200" s="5" t="s">
        <v>549</v>
      </c>
      <c r="H200" s="5" t="s">
        <v>560</v>
      </c>
      <c r="I200" s="5" t="s">
        <v>435</v>
      </c>
      <c r="J200" s="5" t="s">
        <v>560</v>
      </c>
      <c r="K200" s="5" t="s">
        <v>558</v>
      </c>
      <c r="L200" s="270" t="s">
        <v>577</v>
      </c>
      <c r="M200" s="269" t="s">
        <v>558</v>
      </c>
      <c r="N200" s="5" t="s">
        <v>577</v>
      </c>
      <c r="O200" s="5" t="s">
        <v>577</v>
      </c>
      <c r="P200" s="5" t="s">
        <v>559</v>
      </c>
      <c r="Q200" s="5" t="s">
        <v>431</v>
      </c>
      <c r="R200" s="20"/>
      <c r="S200" s="5" t="s">
        <v>434</v>
      </c>
      <c r="T200" s="270"/>
      <c r="U200" s="269" t="s">
        <v>586</v>
      </c>
      <c r="V200" s="5" t="s">
        <v>568</v>
      </c>
      <c r="W200" s="5" t="s">
        <v>560</v>
      </c>
      <c r="X200" s="5" t="s">
        <v>549</v>
      </c>
      <c r="Y200" s="5" t="s">
        <v>435</v>
      </c>
      <c r="Z200" s="5" t="s">
        <v>590</v>
      </c>
      <c r="AA200" s="5" t="s">
        <v>577</v>
      </c>
      <c r="AB200" s="270" t="s">
        <v>577</v>
      </c>
      <c r="AC200" s="269"/>
      <c r="AD200" s="5" t="s">
        <v>590</v>
      </c>
      <c r="AE200" s="5" t="s">
        <v>560</v>
      </c>
      <c r="AF200" s="5" t="s">
        <v>560</v>
      </c>
      <c r="AG200" s="5" t="s">
        <v>434</v>
      </c>
      <c r="AH200" s="5" t="s">
        <v>435</v>
      </c>
      <c r="AI200" s="20"/>
      <c r="AJ200" s="270" t="s">
        <v>562</v>
      </c>
      <c r="AK200" s="67">
        <v>466</v>
      </c>
      <c r="AM200" s="67">
        <v>1</v>
      </c>
      <c r="AO200" s="67">
        <f t="shared" si="44"/>
        <v>0</v>
      </c>
      <c r="AP200" s="67">
        <f t="shared" si="45"/>
        <v>5</v>
      </c>
      <c r="AQ200" s="67">
        <f t="shared" si="46"/>
        <v>11</v>
      </c>
      <c r="AR200" s="67">
        <f t="shared" si="47"/>
        <v>7</v>
      </c>
      <c r="AS200" s="67">
        <f t="shared" si="48"/>
        <v>22</v>
      </c>
      <c r="AT200" s="67">
        <f t="shared" si="49"/>
        <v>22</v>
      </c>
      <c r="AU200" s="67">
        <f t="shared" si="50"/>
        <v>0</v>
      </c>
      <c r="AV200" s="67">
        <f t="shared" si="51"/>
        <v>67</v>
      </c>
      <c r="AX200" s="256">
        <v>29</v>
      </c>
      <c r="AY200" s="67">
        <f t="shared" si="42"/>
        <v>145</v>
      </c>
      <c r="AZ200" s="76">
        <f t="shared" si="43"/>
        <v>0.46206896551724136</v>
      </c>
      <c r="BA200" s="67">
        <f t="shared" si="52"/>
        <v>28</v>
      </c>
      <c r="BB200" s="76">
        <f t="shared" si="55"/>
        <v>0.96551724137931039</v>
      </c>
      <c r="BD200" s="67">
        <f t="shared" si="53"/>
        <v>14</v>
      </c>
      <c r="BE200" s="67">
        <f t="shared" si="54"/>
        <v>14</v>
      </c>
    </row>
    <row r="201" spans="1:57">
      <c r="A201" s="67">
        <v>467</v>
      </c>
      <c r="B201" s="8" t="s">
        <v>41</v>
      </c>
      <c r="C201" s="8" t="s">
        <v>42</v>
      </c>
      <c r="D201" s="8" t="s">
        <v>6</v>
      </c>
      <c r="E201" s="269" t="s">
        <v>431</v>
      </c>
      <c r="F201" s="5" t="s">
        <v>549</v>
      </c>
      <c r="G201" s="5" t="s">
        <v>549</v>
      </c>
      <c r="H201" s="20"/>
      <c r="I201" s="20"/>
      <c r="J201" s="5" t="s">
        <v>433</v>
      </c>
      <c r="K201" s="5" t="s">
        <v>433</v>
      </c>
      <c r="L201" s="270"/>
      <c r="M201" s="269"/>
      <c r="N201" s="20"/>
      <c r="O201" s="5" t="s">
        <v>433</v>
      </c>
      <c r="P201" s="20"/>
      <c r="Q201" s="5" t="s">
        <v>431</v>
      </c>
      <c r="R201" s="20" t="s">
        <v>549</v>
      </c>
      <c r="S201" s="5" t="s">
        <v>431</v>
      </c>
      <c r="T201" s="270"/>
      <c r="U201" s="269"/>
      <c r="V201" s="5"/>
      <c r="W201" s="5"/>
      <c r="X201" s="5" t="s">
        <v>559</v>
      </c>
      <c r="Y201" s="5" t="s">
        <v>559</v>
      </c>
      <c r="Z201" s="5" t="s">
        <v>560</v>
      </c>
      <c r="AA201" s="5" t="s">
        <v>435</v>
      </c>
      <c r="AB201" s="270" t="s">
        <v>590</v>
      </c>
      <c r="AC201" s="269" t="s">
        <v>590</v>
      </c>
      <c r="AD201" s="5" t="s">
        <v>577</v>
      </c>
      <c r="AE201" s="5" t="s">
        <v>577</v>
      </c>
      <c r="AF201" s="5" t="s">
        <v>558</v>
      </c>
      <c r="AG201" s="5" t="s">
        <v>435</v>
      </c>
      <c r="AH201" s="5" t="s">
        <v>558</v>
      </c>
      <c r="AI201" s="5" t="s">
        <v>432</v>
      </c>
      <c r="AJ201" s="270" t="s">
        <v>435</v>
      </c>
      <c r="AK201" s="67">
        <v>467</v>
      </c>
      <c r="AM201" s="67">
        <v>1</v>
      </c>
      <c r="AO201" s="67">
        <f t="shared" si="44"/>
        <v>0</v>
      </c>
      <c r="AP201" s="67">
        <f t="shared" si="45"/>
        <v>8</v>
      </c>
      <c r="AQ201" s="67">
        <f t="shared" si="46"/>
        <v>7</v>
      </c>
      <c r="AR201" s="67">
        <f t="shared" si="47"/>
        <v>7</v>
      </c>
      <c r="AS201" s="67">
        <f t="shared" si="48"/>
        <v>12</v>
      </c>
      <c r="AT201" s="67">
        <f t="shared" si="49"/>
        <v>15</v>
      </c>
      <c r="AU201" s="67">
        <f t="shared" si="50"/>
        <v>0</v>
      </c>
      <c r="AV201" s="67">
        <f t="shared" si="51"/>
        <v>49</v>
      </c>
      <c r="AX201" s="256">
        <v>32</v>
      </c>
      <c r="AY201" s="67">
        <f t="shared" si="42"/>
        <v>160</v>
      </c>
      <c r="AZ201" s="76">
        <f t="shared" si="43"/>
        <v>0.30625000000000002</v>
      </c>
      <c r="BA201" s="67">
        <f t="shared" si="52"/>
        <v>22</v>
      </c>
      <c r="BB201" s="76">
        <f t="shared" si="55"/>
        <v>0.6875</v>
      </c>
      <c r="BD201" s="67">
        <f t="shared" si="53"/>
        <v>9</v>
      </c>
      <c r="BE201" s="67">
        <f t="shared" si="54"/>
        <v>13</v>
      </c>
    </row>
    <row r="202" spans="1:57">
      <c r="A202" s="67">
        <v>468</v>
      </c>
      <c r="B202" s="8" t="s">
        <v>282</v>
      </c>
      <c r="C202" s="8" t="s">
        <v>358</v>
      </c>
      <c r="D202" s="8" t="s">
        <v>6</v>
      </c>
      <c r="E202" s="269"/>
      <c r="F202" s="20"/>
      <c r="G202" s="20"/>
      <c r="H202" s="20"/>
      <c r="I202" s="20"/>
      <c r="J202" s="20"/>
      <c r="K202" s="20"/>
      <c r="L202" s="270"/>
      <c r="M202" s="269"/>
      <c r="N202" s="20"/>
      <c r="O202" s="20"/>
      <c r="P202" s="20"/>
      <c r="Q202" s="20"/>
      <c r="R202" s="20"/>
      <c r="S202" s="20"/>
      <c r="T202" s="270"/>
      <c r="U202" s="269"/>
      <c r="V202" s="5" t="s">
        <v>432</v>
      </c>
      <c r="W202" s="5" t="s">
        <v>432</v>
      </c>
      <c r="X202" s="5" t="s">
        <v>558</v>
      </c>
      <c r="Y202" s="5" t="s">
        <v>559</v>
      </c>
      <c r="Z202" s="5" t="s">
        <v>577</v>
      </c>
      <c r="AA202" s="5" t="s">
        <v>570</v>
      </c>
      <c r="AB202" s="270" t="s">
        <v>577</v>
      </c>
      <c r="AC202" s="269" t="s">
        <v>577</v>
      </c>
      <c r="AD202" s="5" t="s">
        <v>577</v>
      </c>
      <c r="AE202" s="5" t="s">
        <v>570</v>
      </c>
      <c r="AF202" s="5" t="s">
        <v>558</v>
      </c>
      <c r="AG202" s="5" t="s">
        <v>558</v>
      </c>
      <c r="AH202" s="5" t="s">
        <v>558</v>
      </c>
      <c r="AI202" s="5" t="s">
        <v>432</v>
      </c>
      <c r="AJ202" s="270"/>
      <c r="AK202" s="67">
        <v>468</v>
      </c>
      <c r="AM202" s="67">
        <v>1</v>
      </c>
      <c r="AO202" s="67">
        <f t="shared" si="44"/>
        <v>0</v>
      </c>
      <c r="AP202" s="67">
        <f t="shared" si="45"/>
        <v>1</v>
      </c>
      <c r="AQ202" s="67">
        <f t="shared" si="46"/>
        <v>14</v>
      </c>
      <c r="AR202" s="67">
        <f t="shared" si="47"/>
        <v>6</v>
      </c>
      <c r="AS202" s="67">
        <f t="shared" si="48"/>
        <v>11</v>
      </c>
      <c r="AT202" s="67">
        <f t="shared" si="49"/>
        <v>11</v>
      </c>
      <c r="AU202" s="67">
        <f t="shared" si="50"/>
        <v>0</v>
      </c>
      <c r="AV202" s="67">
        <f t="shared" si="51"/>
        <v>43</v>
      </c>
      <c r="AX202" s="256">
        <v>28</v>
      </c>
      <c r="AY202" s="67">
        <f t="shared" si="42"/>
        <v>140</v>
      </c>
      <c r="AZ202" s="76">
        <f t="shared" si="43"/>
        <v>0.30714285714285716</v>
      </c>
      <c r="BA202" s="67">
        <f t="shared" si="52"/>
        <v>14</v>
      </c>
      <c r="BB202" s="76">
        <f t="shared" si="55"/>
        <v>0.5</v>
      </c>
      <c r="BD202" s="67">
        <f t="shared" si="53"/>
        <v>0</v>
      </c>
      <c r="BE202" s="67">
        <f t="shared" si="54"/>
        <v>14</v>
      </c>
    </row>
    <row r="203" spans="1:57">
      <c r="A203" s="67">
        <v>469</v>
      </c>
      <c r="B203" s="8" t="s">
        <v>44</v>
      </c>
      <c r="C203" s="8" t="s">
        <v>349</v>
      </c>
      <c r="D203" s="8" t="s">
        <v>42</v>
      </c>
      <c r="E203" s="269"/>
      <c r="F203" s="5" t="s">
        <v>469</v>
      </c>
      <c r="G203" s="20"/>
      <c r="H203" s="20"/>
      <c r="I203" s="20" t="s">
        <v>549</v>
      </c>
      <c r="J203" s="20"/>
      <c r="K203" s="20"/>
      <c r="L203" s="270"/>
      <c r="M203" s="269"/>
      <c r="N203" s="20"/>
      <c r="O203" s="20"/>
      <c r="P203" s="20"/>
      <c r="Q203" s="5"/>
      <c r="R203" s="20"/>
      <c r="S203" s="5" t="s">
        <v>469</v>
      </c>
      <c r="T203" s="270"/>
      <c r="U203" s="269"/>
      <c r="V203" s="20"/>
      <c r="W203" s="20"/>
      <c r="X203" s="5" t="s">
        <v>549</v>
      </c>
      <c r="Y203" s="20"/>
      <c r="Z203" s="20"/>
      <c r="AA203" s="5" t="s">
        <v>577</v>
      </c>
      <c r="AB203" s="270" t="s">
        <v>577</v>
      </c>
      <c r="AC203" s="269" t="s">
        <v>570</v>
      </c>
      <c r="AD203" s="5" t="s">
        <v>570</v>
      </c>
      <c r="AE203" s="5" t="s">
        <v>558</v>
      </c>
      <c r="AF203" s="5" t="s">
        <v>559</v>
      </c>
      <c r="AG203" s="5" t="s">
        <v>435</v>
      </c>
      <c r="AH203" s="20"/>
      <c r="AI203" s="20"/>
      <c r="AJ203" s="270"/>
      <c r="AK203" s="67">
        <v>469</v>
      </c>
      <c r="AM203" s="67">
        <v>1</v>
      </c>
      <c r="AO203" s="67">
        <f t="shared" si="44"/>
        <v>0</v>
      </c>
      <c r="AP203" s="67">
        <f t="shared" si="45"/>
        <v>5</v>
      </c>
      <c r="AQ203" s="67">
        <f t="shared" si="46"/>
        <v>8</v>
      </c>
      <c r="AR203" s="67">
        <f t="shared" si="47"/>
        <v>4</v>
      </c>
      <c r="AS203" s="67">
        <f t="shared" si="48"/>
        <v>10</v>
      </c>
      <c r="AT203" s="67">
        <f t="shared" si="49"/>
        <v>11</v>
      </c>
      <c r="AU203" s="67">
        <f t="shared" si="50"/>
        <v>2</v>
      </c>
      <c r="AV203" s="67">
        <f t="shared" si="51"/>
        <v>40</v>
      </c>
      <c r="AX203" s="256">
        <v>19</v>
      </c>
      <c r="AY203" s="67">
        <f t="shared" si="42"/>
        <v>95</v>
      </c>
      <c r="AZ203" s="76">
        <f t="shared" si="43"/>
        <v>0.42105263157894735</v>
      </c>
      <c r="BA203" s="67">
        <f t="shared" si="52"/>
        <v>11</v>
      </c>
      <c r="BB203" s="76">
        <f t="shared" si="55"/>
        <v>0.57894736842105265</v>
      </c>
      <c r="BD203" s="67">
        <f t="shared" si="53"/>
        <v>3</v>
      </c>
      <c r="BE203" s="67">
        <f t="shared" si="54"/>
        <v>8</v>
      </c>
    </row>
    <row r="204" spans="1:57">
      <c r="A204" s="67">
        <v>471</v>
      </c>
      <c r="B204" s="8" t="s">
        <v>71</v>
      </c>
      <c r="C204" s="8" t="s">
        <v>366</v>
      </c>
      <c r="D204" s="8" t="s">
        <v>6</v>
      </c>
      <c r="E204" s="269" t="s">
        <v>559</v>
      </c>
      <c r="F204" s="5" t="s">
        <v>559</v>
      </c>
      <c r="G204" s="5" t="s">
        <v>559</v>
      </c>
      <c r="H204" s="5" t="s">
        <v>574</v>
      </c>
      <c r="I204" s="5" t="s">
        <v>567</v>
      </c>
      <c r="J204" s="5" t="s">
        <v>433</v>
      </c>
      <c r="K204" s="5" t="s">
        <v>433</v>
      </c>
      <c r="L204" s="270" t="s">
        <v>565</v>
      </c>
      <c r="M204" s="269" t="s">
        <v>565</v>
      </c>
      <c r="N204" s="5" t="s">
        <v>433</v>
      </c>
      <c r="O204" s="5" t="s">
        <v>595</v>
      </c>
      <c r="P204" s="5" t="s">
        <v>574</v>
      </c>
      <c r="Q204" s="5" t="s">
        <v>559</v>
      </c>
      <c r="R204" s="5" t="s">
        <v>549</v>
      </c>
      <c r="S204" s="5" t="s">
        <v>578</v>
      </c>
      <c r="T204" s="270" t="s">
        <v>562</v>
      </c>
      <c r="U204" s="269" t="s">
        <v>559</v>
      </c>
      <c r="V204" s="5" t="s">
        <v>600</v>
      </c>
      <c r="W204" s="5" t="s">
        <v>562</v>
      </c>
      <c r="X204" s="5" t="s">
        <v>559</v>
      </c>
      <c r="Y204" s="5" t="s">
        <v>559</v>
      </c>
      <c r="Z204" s="5" t="s">
        <v>601</v>
      </c>
      <c r="AA204" s="5" t="s">
        <v>577</v>
      </c>
      <c r="AB204" s="270" t="s">
        <v>577</v>
      </c>
      <c r="AC204" s="269" t="s">
        <v>570</v>
      </c>
      <c r="AD204" s="5" t="s">
        <v>577</v>
      </c>
      <c r="AE204" s="5" t="s">
        <v>577</v>
      </c>
      <c r="AF204" s="5" t="s">
        <v>600</v>
      </c>
      <c r="AG204" s="5" t="s">
        <v>432</v>
      </c>
      <c r="AH204" s="5" t="s">
        <v>555</v>
      </c>
      <c r="AI204" s="5" t="s">
        <v>550</v>
      </c>
      <c r="AJ204" s="270" t="s">
        <v>600</v>
      </c>
      <c r="AK204" s="67">
        <v>471</v>
      </c>
      <c r="AM204" s="67">
        <v>1</v>
      </c>
      <c r="AO204" s="67">
        <f t="shared" si="44"/>
        <v>0</v>
      </c>
      <c r="AP204" s="67">
        <f t="shared" si="45"/>
        <v>17</v>
      </c>
      <c r="AQ204" s="67">
        <f t="shared" si="46"/>
        <v>27</v>
      </c>
      <c r="AR204" s="67">
        <f t="shared" si="47"/>
        <v>12</v>
      </c>
      <c r="AS204" s="67">
        <f t="shared" si="48"/>
        <v>19</v>
      </c>
      <c r="AT204" s="67">
        <f t="shared" si="49"/>
        <v>21</v>
      </c>
      <c r="AU204" s="67">
        <f t="shared" si="50"/>
        <v>0</v>
      </c>
      <c r="AV204" s="67">
        <f t="shared" si="51"/>
        <v>96</v>
      </c>
      <c r="AX204" s="256">
        <v>32</v>
      </c>
      <c r="AY204" s="67">
        <f t="shared" si="42"/>
        <v>160</v>
      </c>
      <c r="AZ204" s="76">
        <f t="shared" si="43"/>
        <v>0.6</v>
      </c>
      <c r="BA204" s="67">
        <f t="shared" si="52"/>
        <v>32</v>
      </c>
      <c r="BB204" s="76">
        <f t="shared" si="55"/>
        <v>1</v>
      </c>
      <c r="BD204" s="67">
        <f t="shared" si="53"/>
        <v>16</v>
      </c>
      <c r="BE204" s="67">
        <f t="shared" si="54"/>
        <v>16</v>
      </c>
    </row>
    <row r="205" spans="1:57">
      <c r="A205" s="67">
        <v>474</v>
      </c>
      <c r="B205" s="8" t="s">
        <v>106</v>
      </c>
      <c r="C205" s="8" t="s">
        <v>349</v>
      </c>
      <c r="D205" s="8" t="s">
        <v>6</v>
      </c>
      <c r="E205" s="269"/>
      <c r="F205" s="20"/>
      <c r="G205" s="20"/>
      <c r="H205" s="20"/>
      <c r="I205" s="20"/>
      <c r="J205" s="20"/>
      <c r="K205" s="20"/>
      <c r="L205" s="270"/>
      <c r="M205" s="269"/>
      <c r="N205" s="20"/>
      <c r="O205" s="20"/>
      <c r="P205" s="20"/>
      <c r="Q205" s="20"/>
      <c r="R205" s="20"/>
      <c r="S205" s="20"/>
      <c r="T205" s="270"/>
      <c r="U205" s="269"/>
      <c r="V205" s="20"/>
      <c r="W205" s="5" t="s">
        <v>578</v>
      </c>
      <c r="X205" s="5" t="s">
        <v>602</v>
      </c>
      <c r="Y205" s="5" t="s">
        <v>431</v>
      </c>
      <c r="Z205" s="5" t="s">
        <v>577</v>
      </c>
      <c r="AA205" s="5" t="s">
        <v>590</v>
      </c>
      <c r="AB205" s="270"/>
      <c r="AC205" s="269"/>
      <c r="AD205" s="20"/>
      <c r="AE205" s="5" t="s">
        <v>577</v>
      </c>
      <c r="AF205" s="5" t="s">
        <v>555</v>
      </c>
      <c r="AG205" s="20"/>
      <c r="AH205" s="20"/>
      <c r="AI205" s="20"/>
      <c r="AJ205" s="270"/>
      <c r="AK205" s="67">
        <v>474</v>
      </c>
      <c r="AM205" s="67">
        <v>1</v>
      </c>
      <c r="AO205" s="67">
        <f t="shared" si="44"/>
        <v>0</v>
      </c>
      <c r="AP205" s="67">
        <f t="shared" si="45"/>
        <v>4</v>
      </c>
      <c r="AQ205" s="67">
        <f t="shared" si="46"/>
        <v>4</v>
      </c>
      <c r="AR205" s="67">
        <f t="shared" si="47"/>
        <v>3</v>
      </c>
      <c r="AS205" s="67">
        <f t="shared" si="48"/>
        <v>4</v>
      </c>
      <c r="AT205" s="67">
        <f t="shared" si="49"/>
        <v>5</v>
      </c>
      <c r="AU205" s="67">
        <f t="shared" si="50"/>
        <v>0</v>
      </c>
      <c r="AV205" s="67">
        <f t="shared" si="51"/>
        <v>20</v>
      </c>
      <c r="AX205" s="256">
        <v>7</v>
      </c>
      <c r="AY205" s="67">
        <f t="shared" si="42"/>
        <v>35</v>
      </c>
      <c r="AZ205" s="76">
        <f t="shared" si="43"/>
        <v>0.5714285714285714</v>
      </c>
      <c r="BA205" s="67">
        <f t="shared" si="52"/>
        <v>7</v>
      </c>
      <c r="BB205" s="76">
        <f t="shared" si="55"/>
        <v>1</v>
      </c>
      <c r="BD205" s="67">
        <f t="shared" si="53"/>
        <v>0</v>
      </c>
      <c r="BE205" s="67">
        <f t="shared" si="54"/>
        <v>7</v>
      </c>
    </row>
    <row r="206" spans="1:57">
      <c r="A206" s="67">
        <v>476</v>
      </c>
      <c r="B206" s="8" t="s">
        <v>44</v>
      </c>
      <c r="C206" s="8" t="s">
        <v>349</v>
      </c>
      <c r="D206" s="8" t="s">
        <v>42</v>
      </c>
      <c r="E206" s="269" t="s">
        <v>549</v>
      </c>
      <c r="F206" s="5" t="s">
        <v>559</v>
      </c>
      <c r="G206" s="5" t="s">
        <v>562</v>
      </c>
      <c r="H206" s="20"/>
      <c r="I206" s="20"/>
      <c r="J206" s="20"/>
      <c r="K206" s="20"/>
      <c r="L206" s="270" t="s">
        <v>432</v>
      </c>
      <c r="M206" s="269"/>
      <c r="N206" s="20"/>
      <c r="O206" s="20"/>
      <c r="P206" s="20"/>
      <c r="Q206" s="20"/>
      <c r="R206" s="20"/>
      <c r="S206" s="20"/>
      <c r="T206" s="270"/>
      <c r="U206" s="269" t="s">
        <v>559</v>
      </c>
      <c r="V206" s="20" t="s">
        <v>600</v>
      </c>
      <c r="W206" s="5" t="s">
        <v>567</v>
      </c>
      <c r="X206" s="5" t="s">
        <v>567</v>
      </c>
      <c r="Y206" s="5" t="s">
        <v>567</v>
      </c>
      <c r="Z206" s="5" t="s">
        <v>601</v>
      </c>
      <c r="AA206" s="5" t="s">
        <v>433</v>
      </c>
      <c r="AB206" s="270" t="s">
        <v>432</v>
      </c>
      <c r="AC206" s="269"/>
      <c r="AD206" s="5" t="s">
        <v>432</v>
      </c>
      <c r="AE206" s="5" t="s">
        <v>433</v>
      </c>
      <c r="AF206" s="5" t="s">
        <v>554</v>
      </c>
      <c r="AG206" s="5" t="s">
        <v>554</v>
      </c>
      <c r="AH206" s="20"/>
      <c r="AI206" s="20"/>
      <c r="AJ206" s="270"/>
      <c r="AK206" s="67">
        <v>476</v>
      </c>
      <c r="AM206" s="67">
        <v>1</v>
      </c>
      <c r="AO206" s="67">
        <f t="shared" si="44"/>
        <v>0</v>
      </c>
      <c r="AP206" s="67">
        <f t="shared" si="45"/>
        <v>9</v>
      </c>
      <c r="AQ206" s="67">
        <f t="shared" si="46"/>
        <v>13</v>
      </c>
      <c r="AR206" s="67">
        <f t="shared" si="47"/>
        <v>3</v>
      </c>
      <c r="AS206" s="67">
        <f t="shared" si="48"/>
        <v>4</v>
      </c>
      <c r="AT206" s="67">
        <f t="shared" si="49"/>
        <v>8</v>
      </c>
      <c r="AU206" s="67">
        <f t="shared" si="50"/>
        <v>0</v>
      </c>
      <c r="AV206" s="67">
        <f t="shared" si="51"/>
        <v>37</v>
      </c>
      <c r="AX206" s="256">
        <v>23</v>
      </c>
      <c r="AY206" s="67">
        <f t="shared" si="42"/>
        <v>115</v>
      </c>
      <c r="AZ206" s="76">
        <f t="shared" si="43"/>
        <v>0.32173913043478258</v>
      </c>
      <c r="BA206" s="67">
        <f t="shared" si="52"/>
        <v>16</v>
      </c>
      <c r="BB206" s="76">
        <f t="shared" si="55"/>
        <v>0.69565217391304346</v>
      </c>
      <c r="BD206" s="67">
        <f t="shared" si="53"/>
        <v>4</v>
      </c>
      <c r="BE206" s="67">
        <f t="shared" si="54"/>
        <v>12</v>
      </c>
    </row>
    <row r="207" spans="1:57">
      <c r="A207" s="67">
        <v>478</v>
      </c>
      <c r="B207" s="8" t="s">
        <v>62</v>
      </c>
      <c r="C207" s="8" t="s">
        <v>42</v>
      </c>
      <c r="D207" s="8" t="s">
        <v>42</v>
      </c>
      <c r="E207" s="269"/>
      <c r="F207" s="20"/>
      <c r="G207" s="5" t="s">
        <v>431</v>
      </c>
      <c r="H207" s="5" t="s">
        <v>559</v>
      </c>
      <c r="I207" s="20"/>
      <c r="J207" s="20" t="s">
        <v>577</v>
      </c>
      <c r="K207" s="5" t="s">
        <v>577</v>
      </c>
      <c r="L207" s="270" t="s">
        <v>570</v>
      </c>
      <c r="M207" s="269" t="s">
        <v>577</v>
      </c>
      <c r="N207" s="5" t="s">
        <v>570</v>
      </c>
      <c r="O207" s="5" t="s">
        <v>570</v>
      </c>
      <c r="P207" s="5" t="s">
        <v>431</v>
      </c>
      <c r="Q207" s="5" t="s">
        <v>431</v>
      </c>
      <c r="R207" s="20"/>
      <c r="S207" s="20"/>
      <c r="T207" s="270" t="s">
        <v>555</v>
      </c>
      <c r="U207" s="269"/>
      <c r="V207" s="20"/>
      <c r="W207" s="5"/>
      <c r="X207" s="5" t="s">
        <v>555</v>
      </c>
      <c r="Y207" s="5"/>
      <c r="Z207" s="5" t="s">
        <v>564</v>
      </c>
      <c r="AA207" s="5" t="s">
        <v>577</v>
      </c>
      <c r="AB207" s="270" t="s">
        <v>570</v>
      </c>
      <c r="AC207" s="269"/>
      <c r="AD207" s="5" t="s">
        <v>590</v>
      </c>
      <c r="AE207" s="5" t="s">
        <v>590</v>
      </c>
      <c r="AF207" s="5" t="s">
        <v>560</v>
      </c>
      <c r="AG207" s="5" t="s">
        <v>560</v>
      </c>
      <c r="AH207" s="5" t="s">
        <v>548</v>
      </c>
      <c r="AI207" s="5" t="s">
        <v>434</v>
      </c>
      <c r="AJ207" s="270" t="s">
        <v>559</v>
      </c>
      <c r="AK207" s="67">
        <v>478</v>
      </c>
      <c r="AM207" s="67">
        <v>1</v>
      </c>
      <c r="AO207" s="67">
        <f t="shared" si="44"/>
        <v>0</v>
      </c>
      <c r="AP207" s="67">
        <f t="shared" si="45"/>
        <v>8</v>
      </c>
      <c r="AQ207" s="67">
        <f t="shared" si="46"/>
        <v>10</v>
      </c>
      <c r="AR207" s="67">
        <f t="shared" si="47"/>
        <v>11</v>
      </c>
      <c r="AS207" s="67">
        <f t="shared" si="48"/>
        <v>17</v>
      </c>
      <c r="AT207" s="67">
        <f t="shared" si="49"/>
        <v>16</v>
      </c>
      <c r="AU207" s="67">
        <f t="shared" si="50"/>
        <v>0</v>
      </c>
      <c r="AV207" s="67">
        <f t="shared" si="51"/>
        <v>62</v>
      </c>
      <c r="AX207" s="256">
        <v>26</v>
      </c>
      <c r="AY207" s="67">
        <f t="shared" si="42"/>
        <v>130</v>
      </c>
      <c r="AZ207" s="76">
        <f t="shared" si="43"/>
        <v>0.47692307692307695</v>
      </c>
      <c r="BA207" s="67">
        <f t="shared" si="52"/>
        <v>22</v>
      </c>
      <c r="BB207" s="76">
        <f t="shared" si="55"/>
        <v>0.84615384615384615</v>
      </c>
      <c r="BD207" s="67">
        <f t="shared" si="53"/>
        <v>11</v>
      </c>
      <c r="BE207" s="67">
        <f t="shared" si="54"/>
        <v>11</v>
      </c>
    </row>
    <row r="208" spans="1:57">
      <c r="A208" s="67">
        <v>480</v>
      </c>
      <c r="B208" s="8" t="s">
        <v>55</v>
      </c>
      <c r="C208" s="8" t="s">
        <v>346</v>
      </c>
      <c r="E208" s="269"/>
      <c r="F208" s="20"/>
      <c r="G208" s="20"/>
      <c r="H208" s="20"/>
      <c r="I208" s="20"/>
      <c r="J208" s="20"/>
      <c r="K208" s="20"/>
      <c r="L208" s="270"/>
      <c r="M208" s="269"/>
      <c r="N208" s="20"/>
      <c r="O208" s="20"/>
      <c r="P208" s="20"/>
      <c r="Q208" s="20"/>
      <c r="R208" s="20"/>
      <c r="S208" s="20"/>
      <c r="T208" s="270"/>
      <c r="U208" s="269"/>
      <c r="V208" s="20"/>
      <c r="W208" s="20"/>
      <c r="X208" s="20"/>
      <c r="Y208" s="20"/>
      <c r="Z208" s="20"/>
      <c r="AA208" s="20"/>
      <c r="AB208" s="270"/>
      <c r="AC208" s="269"/>
      <c r="AD208" s="20"/>
      <c r="AE208" s="20"/>
      <c r="AF208" s="20"/>
      <c r="AG208" s="20"/>
      <c r="AH208" s="20"/>
      <c r="AI208" s="20"/>
      <c r="AJ208" s="270"/>
      <c r="AK208" s="67">
        <v>480</v>
      </c>
      <c r="AL208" s="67">
        <v>1</v>
      </c>
      <c r="AO208" s="67">
        <f t="shared" si="44"/>
        <v>0</v>
      </c>
      <c r="AP208" s="67">
        <f t="shared" si="45"/>
        <v>0</v>
      </c>
      <c r="AQ208" s="67">
        <f t="shared" si="46"/>
        <v>0</v>
      </c>
      <c r="AR208" s="67">
        <f t="shared" si="47"/>
        <v>0</v>
      </c>
      <c r="AS208" s="67">
        <f t="shared" si="48"/>
        <v>0</v>
      </c>
      <c r="AT208" s="67">
        <f t="shared" si="49"/>
        <v>0</v>
      </c>
      <c r="AU208" s="67">
        <f t="shared" si="50"/>
        <v>0</v>
      </c>
      <c r="AV208" s="67">
        <f t="shared" si="51"/>
        <v>0</v>
      </c>
      <c r="AX208" s="256">
        <v>19</v>
      </c>
      <c r="AY208" s="67">
        <f t="shared" si="42"/>
        <v>95</v>
      </c>
      <c r="AZ208" s="76">
        <f t="shared" si="43"/>
        <v>0</v>
      </c>
      <c r="BA208" s="67">
        <f t="shared" si="52"/>
        <v>0</v>
      </c>
      <c r="BB208" s="76">
        <f t="shared" si="55"/>
        <v>0</v>
      </c>
      <c r="BD208" s="67">
        <f t="shared" si="53"/>
        <v>0</v>
      </c>
      <c r="BE208" s="67">
        <f t="shared" si="54"/>
        <v>0</v>
      </c>
    </row>
    <row r="209" spans="1:57">
      <c r="A209" s="67" t="s">
        <v>287</v>
      </c>
      <c r="B209" s="8" t="s">
        <v>41</v>
      </c>
      <c r="C209" s="8" t="s">
        <v>42</v>
      </c>
      <c r="D209" s="8" t="s">
        <v>6</v>
      </c>
      <c r="E209" s="269" t="s">
        <v>435</v>
      </c>
      <c r="F209" s="5" t="s">
        <v>567</v>
      </c>
      <c r="G209" s="5" t="s">
        <v>567</v>
      </c>
      <c r="H209" s="20"/>
      <c r="I209" s="20"/>
      <c r="J209" s="5" t="s">
        <v>561</v>
      </c>
      <c r="K209" s="5" t="s">
        <v>433</v>
      </c>
      <c r="L209" s="270" t="s">
        <v>433</v>
      </c>
      <c r="M209" s="269"/>
      <c r="N209" s="5" t="s">
        <v>433</v>
      </c>
      <c r="O209" s="20"/>
      <c r="P209" s="5" t="s">
        <v>431</v>
      </c>
      <c r="Q209" s="20"/>
      <c r="R209" s="20"/>
      <c r="S209" s="20" t="s">
        <v>554</v>
      </c>
      <c r="T209" s="270" t="s">
        <v>558</v>
      </c>
      <c r="U209" s="269"/>
      <c r="V209" s="20" t="s">
        <v>435</v>
      </c>
      <c r="W209" s="5" t="s">
        <v>562</v>
      </c>
      <c r="X209" s="5" t="s">
        <v>432</v>
      </c>
      <c r="Y209" s="5" t="s">
        <v>432</v>
      </c>
      <c r="Z209" s="5" t="s">
        <v>577</v>
      </c>
      <c r="AA209" s="5" t="s">
        <v>577</v>
      </c>
      <c r="AB209" s="270" t="s">
        <v>577</v>
      </c>
      <c r="AC209" s="269" t="s">
        <v>577</v>
      </c>
      <c r="AD209" s="5" t="s">
        <v>570</v>
      </c>
      <c r="AE209" s="5" t="s">
        <v>570</v>
      </c>
      <c r="AF209" s="5" t="s">
        <v>559</v>
      </c>
      <c r="AG209" s="5" t="s">
        <v>559</v>
      </c>
      <c r="AH209" s="5" t="s">
        <v>574</v>
      </c>
      <c r="AI209" s="20"/>
      <c r="AJ209" s="270" t="s">
        <v>562</v>
      </c>
      <c r="AK209" s="67" t="s">
        <v>287</v>
      </c>
      <c r="AM209" s="67">
        <v>1</v>
      </c>
      <c r="AO209" s="67">
        <f t="shared" si="44"/>
        <v>0</v>
      </c>
      <c r="AP209" s="67">
        <f t="shared" si="45"/>
        <v>7</v>
      </c>
      <c r="AQ209" s="67">
        <f t="shared" si="46"/>
        <v>17</v>
      </c>
      <c r="AR209" s="67">
        <f t="shared" si="47"/>
        <v>10</v>
      </c>
      <c r="AS209" s="67">
        <f t="shared" si="48"/>
        <v>9</v>
      </c>
      <c r="AT209" s="67">
        <f t="shared" si="49"/>
        <v>15</v>
      </c>
      <c r="AU209" s="67">
        <f t="shared" si="50"/>
        <v>0</v>
      </c>
      <c r="AV209" s="67">
        <f t="shared" si="51"/>
        <v>58</v>
      </c>
      <c r="AX209" s="256">
        <v>30</v>
      </c>
      <c r="AY209" s="67">
        <f t="shared" si="42"/>
        <v>150</v>
      </c>
      <c r="AZ209" s="76">
        <f t="shared" si="43"/>
        <v>0.38666666666666666</v>
      </c>
      <c r="BA209" s="67">
        <f t="shared" si="52"/>
        <v>24</v>
      </c>
      <c r="BB209" s="76">
        <f t="shared" si="55"/>
        <v>0.8</v>
      </c>
      <c r="BD209" s="67">
        <f t="shared" si="53"/>
        <v>10</v>
      </c>
      <c r="BE209" s="67">
        <f t="shared" si="54"/>
        <v>14</v>
      </c>
    </row>
    <row r="210" spans="1:57">
      <c r="A210" s="67" t="s">
        <v>290</v>
      </c>
      <c r="B210" s="8" t="s">
        <v>5</v>
      </c>
      <c r="C210" s="8" t="s">
        <v>42</v>
      </c>
      <c r="D210" s="8" t="s">
        <v>42</v>
      </c>
      <c r="E210" s="269"/>
      <c r="F210" s="5" t="s">
        <v>432</v>
      </c>
      <c r="G210" s="5" t="s">
        <v>554</v>
      </c>
      <c r="H210" s="5" t="s">
        <v>434</v>
      </c>
      <c r="I210" s="5" t="s">
        <v>560</v>
      </c>
      <c r="J210" s="5" t="s">
        <v>577</v>
      </c>
      <c r="K210" s="20"/>
      <c r="L210" s="270" t="s">
        <v>592</v>
      </c>
      <c r="M210" s="269" t="s">
        <v>590</v>
      </c>
      <c r="N210" s="5" t="s">
        <v>577</v>
      </c>
      <c r="O210" s="5" t="s">
        <v>577</v>
      </c>
      <c r="P210" s="5" t="s">
        <v>559</v>
      </c>
      <c r="Q210" s="5" t="s">
        <v>600</v>
      </c>
      <c r="R210" s="5" t="s">
        <v>559</v>
      </c>
      <c r="S210" s="5" t="s">
        <v>559</v>
      </c>
      <c r="T210" s="270" t="s">
        <v>603</v>
      </c>
      <c r="U210" s="269"/>
      <c r="V210" s="5" t="s">
        <v>559</v>
      </c>
      <c r="W210" s="5" t="s">
        <v>562</v>
      </c>
      <c r="X210" s="5" t="s">
        <v>559</v>
      </c>
      <c r="Y210" s="5" t="s">
        <v>559</v>
      </c>
      <c r="Z210" s="5" t="s">
        <v>570</v>
      </c>
      <c r="AA210" s="5" t="s">
        <v>570</v>
      </c>
      <c r="AB210" s="270" t="s">
        <v>570</v>
      </c>
      <c r="AC210" s="269" t="s">
        <v>577</v>
      </c>
      <c r="AD210" s="5" t="s">
        <v>570</v>
      </c>
      <c r="AE210" s="5" t="s">
        <v>577</v>
      </c>
      <c r="AF210" s="5" t="s">
        <v>434</v>
      </c>
      <c r="AG210" s="5" t="s">
        <v>432</v>
      </c>
      <c r="AH210" s="20"/>
      <c r="AI210" s="5" t="s">
        <v>562</v>
      </c>
      <c r="AJ210" s="270"/>
      <c r="AK210" s="67" t="s">
        <v>290</v>
      </c>
      <c r="AM210" s="67">
        <v>1</v>
      </c>
      <c r="AO210" s="67">
        <f t="shared" si="44"/>
        <v>0</v>
      </c>
      <c r="AP210" s="67">
        <f t="shared" si="45"/>
        <v>9</v>
      </c>
      <c r="AQ210" s="67">
        <f t="shared" si="46"/>
        <v>22</v>
      </c>
      <c r="AR210" s="67">
        <f t="shared" si="47"/>
        <v>11</v>
      </c>
      <c r="AS210" s="67">
        <f t="shared" si="48"/>
        <v>21</v>
      </c>
      <c r="AT210" s="67">
        <f t="shared" si="49"/>
        <v>22</v>
      </c>
      <c r="AU210" s="67">
        <f t="shared" si="50"/>
        <v>1</v>
      </c>
      <c r="AV210" s="67">
        <f t="shared" si="51"/>
        <v>86</v>
      </c>
      <c r="AX210" s="256">
        <v>29</v>
      </c>
      <c r="AY210" s="67">
        <f t="shared" si="42"/>
        <v>145</v>
      </c>
      <c r="AZ210" s="76">
        <f t="shared" si="43"/>
        <v>0.59310344827586203</v>
      </c>
      <c r="BA210" s="67">
        <f t="shared" si="52"/>
        <v>27</v>
      </c>
      <c r="BB210" s="76">
        <f t="shared" si="55"/>
        <v>0.93103448275862066</v>
      </c>
      <c r="BD210" s="67">
        <f t="shared" si="53"/>
        <v>14</v>
      </c>
      <c r="BE210" s="67">
        <f t="shared" si="54"/>
        <v>13</v>
      </c>
    </row>
    <row r="211" spans="1:57">
      <c r="A211" s="67">
        <v>489</v>
      </c>
      <c r="B211" s="8" t="s">
        <v>99</v>
      </c>
      <c r="C211" s="8" t="s">
        <v>346</v>
      </c>
      <c r="D211" s="8"/>
      <c r="E211" s="269"/>
      <c r="F211" s="20"/>
      <c r="G211" s="20"/>
      <c r="H211" s="20"/>
      <c r="I211" s="20"/>
      <c r="J211" s="20"/>
      <c r="K211" s="20"/>
      <c r="L211" s="270"/>
      <c r="M211" s="269"/>
      <c r="N211" s="20"/>
      <c r="O211" s="20"/>
      <c r="P211" s="20"/>
      <c r="Q211" s="20"/>
      <c r="R211" s="20"/>
      <c r="S211" s="20"/>
      <c r="T211" s="270"/>
      <c r="U211" s="269"/>
      <c r="V211" s="20"/>
      <c r="W211" s="20"/>
      <c r="X211" s="20"/>
      <c r="Y211" s="20"/>
      <c r="Z211" s="20"/>
      <c r="AA211" s="20"/>
      <c r="AB211" s="270"/>
      <c r="AC211" s="269"/>
      <c r="AD211" s="20"/>
      <c r="AE211" s="20"/>
      <c r="AF211" s="20"/>
      <c r="AG211" s="20"/>
      <c r="AH211" s="20"/>
      <c r="AI211" s="20"/>
      <c r="AJ211" s="270"/>
      <c r="AK211" s="67">
        <v>489</v>
      </c>
      <c r="AL211" s="67">
        <v>1</v>
      </c>
      <c r="AO211" s="67">
        <f t="shared" si="44"/>
        <v>0</v>
      </c>
      <c r="AP211" s="67">
        <f t="shared" si="45"/>
        <v>0</v>
      </c>
      <c r="AQ211" s="67">
        <f t="shared" si="46"/>
        <v>0</v>
      </c>
      <c r="AR211" s="67">
        <f t="shared" si="47"/>
        <v>0</v>
      </c>
      <c r="AS211" s="67">
        <f t="shared" si="48"/>
        <v>0</v>
      </c>
      <c r="AT211" s="67">
        <f t="shared" si="49"/>
        <v>0</v>
      </c>
      <c r="AU211" s="67">
        <f t="shared" si="50"/>
        <v>0</v>
      </c>
      <c r="AV211" s="67">
        <f t="shared" si="51"/>
        <v>0</v>
      </c>
      <c r="AX211" s="256">
        <v>24</v>
      </c>
      <c r="AY211" s="67">
        <f t="shared" si="42"/>
        <v>120</v>
      </c>
      <c r="AZ211" s="76">
        <f t="shared" si="43"/>
        <v>0</v>
      </c>
      <c r="BA211" s="67">
        <f t="shared" si="52"/>
        <v>0</v>
      </c>
      <c r="BB211" s="76">
        <f t="shared" si="55"/>
        <v>0</v>
      </c>
      <c r="BD211" s="67">
        <f t="shared" si="53"/>
        <v>0</v>
      </c>
      <c r="BE211" s="67">
        <f t="shared" si="54"/>
        <v>0</v>
      </c>
    </row>
    <row r="212" spans="1:57">
      <c r="A212" s="67">
        <v>490</v>
      </c>
      <c r="B212" s="8" t="s">
        <v>74</v>
      </c>
      <c r="C212" s="8" t="s">
        <v>346</v>
      </c>
      <c r="E212" s="269"/>
      <c r="F212" s="20"/>
      <c r="G212" s="20"/>
      <c r="H212" s="20"/>
      <c r="I212" s="20"/>
      <c r="J212" s="20"/>
      <c r="K212" s="20"/>
      <c r="L212" s="270"/>
      <c r="M212" s="269"/>
      <c r="N212" s="20"/>
      <c r="O212" s="20"/>
      <c r="P212" s="20"/>
      <c r="Q212" s="20"/>
      <c r="R212" s="20"/>
      <c r="S212" s="20"/>
      <c r="T212" s="270"/>
      <c r="U212" s="269"/>
      <c r="V212" s="20"/>
      <c r="W212" s="20"/>
      <c r="X212" s="20"/>
      <c r="Y212" s="20"/>
      <c r="Z212" s="20"/>
      <c r="AA212" s="20"/>
      <c r="AB212" s="270"/>
      <c r="AC212" s="269"/>
      <c r="AD212" s="20"/>
      <c r="AE212" s="20"/>
      <c r="AF212" s="20"/>
      <c r="AG212" s="20"/>
      <c r="AH212" s="20"/>
      <c r="AI212" s="20"/>
      <c r="AJ212" s="270"/>
      <c r="AK212" s="67">
        <v>490</v>
      </c>
      <c r="AL212" s="67">
        <v>1</v>
      </c>
      <c r="AO212" s="67">
        <f t="shared" si="44"/>
        <v>0</v>
      </c>
      <c r="AP212" s="67">
        <f t="shared" si="45"/>
        <v>0</v>
      </c>
      <c r="AQ212" s="67">
        <f t="shared" si="46"/>
        <v>0</v>
      </c>
      <c r="AR212" s="67">
        <f t="shared" si="47"/>
        <v>0</v>
      </c>
      <c r="AS212" s="67">
        <f t="shared" si="48"/>
        <v>0</v>
      </c>
      <c r="AT212" s="67">
        <f t="shared" si="49"/>
        <v>0</v>
      </c>
      <c r="AU212" s="67">
        <f t="shared" si="50"/>
        <v>0</v>
      </c>
      <c r="AV212" s="67">
        <f t="shared" si="51"/>
        <v>0</v>
      </c>
      <c r="AX212" s="256">
        <v>16</v>
      </c>
      <c r="AY212" s="67">
        <f t="shared" si="42"/>
        <v>80</v>
      </c>
      <c r="AZ212" s="76">
        <f t="shared" si="43"/>
        <v>0</v>
      </c>
      <c r="BA212" s="67">
        <f t="shared" si="52"/>
        <v>0</v>
      </c>
      <c r="BB212" s="76">
        <f t="shared" si="55"/>
        <v>0</v>
      </c>
      <c r="BD212" s="67">
        <f t="shared" si="53"/>
        <v>0</v>
      </c>
      <c r="BE212" s="67">
        <f t="shared" si="54"/>
        <v>0</v>
      </c>
    </row>
    <row r="213" spans="1:57">
      <c r="A213" s="67">
        <v>492</v>
      </c>
      <c r="B213" s="8" t="s">
        <v>63</v>
      </c>
      <c r="C213" s="8" t="s">
        <v>346</v>
      </c>
      <c r="E213" s="269"/>
      <c r="F213" s="20"/>
      <c r="G213" s="20"/>
      <c r="H213" s="20"/>
      <c r="I213" s="20"/>
      <c r="J213" s="20"/>
      <c r="K213" s="20"/>
      <c r="L213" s="270"/>
      <c r="M213" s="269"/>
      <c r="N213" s="20"/>
      <c r="O213" s="20"/>
      <c r="P213" s="20"/>
      <c r="Q213" s="20"/>
      <c r="R213" s="20"/>
      <c r="S213" s="20"/>
      <c r="T213" s="270"/>
      <c r="U213" s="269"/>
      <c r="V213" s="20"/>
      <c r="W213" s="20"/>
      <c r="X213" s="20"/>
      <c r="Y213" s="20"/>
      <c r="Z213" s="20"/>
      <c r="AA213" s="20"/>
      <c r="AB213" s="270"/>
      <c r="AC213" s="269"/>
      <c r="AD213" s="20"/>
      <c r="AE213" s="20"/>
      <c r="AF213" s="20"/>
      <c r="AG213" s="20"/>
      <c r="AH213" s="20"/>
      <c r="AI213" s="20"/>
      <c r="AJ213" s="270"/>
      <c r="AK213" s="67">
        <v>492</v>
      </c>
      <c r="AL213" s="67">
        <v>1</v>
      </c>
      <c r="AO213" s="67">
        <f t="shared" si="44"/>
        <v>0</v>
      </c>
      <c r="AP213" s="67">
        <f t="shared" si="45"/>
        <v>0</v>
      </c>
      <c r="AQ213" s="67">
        <f t="shared" si="46"/>
        <v>0</v>
      </c>
      <c r="AR213" s="67">
        <f t="shared" si="47"/>
        <v>0</v>
      </c>
      <c r="AS213" s="67">
        <f t="shared" si="48"/>
        <v>0</v>
      </c>
      <c r="AT213" s="67">
        <f t="shared" si="49"/>
        <v>0</v>
      </c>
      <c r="AU213" s="67">
        <f t="shared" si="50"/>
        <v>0</v>
      </c>
      <c r="AV213" s="67">
        <f t="shared" si="51"/>
        <v>0</v>
      </c>
      <c r="AX213" s="256">
        <v>12</v>
      </c>
      <c r="AY213" s="67">
        <f t="shared" si="42"/>
        <v>60</v>
      </c>
      <c r="AZ213" s="76">
        <f t="shared" si="43"/>
        <v>0</v>
      </c>
      <c r="BA213" s="67">
        <f t="shared" si="52"/>
        <v>0</v>
      </c>
      <c r="BB213" s="76">
        <f t="shared" si="55"/>
        <v>0</v>
      </c>
      <c r="BD213" s="67">
        <f t="shared" si="53"/>
        <v>0</v>
      </c>
      <c r="BE213" s="67">
        <f t="shared" si="54"/>
        <v>0</v>
      </c>
    </row>
    <row r="214" spans="1:57">
      <c r="A214" s="67">
        <v>495</v>
      </c>
      <c r="B214" s="8" t="s">
        <v>63</v>
      </c>
      <c r="C214" s="8" t="s">
        <v>346</v>
      </c>
      <c r="E214" s="269"/>
      <c r="F214" s="20"/>
      <c r="G214" s="20"/>
      <c r="H214" s="20"/>
      <c r="I214" s="20"/>
      <c r="J214" s="20"/>
      <c r="K214" s="20"/>
      <c r="L214" s="270"/>
      <c r="M214" s="269"/>
      <c r="N214" s="20"/>
      <c r="O214" s="20"/>
      <c r="P214" s="20"/>
      <c r="Q214" s="20"/>
      <c r="R214" s="20"/>
      <c r="S214" s="20"/>
      <c r="T214" s="270"/>
      <c r="U214" s="269"/>
      <c r="V214" s="20"/>
      <c r="W214" s="20"/>
      <c r="X214" s="20"/>
      <c r="Y214" s="20"/>
      <c r="Z214" s="20"/>
      <c r="AA214" s="20"/>
      <c r="AB214" s="270"/>
      <c r="AC214" s="269"/>
      <c r="AD214" s="20"/>
      <c r="AE214" s="20"/>
      <c r="AF214" s="20"/>
      <c r="AG214" s="20"/>
      <c r="AH214" s="20"/>
      <c r="AI214" s="20"/>
      <c r="AJ214" s="270"/>
      <c r="AK214" s="67">
        <v>495</v>
      </c>
      <c r="AL214" s="67">
        <v>1</v>
      </c>
      <c r="AO214" s="67">
        <f t="shared" si="44"/>
        <v>0</v>
      </c>
      <c r="AP214" s="67">
        <f t="shared" si="45"/>
        <v>0</v>
      </c>
      <c r="AQ214" s="67">
        <f t="shared" si="46"/>
        <v>0</v>
      </c>
      <c r="AR214" s="67">
        <f t="shared" si="47"/>
        <v>0</v>
      </c>
      <c r="AS214" s="67">
        <f t="shared" si="48"/>
        <v>0</v>
      </c>
      <c r="AT214" s="67">
        <f t="shared" si="49"/>
        <v>0</v>
      </c>
      <c r="AU214" s="67">
        <f t="shared" si="50"/>
        <v>0</v>
      </c>
      <c r="AV214" s="67">
        <f t="shared" si="51"/>
        <v>0</v>
      </c>
      <c r="AX214" s="256">
        <v>9</v>
      </c>
      <c r="AY214" s="67">
        <f t="shared" si="42"/>
        <v>45</v>
      </c>
      <c r="AZ214" s="76">
        <f t="shared" si="43"/>
        <v>0</v>
      </c>
      <c r="BA214" s="67">
        <f t="shared" si="52"/>
        <v>0</v>
      </c>
      <c r="BB214" s="76">
        <f t="shared" si="55"/>
        <v>0</v>
      </c>
      <c r="BD214" s="67">
        <f t="shared" si="53"/>
        <v>0</v>
      </c>
      <c r="BE214" s="67">
        <f t="shared" si="54"/>
        <v>0</v>
      </c>
    </row>
    <row r="215" spans="1:57">
      <c r="A215" s="67">
        <v>498</v>
      </c>
      <c r="B215" s="67" t="s">
        <v>62</v>
      </c>
      <c r="C215" s="8" t="s">
        <v>42</v>
      </c>
      <c r="D215" s="67" t="s">
        <v>42</v>
      </c>
      <c r="E215" s="269"/>
      <c r="F215" s="5"/>
      <c r="G215" s="5" t="s">
        <v>549</v>
      </c>
      <c r="H215" s="5" t="s">
        <v>549</v>
      </c>
      <c r="I215" s="5" t="s">
        <v>549</v>
      </c>
      <c r="J215" s="5" t="s">
        <v>433</v>
      </c>
      <c r="K215" s="5" t="s">
        <v>590</v>
      </c>
      <c r="L215" s="270" t="s">
        <v>595</v>
      </c>
      <c r="M215" s="269"/>
      <c r="N215" s="20"/>
      <c r="O215" s="5" t="s">
        <v>590</v>
      </c>
      <c r="P215" s="20"/>
      <c r="Q215" s="20"/>
      <c r="R215" s="20"/>
      <c r="S215" s="20"/>
      <c r="T215" s="270"/>
      <c r="U215" s="269" t="s">
        <v>551</v>
      </c>
      <c r="V215" s="20" t="s">
        <v>600</v>
      </c>
      <c r="W215" s="20" t="s">
        <v>469</v>
      </c>
      <c r="X215" s="5" t="s">
        <v>558</v>
      </c>
      <c r="Y215" s="5" t="s">
        <v>558</v>
      </c>
      <c r="Z215" s="5" t="s">
        <v>577</v>
      </c>
      <c r="AA215" s="5" t="s">
        <v>570</v>
      </c>
      <c r="AB215" s="270" t="s">
        <v>577</v>
      </c>
      <c r="AC215" s="269" t="s">
        <v>570</v>
      </c>
      <c r="AD215" s="5" t="s">
        <v>577</v>
      </c>
      <c r="AE215" s="5" t="s">
        <v>558</v>
      </c>
      <c r="AF215" s="5" t="s">
        <v>558</v>
      </c>
      <c r="AG215" s="5" t="s">
        <v>600</v>
      </c>
      <c r="AH215" s="5" t="s">
        <v>600</v>
      </c>
      <c r="AI215" s="5" t="s">
        <v>600</v>
      </c>
      <c r="AJ215" s="270" t="s">
        <v>554</v>
      </c>
      <c r="AK215" s="67">
        <v>498</v>
      </c>
      <c r="AM215" s="67">
        <v>1</v>
      </c>
      <c r="AO215" s="67">
        <f t="shared" si="44"/>
        <v>0</v>
      </c>
      <c r="AP215" s="67">
        <f t="shared" si="45"/>
        <v>10</v>
      </c>
      <c r="AQ215" s="67">
        <f t="shared" si="46"/>
        <v>17</v>
      </c>
      <c r="AR215" s="67">
        <f t="shared" si="47"/>
        <v>9</v>
      </c>
      <c r="AS215" s="67">
        <f t="shared" si="48"/>
        <v>21</v>
      </c>
      <c r="AT215" s="67">
        <f t="shared" si="49"/>
        <v>21</v>
      </c>
      <c r="AU215" s="67">
        <f t="shared" si="50"/>
        <v>1</v>
      </c>
      <c r="AV215" s="67">
        <f t="shared" si="51"/>
        <v>79</v>
      </c>
      <c r="AX215" s="256">
        <v>24</v>
      </c>
      <c r="AY215" s="67">
        <f t="shared" si="42"/>
        <v>120</v>
      </c>
      <c r="AZ215" s="76">
        <f t="shared" si="43"/>
        <v>0.65833333333333333</v>
      </c>
      <c r="BA215" s="67">
        <f t="shared" si="52"/>
        <v>23</v>
      </c>
      <c r="BB215" s="76">
        <f t="shared" si="55"/>
        <v>0.95833333333333337</v>
      </c>
      <c r="BD215" s="67">
        <f t="shared" si="53"/>
        <v>7</v>
      </c>
      <c r="BE215" s="67">
        <f t="shared" si="54"/>
        <v>16</v>
      </c>
    </row>
    <row r="216" spans="1:57">
      <c r="A216" s="67">
        <v>499</v>
      </c>
      <c r="B216" s="67" t="s">
        <v>123</v>
      </c>
      <c r="C216" s="8" t="s">
        <v>366</v>
      </c>
      <c r="D216" s="67" t="s">
        <v>6</v>
      </c>
      <c r="E216" s="269"/>
      <c r="F216" s="20"/>
      <c r="G216" s="20"/>
      <c r="H216" s="20"/>
      <c r="I216" s="20"/>
      <c r="J216" s="20" t="s">
        <v>590</v>
      </c>
      <c r="K216" s="20" t="s">
        <v>590</v>
      </c>
      <c r="L216" s="270" t="s">
        <v>577</v>
      </c>
      <c r="M216" s="269" t="s">
        <v>433</v>
      </c>
      <c r="N216" s="5" t="s">
        <v>592</v>
      </c>
      <c r="O216" s="5"/>
      <c r="P216" s="5"/>
      <c r="Q216" s="5" t="s">
        <v>600</v>
      </c>
      <c r="R216" s="20"/>
      <c r="S216" s="20"/>
      <c r="T216" s="270"/>
      <c r="U216" s="269"/>
      <c r="V216" s="20" t="s">
        <v>431</v>
      </c>
      <c r="W216" s="20"/>
      <c r="X216" s="20"/>
      <c r="Y216" s="20" t="s">
        <v>559</v>
      </c>
      <c r="Z216" s="20" t="s">
        <v>570</v>
      </c>
      <c r="AA216" s="5" t="s">
        <v>577</v>
      </c>
      <c r="AB216" s="270" t="s">
        <v>570</v>
      </c>
      <c r="AC216" s="269" t="s">
        <v>592</v>
      </c>
      <c r="AD216" s="5" t="s">
        <v>570</v>
      </c>
      <c r="AE216" s="5" t="s">
        <v>595</v>
      </c>
      <c r="AF216" s="5" t="s">
        <v>559</v>
      </c>
      <c r="AG216" s="5" t="s">
        <v>600</v>
      </c>
      <c r="AH216" s="20"/>
      <c r="AI216" s="20"/>
      <c r="AJ216" s="270" t="s">
        <v>600</v>
      </c>
      <c r="AK216" s="67">
        <v>499</v>
      </c>
      <c r="AM216" s="67">
        <v>1</v>
      </c>
      <c r="AO216" s="67">
        <f t="shared" si="44"/>
        <v>0</v>
      </c>
      <c r="AP216" s="67">
        <f t="shared" si="45"/>
        <v>6</v>
      </c>
      <c r="AQ216" s="67">
        <f t="shared" si="46"/>
        <v>11</v>
      </c>
      <c r="AR216" s="67">
        <f t="shared" si="47"/>
        <v>11</v>
      </c>
      <c r="AS216" s="67">
        <f t="shared" si="48"/>
        <v>15</v>
      </c>
      <c r="AT216" s="67">
        <f t="shared" si="49"/>
        <v>12</v>
      </c>
      <c r="AU216" s="67">
        <f t="shared" si="50"/>
        <v>0</v>
      </c>
      <c r="AV216" s="67">
        <f t="shared" si="51"/>
        <v>55</v>
      </c>
      <c r="AX216" s="256">
        <v>21</v>
      </c>
      <c r="AY216" s="67">
        <f t="shared" si="42"/>
        <v>105</v>
      </c>
      <c r="AZ216" s="76">
        <f t="shared" si="43"/>
        <v>0.52380952380952384</v>
      </c>
      <c r="BA216" s="67">
        <f t="shared" si="52"/>
        <v>17</v>
      </c>
      <c r="BB216" s="76">
        <f t="shared" si="55"/>
        <v>0.80952380952380953</v>
      </c>
      <c r="BD216" s="67">
        <f t="shared" si="53"/>
        <v>6</v>
      </c>
      <c r="BE216" s="67">
        <f t="shared" si="54"/>
        <v>11</v>
      </c>
    </row>
    <row r="217" spans="1:57">
      <c r="A217" s="67">
        <v>503</v>
      </c>
      <c r="B217" s="67" t="s">
        <v>80</v>
      </c>
      <c r="C217" s="8" t="s">
        <v>346</v>
      </c>
      <c r="E217" s="269"/>
      <c r="F217" s="20"/>
      <c r="G217" s="20"/>
      <c r="H217" s="20"/>
      <c r="I217" s="20"/>
      <c r="J217" s="20"/>
      <c r="K217" s="20"/>
      <c r="L217" s="270"/>
      <c r="M217" s="269"/>
      <c r="N217" s="20"/>
      <c r="O217" s="20"/>
      <c r="P217" s="20"/>
      <c r="Q217" s="20"/>
      <c r="R217" s="20"/>
      <c r="S217" s="20"/>
      <c r="T217" s="270"/>
      <c r="U217" s="269"/>
      <c r="V217" s="20"/>
      <c r="W217" s="20"/>
      <c r="X217" s="20" t="s">
        <v>432</v>
      </c>
      <c r="Y217" s="20"/>
      <c r="Z217" s="20"/>
      <c r="AA217" s="20"/>
      <c r="AB217" s="270"/>
      <c r="AC217" s="269"/>
      <c r="AD217" s="20"/>
      <c r="AE217" s="20"/>
      <c r="AF217" s="20"/>
      <c r="AG217" s="20" t="s">
        <v>432</v>
      </c>
      <c r="AH217" s="20"/>
      <c r="AI217" s="20"/>
      <c r="AJ217" s="270"/>
      <c r="AK217" s="67">
        <v>503</v>
      </c>
      <c r="AM217" s="67">
        <v>1</v>
      </c>
      <c r="AO217" s="67">
        <f t="shared" si="44"/>
        <v>0</v>
      </c>
      <c r="AP217" s="67">
        <f t="shared" si="45"/>
        <v>0</v>
      </c>
      <c r="AQ217" s="67">
        <f t="shared" si="46"/>
        <v>2</v>
      </c>
      <c r="AR217" s="67">
        <f t="shared" si="47"/>
        <v>0</v>
      </c>
      <c r="AS217" s="67">
        <f t="shared" si="48"/>
        <v>0</v>
      </c>
      <c r="AT217" s="67">
        <f t="shared" si="49"/>
        <v>0</v>
      </c>
      <c r="AU217" s="67">
        <f t="shared" si="50"/>
        <v>0</v>
      </c>
      <c r="AV217" s="67">
        <f t="shared" si="51"/>
        <v>2</v>
      </c>
      <c r="AX217" s="256">
        <v>19</v>
      </c>
      <c r="AY217" s="67">
        <f t="shared" si="42"/>
        <v>95</v>
      </c>
      <c r="AZ217" s="76">
        <f t="shared" si="43"/>
        <v>2.1052631578947368E-2</v>
      </c>
      <c r="BA217" s="67">
        <f t="shared" si="52"/>
        <v>2</v>
      </c>
      <c r="BB217" s="76">
        <f t="shared" si="55"/>
        <v>0.10526315789473684</v>
      </c>
      <c r="BD217" s="67">
        <f t="shared" si="53"/>
        <v>0</v>
      </c>
      <c r="BE217" s="67">
        <f t="shared" si="54"/>
        <v>2</v>
      </c>
    </row>
    <row r="218" spans="1:57">
      <c r="A218" s="67">
        <v>505</v>
      </c>
      <c r="B218" s="67" t="s">
        <v>73</v>
      </c>
      <c r="C218" s="8" t="s">
        <v>165</v>
      </c>
      <c r="D218" s="67" t="s">
        <v>42</v>
      </c>
      <c r="E218" s="269" t="s">
        <v>434</v>
      </c>
      <c r="F218" s="5" t="s">
        <v>558</v>
      </c>
      <c r="G218" s="5" t="s">
        <v>549</v>
      </c>
      <c r="H218" s="5" t="s">
        <v>431</v>
      </c>
      <c r="I218" s="5" t="s">
        <v>431</v>
      </c>
      <c r="J218" s="5" t="s">
        <v>561</v>
      </c>
      <c r="K218" s="5" t="s">
        <v>577</v>
      </c>
      <c r="L218" s="270"/>
      <c r="M218" s="269"/>
      <c r="N218" s="5" t="s">
        <v>433</v>
      </c>
      <c r="O218" s="5" t="s">
        <v>565</v>
      </c>
      <c r="P218" s="5" t="s">
        <v>431</v>
      </c>
      <c r="Q218" s="20"/>
      <c r="R218" s="5" t="s">
        <v>549</v>
      </c>
      <c r="S218" s="5" t="s">
        <v>549</v>
      </c>
      <c r="T218" s="270" t="s">
        <v>432</v>
      </c>
      <c r="U218" s="269" t="s">
        <v>558</v>
      </c>
      <c r="V218" s="5" t="s">
        <v>568</v>
      </c>
      <c r="W218" s="5" t="s">
        <v>559</v>
      </c>
      <c r="X218" s="5" t="s">
        <v>559</v>
      </c>
      <c r="Y218" s="5" t="s">
        <v>600</v>
      </c>
      <c r="Z218" s="5" t="s">
        <v>580</v>
      </c>
      <c r="AA218" s="5" t="s">
        <v>570</v>
      </c>
      <c r="AB218" s="270" t="s">
        <v>570</v>
      </c>
      <c r="AC218" s="269" t="s">
        <v>570</v>
      </c>
      <c r="AD218" s="5" t="s">
        <v>570</v>
      </c>
      <c r="AE218" s="5" t="s">
        <v>570</v>
      </c>
      <c r="AF218" s="5" t="s">
        <v>600</v>
      </c>
      <c r="AG218" s="5" t="s">
        <v>432</v>
      </c>
      <c r="AH218" s="5" t="s">
        <v>432</v>
      </c>
      <c r="AI218" s="20"/>
      <c r="AJ218" s="270" t="s">
        <v>562</v>
      </c>
      <c r="AK218" s="67">
        <v>505</v>
      </c>
      <c r="AM218" s="67">
        <v>1</v>
      </c>
      <c r="AO218" s="67">
        <f t="shared" si="44"/>
        <v>0</v>
      </c>
      <c r="AP218" s="67">
        <f t="shared" si="45"/>
        <v>10</v>
      </c>
      <c r="AQ218" s="67">
        <f t="shared" si="46"/>
        <v>19</v>
      </c>
      <c r="AR218" s="67">
        <f t="shared" si="47"/>
        <v>10</v>
      </c>
      <c r="AS218" s="67">
        <f t="shared" si="48"/>
        <v>18</v>
      </c>
      <c r="AT218" s="67">
        <f t="shared" si="49"/>
        <v>18</v>
      </c>
      <c r="AU218" s="67">
        <f t="shared" si="50"/>
        <v>0</v>
      </c>
      <c r="AV218" s="67">
        <f t="shared" si="51"/>
        <v>75</v>
      </c>
      <c r="AX218" s="256">
        <v>31</v>
      </c>
      <c r="AY218" s="67">
        <f t="shared" si="42"/>
        <v>155</v>
      </c>
      <c r="AZ218" s="76">
        <f t="shared" si="43"/>
        <v>0.4838709677419355</v>
      </c>
      <c r="BA218" s="67">
        <f t="shared" si="52"/>
        <v>28</v>
      </c>
      <c r="BB218" s="76">
        <f t="shared" si="55"/>
        <v>0.90322580645161288</v>
      </c>
      <c r="BD218" s="67">
        <f t="shared" si="53"/>
        <v>13</v>
      </c>
      <c r="BE218" s="67">
        <f t="shared" si="54"/>
        <v>15</v>
      </c>
    </row>
    <row r="219" spans="1:57">
      <c r="A219" s="67">
        <v>506</v>
      </c>
      <c r="B219" s="67" t="s">
        <v>240</v>
      </c>
      <c r="C219" s="8" t="s">
        <v>42</v>
      </c>
      <c r="D219" s="67" t="s">
        <v>6</v>
      </c>
      <c r="E219" s="269"/>
      <c r="F219" s="20"/>
      <c r="G219" s="5" t="s">
        <v>549</v>
      </c>
      <c r="H219" s="5" t="s">
        <v>555</v>
      </c>
      <c r="I219" s="5" t="s">
        <v>431</v>
      </c>
      <c r="J219" s="5" t="s">
        <v>433</v>
      </c>
      <c r="K219" s="5" t="s">
        <v>433</v>
      </c>
      <c r="L219" s="270"/>
      <c r="M219" s="269"/>
      <c r="N219" s="5" t="s">
        <v>433</v>
      </c>
      <c r="O219" s="5" t="s">
        <v>433</v>
      </c>
      <c r="P219" s="5" t="s">
        <v>574</v>
      </c>
      <c r="Q219" s="5" t="s">
        <v>554</v>
      </c>
      <c r="R219" s="20"/>
      <c r="S219" s="5" t="s">
        <v>431</v>
      </c>
      <c r="T219" s="270"/>
      <c r="U219" s="269"/>
      <c r="V219" s="20"/>
      <c r="W219" s="20"/>
      <c r="X219" s="5" t="s">
        <v>559</v>
      </c>
      <c r="Y219" s="5" t="s">
        <v>604</v>
      </c>
      <c r="Z219" s="5" t="s">
        <v>523</v>
      </c>
      <c r="AA219" s="5" t="s">
        <v>577</v>
      </c>
      <c r="AB219" s="270" t="s">
        <v>558</v>
      </c>
      <c r="AC219" s="269" t="s">
        <v>577</v>
      </c>
      <c r="AD219" s="5" t="s">
        <v>570</v>
      </c>
      <c r="AE219" s="20"/>
      <c r="AF219" s="20"/>
      <c r="AG219" s="20"/>
      <c r="AH219" s="20"/>
      <c r="AI219" s="20"/>
      <c r="AJ219" s="270" t="s">
        <v>432</v>
      </c>
      <c r="AK219" s="67">
        <v>506</v>
      </c>
      <c r="AM219" s="67">
        <v>1</v>
      </c>
      <c r="AO219" s="67">
        <f t="shared" si="44"/>
        <v>0</v>
      </c>
      <c r="AP219" s="67">
        <f t="shared" si="45"/>
        <v>8</v>
      </c>
      <c r="AQ219" s="67">
        <f t="shared" si="46"/>
        <v>10</v>
      </c>
      <c r="AR219" s="67">
        <f t="shared" si="47"/>
        <v>8</v>
      </c>
      <c r="AS219" s="67">
        <f t="shared" si="48"/>
        <v>8</v>
      </c>
      <c r="AT219" s="67">
        <f t="shared" si="49"/>
        <v>10</v>
      </c>
      <c r="AU219" s="67">
        <f t="shared" si="50"/>
        <v>0</v>
      </c>
      <c r="AV219" s="67">
        <f t="shared" si="51"/>
        <v>44</v>
      </c>
      <c r="AX219" s="256">
        <v>26</v>
      </c>
      <c r="AY219" s="67">
        <f t="shared" si="42"/>
        <v>130</v>
      </c>
      <c r="AZ219" s="76">
        <f t="shared" si="43"/>
        <v>0.33846153846153848</v>
      </c>
      <c r="BA219" s="67">
        <f t="shared" si="52"/>
        <v>18</v>
      </c>
      <c r="BB219" s="76">
        <f t="shared" si="55"/>
        <v>0.69230769230769229</v>
      </c>
      <c r="BD219" s="67">
        <f t="shared" si="53"/>
        <v>10</v>
      </c>
      <c r="BE219" s="67">
        <f t="shared" si="54"/>
        <v>8</v>
      </c>
    </row>
    <row r="220" spans="1:57">
      <c r="A220" s="67">
        <v>507</v>
      </c>
      <c r="B220" s="67" t="s">
        <v>63</v>
      </c>
      <c r="C220" s="8" t="s">
        <v>346</v>
      </c>
      <c r="E220" s="269"/>
      <c r="F220" s="20"/>
      <c r="G220" s="20"/>
      <c r="H220" s="20"/>
      <c r="I220" s="20"/>
      <c r="J220" s="20"/>
      <c r="K220" s="20"/>
      <c r="L220" s="270"/>
      <c r="M220" s="269"/>
      <c r="N220" s="20"/>
      <c r="O220" s="20"/>
      <c r="P220" s="20"/>
      <c r="Q220" s="20"/>
      <c r="R220" s="20"/>
      <c r="S220" s="20"/>
      <c r="T220" s="270"/>
      <c r="U220" s="269"/>
      <c r="V220" s="20"/>
      <c r="W220" s="20"/>
      <c r="X220" s="20"/>
      <c r="Y220" s="20"/>
      <c r="Z220" s="20"/>
      <c r="AA220" s="20"/>
      <c r="AB220" s="270"/>
      <c r="AC220" s="269"/>
      <c r="AD220" s="20"/>
      <c r="AE220" s="20"/>
      <c r="AF220" s="20"/>
      <c r="AG220" s="20"/>
      <c r="AH220" s="20"/>
      <c r="AI220" s="20"/>
      <c r="AJ220" s="270"/>
      <c r="AK220" s="67">
        <v>507</v>
      </c>
      <c r="AL220" s="67">
        <v>1</v>
      </c>
      <c r="AO220" s="67">
        <f t="shared" si="44"/>
        <v>0</v>
      </c>
      <c r="AP220" s="67">
        <f t="shared" si="45"/>
        <v>0</v>
      </c>
      <c r="AQ220" s="67">
        <f t="shared" si="46"/>
        <v>0</v>
      </c>
      <c r="AR220" s="67">
        <f t="shared" si="47"/>
        <v>0</v>
      </c>
      <c r="AS220" s="67">
        <f t="shared" si="48"/>
        <v>0</v>
      </c>
      <c r="AT220" s="67">
        <f t="shared" si="49"/>
        <v>0</v>
      </c>
      <c r="AU220" s="67">
        <f t="shared" si="50"/>
        <v>0</v>
      </c>
      <c r="AV220" s="67">
        <f t="shared" si="51"/>
        <v>0</v>
      </c>
      <c r="AX220" s="256">
        <v>8</v>
      </c>
      <c r="AY220" s="67">
        <f t="shared" si="42"/>
        <v>40</v>
      </c>
      <c r="AZ220" s="76">
        <f t="shared" si="43"/>
        <v>0</v>
      </c>
      <c r="BA220" s="67">
        <f t="shared" si="52"/>
        <v>0</v>
      </c>
      <c r="BB220" s="76">
        <f t="shared" si="55"/>
        <v>0</v>
      </c>
      <c r="BD220" s="67">
        <f t="shared" si="53"/>
        <v>0</v>
      </c>
      <c r="BE220" s="67">
        <f t="shared" si="54"/>
        <v>0</v>
      </c>
    </row>
    <row r="221" spans="1:57">
      <c r="A221" s="67">
        <v>508</v>
      </c>
      <c r="B221" s="67" t="s">
        <v>88</v>
      </c>
      <c r="C221" s="8" t="s">
        <v>12</v>
      </c>
      <c r="D221" s="67" t="s">
        <v>77</v>
      </c>
      <c r="E221" s="269"/>
      <c r="F221" s="5" t="s">
        <v>431</v>
      </c>
      <c r="G221" s="5" t="s">
        <v>431</v>
      </c>
      <c r="H221" s="5" t="s">
        <v>431</v>
      </c>
      <c r="I221" s="5" t="s">
        <v>549</v>
      </c>
      <c r="J221" s="5" t="s">
        <v>590</v>
      </c>
      <c r="K221" s="5" t="s">
        <v>590</v>
      </c>
      <c r="L221" s="270" t="s">
        <v>590</v>
      </c>
      <c r="M221" s="269" t="s">
        <v>433</v>
      </c>
      <c r="N221" s="5" t="s">
        <v>590</v>
      </c>
      <c r="O221" s="5" t="s">
        <v>590</v>
      </c>
      <c r="P221" s="5" t="s">
        <v>431</v>
      </c>
      <c r="Q221" s="5" t="s">
        <v>431</v>
      </c>
      <c r="R221" s="5" t="s">
        <v>431</v>
      </c>
      <c r="S221" s="5" t="s">
        <v>431</v>
      </c>
      <c r="T221" s="270"/>
      <c r="U221" s="269" t="s">
        <v>469</v>
      </c>
      <c r="V221" s="5" t="s">
        <v>603</v>
      </c>
      <c r="W221" s="5" t="s">
        <v>574</v>
      </c>
      <c r="X221" s="5" t="s">
        <v>574</v>
      </c>
      <c r="Y221" s="5" t="s">
        <v>431</v>
      </c>
      <c r="Z221" s="5" t="s">
        <v>570</v>
      </c>
      <c r="AA221" s="5" t="s">
        <v>570</v>
      </c>
      <c r="AB221" s="270" t="s">
        <v>570</v>
      </c>
      <c r="AC221" s="269" t="s">
        <v>570</v>
      </c>
      <c r="AD221" s="5" t="s">
        <v>570</v>
      </c>
      <c r="AE221" s="5" t="s">
        <v>577</v>
      </c>
      <c r="AF221" s="5" t="s">
        <v>559</v>
      </c>
      <c r="AG221" s="5" t="s">
        <v>600</v>
      </c>
      <c r="AH221" s="5" t="s">
        <v>552</v>
      </c>
      <c r="AI221" s="5" t="s">
        <v>600</v>
      </c>
      <c r="AJ221" s="270" t="s">
        <v>600</v>
      </c>
      <c r="AK221" s="67">
        <v>508</v>
      </c>
      <c r="AM221" s="67">
        <v>1</v>
      </c>
      <c r="AO221" s="67">
        <f t="shared" si="44"/>
        <v>0</v>
      </c>
      <c r="AP221" s="67">
        <f t="shared" si="45"/>
        <v>18</v>
      </c>
      <c r="AQ221" s="67">
        <f t="shared" si="46"/>
        <v>15</v>
      </c>
      <c r="AR221" s="67">
        <f t="shared" si="47"/>
        <v>12</v>
      </c>
      <c r="AS221" s="67">
        <f t="shared" si="48"/>
        <v>18</v>
      </c>
      <c r="AT221" s="67">
        <f t="shared" si="49"/>
        <v>19</v>
      </c>
      <c r="AU221" s="67">
        <f t="shared" si="50"/>
        <v>2</v>
      </c>
      <c r="AV221" s="67">
        <f t="shared" si="51"/>
        <v>84</v>
      </c>
      <c r="AX221" s="256">
        <v>32</v>
      </c>
      <c r="AY221" s="67">
        <f t="shared" si="42"/>
        <v>160</v>
      </c>
      <c r="AZ221" s="76">
        <f t="shared" si="43"/>
        <v>0.52500000000000002</v>
      </c>
      <c r="BA221" s="67">
        <f t="shared" si="52"/>
        <v>30</v>
      </c>
      <c r="BB221" s="76">
        <f t="shared" si="55"/>
        <v>0.9375</v>
      </c>
      <c r="BD221" s="67">
        <f t="shared" si="53"/>
        <v>14</v>
      </c>
      <c r="BE221" s="67">
        <f t="shared" si="54"/>
        <v>16</v>
      </c>
    </row>
    <row r="222" spans="1:57">
      <c r="A222" s="67">
        <v>513</v>
      </c>
      <c r="B222" s="67" t="s">
        <v>73</v>
      </c>
      <c r="C222" s="8" t="s">
        <v>165</v>
      </c>
      <c r="D222" s="67" t="s">
        <v>6</v>
      </c>
      <c r="E222" s="269"/>
      <c r="F222" s="5" t="s">
        <v>554</v>
      </c>
      <c r="G222" s="5"/>
      <c r="H222" s="5" t="s">
        <v>574</v>
      </c>
      <c r="I222" s="20"/>
      <c r="J222" s="20"/>
      <c r="K222" s="20"/>
      <c r="L222" s="270" t="s">
        <v>433</v>
      </c>
      <c r="M222" s="269" t="s">
        <v>558</v>
      </c>
      <c r="N222" s="20"/>
      <c r="O222" s="5" t="s">
        <v>432</v>
      </c>
      <c r="P222" s="5" t="s">
        <v>431</v>
      </c>
      <c r="Q222" s="5" t="s">
        <v>574</v>
      </c>
      <c r="R222" s="5" t="s">
        <v>554</v>
      </c>
      <c r="S222" s="5" t="s">
        <v>554</v>
      </c>
      <c r="T222" s="270" t="s">
        <v>559</v>
      </c>
      <c r="U222" s="269"/>
      <c r="V222" s="20"/>
      <c r="W222" s="5" t="s">
        <v>555</v>
      </c>
      <c r="X222" s="5" t="s">
        <v>432</v>
      </c>
      <c r="Y222" s="5" t="s">
        <v>574</v>
      </c>
      <c r="Z222" s="5" t="s">
        <v>579</v>
      </c>
      <c r="AA222" s="5" t="s">
        <v>577</v>
      </c>
      <c r="AB222" s="270" t="s">
        <v>570</v>
      </c>
      <c r="AC222" s="269" t="s">
        <v>570</v>
      </c>
      <c r="AD222" s="5" t="s">
        <v>565</v>
      </c>
      <c r="AE222" s="5" t="s">
        <v>433</v>
      </c>
      <c r="AF222" s="5" t="s">
        <v>574</v>
      </c>
      <c r="AG222" s="5" t="s">
        <v>574</v>
      </c>
      <c r="AH222" s="5" t="s">
        <v>432</v>
      </c>
      <c r="AI222" s="20"/>
      <c r="AJ222" s="270"/>
      <c r="AK222" s="67">
        <v>513</v>
      </c>
      <c r="AM222" s="67">
        <v>1</v>
      </c>
      <c r="AO222" s="67">
        <f t="shared" si="44"/>
        <v>0</v>
      </c>
      <c r="AP222" s="67">
        <f t="shared" si="45"/>
        <v>11</v>
      </c>
      <c r="AQ222" s="67">
        <f t="shared" si="46"/>
        <v>18</v>
      </c>
      <c r="AR222" s="67">
        <f t="shared" si="47"/>
        <v>7</v>
      </c>
      <c r="AS222" s="67">
        <f t="shared" si="48"/>
        <v>5</v>
      </c>
      <c r="AT222" s="67">
        <f t="shared" si="49"/>
        <v>9</v>
      </c>
      <c r="AU222" s="67">
        <f t="shared" si="50"/>
        <v>0</v>
      </c>
      <c r="AV222" s="67">
        <f t="shared" si="51"/>
        <v>50</v>
      </c>
      <c r="AX222" s="256">
        <v>28</v>
      </c>
      <c r="AY222" s="67">
        <f t="shared" si="42"/>
        <v>140</v>
      </c>
      <c r="AZ222" s="76">
        <f t="shared" si="43"/>
        <v>0.35714285714285715</v>
      </c>
      <c r="BA222" s="67">
        <f t="shared" si="52"/>
        <v>22</v>
      </c>
      <c r="BB222" s="76">
        <f t="shared" si="55"/>
        <v>0.7857142857142857</v>
      </c>
      <c r="BD222" s="67">
        <f t="shared" si="53"/>
        <v>10</v>
      </c>
      <c r="BE222" s="67">
        <f t="shared" si="54"/>
        <v>12</v>
      </c>
    </row>
    <row r="223" spans="1:57">
      <c r="A223" s="67">
        <v>514</v>
      </c>
      <c r="B223" s="67" t="s">
        <v>99</v>
      </c>
      <c r="C223" s="8" t="s">
        <v>346</v>
      </c>
      <c r="E223" s="269"/>
      <c r="F223" s="20"/>
      <c r="G223" s="20"/>
      <c r="H223" s="20"/>
      <c r="I223" s="5"/>
      <c r="J223" s="5"/>
      <c r="K223" s="20"/>
      <c r="L223" s="270"/>
      <c r="M223" s="269"/>
      <c r="N223" s="20"/>
      <c r="O223" s="20"/>
      <c r="P223" s="5"/>
      <c r="Q223" s="5"/>
      <c r="R223" s="5"/>
      <c r="S223" s="20"/>
      <c r="T223" s="270"/>
      <c r="U223" s="269"/>
      <c r="V223" s="20"/>
      <c r="W223" s="20"/>
      <c r="X223" s="20"/>
      <c r="Y223" s="20"/>
      <c r="Z223" s="20"/>
      <c r="AA223" s="5" t="s">
        <v>432</v>
      </c>
      <c r="AB223" s="270"/>
      <c r="AC223" s="269"/>
      <c r="AD223" s="5" t="s">
        <v>433</v>
      </c>
      <c r="AE223" s="20"/>
      <c r="AF223" s="20"/>
      <c r="AG223" s="20"/>
      <c r="AH223" s="20"/>
      <c r="AI223" s="20"/>
      <c r="AJ223" s="270"/>
      <c r="AK223" s="67">
        <v>514</v>
      </c>
      <c r="AM223" s="67">
        <v>1</v>
      </c>
      <c r="AO223" s="67">
        <f t="shared" si="44"/>
        <v>0</v>
      </c>
      <c r="AP223" s="67">
        <f t="shared" si="45"/>
        <v>0</v>
      </c>
      <c r="AQ223" s="67">
        <f t="shared" si="46"/>
        <v>1</v>
      </c>
      <c r="AR223" s="67">
        <f t="shared" si="47"/>
        <v>1</v>
      </c>
      <c r="AS223" s="67">
        <f t="shared" si="48"/>
        <v>0</v>
      </c>
      <c r="AT223" s="67">
        <f t="shared" si="49"/>
        <v>0</v>
      </c>
      <c r="AU223" s="67">
        <f t="shared" si="50"/>
        <v>0</v>
      </c>
      <c r="AV223" s="67">
        <f t="shared" si="51"/>
        <v>2</v>
      </c>
      <c r="AX223" s="256">
        <v>16</v>
      </c>
      <c r="AY223" s="67">
        <f t="shared" si="42"/>
        <v>80</v>
      </c>
      <c r="AZ223" s="76">
        <f t="shared" si="43"/>
        <v>2.5000000000000001E-2</v>
      </c>
      <c r="BA223" s="67">
        <f t="shared" si="52"/>
        <v>2</v>
      </c>
      <c r="BB223" s="76">
        <f t="shared" si="55"/>
        <v>0.125</v>
      </c>
      <c r="BD223" s="67">
        <f t="shared" si="53"/>
        <v>0</v>
      </c>
      <c r="BE223" s="67">
        <f t="shared" si="54"/>
        <v>2</v>
      </c>
    </row>
    <row r="224" spans="1:57">
      <c r="A224" s="67">
        <v>516</v>
      </c>
      <c r="B224" s="67" t="s">
        <v>99</v>
      </c>
      <c r="C224" s="8" t="s">
        <v>346</v>
      </c>
      <c r="E224" s="269"/>
      <c r="F224" s="20"/>
      <c r="G224" s="20"/>
      <c r="H224" s="20"/>
      <c r="I224" s="5" t="s">
        <v>434</v>
      </c>
      <c r="J224" s="5" t="s">
        <v>433</v>
      </c>
      <c r="K224" s="20"/>
      <c r="L224" s="270"/>
      <c r="M224" s="269"/>
      <c r="N224" s="20"/>
      <c r="O224" s="20"/>
      <c r="P224" s="5" t="s">
        <v>431</v>
      </c>
      <c r="Q224" s="5" t="s">
        <v>435</v>
      </c>
      <c r="R224" s="5" t="s">
        <v>431</v>
      </c>
      <c r="S224" s="20"/>
      <c r="T224" s="270"/>
      <c r="U224" s="269"/>
      <c r="V224" s="20"/>
      <c r="W224" s="20"/>
      <c r="X224" s="20"/>
      <c r="Y224" s="20"/>
      <c r="Z224" s="20"/>
      <c r="AA224" s="20"/>
      <c r="AB224" s="270"/>
      <c r="AC224" s="269"/>
      <c r="AD224" s="5" t="s">
        <v>434</v>
      </c>
      <c r="AE224" s="20"/>
      <c r="AF224" s="20" t="s">
        <v>432</v>
      </c>
      <c r="AG224" s="20" t="s">
        <v>432</v>
      </c>
      <c r="AH224" s="20"/>
      <c r="AI224" s="20"/>
      <c r="AJ224" s="270"/>
      <c r="AK224" s="67">
        <v>516</v>
      </c>
      <c r="AM224" s="67">
        <v>1</v>
      </c>
      <c r="AO224" s="67">
        <f t="shared" si="44"/>
        <v>0</v>
      </c>
      <c r="AP224" s="67">
        <f t="shared" si="45"/>
        <v>2</v>
      </c>
      <c r="AQ224" s="67">
        <f t="shared" si="46"/>
        <v>2</v>
      </c>
      <c r="AR224" s="67">
        <f t="shared" si="47"/>
        <v>1</v>
      </c>
      <c r="AS224" s="67">
        <f t="shared" si="48"/>
        <v>2</v>
      </c>
      <c r="AT224" s="67">
        <f t="shared" si="49"/>
        <v>1</v>
      </c>
      <c r="AU224" s="67">
        <f t="shared" si="50"/>
        <v>0</v>
      </c>
      <c r="AV224" s="67">
        <f t="shared" si="51"/>
        <v>8</v>
      </c>
      <c r="AX224" s="256">
        <v>24</v>
      </c>
      <c r="AY224" s="67">
        <f t="shared" si="42"/>
        <v>120</v>
      </c>
      <c r="AZ224" s="76">
        <f t="shared" si="43"/>
        <v>6.6666666666666666E-2</v>
      </c>
      <c r="BA224" s="67">
        <f t="shared" si="52"/>
        <v>8</v>
      </c>
      <c r="BB224" s="76">
        <f t="shared" si="55"/>
        <v>0.33333333333333331</v>
      </c>
      <c r="BD224" s="67">
        <f t="shared" si="53"/>
        <v>5</v>
      </c>
      <c r="BE224" s="67">
        <f t="shared" si="54"/>
        <v>3</v>
      </c>
    </row>
    <row r="225" spans="1:57">
      <c r="A225" s="67">
        <v>518</v>
      </c>
      <c r="B225" s="67" t="s">
        <v>99</v>
      </c>
      <c r="C225" s="8" t="s">
        <v>346</v>
      </c>
      <c r="E225" s="269"/>
      <c r="F225" s="20"/>
      <c r="G225" s="20"/>
      <c r="H225" s="20"/>
      <c r="I225" s="20"/>
      <c r="J225" s="20"/>
      <c r="K225" s="20"/>
      <c r="L225" s="270"/>
      <c r="M225" s="269"/>
      <c r="N225" s="20"/>
      <c r="O225" s="20"/>
      <c r="P225" s="20"/>
      <c r="Q225" s="20"/>
      <c r="R225" s="20"/>
      <c r="S225" s="20"/>
      <c r="T225" s="270"/>
      <c r="U225" s="269"/>
      <c r="V225" s="20"/>
      <c r="W225" s="20"/>
      <c r="X225" s="20" t="s">
        <v>567</v>
      </c>
      <c r="Y225" s="20" t="s">
        <v>432</v>
      </c>
      <c r="Z225" s="20"/>
      <c r="AA225" s="20"/>
      <c r="AB225" s="270"/>
      <c r="AC225" s="269"/>
      <c r="AD225" s="20"/>
      <c r="AE225" s="20"/>
      <c r="AF225" s="5" t="s">
        <v>432</v>
      </c>
      <c r="AG225" s="5" t="s">
        <v>432</v>
      </c>
      <c r="AH225" s="20"/>
      <c r="AI225" s="20"/>
      <c r="AJ225" s="270"/>
      <c r="AK225" s="67">
        <v>518</v>
      </c>
      <c r="AM225" s="67">
        <v>1</v>
      </c>
      <c r="AO225" s="67">
        <f t="shared" si="44"/>
        <v>0</v>
      </c>
      <c r="AP225" s="67">
        <f t="shared" si="45"/>
        <v>1</v>
      </c>
      <c r="AQ225" s="67">
        <f t="shared" si="46"/>
        <v>4</v>
      </c>
      <c r="AR225" s="67">
        <f t="shared" si="47"/>
        <v>0</v>
      </c>
      <c r="AS225" s="67">
        <f t="shared" si="48"/>
        <v>0</v>
      </c>
      <c r="AT225" s="67">
        <f t="shared" si="49"/>
        <v>0</v>
      </c>
      <c r="AU225" s="67">
        <f t="shared" si="50"/>
        <v>0</v>
      </c>
      <c r="AV225" s="67">
        <f t="shared" si="51"/>
        <v>5</v>
      </c>
      <c r="AX225" s="256">
        <v>19</v>
      </c>
      <c r="AY225" s="67">
        <f t="shared" si="42"/>
        <v>95</v>
      </c>
      <c r="AZ225" s="76">
        <f t="shared" si="43"/>
        <v>5.2631578947368418E-2</v>
      </c>
      <c r="BA225" s="67">
        <f t="shared" si="52"/>
        <v>4</v>
      </c>
      <c r="BB225" s="76">
        <f t="shared" si="55"/>
        <v>0.21052631578947367</v>
      </c>
      <c r="BD225" s="67">
        <f t="shared" si="53"/>
        <v>0</v>
      </c>
      <c r="BE225" s="67">
        <f t="shared" si="54"/>
        <v>4</v>
      </c>
    </row>
    <row r="226" spans="1:57">
      <c r="A226" s="67">
        <v>519</v>
      </c>
      <c r="B226" s="67" t="s">
        <v>62</v>
      </c>
      <c r="C226" s="8" t="s">
        <v>42</v>
      </c>
      <c r="D226" s="67" t="s">
        <v>42</v>
      </c>
      <c r="E226" s="269" t="s">
        <v>431</v>
      </c>
      <c r="F226" s="5" t="s">
        <v>434</v>
      </c>
      <c r="G226" s="5" t="s">
        <v>559</v>
      </c>
      <c r="H226" s="5" t="s">
        <v>431</v>
      </c>
      <c r="I226" s="5" t="s">
        <v>431</v>
      </c>
      <c r="J226" s="5" t="s">
        <v>433</v>
      </c>
      <c r="K226" s="5" t="s">
        <v>590</v>
      </c>
      <c r="L226" s="270" t="s">
        <v>564</v>
      </c>
      <c r="M226" s="269" t="s">
        <v>601</v>
      </c>
      <c r="N226" s="5" t="s">
        <v>433</v>
      </c>
      <c r="O226" s="5" t="s">
        <v>590</v>
      </c>
      <c r="P226" s="20"/>
      <c r="Q226" s="20"/>
      <c r="R226" s="20"/>
      <c r="S226" s="20" t="s">
        <v>432</v>
      </c>
      <c r="T226" s="270" t="s">
        <v>554</v>
      </c>
      <c r="U226" s="269"/>
      <c r="V226" s="5"/>
      <c r="W226" s="5" t="s">
        <v>432</v>
      </c>
      <c r="X226" s="5" t="s">
        <v>432</v>
      </c>
      <c r="Y226" s="5" t="s">
        <v>559</v>
      </c>
      <c r="Z226" s="5" t="s">
        <v>592</v>
      </c>
      <c r="AA226" s="5" t="s">
        <v>523</v>
      </c>
      <c r="AB226" s="270" t="s">
        <v>577</v>
      </c>
      <c r="AC226" s="269" t="s">
        <v>590</v>
      </c>
      <c r="AD226" s="5" t="s">
        <v>577</v>
      </c>
      <c r="AE226" s="5" t="s">
        <v>570</v>
      </c>
      <c r="AF226" s="5" t="s">
        <v>431</v>
      </c>
      <c r="AG226" s="5" t="s">
        <v>549</v>
      </c>
      <c r="AH226" s="20"/>
      <c r="AI226" s="5" t="s">
        <v>431</v>
      </c>
      <c r="AJ226" s="270" t="s">
        <v>431</v>
      </c>
      <c r="AK226" s="67">
        <v>519</v>
      </c>
      <c r="AM226" s="67">
        <v>1</v>
      </c>
      <c r="AO226" s="67">
        <f t="shared" si="44"/>
        <v>0</v>
      </c>
      <c r="AP226" s="67">
        <f t="shared" si="45"/>
        <v>10</v>
      </c>
      <c r="AQ226" s="67">
        <f t="shared" si="46"/>
        <v>11</v>
      </c>
      <c r="AR226" s="67">
        <f t="shared" si="47"/>
        <v>12</v>
      </c>
      <c r="AS226" s="67">
        <f t="shared" si="48"/>
        <v>13</v>
      </c>
      <c r="AT226" s="67">
        <f t="shared" si="49"/>
        <v>12</v>
      </c>
      <c r="AU226" s="67">
        <f t="shared" si="50"/>
        <v>0</v>
      </c>
      <c r="AV226" s="67">
        <f t="shared" si="51"/>
        <v>58</v>
      </c>
      <c r="AX226" s="256">
        <v>31</v>
      </c>
      <c r="AY226" s="67">
        <f t="shared" si="42"/>
        <v>155</v>
      </c>
      <c r="AZ226" s="76">
        <f t="shared" si="43"/>
        <v>0.37419354838709679</v>
      </c>
      <c r="BA226" s="67">
        <f t="shared" si="52"/>
        <v>26</v>
      </c>
      <c r="BB226" s="76">
        <f t="shared" si="55"/>
        <v>0.83870967741935487</v>
      </c>
      <c r="BD226" s="67">
        <f t="shared" si="53"/>
        <v>13</v>
      </c>
      <c r="BE226" s="67">
        <f t="shared" si="54"/>
        <v>13</v>
      </c>
    </row>
    <row r="227" spans="1:57">
      <c r="A227" s="67">
        <v>521</v>
      </c>
      <c r="B227" s="67" t="s">
        <v>41</v>
      </c>
      <c r="C227" s="8" t="s">
        <v>42</v>
      </c>
      <c r="D227" s="67" t="s">
        <v>42</v>
      </c>
      <c r="E227" s="269"/>
      <c r="F227" s="20"/>
      <c r="G227" s="5"/>
      <c r="H227" s="20" t="s">
        <v>549</v>
      </c>
      <c r="I227" s="20" t="s">
        <v>549</v>
      </c>
      <c r="J227" s="20" t="s">
        <v>433</v>
      </c>
      <c r="K227" s="5" t="s">
        <v>577</v>
      </c>
      <c r="L227" s="270" t="s">
        <v>564</v>
      </c>
      <c r="M227" s="269" t="s">
        <v>595</v>
      </c>
      <c r="N227" s="5" t="s">
        <v>565</v>
      </c>
      <c r="O227" s="5" t="s">
        <v>565</v>
      </c>
      <c r="P227" s="5" t="s">
        <v>431</v>
      </c>
      <c r="Q227" s="20"/>
      <c r="R227" s="5" t="s">
        <v>431</v>
      </c>
      <c r="S227" s="5"/>
      <c r="T227" s="270"/>
      <c r="U227" s="269"/>
      <c r="V227" s="20"/>
      <c r="W227" s="20"/>
      <c r="X227" s="5" t="s">
        <v>434</v>
      </c>
      <c r="Y227" s="5" t="s">
        <v>560</v>
      </c>
      <c r="Z227" s="20" t="s">
        <v>593</v>
      </c>
      <c r="AA227" s="5" t="s">
        <v>577</v>
      </c>
      <c r="AB227" s="270" t="s">
        <v>577</v>
      </c>
      <c r="AC227" s="269" t="s">
        <v>570</v>
      </c>
      <c r="AD227" s="5" t="s">
        <v>570</v>
      </c>
      <c r="AE227" s="5" t="s">
        <v>570</v>
      </c>
      <c r="AF227" s="5" t="s">
        <v>578</v>
      </c>
      <c r="AG227" s="5" t="s">
        <v>431</v>
      </c>
      <c r="AH227" s="20"/>
      <c r="AI227" s="20"/>
      <c r="AJ227" s="270" t="s">
        <v>548</v>
      </c>
      <c r="AK227" s="67">
        <v>521</v>
      </c>
      <c r="AM227" s="67">
        <v>1</v>
      </c>
      <c r="AO227" s="67">
        <f t="shared" si="44"/>
        <v>0</v>
      </c>
      <c r="AP227" s="67">
        <f t="shared" si="45"/>
        <v>7</v>
      </c>
      <c r="AQ227" s="67">
        <f t="shared" si="46"/>
        <v>11</v>
      </c>
      <c r="AR227" s="67">
        <f t="shared" si="47"/>
        <v>12</v>
      </c>
      <c r="AS227" s="67">
        <f t="shared" si="48"/>
        <v>15</v>
      </c>
      <c r="AT227" s="67">
        <f t="shared" si="49"/>
        <v>10</v>
      </c>
      <c r="AU227" s="67">
        <f t="shared" si="50"/>
        <v>0</v>
      </c>
      <c r="AV227" s="67">
        <f t="shared" si="51"/>
        <v>55</v>
      </c>
      <c r="AX227" s="256">
        <v>29</v>
      </c>
      <c r="AY227" s="67">
        <f t="shared" ref="AY227:AY254" si="56">5*AX227</f>
        <v>145</v>
      </c>
      <c r="AZ227" s="76">
        <f t="shared" ref="AZ227:AZ255" si="57">AV227/AY227</f>
        <v>0.37931034482758619</v>
      </c>
      <c r="BA227" s="67">
        <f t="shared" si="52"/>
        <v>21</v>
      </c>
      <c r="BB227" s="76">
        <f t="shared" si="55"/>
        <v>0.72413793103448276</v>
      </c>
      <c r="BD227" s="67">
        <f t="shared" si="53"/>
        <v>10</v>
      </c>
      <c r="BE227" s="67">
        <f t="shared" si="54"/>
        <v>11</v>
      </c>
    </row>
    <row r="228" spans="1:57">
      <c r="A228" s="67">
        <v>522</v>
      </c>
      <c r="B228" s="67" t="s">
        <v>55</v>
      </c>
      <c r="C228" s="8" t="s">
        <v>346</v>
      </c>
      <c r="E228" s="269"/>
      <c r="F228" s="20"/>
      <c r="G228" s="20"/>
      <c r="H228" s="20"/>
      <c r="I228" s="20"/>
      <c r="J228" s="20"/>
      <c r="K228" s="20"/>
      <c r="L228" s="270"/>
      <c r="M228" s="269" t="s">
        <v>433</v>
      </c>
      <c r="N228" s="20" t="s">
        <v>433</v>
      </c>
      <c r="O228" s="20"/>
      <c r="P228" s="20"/>
      <c r="Q228" s="20"/>
      <c r="R228" s="20"/>
      <c r="S228" s="20"/>
      <c r="T228" s="270"/>
      <c r="U228" s="269"/>
      <c r="V228" s="20"/>
      <c r="W228" s="20"/>
      <c r="X228" s="20"/>
      <c r="Y228" s="20"/>
      <c r="Z228" s="20"/>
      <c r="AA228" s="20"/>
      <c r="AB228" s="270"/>
      <c r="AC228" s="269"/>
      <c r="AD228" s="20"/>
      <c r="AE228" s="20"/>
      <c r="AF228" s="20"/>
      <c r="AG228" s="20"/>
      <c r="AH228" s="20"/>
      <c r="AI228" s="20"/>
      <c r="AJ228" s="270"/>
      <c r="AK228" s="67">
        <v>522</v>
      </c>
      <c r="AM228" s="67">
        <v>1</v>
      </c>
      <c r="AO228" s="67">
        <f t="shared" si="44"/>
        <v>0</v>
      </c>
      <c r="AP228" s="67">
        <f t="shared" si="45"/>
        <v>0</v>
      </c>
      <c r="AQ228" s="67">
        <f t="shared" si="46"/>
        <v>0</v>
      </c>
      <c r="AR228" s="67">
        <f t="shared" si="47"/>
        <v>2</v>
      </c>
      <c r="AS228" s="67">
        <f t="shared" si="48"/>
        <v>0</v>
      </c>
      <c r="AT228" s="67">
        <f t="shared" si="49"/>
        <v>0</v>
      </c>
      <c r="AU228" s="67">
        <f t="shared" si="50"/>
        <v>0</v>
      </c>
      <c r="AV228" s="67">
        <f t="shared" si="51"/>
        <v>2</v>
      </c>
      <c r="AX228" s="256">
        <v>13</v>
      </c>
      <c r="AY228" s="67">
        <f t="shared" si="56"/>
        <v>65</v>
      </c>
      <c r="AZ228" s="76">
        <f t="shared" si="57"/>
        <v>3.0769230769230771E-2</v>
      </c>
      <c r="BA228" s="67">
        <f t="shared" si="52"/>
        <v>2</v>
      </c>
      <c r="BB228" s="76">
        <f t="shared" si="55"/>
        <v>0.15384615384615385</v>
      </c>
      <c r="BD228" s="67">
        <f t="shared" si="53"/>
        <v>2</v>
      </c>
      <c r="BE228" s="67">
        <f t="shared" si="54"/>
        <v>0</v>
      </c>
    </row>
    <row r="229" spans="1:57">
      <c r="A229" s="67">
        <v>523</v>
      </c>
      <c r="B229" s="67" t="s">
        <v>55</v>
      </c>
      <c r="C229" s="8" t="s">
        <v>346</v>
      </c>
      <c r="E229" s="269"/>
      <c r="F229" s="20"/>
      <c r="G229" s="20"/>
      <c r="H229" s="20"/>
      <c r="I229" s="20"/>
      <c r="J229" s="20"/>
      <c r="K229" s="20"/>
      <c r="L229" s="270"/>
      <c r="M229" s="269"/>
      <c r="N229" s="20"/>
      <c r="O229" s="20"/>
      <c r="P229" s="20"/>
      <c r="Q229" s="20"/>
      <c r="R229" s="20"/>
      <c r="S229" s="20"/>
      <c r="T229" s="270"/>
      <c r="U229" s="269"/>
      <c r="V229" s="20"/>
      <c r="W229" s="20"/>
      <c r="X229" s="20"/>
      <c r="Y229" s="20"/>
      <c r="Z229" s="20"/>
      <c r="AA229" s="20"/>
      <c r="AB229" s="270"/>
      <c r="AC229" s="269"/>
      <c r="AD229" s="20"/>
      <c r="AE229" s="20"/>
      <c r="AF229" s="20"/>
      <c r="AG229" s="20"/>
      <c r="AH229" s="20"/>
      <c r="AI229" s="20"/>
      <c r="AJ229" s="270"/>
      <c r="AK229" s="67">
        <v>523</v>
      </c>
      <c r="AL229" s="67">
        <v>1</v>
      </c>
      <c r="AO229" s="67">
        <f t="shared" si="44"/>
        <v>0</v>
      </c>
      <c r="AP229" s="67">
        <f t="shared" si="45"/>
        <v>0</v>
      </c>
      <c r="AQ229" s="67">
        <f t="shared" si="46"/>
        <v>0</v>
      </c>
      <c r="AR229" s="67">
        <f t="shared" si="47"/>
        <v>0</v>
      </c>
      <c r="AS229" s="67">
        <f t="shared" si="48"/>
        <v>0</v>
      </c>
      <c r="AT229" s="67">
        <f t="shared" si="49"/>
        <v>0</v>
      </c>
      <c r="AU229" s="67">
        <f t="shared" si="50"/>
        <v>0</v>
      </c>
      <c r="AV229" s="67">
        <f t="shared" si="51"/>
        <v>0</v>
      </c>
      <c r="AX229" s="256">
        <v>9</v>
      </c>
      <c r="AY229" s="67">
        <f t="shared" si="56"/>
        <v>45</v>
      </c>
      <c r="AZ229" s="76">
        <f t="shared" si="57"/>
        <v>0</v>
      </c>
      <c r="BA229" s="67">
        <f t="shared" si="52"/>
        <v>0</v>
      </c>
      <c r="BB229" s="76">
        <f t="shared" si="55"/>
        <v>0</v>
      </c>
      <c r="BD229" s="67">
        <f t="shared" si="53"/>
        <v>0</v>
      </c>
      <c r="BE229" s="67">
        <f t="shared" si="54"/>
        <v>0</v>
      </c>
    </row>
    <row r="230" spans="1:57">
      <c r="A230" s="67">
        <v>524</v>
      </c>
      <c r="B230" s="67" t="s">
        <v>41</v>
      </c>
      <c r="C230" s="8" t="s">
        <v>42</v>
      </c>
      <c r="D230" s="67" t="s">
        <v>6</v>
      </c>
      <c r="E230" s="269" t="s">
        <v>562</v>
      </c>
      <c r="F230" s="5" t="s">
        <v>432</v>
      </c>
      <c r="G230" s="5" t="s">
        <v>578</v>
      </c>
      <c r="H230" s="5" t="s">
        <v>559</v>
      </c>
      <c r="I230" s="5" t="s">
        <v>600</v>
      </c>
      <c r="J230" s="5" t="s">
        <v>570</v>
      </c>
      <c r="K230" s="5" t="s">
        <v>570</v>
      </c>
      <c r="L230" s="270" t="s">
        <v>577</v>
      </c>
      <c r="M230" s="269" t="s">
        <v>570</v>
      </c>
      <c r="N230" s="5" t="s">
        <v>590</v>
      </c>
      <c r="O230" s="5" t="s">
        <v>570</v>
      </c>
      <c r="P230" s="5" t="s">
        <v>552</v>
      </c>
      <c r="Q230" s="5" t="s">
        <v>574</v>
      </c>
      <c r="R230" s="5" t="s">
        <v>600</v>
      </c>
      <c r="S230" s="20"/>
      <c r="T230" s="270" t="s">
        <v>555</v>
      </c>
      <c r="U230" s="269" t="s">
        <v>600</v>
      </c>
      <c r="V230" s="5" t="s">
        <v>555</v>
      </c>
      <c r="W230" s="5" t="s">
        <v>574</v>
      </c>
      <c r="X230" s="5" t="s">
        <v>574</v>
      </c>
      <c r="Y230" s="5" t="s">
        <v>574</v>
      </c>
      <c r="Z230" s="5" t="s">
        <v>570</v>
      </c>
      <c r="AA230" s="5" t="s">
        <v>570</v>
      </c>
      <c r="AB230" s="270" t="s">
        <v>570</v>
      </c>
      <c r="AC230" s="269" t="s">
        <v>570</v>
      </c>
      <c r="AD230" s="5" t="s">
        <v>570</v>
      </c>
      <c r="AE230" s="5" t="s">
        <v>570</v>
      </c>
      <c r="AF230" s="5" t="s">
        <v>431</v>
      </c>
      <c r="AG230" s="5" t="s">
        <v>431</v>
      </c>
      <c r="AH230" s="5" t="s">
        <v>559</v>
      </c>
      <c r="AI230" s="20"/>
      <c r="AJ230" s="270"/>
      <c r="AK230" s="67">
        <v>524</v>
      </c>
      <c r="AM230" s="67">
        <v>1</v>
      </c>
      <c r="AO230" s="67">
        <f t="shared" si="44"/>
        <v>0</v>
      </c>
      <c r="AP230" s="67">
        <f t="shared" si="45"/>
        <v>15</v>
      </c>
      <c r="AQ230" s="67">
        <f t="shared" si="46"/>
        <v>24</v>
      </c>
      <c r="AR230" s="67">
        <f t="shared" si="47"/>
        <v>12</v>
      </c>
      <c r="AS230" s="67">
        <f t="shared" si="48"/>
        <v>19</v>
      </c>
      <c r="AT230" s="67">
        <f t="shared" si="49"/>
        <v>21</v>
      </c>
      <c r="AU230" s="67">
        <f t="shared" si="50"/>
        <v>0</v>
      </c>
      <c r="AV230" s="67">
        <f t="shared" si="51"/>
        <v>91</v>
      </c>
      <c r="AX230" s="256">
        <v>29</v>
      </c>
      <c r="AY230" s="67">
        <f t="shared" si="56"/>
        <v>145</v>
      </c>
      <c r="AZ230" s="76">
        <f t="shared" si="57"/>
        <v>0.62758620689655176</v>
      </c>
      <c r="BA230" s="67">
        <f t="shared" si="52"/>
        <v>29</v>
      </c>
      <c r="BB230" s="76">
        <f t="shared" si="55"/>
        <v>1</v>
      </c>
      <c r="BD230" s="67">
        <f t="shared" si="53"/>
        <v>15</v>
      </c>
      <c r="BE230" s="67">
        <f t="shared" si="54"/>
        <v>14</v>
      </c>
    </row>
    <row r="231" spans="1:57">
      <c r="A231" s="67">
        <v>525</v>
      </c>
      <c r="B231" s="67" t="s">
        <v>93</v>
      </c>
      <c r="C231" s="8" t="s">
        <v>12</v>
      </c>
      <c r="D231" s="67" t="s">
        <v>6</v>
      </c>
      <c r="E231" s="269"/>
      <c r="F231" s="5" t="s">
        <v>434</v>
      </c>
      <c r="G231" s="5" t="s">
        <v>559</v>
      </c>
      <c r="H231" s="5" t="s">
        <v>431</v>
      </c>
      <c r="I231" s="20"/>
      <c r="J231" s="20"/>
      <c r="K231" s="5" t="s">
        <v>433</v>
      </c>
      <c r="L231" s="270" t="s">
        <v>433</v>
      </c>
      <c r="M231" s="269" t="s">
        <v>433</v>
      </c>
      <c r="N231" s="5" t="s">
        <v>433</v>
      </c>
      <c r="O231" s="20"/>
      <c r="P231" s="20"/>
      <c r="Q231" s="20"/>
      <c r="R231" s="20" t="s">
        <v>435</v>
      </c>
      <c r="S231" s="20"/>
      <c r="T231" s="270"/>
      <c r="U231" s="269"/>
      <c r="V231" s="20" t="s">
        <v>557</v>
      </c>
      <c r="W231" s="20" t="s">
        <v>562</v>
      </c>
      <c r="X231" s="20"/>
      <c r="Y231" s="20"/>
      <c r="Z231" s="5" t="s">
        <v>570</v>
      </c>
      <c r="AA231" s="5" t="s">
        <v>577</v>
      </c>
      <c r="AB231" s="270" t="s">
        <v>570</v>
      </c>
      <c r="AC231" s="269" t="s">
        <v>605</v>
      </c>
      <c r="AD231" s="5" t="s">
        <v>590</v>
      </c>
      <c r="AE231" s="5" t="s">
        <v>595</v>
      </c>
      <c r="AF231" s="5" t="s">
        <v>431</v>
      </c>
      <c r="AG231" s="20"/>
      <c r="AH231" s="5" t="s">
        <v>558</v>
      </c>
      <c r="AI231" s="5" t="s">
        <v>432</v>
      </c>
      <c r="AJ231" s="270"/>
      <c r="AK231" s="67">
        <v>525</v>
      </c>
      <c r="AM231" s="67">
        <v>1</v>
      </c>
      <c r="AO231" s="67">
        <f t="shared" si="44"/>
        <v>0</v>
      </c>
      <c r="AP231" s="67">
        <f t="shared" si="45"/>
        <v>3</v>
      </c>
      <c r="AQ231" s="67">
        <f t="shared" si="46"/>
        <v>10</v>
      </c>
      <c r="AR231" s="67">
        <f t="shared" si="47"/>
        <v>10</v>
      </c>
      <c r="AS231" s="67">
        <f t="shared" si="48"/>
        <v>10</v>
      </c>
      <c r="AT231" s="67">
        <f t="shared" si="49"/>
        <v>9</v>
      </c>
      <c r="AU231" s="67">
        <f t="shared" si="50"/>
        <v>0</v>
      </c>
      <c r="AV231" s="67">
        <f t="shared" si="51"/>
        <v>42</v>
      </c>
      <c r="AX231" s="256">
        <v>28</v>
      </c>
      <c r="AY231" s="67">
        <f t="shared" si="56"/>
        <v>140</v>
      </c>
      <c r="AZ231" s="76">
        <f t="shared" si="57"/>
        <v>0.3</v>
      </c>
      <c r="BA231" s="67">
        <f t="shared" si="52"/>
        <v>19</v>
      </c>
      <c r="BB231" s="76">
        <f t="shared" si="55"/>
        <v>0.6785714285714286</v>
      </c>
      <c r="BD231" s="67">
        <f t="shared" si="53"/>
        <v>8</v>
      </c>
      <c r="BE231" s="67">
        <f t="shared" si="54"/>
        <v>11</v>
      </c>
    </row>
    <row r="232" spans="1:57">
      <c r="A232" s="67">
        <v>526</v>
      </c>
      <c r="B232" s="67" t="s">
        <v>240</v>
      </c>
      <c r="C232" s="8" t="s">
        <v>42</v>
      </c>
      <c r="D232" s="67" t="s">
        <v>42</v>
      </c>
      <c r="E232" s="269"/>
      <c r="F232" s="5" t="s">
        <v>555</v>
      </c>
      <c r="G232" s="5" t="s">
        <v>571</v>
      </c>
      <c r="H232" s="5" t="s">
        <v>431</v>
      </c>
      <c r="I232" s="5" t="s">
        <v>431</v>
      </c>
      <c r="J232" s="5" t="s">
        <v>595</v>
      </c>
      <c r="K232" s="5" t="s">
        <v>577</v>
      </c>
      <c r="L232" s="270" t="s">
        <v>577</v>
      </c>
      <c r="M232" s="269" t="s">
        <v>592</v>
      </c>
      <c r="N232" s="5" t="s">
        <v>577</v>
      </c>
      <c r="O232" s="5" t="s">
        <v>577</v>
      </c>
      <c r="P232" s="5" t="s">
        <v>559</v>
      </c>
      <c r="Q232" s="5" t="s">
        <v>431</v>
      </c>
      <c r="R232" s="5" t="s">
        <v>567</v>
      </c>
      <c r="S232" s="5" t="s">
        <v>555</v>
      </c>
      <c r="T232" s="270"/>
      <c r="U232" s="269"/>
      <c r="V232" s="20"/>
      <c r="W232" s="5"/>
      <c r="X232" s="20" t="s">
        <v>568</v>
      </c>
      <c r="Y232" s="20" t="s">
        <v>559</v>
      </c>
      <c r="Z232" s="5" t="s">
        <v>570</v>
      </c>
      <c r="AA232" s="5" t="s">
        <v>577</v>
      </c>
      <c r="AB232" s="270" t="s">
        <v>577</v>
      </c>
      <c r="AC232" s="269" t="s">
        <v>570</v>
      </c>
      <c r="AD232" s="5" t="s">
        <v>580</v>
      </c>
      <c r="AE232" s="5" t="s">
        <v>570</v>
      </c>
      <c r="AF232" s="5" t="s">
        <v>600</v>
      </c>
      <c r="AG232" s="5" t="s">
        <v>567</v>
      </c>
      <c r="AH232" s="5" t="s">
        <v>567</v>
      </c>
      <c r="AI232" s="5" t="s">
        <v>586</v>
      </c>
      <c r="AJ232" s="270"/>
      <c r="AK232" s="67">
        <v>526</v>
      </c>
      <c r="AM232" s="67">
        <v>1</v>
      </c>
      <c r="AO232" s="67">
        <f t="shared" si="44"/>
        <v>0</v>
      </c>
      <c r="AP232" s="67">
        <f t="shared" si="45"/>
        <v>13</v>
      </c>
      <c r="AQ232" s="67">
        <f t="shared" si="46"/>
        <v>19</v>
      </c>
      <c r="AR232" s="67">
        <f t="shared" si="47"/>
        <v>12</v>
      </c>
      <c r="AS232" s="67">
        <f t="shared" si="48"/>
        <v>17</v>
      </c>
      <c r="AT232" s="67">
        <f t="shared" si="49"/>
        <v>16</v>
      </c>
      <c r="AU232" s="67">
        <f t="shared" si="50"/>
        <v>0</v>
      </c>
      <c r="AV232" s="67">
        <f t="shared" si="51"/>
        <v>77</v>
      </c>
      <c r="AX232" s="256">
        <v>28</v>
      </c>
      <c r="AY232" s="67">
        <f t="shared" si="56"/>
        <v>140</v>
      </c>
      <c r="AZ232" s="76">
        <f t="shared" si="57"/>
        <v>0.55000000000000004</v>
      </c>
      <c r="BA232" s="67">
        <f t="shared" si="52"/>
        <v>26</v>
      </c>
      <c r="BB232" s="76">
        <f t="shared" si="55"/>
        <v>0.9285714285714286</v>
      </c>
      <c r="BD232" s="67">
        <f t="shared" si="53"/>
        <v>14</v>
      </c>
      <c r="BE232" s="67">
        <f t="shared" si="54"/>
        <v>12</v>
      </c>
    </row>
    <row r="233" spans="1:57">
      <c r="A233" s="67">
        <v>527</v>
      </c>
      <c r="B233" s="67" t="s">
        <v>65</v>
      </c>
      <c r="C233" s="8" t="s">
        <v>12</v>
      </c>
      <c r="D233" s="67" t="s">
        <v>6</v>
      </c>
      <c r="E233" s="269"/>
      <c r="F233" s="5" t="s">
        <v>559</v>
      </c>
      <c r="G233" s="5" t="s">
        <v>574</v>
      </c>
      <c r="H233" s="5" t="s">
        <v>574</v>
      </c>
      <c r="I233" s="5" t="s">
        <v>574</v>
      </c>
      <c r="J233" s="20"/>
      <c r="K233" s="5" t="s">
        <v>433</v>
      </c>
      <c r="L233" s="270"/>
      <c r="M233" s="269" t="s">
        <v>433</v>
      </c>
      <c r="N233" s="5" t="s">
        <v>590</v>
      </c>
      <c r="O233" s="20"/>
      <c r="P233" s="5" t="s">
        <v>548</v>
      </c>
      <c r="Q233" s="20"/>
      <c r="R233" s="5" t="s">
        <v>431</v>
      </c>
      <c r="S233" s="20"/>
      <c r="T233" s="270"/>
      <c r="U233" s="269"/>
      <c r="V233" s="20" t="s">
        <v>431</v>
      </c>
      <c r="W233" s="5" t="s">
        <v>432</v>
      </c>
      <c r="X233" s="20" t="s">
        <v>558</v>
      </c>
      <c r="Y233" s="5" t="s">
        <v>559</v>
      </c>
      <c r="Z233" s="20"/>
      <c r="AA233" s="20"/>
      <c r="AB233" s="270" t="s">
        <v>577</v>
      </c>
      <c r="AC233" s="269" t="s">
        <v>570</v>
      </c>
      <c r="AD233" s="5" t="s">
        <v>570</v>
      </c>
      <c r="AE233" s="5" t="s">
        <v>577</v>
      </c>
      <c r="AF233" s="5" t="s">
        <v>559</v>
      </c>
      <c r="AG233" s="5" t="s">
        <v>554</v>
      </c>
      <c r="AH233" s="5" t="s">
        <v>574</v>
      </c>
      <c r="AI233" s="20"/>
      <c r="AJ233" s="270"/>
      <c r="AK233" s="67">
        <v>527</v>
      </c>
      <c r="AM233" s="67">
        <v>1</v>
      </c>
      <c r="AO233" s="67">
        <f t="shared" si="44"/>
        <v>0</v>
      </c>
      <c r="AP233" s="67">
        <f t="shared" si="45"/>
        <v>11</v>
      </c>
      <c r="AQ233" s="67">
        <f t="shared" si="46"/>
        <v>14</v>
      </c>
      <c r="AR233" s="67">
        <f t="shared" si="47"/>
        <v>7</v>
      </c>
      <c r="AS233" s="67">
        <f t="shared" si="48"/>
        <v>10</v>
      </c>
      <c r="AT233" s="67">
        <f t="shared" si="49"/>
        <v>10</v>
      </c>
      <c r="AU233" s="67">
        <f t="shared" si="50"/>
        <v>0</v>
      </c>
      <c r="AV233" s="67">
        <f t="shared" si="51"/>
        <v>52</v>
      </c>
      <c r="AX233" s="256">
        <v>23</v>
      </c>
      <c r="AY233" s="67">
        <f t="shared" si="56"/>
        <v>115</v>
      </c>
      <c r="AZ233" s="76">
        <f t="shared" si="57"/>
        <v>0.45217391304347826</v>
      </c>
      <c r="BA233" s="67">
        <f t="shared" si="52"/>
        <v>20</v>
      </c>
      <c r="BB233" s="76">
        <f t="shared" si="55"/>
        <v>0.86956521739130432</v>
      </c>
      <c r="BD233" s="67">
        <f t="shared" si="53"/>
        <v>9</v>
      </c>
      <c r="BE233" s="67">
        <f t="shared" si="54"/>
        <v>11</v>
      </c>
    </row>
    <row r="234" spans="1:57">
      <c r="A234" s="67">
        <v>528</v>
      </c>
      <c r="B234" s="67" t="s">
        <v>75</v>
      </c>
      <c r="C234" s="8" t="s">
        <v>12</v>
      </c>
      <c r="D234" s="67" t="s">
        <v>6</v>
      </c>
      <c r="E234" s="269" t="s">
        <v>431</v>
      </c>
      <c r="F234" s="5" t="s">
        <v>548</v>
      </c>
      <c r="G234" s="5" t="s">
        <v>549</v>
      </c>
      <c r="H234" s="20"/>
      <c r="I234" s="20"/>
      <c r="J234" s="20"/>
      <c r="K234" s="20"/>
      <c r="L234" s="270"/>
      <c r="M234" s="269"/>
      <c r="N234" s="20"/>
      <c r="O234" s="20"/>
      <c r="P234" s="5" t="s">
        <v>431</v>
      </c>
      <c r="Q234" s="20" t="s">
        <v>431</v>
      </c>
      <c r="R234" s="5" t="s">
        <v>578</v>
      </c>
      <c r="S234" s="5"/>
      <c r="T234" s="270"/>
      <c r="U234" s="269"/>
      <c r="V234" s="5"/>
      <c r="W234" s="20"/>
      <c r="X234" s="20"/>
      <c r="Y234" s="20"/>
      <c r="Z234" s="5" t="s">
        <v>433</v>
      </c>
      <c r="AA234" s="5" t="s">
        <v>433</v>
      </c>
      <c r="AB234" s="270" t="s">
        <v>570</v>
      </c>
      <c r="AC234" s="269" t="s">
        <v>433</v>
      </c>
      <c r="AD234" s="5" t="s">
        <v>433</v>
      </c>
      <c r="AE234" s="20"/>
      <c r="AF234" s="20"/>
      <c r="AG234" s="20"/>
      <c r="AH234" s="5" t="s">
        <v>435</v>
      </c>
      <c r="AI234" s="5"/>
      <c r="AJ234" s="270"/>
      <c r="AK234" s="67">
        <v>528</v>
      </c>
      <c r="AM234" s="67">
        <v>1</v>
      </c>
      <c r="AO234" s="67">
        <f t="shared" si="44"/>
        <v>0</v>
      </c>
      <c r="AP234" s="67">
        <f t="shared" si="45"/>
        <v>6</v>
      </c>
      <c r="AQ234" s="67">
        <f t="shared" si="46"/>
        <v>2</v>
      </c>
      <c r="AR234" s="67">
        <f t="shared" si="47"/>
        <v>5</v>
      </c>
      <c r="AS234" s="67">
        <f t="shared" si="48"/>
        <v>4</v>
      </c>
      <c r="AT234" s="67">
        <f t="shared" si="49"/>
        <v>3</v>
      </c>
      <c r="AU234" s="67">
        <f t="shared" si="50"/>
        <v>0</v>
      </c>
      <c r="AV234" s="67">
        <f t="shared" si="51"/>
        <v>20</v>
      </c>
      <c r="AX234" s="256">
        <v>29</v>
      </c>
      <c r="AY234" s="67">
        <f t="shared" si="56"/>
        <v>145</v>
      </c>
      <c r="AZ234" s="76">
        <f t="shared" si="57"/>
        <v>0.13793103448275862</v>
      </c>
      <c r="BA234" s="67">
        <f t="shared" si="52"/>
        <v>12</v>
      </c>
      <c r="BB234" s="76">
        <f t="shared" si="55"/>
        <v>0.41379310344827586</v>
      </c>
      <c r="BD234" s="67">
        <f t="shared" si="53"/>
        <v>6</v>
      </c>
      <c r="BE234" s="67">
        <f t="shared" si="54"/>
        <v>6</v>
      </c>
    </row>
    <row r="235" spans="1:57">
      <c r="A235" s="67">
        <v>529</v>
      </c>
      <c r="B235" s="67" t="s">
        <v>62</v>
      </c>
      <c r="C235" s="8" t="s">
        <v>42</v>
      </c>
      <c r="D235" s="67" t="s">
        <v>77</v>
      </c>
      <c r="E235" s="269"/>
      <c r="F235" s="5" t="s">
        <v>549</v>
      </c>
      <c r="G235" s="5" t="s">
        <v>555</v>
      </c>
      <c r="H235" s="20"/>
      <c r="I235" s="20"/>
      <c r="J235" s="20" t="s">
        <v>433</v>
      </c>
      <c r="K235" s="5" t="s">
        <v>433</v>
      </c>
      <c r="L235" s="270" t="s">
        <v>434</v>
      </c>
      <c r="M235" s="269"/>
      <c r="N235" s="20"/>
      <c r="O235" s="20"/>
      <c r="P235" s="20"/>
      <c r="Q235" s="20"/>
      <c r="R235" s="5" t="s">
        <v>574</v>
      </c>
      <c r="S235" s="20" t="s">
        <v>559</v>
      </c>
      <c r="T235" s="270"/>
      <c r="U235" s="269"/>
      <c r="V235" s="5" t="s">
        <v>549</v>
      </c>
      <c r="W235" s="20"/>
      <c r="X235" s="5" t="s">
        <v>431</v>
      </c>
      <c r="Y235" s="5" t="s">
        <v>567</v>
      </c>
      <c r="Z235" s="5" t="s">
        <v>570</v>
      </c>
      <c r="AA235" s="5" t="s">
        <v>570</v>
      </c>
      <c r="AB235" s="270" t="s">
        <v>570</v>
      </c>
      <c r="AC235" s="269" t="s">
        <v>570</v>
      </c>
      <c r="AD235" s="5" t="s">
        <v>595</v>
      </c>
      <c r="AE235" s="5" t="s">
        <v>570</v>
      </c>
      <c r="AF235" s="5" t="s">
        <v>560</v>
      </c>
      <c r="AH235" s="20"/>
      <c r="AI235" s="5" t="s">
        <v>554</v>
      </c>
      <c r="AJ235" s="270"/>
      <c r="AK235" s="67">
        <v>529</v>
      </c>
      <c r="AM235" s="67">
        <v>1</v>
      </c>
      <c r="AO235" s="67">
        <f t="shared" si="44"/>
        <v>0</v>
      </c>
      <c r="AP235" s="67">
        <f t="shared" si="45"/>
        <v>8</v>
      </c>
      <c r="AQ235" s="67">
        <f t="shared" si="46"/>
        <v>10</v>
      </c>
      <c r="AR235" s="67">
        <f t="shared" si="47"/>
        <v>8</v>
      </c>
      <c r="AS235" s="67">
        <f t="shared" si="48"/>
        <v>11</v>
      </c>
      <c r="AT235" s="67">
        <f t="shared" si="49"/>
        <v>11</v>
      </c>
      <c r="AU235" s="67">
        <f t="shared" si="50"/>
        <v>0</v>
      </c>
      <c r="AV235" s="67">
        <f t="shared" si="51"/>
        <v>48</v>
      </c>
      <c r="AX235" s="256">
        <v>25</v>
      </c>
      <c r="AY235" s="67">
        <f t="shared" si="56"/>
        <v>125</v>
      </c>
      <c r="AZ235" s="76">
        <f t="shared" si="57"/>
        <v>0.38400000000000001</v>
      </c>
      <c r="BA235" s="67">
        <f t="shared" si="52"/>
        <v>18</v>
      </c>
      <c r="BB235" s="76">
        <f t="shared" si="55"/>
        <v>0.72</v>
      </c>
      <c r="BD235" s="67">
        <f t="shared" si="53"/>
        <v>7</v>
      </c>
      <c r="BE235" s="67">
        <f t="shared" si="54"/>
        <v>11</v>
      </c>
    </row>
    <row r="236" spans="1:57">
      <c r="A236" s="67">
        <v>530</v>
      </c>
      <c r="B236" s="67" t="s">
        <v>63</v>
      </c>
      <c r="C236" s="8" t="s">
        <v>346</v>
      </c>
      <c r="E236" s="269"/>
      <c r="F236" s="20"/>
      <c r="G236" s="20"/>
      <c r="H236" s="20"/>
      <c r="I236" s="20"/>
      <c r="J236" s="20"/>
      <c r="K236" s="20"/>
      <c r="L236" s="270"/>
      <c r="M236" s="269"/>
      <c r="N236" s="20"/>
      <c r="O236" s="20"/>
      <c r="P236" s="20"/>
      <c r="Q236" s="20"/>
      <c r="R236" s="20"/>
      <c r="S236" s="20"/>
      <c r="T236" s="270"/>
      <c r="U236" s="269"/>
      <c r="V236" s="20"/>
      <c r="W236" s="20"/>
      <c r="X236" s="20"/>
      <c r="Y236" s="20"/>
      <c r="Z236" s="20"/>
      <c r="AA236" s="20"/>
      <c r="AB236" s="270"/>
      <c r="AC236" s="269"/>
      <c r="AD236" s="20"/>
      <c r="AE236" s="20"/>
      <c r="AF236" s="20"/>
      <c r="AG236" s="20"/>
      <c r="AH236" s="20"/>
      <c r="AI236" s="20"/>
      <c r="AJ236" s="270"/>
      <c r="AK236" s="67">
        <v>530</v>
      </c>
      <c r="AL236" s="67">
        <v>1</v>
      </c>
      <c r="AO236" s="67">
        <f t="shared" si="44"/>
        <v>0</v>
      </c>
      <c r="AP236" s="67">
        <f t="shared" si="45"/>
        <v>0</v>
      </c>
      <c r="AQ236" s="67">
        <f t="shared" si="46"/>
        <v>0</v>
      </c>
      <c r="AR236" s="67">
        <f t="shared" si="47"/>
        <v>0</v>
      </c>
      <c r="AS236" s="67">
        <f t="shared" si="48"/>
        <v>0</v>
      </c>
      <c r="AT236" s="67">
        <f t="shared" si="49"/>
        <v>0</v>
      </c>
      <c r="AU236" s="67">
        <f t="shared" si="50"/>
        <v>0</v>
      </c>
      <c r="AV236" s="67">
        <f t="shared" si="51"/>
        <v>0</v>
      </c>
      <c r="AX236" s="256">
        <v>3</v>
      </c>
      <c r="AY236" s="67">
        <f t="shared" si="56"/>
        <v>15</v>
      </c>
      <c r="AZ236" s="76">
        <f t="shared" si="57"/>
        <v>0</v>
      </c>
      <c r="BA236" s="67">
        <f t="shared" si="52"/>
        <v>0</v>
      </c>
      <c r="BB236" s="76">
        <f t="shared" si="55"/>
        <v>0</v>
      </c>
      <c r="BD236" s="67">
        <f t="shared" si="53"/>
        <v>0</v>
      </c>
      <c r="BE236" s="67">
        <f t="shared" si="54"/>
        <v>0</v>
      </c>
    </row>
    <row r="237" spans="1:57">
      <c r="A237" s="67">
        <v>531</v>
      </c>
      <c r="B237" s="67" t="s">
        <v>54</v>
      </c>
      <c r="C237" s="8" t="s">
        <v>345</v>
      </c>
      <c r="E237" s="269"/>
      <c r="F237" s="20"/>
      <c r="G237" s="20"/>
      <c r="H237" s="20"/>
      <c r="I237" s="20"/>
      <c r="J237" s="20"/>
      <c r="K237" s="20"/>
      <c r="L237" s="270"/>
      <c r="M237" s="269"/>
      <c r="N237" s="20"/>
      <c r="O237" s="20"/>
      <c r="P237" s="20"/>
      <c r="Q237" s="20"/>
      <c r="R237" s="20"/>
      <c r="S237" s="20"/>
      <c r="T237" s="270"/>
      <c r="U237" s="269"/>
      <c r="V237" s="20"/>
      <c r="W237" s="20"/>
      <c r="X237" s="20"/>
      <c r="Y237" s="20"/>
      <c r="Z237" s="20"/>
      <c r="AA237" s="20"/>
      <c r="AB237" s="270"/>
      <c r="AC237" s="269"/>
      <c r="AD237" s="20"/>
      <c r="AE237" s="20"/>
      <c r="AF237" s="20"/>
      <c r="AG237" s="20"/>
      <c r="AH237" s="20"/>
      <c r="AI237" s="20"/>
      <c r="AJ237" s="270"/>
      <c r="AK237" s="67">
        <v>531</v>
      </c>
      <c r="AL237" s="67">
        <v>1</v>
      </c>
      <c r="AO237" s="67">
        <f t="shared" si="44"/>
        <v>0</v>
      </c>
      <c r="AP237" s="67">
        <f t="shared" si="45"/>
        <v>0</v>
      </c>
      <c r="AQ237" s="67">
        <f t="shared" si="46"/>
        <v>0</v>
      </c>
      <c r="AR237" s="67">
        <f t="shared" si="47"/>
        <v>0</v>
      </c>
      <c r="AS237" s="67">
        <f t="shared" si="48"/>
        <v>0</v>
      </c>
      <c r="AT237" s="67">
        <f t="shared" si="49"/>
        <v>0</v>
      </c>
      <c r="AU237" s="67">
        <f t="shared" si="50"/>
        <v>0</v>
      </c>
      <c r="AV237" s="67">
        <f t="shared" si="51"/>
        <v>0</v>
      </c>
      <c r="AX237" s="256">
        <v>8</v>
      </c>
      <c r="AY237" s="67">
        <f t="shared" si="56"/>
        <v>40</v>
      </c>
      <c r="AZ237" s="76">
        <f t="shared" si="57"/>
        <v>0</v>
      </c>
      <c r="BA237" s="67">
        <f t="shared" si="52"/>
        <v>0</v>
      </c>
      <c r="BB237" s="76">
        <f t="shared" si="55"/>
        <v>0</v>
      </c>
      <c r="BD237" s="67">
        <f t="shared" si="53"/>
        <v>0</v>
      </c>
      <c r="BE237" s="67">
        <f t="shared" si="54"/>
        <v>0</v>
      </c>
    </row>
    <row r="238" spans="1:57">
      <c r="A238" s="67">
        <v>539</v>
      </c>
      <c r="B238" s="67" t="s">
        <v>240</v>
      </c>
      <c r="C238" s="8" t="s">
        <v>42</v>
      </c>
      <c r="D238" s="67" t="s">
        <v>42</v>
      </c>
      <c r="E238" s="269" t="s">
        <v>568</v>
      </c>
      <c r="F238" s="5" t="s">
        <v>548</v>
      </c>
      <c r="G238" s="5" t="s">
        <v>559</v>
      </c>
      <c r="H238" s="5" t="s">
        <v>559</v>
      </c>
      <c r="I238" s="5" t="s">
        <v>559</v>
      </c>
      <c r="J238" s="5" t="s">
        <v>577</v>
      </c>
      <c r="K238" s="5" t="s">
        <v>570</v>
      </c>
      <c r="L238" s="270"/>
      <c r="M238" s="269" t="s">
        <v>570</v>
      </c>
      <c r="N238" s="5" t="s">
        <v>595</v>
      </c>
      <c r="O238" s="5" t="s">
        <v>590</v>
      </c>
      <c r="P238" s="5" t="s">
        <v>549</v>
      </c>
      <c r="Q238" s="5" t="s">
        <v>552</v>
      </c>
      <c r="R238" s="5" t="s">
        <v>600</v>
      </c>
      <c r="S238" s="5" t="s">
        <v>548</v>
      </c>
      <c r="T238" s="270" t="s">
        <v>603</v>
      </c>
      <c r="U238" s="269" t="s">
        <v>559</v>
      </c>
      <c r="V238" s="5" t="s">
        <v>552</v>
      </c>
      <c r="W238" s="5" t="s">
        <v>604</v>
      </c>
      <c r="X238" s="5" t="s">
        <v>600</v>
      </c>
      <c r="Y238" s="5" t="s">
        <v>600</v>
      </c>
      <c r="Z238" s="5" t="s">
        <v>570</v>
      </c>
      <c r="AA238" s="5" t="s">
        <v>580</v>
      </c>
      <c r="AB238" s="270" t="s">
        <v>580</v>
      </c>
      <c r="AC238" s="269" t="s">
        <v>590</v>
      </c>
      <c r="AD238" s="5" t="s">
        <v>577</v>
      </c>
      <c r="AE238" s="5" t="s">
        <v>570</v>
      </c>
      <c r="AF238" s="5" t="s">
        <v>600</v>
      </c>
      <c r="AG238" s="20"/>
      <c r="AH238" s="20"/>
      <c r="AI238" s="5"/>
      <c r="AJ238" s="270"/>
      <c r="AK238" s="67">
        <v>539</v>
      </c>
      <c r="AM238" s="67">
        <v>1</v>
      </c>
      <c r="AO238" s="67">
        <f t="shared" si="44"/>
        <v>0</v>
      </c>
      <c r="AP238" s="67">
        <f t="shared" si="45"/>
        <v>15</v>
      </c>
      <c r="AQ238" s="67">
        <f t="shared" si="46"/>
        <v>22</v>
      </c>
      <c r="AR238" s="67">
        <f t="shared" si="47"/>
        <v>11</v>
      </c>
      <c r="AS238" s="67">
        <f t="shared" si="48"/>
        <v>26</v>
      </c>
      <c r="AT238" s="67">
        <f t="shared" si="49"/>
        <v>23</v>
      </c>
      <c r="AU238" s="67">
        <f t="shared" si="50"/>
        <v>1</v>
      </c>
      <c r="AV238" s="67">
        <f t="shared" si="51"/>
        <v>98</v>
      </c>
      <c r="AX238" s="256">
        <v>30</v>
      </c>
      <c r="AY238" s="67">
        <f t="shared" si="56"/>
        <v>150</v>
      </c>
      <c r="AZ238" s="76">
        <f t="shared" si="57"/>
        <v>0.65333333333333332</v>
      </c>
      <c r="BA238" s="67">
        <f t="shared" si="52"/>
        <v>27</v>
      </c>
      <c r="BB238" s="76">
        <f t="shared" si="55"/>
        <v>0.9</v>
      </c>
      <c r="BD238" s="67">
        <f t="shared" si="53"/>
        <v>15</v>
      </c>
      <c r="BE238" s="67">
        <f t="shared" si="54"/>
        <v>12</v>
      </c>
    </row>
    <row r="239" spans="1:57">
      <c r="A239" s="67">
        <v>540</v>
      </c>
      <c r="B239" s="67" t="s">
        <v>240</v>
      </c>
      <c r="C239" s="8" t="s">
        <v>42</v>
      </c>
      <c r="D239" s="67" t="s">
        <v>42</v>
      </c>
      <c r="E239" s="269" t="s">
        <v>600</v>
      </c>
      <c r="F239" s="5" t="s">
        <v>597</v>
      </c>
      <c r="G239" s="5" t="s">
        <v>431</v>
      </c>
      <c r="H239" s="5" t="s">
        <v>548</v>
      </c>
      <c r="I239" s="5" t="s">
        <v>549</v>
      </c>
      <c r="J239" s="5" t="s">
        <v>590</v>
      </c>
      <c r="K239" s="5" t="s">
        <v>590</v>
      </c>
      <c r="L239" s="270" t="s">
        <v>590</v>
      </c>
      <c r="M239" s="269" t="s">
        <v>590</v>
      </c>
      <c r="N239" s="5" t="s">
        <v>590</v>
      </c>
      <c r="O239" s="5" t="s">
        <v>606</v>
      </c>
      <c r="P239" s="5" t="s">
        <v>549</v>
      </c>
      <c r="Q239" s="5" t="s">
        <v>549</v>
      </c>
      <c r="R239" s="5" t="s">
        <v>550</v>
      </c>
      <c r="S239" s="5" t="s">
        <v>600</v>
      </c>
      <c r="T239" s="270" t="s">
        <v>600</v>
      </c>
      <c r="U239" s="269"/>
      <c r="V239" s="5" t="s">
        <v>549</v>
      </c>
      <c r="W239" s="5" t="s">
        <v>600</v>
      </c>
      <c r="X239" s="5" t="s">
        <v>578</v>
      </c>
      <c r="Y239" s="5" t="s">
        <v>549</v>
      </c>
      <c r="Z239" s="5" t="s">
        <v>580</v>
      </c>
      <c r="AA239" s="5" t="s">
        <v>523</v>
      </c>
      <c r="AB239" s="270" t="s">
        <v>577</v>
      </c>
      <c r="AC239" s="269" t="s">
        <v>570</v>
      </c>
      <c r="AD239" s="5" t="s">
        <v>570</v>
      </c>
      <c r="AE239" s="5" t="s">
        <v>570</v>
      </c>
      <c r="AF239" s="5" t="s">
        <v>600</v>
      </c>
      <c r="AG239" s="5" t="s">
        <v>552</v>
      </c>
      <c r="AH239" s="5" t="s">
        <v>554</v>
      </c>
      <c r="AI239" s="5" t="s">
        <v>600</v>
      </c>
      <c r="AJ239" s="270" t="s">
        <v>600</v>
      </c>
      <c r="AK239" s="67">
        <v>540</v>
      </c>
      <c r="AM239" s="67">
        <v>1</v>
      </c>
      <c r="AO239" s="67">
        <f t="shared" si="44"/>
        <v>0</v>
      </c>
      <c r="AP239" s="67">
        <f t="shared" si="45"/>
        <v>19</v>
      </c>
      <c r="AQ239" s="67">
        <f t="shared" si="46"/>
        <v>18</v>
      </c>
      <c r="AR239" s="67">
        <f t="shared" si="47"/>
        <v>12</v>
      </c>
      <c r="AS239" s="67">
        <f t="shared" si="48"/>
        <v>28</v>
      </c>
      <c r="AT239" s="67">
        <f t="shared" si="49"/>
        <v>27</v>
      </c>
      <c r="AU239" s="67">
        <f t="shared" si="50"/>
        <v>0</v>
      </c>
      <c r="AV239" s="67">
        <f t="shared" si="51"/>
        <v>104</v>
      </c>
      <c r="AX239" s="256">
        <v>31</v>
      </c>
      <c r="AY239" s="67">
        <f t="shared" si="56"/>
        <v>155</v>
      </c>
      <c r="AZ239" s="76">
        <f t="shared" si="57"/>
        <v>0.67096774193548392</v>
      </c>
      <c r="BA239" s="67">
        <f t="shared" si="52"/>
        <v>31</v>
      </c>
      <c r="BB239" s="76">
        <f t="shared" si="55"/>
        <v>1</v>
      </c>
      <c r="BD239" s="67">
        <f t="shared" si="53"/>
        <v>16</v>
      </c>
      <c r="BE239" s="67">
        <f t="shared" si="54"/>
        <v>15</v>
      </c>
    </row>
    <row r="240" spans="1:57">
      <c r="A240" s="67">
        <v>544</v>
      </c>
      <c r="B240" s="67" t="s">
        <v>54</v>
      </c>
      <c r="C240" s="8" t="s">
        <v>345</v>
      </c>
      <c r="E240" s="269"/>
      <c r="F240" s="20"/>
      <c r="G240" s="20"/>
      <c r="H240" s="20"/>
      <c r="I240" s="20"/>
      <c r="J240" s="20"/>
      <c r="K240" s="20"/>
      <c r="L240" s="270"/>
      <c r="M240" s="269"/>
      <c r="N240" s="20"/>
      <c r="O240" s="20"/>
      <c r="P240" s="20"/>
      <c r="Q240" s="20"/>
      <c r="R240" s="5"/>
      <c r="S240" s="20"/>
      <c r="T240" s="270"/>
      <c r="U240" s="269"/>
      <c r="V240" s="20"/>
      <c r="W240" s="20"/>
      <c r="X240" s="20"/>
      <c r="Y240" s="20"/>
      <c r="Z240" s="20"/>
      <c r="AA240" s="20"/>
      <c r="AB240" s="270"/>
      <c r="AC240" s="269"/>
      <c r="AD240" s="20"/>
      <c r="AE240" s="20"/>
      <c r="AF240" s="20"/>
      <c r="AG240" s="20"/>
      <c r="AH240" s="20"/>
      <c r="AI240" s="20"/>
      <c r="AJ240" s="270"/>
      <c r="AK240" s="67">
        <v>544</v>
      </c>
      <c r="AL240" s="67">
        <v>1</v>
      </c>
      <c r="AO240" s="67">
        <f t="shared" si="44"/>
        <v>0</v>
      </c>
      <c r="AP240" s="67">
        <f t="shared" si="45"/>
        <v>0</v>
      </c>
      <c r="AQ240" s="67">
        <f t="shared" si="46"/>
        <v>0</v>
      </c>
      <c r="AR240" s="67">
        <f t="shared" si="47"/>
        <v>0</v>
      </c>
      <c r="AS240" s="67">
        <f t="shared" si="48"/>
        <v>0</v>
      </c>
      <c r="AT240" s="67">
        <f t="shared" si="49"/>
        <v>0</v>
      </c>
      <c r="AU240" s="67">
        <f t="shared" si="50"/>
        <v>0</v>
      </c>
      <c r="AV240" s="67">
        <f t="shared" si="51"/>
        <v>0</v>
      </c>
      <c r="AX240" s="256">
        <v>1</v>
      </c>
      <c r="AY240" s="67">
        <f t="shared" si="56"/>
        <v>5</v>
      </c>
      <c r="AZ240" s="76">
        <f t="shared" si="57"/>
        <v>0</v>
      </c>
      <c r="BA240" s="67">
        <f t="shared" si="52"/>
        <v>0</v>
      </c>
      <c r="BB240" s="76">
        <f t="shared" si="55"/>
        <v>0</v>
      </c>
      <c r="BD240" s="67">
        <f t="shared" si="53"/>
        <v>0</v>
      </c>
      <c r="BE240" s="67">
        <f t="shared" si="54"/>
        <v>0</v>
      </c>
    </row>
    <row r="241" spans="1:57">
      <c r="A241" s="67">
        <v>547</v>
      </c>
      <c r="B241" s="67" t="s">
        <v>201</v>
      </c>
      <c r="C241" s="8" t="s">
        <v>357</v>
      </c>
      <c r="E241" s="269"/>
      <c r="F241" s="20"/>
      <c r="G241" s="20" t="s">
        <v>548</v>
      </c>
      <c r="H241" s="20" t="s">
        <v>434</v>
      </c>
      <c r="I241" s="20" t="s">
        <v>431</v>
      </c>
      <c r="J241" s="5" t="s">
        <v>433</v>
      </c>
      <c r="K241" s="5" t="s">
        <v>564</v>
      </c>
      <c r="L241" s="270" t="s">
        <v>570</v>
      </c>
      <c r="M241" s="269" t="s">
        <v>592</v>
      </c>
      <c r="N241" s="5" t="s">
        <v>561</v>
      </c>
      <c r="O241" s="5" t="s">
        <v>433</v>
      </c>
      <c r="P241" s="5" t="s">
        <v>431</v>
      </c>
      <c r="Q241" s="20"/>
      <c r="R241" s="5" t="s">
        <v>431</v>
      </c>
      <c r="S241" s="5" t="s">
        <v>435</v>
      </c>
      <c r="T241" s="270"/>
      <c r="U241" s="269"/>
      <c r="V241" s="20" t="s">
        <v>432</v>
      </c>
      <c r="W241" s="5" t="s">
        <v>574</v>
      </c>
      <c r="X241" s="20"/>
      <c r="Y241" s="20" t="s">
        <v>432</v>
      </c>
      <c r="Z241" s="5" t="s">
        <v>432</v>
      </c>
      <c r="AA241" s="5" t="s">
        <v>595</v>
      </c>
      <c r="AB241" s="270" t="s">
        <v>570</v>
      </c>
      <c r="AC241" s="269" t="s">
        <v>570</v>
      </c>
      <c r="AD241" s="5" t="s">
        <v>570</v>
      </c>
      <c r="AE241" s="5" t="s">
        <v>570</v>
      </c>
      <c r="AF241" s="5" t="s">
        <v>574</v>
      </c>
      <c r="AG241" s="5" t="s">
        <v>574</v>
      </c>
      <c r="AH241" s="5" t="s">
        <v>574</v>
      </c>
      <c r="AI241" s="5" t="s">
        <v>431</v>
      </c>
      <c r="AJ241" s="270"/>
      <c r="AK241" s="67">
        <v>547</v>
      </c>
      <c r="AM241" s="67">
        <v>1</v>
      </c>
      <c r="AO241" s="67">
        <f t="shared" si="44"/>
        <v>0</v>
      </c>
      <c r="AP241" s="67">
        <f t="shared" si="45"/>
        <v>9</v>
      </c>
      <c r="AQ241" s="67">
        <f t="shared" si="46"/>
        <v>13</v>
      </c>
      <c r="AR241" s="67">
        <f t="shared" si="47"/>
        <v>11</v>
      </c>
      <c r="AS241" s="67">
        <f t="shared" si="48"/>
        <v>10</v>
      </c>
      <c r="AT241" s="67">
        <f t="shared" si="49"/>
        <v>7</v>
      </c>
      <c r="AU241" s="67">
        <f t="shared" si="50"/>
        <v>0</v>
      </c>
      <c r="AV241" s="67">
        <f t="shared" si="51"/>
        <v>50</v>
      </c>
      <c r="AX241" s="256">
        <v>28</v>
      </c>
      <c r="AY241" s="67">
        <f t="shared" si="56"/>
        <v>140</v>
      </c>
      <c r="AZ241" s="76">
        <f t="shared" si="57"/>
        <v>0.35714285714285715</v>
      </c>
      <c r="BA241" s="67">
        <f t="shared" si="52"/>
        <v>25</v>
      </c>
      <c r="BB241" s="76">
        <f t="shared" si="55"/>
        <v>0.8928571428571429</v>
      </c>
      <c r="BD241" s="67">
        <f t="shared" si="53"/>
        <v>12</v>
      </c>
      <c r="BE241" s="67">
        <f t="shared" si="54"/>
        <v>13</v>
      </c>
    </row>
    <row r="242" spans="1:57">
      <c r="A242" s="67">
        <v>548</v>
      </c>
      <c r="B242" s="67" t="s">
        <v>56</v>
      </c>
      <c r="C242" s="8" t="s">
        <v>360</v>
      </c>
      <c r="E242" s="269"/>
      <c r="F242" s="20"/>
      <c r="G242" s="20"/>
      <c r="H242" s="20"/>
      <c r="I242" s="20"/>
      <c r="J242" s="20"/>
      <c r="K242" s="20"/>
      <c r="L242" s="270"/>
      <c r="M242" s="269"/>
      <c r="N242" s="20"/>
      <c r="O242" s="20"/>
      <c r="P242" s="20"/>
      <c r="Q242" s="20"/>
      <c r="R242" s="20"/>
      <c r="S242" s="20"/>
      <c r="T242" s="270"/>
      <c r="U242" s="269"/>
      <c r="V242" s="20"/>
      <c r="W242" s="20"/>
      <c r="X242" s="20"/>
      <c r="Y242" s="20"/>
      <c r="Z242" s="20"/>
      <c r="AA242" s="20"/>
      <c r="AB242" s="270"/>
      <c r="AC242" s="269"/>
      <c r="AD242" s="20"/>
      <c r="AE242" s="20"/>
      <c r="AF242" s="20"/>
      <c r="AG242" s="20"/>
      <c r="AH242" s="20"/>
      <c r="AI242" s="20"/>
      <c r="AJ242" s="270"/>
      <c r="AK242" s="67">
        <v>548</v>
      </c>
      <c r="AL242" s="67">
        <v>1</v>
      </c>
      <c r="AO242" s="67">
        <f t="shared" si="44"/>
        <v>0</v>
      </c>
      <c r="AP242" s="67">
        <f t="shared" si="45"/>
        <v>0</v>
      </c>
      <c r="AQ242" s="67">
        <f t="shared" si="46"/>
        <v>0</v>
      </c>
      <c r="AR242" s="67">
        <f t="shared" si="47"/>
        <v>0</v>
      </c>
      <c r="AS242" s="67">
        <f t="shared" si="48"/>
        <v>0</v>
      </c>
      <c r="AT242" s="67">
        <f t="shared" si="49"/>
        <v>0</v>
      </c>
      <c r="AU242" s="67">
        <f t="shared" si="50"/>
        <v>0</v>
      </c>
      <c r="AV242" s="67">
        <f t="shared" si="51"/>
        <v>0</v>
      </c>
      <c r="AX242" s="256">
        <v>3</v>
      </c>
      <c r="AY242" s="67">
        <f t="shared" si="56"/>
        <v>15</v>
      </c>
      <c r="AZ242" s="76">
        <f t="shared" si="57"/>
        <v>0</v>
      </c>
      <c r="BA242" s="67">
        <f t="shared" si="52"/>
        <v>0</v>
      </c>
      <c r="BB242" s="76">
        <f t="shared" si="55"/>
        <v>0</v>
      </c>
      <c r="BD242" s="67">
        <f t="shared" si="53"/>
        <v>0</v>
      </c>
      <c r="BE242" s="67">
        <f t="shared" si="54"/>
        <v>0</v>
      </c>
    </row>
    <row r="243" spans="1:57">
      <c r="A243" s="67">
        <v>551</v>
      </c>
      <c r="B243" s="67" t="s">
        <v>78</v>
      </c>
      <c r="C243" s="8" t="s">
        <v>359</v>
      </c>
      <c r="E243" s="269"/>
      <c r="F243" s="20"/>
      <c r="G243" s="20"/>
      <c r="H243" s="20"/>
      <c r="I243" s="20"/>
      <c r="J243" s="20"/>
      <c r="K243" s="20"/>
      <c r="L243" s="270" t="s">
        <v>434</v>
      </c>
      <c r="M243" s="269" t="s">
        <v>434</v>
      </c>
      <c r="N243" s="5" t="s">
        <v>433</v>
      </c>
      <c r="O243" s="5" t="s">
        <v>590</v>
      </c>
      <c r="P243" s="20"/>
      <c r="Q243" s="5" t="s">
        <v>560</v>
      </c>
      <c r="R243" s="20"/>
      <c r="S243" s="20"/>
      <c r="T243" s="270"/>
      <c r="U243" s="269"/>
      <c r="V243" s="20"/>
      <c r="W243" s="20"/>
      <c r="X243" s="20"/>
      <c r="Y243" s="20"/>
      <c r="Z243" s="20"/>
      <c r="AA243" s="20"/>
      <c r="AB243" s="270"/>
      <c r="AC243" s="269"/>
      <c r="AD243" s="20"/>
      <c r="AE243" s="20"/>
      <c r="AF243" s="20"/>
      <c r="AG243" s="20"/>
      <c r="AH243" s="20"/>
      <c r="AI243" s="20"/>
      <c r="AJ243" s="270"/>
      <c r="AK243" s="67">
        <v>551</v>
      </c>
      <c r="AM243" s="67">
        <v>1</v>
      </c>
      <c r="AO243" s="67">
        <f t="shared" si="44"/>
        <v>0</v>
      </c>
      <c r="AP243" s="67">
        <f t="shared" si="45"/>
        <v>0</v>
      </c>
      <c r="AQ243" s="67">
        <f t="shared" si="46"/>
        <v>0</v>
      </c>
      <c r="AR243" s="67">
        <f t="shared" si="47"/>
        <v>2</v>
      </c>
      <c r="AS243" s="67">
        <f t="shared" si="48"/>
        <v>4</v>
      </c>
      <c r="AT243" s="67">
        <f t="shared" si="49"/>
        <v>2</v>
      </c>
      <c r="AU243" s="67">
        <f t="shared" si="50"/>
        <v>0</v>
      </c>
      <c r="AV243" s="67">
        <f t="shared" si="51"/>
        <v>8</v>
      </c>
      <c r="AX243" s="256">
        <v>21</v>
      </c>
      <c r="AY243" s="67">
        <f t="shared" si="56"/>
        <v>105</v>
      </c>
      <c r="AZ243" s="76">
        <f t="shared" si="57"/>
        <v>7.6190476190476197E-2</v>
      </c>
      <c r="BA243" s="67">
        <f t="shared" si="52"/>
        <v>5</v>
      </c>
      <c r="BB243" s="76">
        <f t="shared" si="55"/>
        <v>0.23809523809523808</v>
      </c>
      <c r="BD243" s="67">
        <f t="shared" si="53"/>
        <v>5</v>
      </c>
      <c r="BE243" s="67">
        <f t="shared" si="54"/>
        <v>0</v>
      </c>
    </row>
    <row r="244" spans="1:57">
      <c r="A244" s="67">
        <v>553</v>
      </c>
      <c r="B244" s="67" t="s">
        <v>106</v>
      </c>
      <c r="C244" s="8" t="s">
        <v>349</v>
      </c>
      <c r="D244" s="67" t="s">
        <v>6</v>
      </c>
      <c r="E244" s="269"/>
      <c r="F244" s="20"/>
      <c r="G244" s="20"/>
      <c r="H244" s="20"/>
      <c r="I244" s="20"/>
      <c r="J244" s="20"/>
      <c r="K244" s="20"/>
      <c r="L244" s="270" t="s">
        <v>433</v>
      </c>
      <c r="M244" s="269"/>
      <c r="N244" s="20"/>
      <c r="O244" s="20"/>
      <c r="P244" s="20"/>
      <c r="Q244" s="20"/>
      <c r="R244" s="20"/>
      <c r="S244" s="20"/>
      <c r="T244" s="270"/>
      <c r="U244" s="269"/>
      <c r="V244" s="20"/>
      <c r="W244" s="20"/>
      <c r="X244" s="20"/>
      <c r="Y244" s="20"/>
      <c r="Z244" s="20"/>
      <c r="AA244" s="20"/>
      <c r="AB244" s="270"/>
      <c r="AC244" s="269"/>
      <c r="AD244" s="20"/>
      <c r="AE244" s="20"/>
      <c r="AF244" s="20"/>
      <c r="AG244" s="20"/>
      <c r="AH244" s="20"/>
      <c r="AI244" s="20"/>
      <c r="AJ244" s="270"/>
      <c r="AK244" s="67">
        <v>553</v>
      </c>
      <c r="AM244" s="67">
        <v>1</v>
      </c>
      <c r="AO244" s="67">
        <f t="shared" si="44"/>
        <v>0</v>
      </c>
      <c r="AP244" s="67">
        <f t="shared" si="45"/>
        <v>0</v>
      </c>
      <c r="AQ244" s="67">
        <f t="shared" si="46"/>
        <v>0</v>
      </c>
      <c r="AR244" s="67">
        <f t="shared" si="47"/>
        <v>1</v>
      </c>
      <c r="AS244" s="67">
        <f t="shared" si="48"/>
        <v>0</v>
      </c>
      <c r="AT244" s="67">
        <f t="shared" si="49"/>
        <v>0</v>
      </c>
      <c r="AU244" s="67">
        <f t="shared" si="50"/>
        <v>0</v>
      </c>
      <c r="AV244" s="67">
        <f t="shared" si="51"/>
        <v>1</v>
      </c>
      <c r="AX244" s="256">
        <v>6</v>
      </c>
      <c r="AY244" s="67">
        <f t="shared" si="56"/>
        <v>30</v>
      </c>
      <c r="AZ244" s="76">
        <f t="shared" si="57"/>
        <v>3.3333333333333333E-2</v>
      </c>
      <c r="BA244" s="67">
        <f t="shared" si="52"/>
        <v>1</v>
      </c>
      <c r="BB244" s="76">
        <f t="shared" si="55"/>
        <v>0.16666666666666666</v>
      </c>
      <c r="BD244" s="67">
        <f t="shared" si="53"/>
        <v>1</v>
      </c>
      <c r="BE244" s="67">
        <f t="shared" si="54"/>
        <v>0</v>
      </c>
    </row>
    <row r="245" spans="1:57">
      <c r="A245" s="8">
        <v>555</v>
      </c>
      <c r="B245" s="8" t="s">
        <v>73</v>
      </c>
      <c r="C245" s="8" t="s">
        <v>165</v>
      </c>
      <c r="D245" s="8" t="s">
        <v>42</v>
      </c>
      <c r="E245" s="271"/>
      <c r="F245" s="5"/>
      <c r="G245" s="5"/>
      <c r="H245" s="5"/>
      <c r="I245" s="5"/>
      <c r="J245" s="5"/>
      <c r="K245" s="5"/>
      <c r="L245" s="272"/>
      <c r="M245" s="271"/>
      <c r="N245" s="5"/>
      <c r="O245" s="5"/>
      <c r="P245" s="5"/>
      <c r="Q245" s="5"/>
      <c r="R245" s="5"/>
      <c r="S245" s="5"/>
      <c r="T245" s="272"/>
      <c r="U245" s="271"/>
      <c r="V245" s="5" t="s">
        <v>434</v>
      </c>
      <c r="W245" s="5" t="s">
        <v>574</v>
      </c>
      <c r="X245" s="5"/>
      <c r="Y245" s="5" t="s">
        <v>431</v>
      </c>
      <c r="Z245" s="5" t="s">
        <v>565</v>
      </c>
      <c r="AA245" s="5" t="s">
        <v>595</v>
      </c>
      <c r="AB245" s="272" t="s">
        <v>577</v>
      </c>
      <c r="AC245" s="271" t="s">
        <v>570</v>
      </c>
      <c r="AD245" s="5" t="s">
        <v>579</v>
      </c>
      <c r="AE245" s="5" t="s">
        <v>579</v>
      </c>
      <c r="AF245" s="5" t="s">
        <v>574</v>
      </c>
      <c r="AG245" s="5"/>
      <c r="AH245" s="5" t="s">
        <v>567</v>
      </c>
      <c r="AI245" s="5" t="s">
        <v>554</v>
      </c>
      <c r="AJ245" s="272"/>
      <c r="AK245" s="8">
        <v>555</v>
      </c>
      <c r="AM245" s="8">
        <v>1</v>
      </c>
      <c r="AN245" s="8"/>
      <c r="AO245" s="67">
        <f t="shared" si="44"/>
        <v>0</v>
      </c>
      <c r="AP245" s="67">
        <f t="shared" si="45"/>
        <v>5</v>
      </c>
      <c r="AQ245" s="67">
        <f t="shared" si="46"/>
        <v>10</v>
      </c>
      <c r="AR245" s="67">
        <f t="shared" si="47"/>
        <v>6</v>
      </c>
      <c r="AS245" s="67">
        <f t="shared" si="48"/>
        <v>4</v>
      </c>
      <c r="AT245" s="67">
        <f t="shared" si="49"/>
        <v>3</v>
      </c>
      <c r="AU245" s="67">
        <f t="shared" si="50"/>
        <v>0</v>
      </c>
      <c r="AV245" s="67">
        <f t="shared" si="51"/>
        <v>28</v>
      </c>
      <c r="AX245" s="256">
        <v>22</v>
      </c>
      <c r="AY245" s="67">
        <f t="shared" si="56"/>
        <v>110</v>
      </c>
      <c r="AZ245" s="76">
        <f t="shared" si="57"/>
        <v>0.25454545454545452</v>
      </c>
      <c r="BA245" s="67">
        <f t="shared" si="52"/>
        <v>12</v>
      </c>
      <c r="BB245" s="76">
        <f t="shared" si="55"/>
        <v>0.54545454545454541</v>
      </c>
      <c r="BD245" s="67">
        <f t="shared" si="53"/>
        <v>0</v>
      </c>
      <c r="BE245" s="67">
        <f t="shared" si="54"/>
        <v>12</v>
      </c>
    </row>
    <row r="246" spans="1:57">
      <c r="A246" s="67">
        <v>559</v>
      </c>
      <c r="B246" s="67" t="s">
        <v>74</v>
      </c>
      <c r="C246" s="8" t="s">
        <v>346</v>
      </c>
      <c r="E246" s="269"/>
      <c r="F246" s="20"/>
      <c r="G246" s="20"/>
      <c r="H246" s="20"/>
      <c r="I246" s="20"/>
      <c r="J246" s="20"/>
      <c r="K246" s="20"/>
      <c r="L246" s="270"/>
      <c r="M246" s="269"/>
      <c r="N246" s="20"/>
      <c r="O246" s="20"/>
      <c r="P246" s="20"/>
      <c r="Q246" s="20"/>
      <c r="R246" s="20"/>
      <c r="S246" s="20"/>
      <c r="T246" s="270"/>
      <c r="U246" s="269"/>
      <c r="V246" s="20"/>
      <c r="W246" s="20"/>
      <c r="X246" s="20"/>
      <c r="Y246" s="20"/>
      <c r="Z246" s="20"/>
      <c r="AA246" s="20"/>
      <c r="AB246" s="270"/>
      <c r="AC246" s="269"/>
      <c r="AD246" s="20"/>
      <c r="AE246" s="20"/>
      <c r="AF246" s="20"/>
      <c r="AG246" s="20"/>
      <c r="AH246" s="20"/>
      <c r="AI246" s="20"/>
      <c r="AJ246" s="270"/>
      <c r="AK246" s="67">
        <v>559</v>
      </c>
      <c r="AL246" s="67">
        <v>1</v>
      </c>
      <c r="AO246" s="67">
        <f t="shared" si="44"/>
        <v>0</v>
      </c>
      <c r="AP246" s="67">
        <f t="shared" si="45"/>
        <v>0</v>
      </c>
      <c r="AQ246" s="67">
        <f t="shared" si="46"/>
        <v>0</v>
      </c>
      <c r="AR246" s="67">
        <f t="shared" si="47"/>
        <v>0</v>
      </c>
      <c r="AS246" s="67">
        <f t="shared" si="48"/>
        <v>0</v>
      </c>
      <c r="AT246" s="67">
        <f t="shared" si="49"/>
        <v>0</v>
      </c>
      <c r="AU246" s="67">
        <f t="shared" si="50"/>
        <v>0</v>
      </c>
      <c r="AV246" s="67">
        <f t="shared" si="51"/>
        <v>0</v>
      </c>
      <c r="AX246" s="256">
        <v>14</v>
      </c>
      <c r="AY246" s="67">
        <f t="shared" si="56"/>
        <v>70</v>
      </c>
      <c r="AZ246" s="76">
        <f t="shared" si="57"/>
        <v>0</v>
      </c>
      <c r="BA246" s="67">
        <f t="shared" si="52"/>
        <v>0</v>
      </c>
      <c r="BB246" s="76">
        <f t="shared" si="55"/>
        <v>0</v>
      </c>
      <c r="BD246" s="67">
        <f t="shared" si="53"/>
        <v>0</v>
      </c>
      <c r="BE246" s="67">
        <f t="shared" si="54"/>
        <v>0</v>
      </c>
    </row>
    <row r="247" spans="1:57">
      <c r="A247" s="67">
        <v>563</v>
      </c>
      <c r="B247" s="67" t="s">
        <v>80</v>
      </c>
      <c r="C247" s="8" t="s">
        <v>346</v>
      </c>
      <c r="E247" s="269"/>
      <c r="F247" s="20"/>
      <c r="G247" s="20"/>
      <c r="H247" s="20" t="s">
        <v>435</v>
      </c>
      <c r="I247" s="20" t="s">
        <v>431</v>
      </c>
      <c r="J247" s="20" t="s">
        <v>433</v>
      </c>
      <c r="K247" s="20"/>
      <c r="L247" s="270"/>
      <c r="M247" s="269"/>
      <c r="N247" s="20" t="s">
        <v>433</v>
      </c>
      <c r="O247" s="20" t="s">
        <v>433</v>
      </c>
      <c r="P247" s="20" t="s">
        <v>431</v>
      </c>
      <c r="Q247" s="20"/>
      <c r="R247" s="20"/>
      <c r="S247" s="20"/>
      <c r="T247" s="270"/>
      <c r="U247" s="269"/>
      <c r="V247" s="20"/>
      <c r="W247" s="20"/>
      <c r="X247" s="20" t="s">
        <v>431</v>
      </c>
      <c r="Y247" s="20" t="s">
        <v>431</v>
      </c>
      <c r="Z247" s="20" t="s">
        <v>433</v>
      </c>
      <c r="AA247" s="20"/>
      <c r="AB247" s="270"/>
      <c r="AC247" s="269"/>
      <c r="AD247" s="20"/>
      <c r="AE247" s="20" t="s">
        <v>433</v>
      </c>
      <c r="AF247" s="20" t="s">
        <v>431</v>
      </c>
      <c r="AG247" s="20" t="s">
        <v>431</v>
      </c>
      <c r="AH247" s="20"/>
      <c r="AI247" s="20"/>
      <c r="AJ247" s="270"/>
      <c r="AK247" s="67">
        <v>563</v>
      </c>
      <c r="AM247" s="67">
        <v>1</v>
      </c>
      <c r="AO247" s="67">
        <f t="shared" si="44"/>
        <v>0</v>
      </c>
      <c r="AP247" s="67">
        <f t="shared" si="45"/>
        <v>6</v>
      </c>
      <c r="AQ247" s="67">
        <f t="shared" si="46"/>
        <v>0</v>
      </c>
      <c r="AR247" s="67">
        <f t="shared" si="47"/>
        <v>5</v>
      </c>
      <c r="AS247" s="67">
        <f t="shared" si="48"/>
        <v>0</v>
      </c>
      <c r="AT247" s="67">
        <f t="shared" si="49"/>
        <v>1</v>
      </c>
      <c r="AU247" s="67">
        <f t="shared" si="50"/>
        <v>0</v>
      </c>
      <c r="AV247" s="67">
        <f t="shared" si="51"/>
        <v>12</v>
      </c>
      <c r="AX247" s="256">
        <v>17</v>
      </c>
      <c r="AY247" s="67">
        <f t="shared" si="56"/>
        <v>85</v>
      </c>
      <c r="AZ247" s="76">
        <f t="shared" si="57"/>
        <v>0.14117647058823529</v>
      </c>
      <c r="BA247" s="67">
        <f t="shared" si="52"/>
        <v>12</v>
      </c>
      <c r="BB247" s="76">
        <f t="shared" si="55"/>
        <v>0.70588235294117652</v>
      </c>
      <c r="BD247" s="67">
        <f t="shared" si="53"/>
        <v>6</v>
      </c>
      <c r="BE247" s="67">
        <f t="shared" si="54"/>
        <v>6</v>
      </c>
    </row>
    <row r="248" spans="1:57">
      <c r="A248" s="67">
        <v>564</v>
      </c>
      <c r="B248" s="67" t="s">
        <v>62</v>
      </c>
      <c r="C248" s="8" t="s">
        <v>42</v>
      </c>
      <c r="D248" s="67" t="s">
        <v>6</v>
      </c>
      <c r="E248" s="269" t="s">
        <v>434</v>
      </c>
      <c r="F248" s="20"/>
      <c r="G248" s="20"/>
      <c r="H248" s="20"/>
      <c r="I248" s="20"/>
      <c r="J248" s="20"/>
      <c r="K248" s="20"/>
      <c r="L248" s="270"/>
      <c r="M248" s="269"/>
      <c r="N248" s="20"/>
      <c r="O248" s="20"/>
      <c r="P248" s="20"/>
      <c r="Q248" s="20" t="s">
        <v>431</v>
      </c>
      <c r="R248" s="5"/>
      <c r="S248" s="20"/>
      <c r="T248" s="270"/>
      <c r="U248" s="269"/>
      <c r="V248" s="20"/>
      <c r="W248" s="20"/>
      <c r="X248" s="20"/>
      <c r="Y248" s="20"/>
      <c r="Z248" s="20"/>
      <c r="AA248" s="20" t="s">
        <v>435</v>
      </c>
      <c r="AB248" s="270"/>
      <c r="AC248" s="269"/>
      <c r="AD248" s="20"/>
      <c r="AE248" s="20"/>
      <c r="AF248" s="20"/>
      <c r="AG248" s="20"/>
      <c r="AH248" s="20"/>
      <c r="AI248" s="20"/>
      <c r="AJ248" s="270"/>
      <c r="AK248" s="67">
        <v>564</v>
      </c>
      <c r="AM248" s="67">
        <v>1</v>
      </c>
      <c r="AO248" s="67">
        <f t="shared" si="44"/>
        <v>0</v>
      </c>
      <c r="AP248" s="67">
        <f t="shared" si="45"/>
        <v>1</v>
      </c>
      <c r="AQ248" s="67">
        <f t="shared" si="46"/>
        <v>0</v>
      </c>
      <c r="AR248" s="67">
        <f t="shared" si="47"/>
        <v>0</v>
      </c>
      <c r="AS248" s="67">
        <f t="shared" si="48"/>
        <v>1</v>
      </c>
      <c r="AT248" s="67">
        <f t="shared" si="49"/>
        <v>1</v>
      </c>
      <c r="AU248" s="67">
        <f t="shared" si="50"/>
        <v>0</v>
      </c>
      <c r="AV248" s="67">
        <f t="shared" si="51"/>
        <v>3</v>
      </c>
      <c r="AX248" s="256">
        <v>29</v>
      </c>
      <c r="AY248" s="67">
        <f t="shared" si="56"/>
        <v>145</v>
      </c>
      <c r="AZ248" s="76">
        <f t="shared" si="57"/>
        <v>2.0689655172413793E-2</v>
      </c>
      <c r="BA248" s="67">
        <f t="shared" si="52"/>
        <v>3</v>
      </c>
      <c r="BB248" s="76">
        <f t="shared" si="55"/>
        <v>0.10344827586206896</v>
      </c>
      <c r="BD248" s="67">
        <f t="shared" si="53"/>
        <v>2</v>
      </c>
      <c r="BE248" s="67">
        <f t="shared" si="54"/>
        <v>1</v>
      </c>
    </row>
    <row r="249" spans="1:57">
      <c r="A249" s="67">
        <v>567</v>
      </c>
      <c r="B249" s="67" t="s">
        <v>56</v>
      </c>
      <c r="C249" s="8" t="s">
        <v>360</v>
      </c>
      <c r="E249" s="269"/>
      <c r="F249" s="20"/>
      <c r="G249" s="20"/>
      <c r="H249" s="20"/>
      <c r="I249" s="20"/>
      <c r="J249" s="20"/>
      <c r="K249" s="20"/>
      <c r="L249" s="270"/>
      <c r="M249" s="269"/>
      <c r="N249" s="20"/>
      <c r="O249" s="20"/>
      <c r="P249" s="20"/>
      <c r="Q249" s="20"/>
      <c r="R249" s="20"/>
      <c r="S249" s="20"/>
      <c r="T249" s="270"/>
      <c r="U249" s="269"/>
      <c r="V249" s="20"/>
      <c r="W249" s="20"/>
      <c r="X249" s="20"/>
      <c r="Y249" s="20"/>
      <c r="Z249" s="20"/>
      <c r="AA249" s="20"/>
      <c r="AB249" s="270"/>
      <c r="AC249" s="269"/>
      <c r="AD249" s="20"/>
      <c r="AE249" s="20"/>
      <c r="AF249" s="20"/>
      <c r="AG249" s="20"/>
      <c r="AH249" s="20"/>
      <c r="AI249" s="20"/>
      <c r="AJ249" s="270"/>
      <c r="AK249" s="67">
        <v>567</v>
      </c>
      <c r="AL249" s="67">
        <v>1</v>
      </c>
      <c r="AO249" s="67">
        <f t="shared" si="44"/>
        <v>0</v>
      </c>
      <c r="AP249" s="67">
        <f t="shared" si="45"/>
        <v>0</v>
      </c>
      <c r="AQ249" s="67">
        <f t="shared" si="46"/>
        <v>0</v>
      </c>
      <c r="AR249" s="67">
        <f t="shared" si="47"/>
        <v>0</v>
      </c>
      <c r="AS249" s="67">
        <f t="shared" si="48"/>
        <v>0</v>
      </c>
      <c r="AT249" s="67">
        <f t="shared" si="49"/>
        <v>0</v>
      </c>
      <c r="AU249" s="67">
        <f t="shared" si="50"/>
        <v>0</v>
      </c>
      <c r="AV249" s="67">
        <f t="shared" si="51"/>
        <v>0</v>
      </c>
      <c r="AX249" s="256">
        <v>3</v>
      </c>
      <c r="AY249" s="67">
        <f t="shared" si="56"/>
        <v>15</v>
      </c>
      <c r="AZ249" s="76">
        <f t="shared" si="57"/>
        <v>0</v>
      </c>
      <c r="BA249" s="67">
        <f t="shared" si="52"/>
        <v>0</v>
      </c>
      <c r="BB249" s="76">
        <f t="shared" si="55"/>
        <v>0</v>
      </c>
      <c r="BD249" s="67">
        <f t="shared" si="53"/>
        <v>0</v>
      </c>
      <c r="BE249" s="67">
        <f t="shared" si="54"/>
        <v>0</v>
      </c>
    </row>
    <row r="250" spans="1:57">
      <c r="A250" s="67">
        <v>568</v>
      </c>
      <c r="B250" s="67" t="s">
        <v>65</v>
      </c>
      <c r="C250" s="8" t="s">
        <v>12</v>
      </c>
      <c r="D250" s="67" t="s">
        <v>42</v>
      </c>
      <c r="E250" s="269" t="s">
        <v>431</v>
      </c>
      <c r="F250" s="5" t="s">
        <v>549</v>
      </c>
      <c r="G250" s="5" t="s">
        <v>549</v>
      </c>
      <c r="H250" s="5" t="s">
        <v>559</v>
      </c>
      <c r="I250" s="5" t="s">
        <v>559</v>
      </c>
      <c r="J250" s="5" t="s">
        <v>570</v>
      </c>
      <c r="K250" s="5" t="s">
        <v>577</v>
      </c>
      <c r="L250" s="270" t="s">
        <v>570</v>
      </c>
      <c r="M250" s="269"/>
      <c r="N250" s="5" t="s">
        <v>577</v>
      </c>
      <c r="O250" s="5" t="s">
        <v>433</v>
      </c>
      <c r="P250" s="5" t="s">
        <v>431</v>
      </c>
      <c r="Q250" s="5" t="s">
        <v>574</v>
      </c>
      <c r="R250" s="5" t="s">
        <v>431</v>
      </c>
      <c r="S250" s="5" t="s">
        <v>431</v>
      </c>
      <c r="T250" s="270"/>
      <c r="U250" s="269"/>
      <c r="V250" s="5" t="s">
        <v>432</v>
      </c>
      <c r="W250" s="5" t="s">
        <v>600</v>
      </c>
      <c r="X250" s="5" t="s">
        <v>600</v>
      </c>
      <c r="Y250" s="5" t="s">
        <v>607</v>
      </c>
      <c r="Z250" s="5" t="s">
        <v>558</v>
      </c>
      <c r="AA250" s="5" t="s">
        <v>570</v>
      </c>
      <c r="AB250" s="270" t="s">
        <v>570</v>
      </c>
      <c r="AC250" s="269" t="s">
        <v>570</v>
      </c>
      <c r="AD250" s="5" t="s">
        <v>565</v>
      </c>
      <c r="AE250" s="5" t="s">
        <v>565</v>
      </c>
      <c r="AF250" s="5" t="s">
        <v>608</v>
      </c>
      <c r="AG250" s="5" t="s">
        <v>432</v>
      </c>
      <c r="AH250" s="5" t="s">
        <v>600</v>
      </c>
      <c r="AI250" s="5" t="s">
        <v>560</v>
      </c>
      <c r="AJ250" s="270"/>
      <c r="AK250" s="67">
        <v>568</v>
      </c>
      <c r="AM250" s="67">
        <v>1</v>
      </c>
      <c r="AO250" s="67">
        <f t="shared" si="44"/>
        <v>0</v>
      </c>
      <c r="AP250" s="67">
        <f t="shared" si="45"/>
        <v>13</v>
      </c>
      <c r="AQ250" s="67">
        <f t="shared" si="46"/>
        <v>20</v>
      </c>
      <c r="AR250" s="67">
        <f t="shared" si="47"/>
        <v>10</v>
      </c>
      <c r="AS250" s="67">
        <f t="shared" si="48"/>
        <v>17</v>
      </c>
      <c r="AT250" s="67">
        <f t="shared" si="49"/>
        <v>17</v>
      </c>
      <c r="AU250" s="67">
        <f t="shared" si="50"/>
        <v>2</v>
      </c>
      <c r="AV250" s="67">
        <f t="shared" si="51"/>
        <v>79</v>
      </c>
      <c r="AX250" s="256">
        <v>28</v>
      </c>
      <c r="AY250" s="67">
        <f t="shared" si="56"/>
        <v>140</v>
      </c>
      <c r="AZ250" s="76">
        <f t="shared" si="57"/>
        <v>0.56428571428571428</v>
      </c>
      <c r="BA250" s="67">
        <f t="shared" si="52"/>
        <v>28</v>
      </c>
      <c r="BB250" s="76">
        <f t="shared" si="55"/>
        <v>1</v>
      </c>
      <c r="BD250" s="67">
        <f t="shared" si="53"/>
        <v>14</v>
      </c>
      <c r="BE250" s="67">
        <f t="shared" si="54"/>
        <v>14</v>
      </c>
    </row>
    <row r="251" spans="1:57">
      <c r="A251" s="67">
        <v>569</v>
      </c>
      <c r="B251" s="67" t="s">
        <v>59</v>
      </c>
      <c r="C251" s="8" t="s">
        <v>346</v>
      </c>
      <c r="E251" s="269"/>
      <c r="F251" s="20"/>
      <c r="G251" s="20"/>
      <c r="H251" s="20" t="s">
        <v>431</v>
      </c>
      <c r="I251" s="20" t="s">
        <v>555</v>
      </c>
      <c r="J251" s="20"/>
      <c r="K251" s="20"/>
      <c r="L251" s="270"/>
      <c r="M251" s="269" t="s">
        <v>433</v>
      </c>
      <c r="N251" s="20"/>
      <c r="O251" s="20" t="s">
        <v>433</v>
      </c>
      <c r="P251" s="20"/>
      <c r="Q251" s="20"/>
      <c r="R251" s="20"/>
      <c r="S251" s="20"/>
      <c r="T251" s="270"/>
      <c r="U251" s="269"/>
      <c r="V251" s="20"/>
      <c r="W251" s="20"/>
      <c r="X251" s="20"/>
      <c r="Y251" s="20"/>
      <c r="Z251" s="20"/>
      <c r="AA251" s="20" t="s">
        <v>556</v>
      </c>
      <c r="AB251" s="270" t="s">
        <v>565</v>
      </c>
      <c r="AC251" s="269" t="s">
        <v>565</v>
      </c>
      <c r="AD251" s="5" t="s">
        <v>565</v>
      </c>
      <c r="AE251" s="5" t="s">
        <v>433</v>
      </c>
      <c r="AF251" s="20"/>
      <c r="AG251" s="20"/>
      <c r="AH251" s="20"/>
      <c r="AI251" s="20"/>
      <c r="AJ251" s="270"/>
      <c r="AK251" s="67">
        <v>569</v>
      </c>
      <c r="AM251" s="67">
        <v>1</v>
      </c>
      <c r="AO251" s="67">
        <f t="shared" si="44"/>
        <v>0</v>
      </c>
      <c r="AP251" s="67">
        <f t="shared" si="45"/>
        <v>2</v>
      </c>
      <c r="AQ251" s="67">
        <f t="shared" si="46"/>
        <v>4</v>
      </c>
      <c r="AR251" s="67">
        <f t="shared" si="47"/>
        <v>7</v>
      </c>
      <c r="AS251" s="67">
        <f t="shared" si="48"/>
        <v>1</v>
      </c>
      <c r="AT251" s="67">
        <f t="shared" si="49"/>
        <v>1</v>
      </c>
      <c r="AU251" s="67">
        <f t="shared" si="50"/>
        <v>0</v>
      </c>
      <c r="AV251" s="67">
        <f t="shared" si="51"/>
        <v>15</v>
      </c>
      <c r="AX251" s="256">
        <v>18</v>
      </c>
      <c r="AY251" s="67">
        <f t="shared" si="56"/>
        <v>90</v>
      </c>
      <c r="AZ251" s="76">
        <f t="shared" si="57"/>
        <v>0.16666666666666666</v>
      </c>
      <c r="BA251" s="67">
        <f t="shared" si="52"/>
        <v>9</v>
      </c>
      <c r="BB251" s="76">
        <f t="shared" si="55"/>
        <v>0.5</v>
      </c>
      <c r="BD251" s="67">
        <f t="shared" si="53"/>
        <v>4</v>
      </c>
      <c r="BE251" s="67">
        <f t="shared" si="54"/>
        <v>5</v>
      </c>
    </row>
    <row r="252" spans="1:57">
      <c r="A252" s="67">
        <v>570</v>
      </c>
      <c r="B252" s="67" t="s">
        <v>73</v>
      </c>
      <c r="C252" s="8" t="s">
        <v>165</v>
      </c>
      <c r="D252" s="67" t="s">
        <v>6</v>
      </c>
      <c r="E252" s="269"/>
      <c r="F252" s="5" t="s">
        <v>549</v>
      </c>
      <c r="G252" s="5" t="s">
        <v>571</v>
      </c>
      <c r="H252" s="5" t="s">
        <v>549</v>
      </c>
      <c r="I252" s="5" t="s">
        <v>600</v>
      </c>
      <c r="J252" s="5" t="s">
        <v>564</v>
      </c>
      <c r="K252" s="5" t="s">
        <v>570</v>
      </c>
      <c r="L252" s="270" t="s">
        <v>570</v>
      </c>
      <c r="M252" s="269" t="s">
        <v>590</v>
      </c>
      <c r="N252" s="5" t="s">
        <v>577</v>
      </c>
      <c r="O252" s="5" t="s">
        <v>577</v>
      </c>
      <c r="P252" s="5" t="s">
        <v>600</v>
      </c>
      <c r="Q252" s="5" t="s">
        <v>549</v>
      </c>
      <c r="R252" s="20"/>
      <c r="S252" s="5" t="s">
        <v>609</v>
      </c>
      <c r="T252" s="270"/>
      <c r="U252" s="269"/>
      <c r="V252" s="20" t="s">
        <v>600</v>
      </c>
      <c r="W252" s="20" t="s">
        <v>600</v>
      </c>
      <c r="X252" s="5" t="s">
        <v>604</v>
      </c>
      <c r="Y252" s="5" t="s">
        <v>600</v>
      </c>
      <c r="Z252" s="5" t="s">
        <v>570</v>
      </c>
      <c r="AA252" s="5" t="s">
        <v>570</v>
      </c>
      <c r="AB252" s="270" t="s">
        <v>570</v>
      </c>
      <c r="AC252" s="269" t="s">
        <v>570</v>
      </c>
      <c r="AD252" s="5" t="s">
        <v>570</v>
      </c>
      <c r="AE252" s="5" t="s">
        <v>577</v>
      </c>
      <c r="AF252" s="5" t="s">
        <v>549</v>
      </c>
      <c r="AG252" s="5" t="s">
        <v>548</v>
      </c>
      <c r="AH252" s="20"/>
      <c r="AI252" s="5" t="s">
        <v>600</v>
      </c>
      <c r="AJ252" s="270"/>
      <c r="AK252" s="67">
        <v>570</v>
      </c>
      <c r="AM252" s="67">
        <v>1</v>
      </c>
      <c r="AO252" s="67">
        <f t="shared" si="44"/>
        <v>0</v>
      </c>
      <c r="AP252" s="67">
        <f t="shared" si="45"/>
        <v>14</v>
      </c>
      <c r="AQ252" s="67">
        <f t="shared" si="46"/>
        <v>18</v>
      </c>
      <c r="AR252" s="67">
        <f t="shared" si="47"/>
        <v>12</v>
      </c>
      <c r="AS252" s="67">
        <f t="shared" si="48"/>
        <v>26</v>
      </c>
      <c r="AT252" s="67">
        <f t="shared" si="49"/>
        <v>23</v>
      </c>
      <c r="AU252" s="67">
        <f t="shared" si="50"/>
        <v>1</v>
      </c>
      <c r="AV252" s="67">
        <f t="shared" si="51"/>
        <v>94</v>
      </c>
      <c r="AX252" s="256">
        <v>27</v>
      </c>
      <c r="AY252" s="67">
        <f t="shared" si="56"/>
        <v>135</v>
      </c>
      <c r="AZ252" s="76">
        <f t="shared" si="57"/>
        <v>0.6962962962962963</v>
      </c>
      <c r="BA252" s="67">
        <f t="shared" si="52"/>
        <v>26</v>
      </c>
      <c r="BB252" s="76">
        <f t="shared" si="55"/>
        <v>0.96296296296296291</v>
      </c>
      <c r="BD252" s="67">
        <f t="shared" si="53"/>
        <v>13</v>
      </c>
      <c r="BE252" s="67">
        <f t="shared" si="54"/>
        <v>13</v>
      </c>
    </row>
    <row r="253" spans="1:57">
      <c r="A253" s="67">
        <v>571</v>
      </c>
      <c r="B253" s="67" t="s">
        <v>62</v>
      </c>
      <c r="C253" s="8" t="s">
        <v>42</v>
      </c>
      <c r="D253" s="67" t="s">
        <v>6</v>
      </c>
      <c r="E253" s="269" t="s">
        <v>600</v>
      </c>
      <c r="F253" s="5" t="s">
        <v>555</v>
      </c>
      <c r="G253" s="5" t="s">
        <v>432</v>
      </c>
      <c r="H253" s="20"/>
      <c r="I253" s="20"/>
      <c r="J253" s="5" t="s">
        <v>433</v>
      </c>
      <c r="K253" s="5" t="s">
        <v>433</v>
      </c>
      <c r="L253" s="270"/>
      <c r="M253" s="269"/>
      <c r="N253" s="20" t="s">
        <v>590</v>
      </c>
      <c r="O253" s="5" t="s">
        <v>433</v>
      </c>
      <c r="P253" s="5" t="s">
        <v>549</v>
      </c>
      <c r="Q253" s="5" t="s">
        <v>432</v>
      </c>
      <c r="R253" s="5" t="s">
        <v>432</v>
      </c>
      <c r="S253" s="5" t="s">
        <v>431</v>
      </c>
      <c r="T253" s="270" t="s">
        <v>562</v>
      </c>
      <c r="U253" s="269" t="s">
        <v>562</v>
      </c>
      <c r="V253" s="5" t="s">
        <v>578</v>
      </c>
      <c r="W253" s="20"/>
      <c r="X253" s="5" t="s">
        <v>431</v>
      </c>
      <c r="Y253" s="5" t="s">
        <v>431</v>
      </c>
      <c r="Z253" s="5" t="s">
        <v>570</v>
      </c>
      <c r="AA253" s="5" t="s">
        <v>547</v>
      </c>
      <c r="AB253" s="270" t="s">
        <v>601</v>
      </c>
      <c r="AC253" s="269" t="s">
        <v>570</v>
      </c>
      <c r="AD253" s="5" t="s">
        <v>570</v>
      </c>
      <c r="AE253" s="5" t="s">
        <v>433</v>
      </c>
      <c r="AF253" s="20"/>
      <c r="AG253" s="20"/>
      <c r="AH253" s="20"/>
      <c r="AI253" s="20" t="s">
        <v>562</v>
      </c>
      <c r="AJ253" s="270" t="s">
        <v>432</v>
      </c>
      <c r="AK253" s="67">
        <v>571</v>
      </c>
      <c r="AM253" s="67">
        <v>1</v>
      </c>
      <c r="AO253" s="67">
        <f t="shared" si="44"/>
        <v>0</v>
      </c>
      <c r="AP253" s="67">
        <f t="shared" si="45"/>
        <v>7</v>
      </c>
      <c r="AQ253" s="67">
        <f t="shared" si="46"/>
        <v>14</v>
      </c>
      <c r="AR253" s="67">
        <f t="shared" si="47"/>
        <v>10</v>
      </c>
      <c r="AS253" s="67">
        <f t="shared" si="48"/>
        <v>8</v>
      </c>
      <c r="AT253" s="67">
        <f t="shared" si="49"/>
        <v>12</v>
      </c>
      <c r="AU253" s="67">
        <f t="shared" si="50"/>
        <v>0</v>
      </c>
      <c r="AV253" s="67">
        <f t="shared" si="51"/>
        <v>51</v>
      </c>
      <c r="AX253" s="256">
        <v>31</v>
      </c>
      <c r="AY253" s="67">
        <f t="shared" si="56"/>
        <v>155</v>
      </c>
      <c r="AZ253" s="76">
        <f t="shared" si="57"/>
        <v>0.32903225806451614</v>
      </c>
      <c r="BA253" s="67">
        <f t="shared" si="52"/>
        <v>24</v>
      </c>
      <c r="BB253" s="76">
        <f t="shared" si="55"/>
        <v>0.77419354838709675</v>
      </c>
      <c r="BD253" s="67">
        <f t="shared" si="53"/>
        <v>12</v>
      </c>
      <c r="BE253" s="67">
        <f t="shared" si="54"/>
        <v>12</v>
      </c>
    </row>
    <row r="254" spans="1:57" ht="15.75" thickBot="1">
      <c r="A254" s="67">
        <v>572</v>
      </c>
      <c r="B254" s="67" t="s">
        <v>74</v>
      </c>
      <c r="C254" s="8" t="s">
        <v>346</v>
      </c>
      <c r="E254" s="274"/>
      <c r="F254" s="275"/>
      <c r="G254" s="275"/>
      <c r="H254" s="275"/>
      <c r="I254" s="275" t="s">
        <v>431</v>
      </c>
      <c r="J254" s="275" t="s">
        <v>433</v>
      </c>
      <c r="K254" s="275"/>
      <c r="L254" s="276"/>
      <c r="M254" s="274"/>
      <c r="N254" s="275" t="s">
        <v>433</v>
      </c>
      <c r="O254" s="275" t="s">
        <v>433</v>
      </c>
      <c r="P254" s="275"/>
      <c r="Q254" s="275"/>
      <c r="R254" s="275"/>
      <c r="S254" s="275"/>
      <c r="T254" s="276"/>
      <c r="U254" s="274"/>
      <c r="V254" s="275"/>
      <c r="W254" s="275"/>
      <c r="X254" s="275"/>
      <c r="Y254" s="275"/>
      <c r="Z254" s="275" t="s">
        <v>433</v>
      </c>
      <c r="AA254" s="275" t="s">
        <v>432</v>
      </c>
      <c r="AB254" s="276"/>
      <c r="AC254" s="274" t="s">
        <v>433</v>
      </c>
      <c r="AD254" s="275" t="s">
        <v>433</v>
      </c>
      <c r="AE254" s="275" t="s">
        <v>433</v>
      </c>
      <c r="AF254" s="275" t="s">
        <v>431</v>
      </c>
      <c r="AG254" s="275"/>
      <c r="AH254" s="275"/>
      <c r="AI254" s="275"/>
      <c r="AJ254" s="276"/>
      <c r="AK254" s="67">
        <v>572</v>
      </c>
      <c r="AM254" s="67">
        <v>1</v>
      </c>
      <c r="AO254" s="67">
        <f t="shared" si="44"/>
        <v>0</v>
      </c>
      <c r="AP254" s="67">
        <f t="shared" si="45"/>
        <v>2</v>
      </c>
      <c r="AQ254" s="67">
        <f t="shared" si="46"/>
        <v>1</v>
      </c>
      <c r="AR254" s="67">
        <f t="shared" si="47"/>
        <v>7</v>
      </c>
      <c r="AS254" s="67">
        <f t="shared" si="48"/>
        <v>0</v>
      </c>
      <c r="AT254" s="67">
        <f t="shared" si="49"/>
        <v>0</v>
      </c>
      <c r="AU254" s="67">
        <f t="shared" si="50"/>
        <v>0</v>
      </c>
      <c r="AV254" s="67">
        <f t="shared" si="51"/>
        <v>10</v>
      </c>
      <c r="AX254" s="256">
        <v>18</v>
      </c>
      <c r="AY254" s="67">
        <f t="shared" si="56"/>
        <v>90</v>
      </c>
      <c r="AZ254" s="76">
        <f t="shared" si="57"/>
        <v>0.1111111111111111</v>
      </c>
      <c r="BA254" s="67">
        <f t="shared" si="52"/>
        <v>10</v>
      </c>
      <c r="BB254" s="76">
        <f t="shared" si="55"/>
        <v>0.55555555555555558</v>
      </c>
      <c r="BD254" s="67">
        <f t="shared" si="53"/>
        <v>4</v>
      </c>
      <c r="BE254" s="67">
        <f t="shared" si="54"/>
        <v>6</v>
      </c>
    </row>
    <row r="255" spans="1:57">
      <c r="A255" s="277" t="s">
        <v>342</v>
      </c>
      <c r="B255" s="277"/>
      <c r="C255" s="277"/>
      <c r="D255" s="277">
        <f>SUM(E255:AJ255)</f>
        <v>3105</v>
      </c>
      <c r="E255" s="277">
        <f>COUNTA(E4:E254)</f>
        <v>48</v>
      </c>
      <c r="F255" s="277">
        <f t="shared" ref="F255:AJ255" si="58">COUNTA(F4:F254)</f>
        <v>82</v>
      </c>
      <c r="G255" s="277">
        <f t="shared" si="58"/>
        <v>100</v>
      </c>
      <c r="H255" s="277">
        <f t="shared" si="58"/>
        <v>94</v>
      </c>
      <c r="I255" s="277">
        <f t="shared" si="58"/>
        <v>93</v>
      </c>
      <c r="J255" s="277">
        <f t="shared" si="58"/>
        <v>97</v>
      </c>
      <c r="K255" s="277">
        <f t="shared" si="58"/>
        <v>92</v>
      </c>
      <c r="L255" s="277">
        <f t="shared" si="58"/>
        <v>94</v>
      </c>
      <c r="M255" s="277">
        <f t="shared" si="58"/>
        <v>88</v>
      </c>
      <c r="N255" s="277">
        <f t="shared" si="58"/>
        <v>104</v>
      </c>
      <c r="O255" s="277">
        <f t="shared" si="58"/>
        <v>106</v>
      </c>
      <c r="P255" s="277">
        <f t="shared" si="58"/>
        <v>92</v>
      </c>
      <c r="Q255" s="277">
        <f t="shared" si="58"/>
        <v>84</v>
      </c>
      <c r="R255" s="277">
        <f t="shared" si="58"/>
        <v>86</v>
      </c>
      <c r="S255" s="277">
        <f t="shared" si="58"/>
        <v>83</v>
      </c>
      <c r="T255" s="277">
        <f t="shared" si="58"/>
        <v>49</v>
      </c>
      <c r="U255" s="277">
        <f t="shared" si="58"/>
        <v>55</v>
      </c>
      <c r="V255" s="277">
        <f t="shared" si="58"/>
        <v>77</v>
      </c>
      <c r="W255" s="277">
        <f t="shared" si="58"/>
        <v>87</v>
      </c>
      <c r="X255" s="277">
        <f t="shared" si="58"/>
        <v>102</v>
      </c>
      <c r="Y255" s="277">
        <f t="shared" si="58"/>
        <v>116</v>
      </c>
      <c r="Z255" s="277">
        <f t="shared" si="58"/>
        <v>129</v>
      </c>
      <c r="AA255" s="277">
        <f t="shared" si="58"/>
        <v>141</v>
      </c>
      <c r="AB255" s="277">
        <f t="shared" si="58"/>
        <v>136</v>
      </c>
      <c r="AC255" s="277">
        <f t="shared" si="58"/>
        <v>139</v>
      </c>
      <c r="AD255" s="277">
        <f t="shared" si="58"/>
        <v>144</v>
      </c>
      <c r="AE255" s="277">
        <f t="shared" si="58"/>
        <v>135</v>
      </c>
      <c r="AF255" s="277">
        <f t="shared" si="58"/>
        <v>127</v>
      </c>
      <c r="AG255" s="277">
        <f t="shared" si="58"/>
        <v>108</v>
      </c>
      <c r="AH255" s="277">
        <f t="shared" si="58"/>
        <v>84</v>
      </c>
      <c r="AI255" s="277">
        <f t="shared" si="58"/>
        <v>70</v>
      </c>
      <c r="AJ255" s="277">
        <f t="shared" si="58"/>
        <v>63</v>
      </c>
      <c r="AK255" s="277" t="s">
        <v>342</v>
      </c>
      <c r="AL255" s="277">
        <f>COUNT(AL4:AL254)</f>
        <v>61</v>
      </c>
      <c r="AM255" s="277">
        <f>SUM(AM4:AM254)</f>
        <v>190</v>
      </c>
      <c r="AN255" s="277"/>
      <c r="AO255" s="277"/>
      <c r="AP255" s="277"/>
      <c r="AQ255" s="277"/>
      <c r="AR255" s="277"/>
      <c r="AS255" s="277"/>
      <c r="AT255" s="277"/>
      <c r="AU255" s="277"/>
      <c r="AV255" s="277">
        <f>SUM(AV4:AV254)</f>
        <v>7543</v>
      </c>
      <c r="AW255" s="277"/>
      <c r="AX255" s="277">
        <f>SUM(AX4:AX254)</f>
        <v>5174</v>
      </c>
      <c r="AY255" s="277">
        <f>SUM(AY4:AY254)</f>
        <v>25870</v>
      </c>
      <c r="AZ255" s="346">
        <f t="shared" si="57"/>
        <v>0.29157325086973329</v>
      </c>
      <c r="BA255" s="277">
        <f>SUM(BA4:BA254)</f>
        <v>3105</v>
      </c>
      <c r="BB255" s="346">
        <f t="shared" si="55"/>
        <v>0.60011596443757242</v>
      </c>
      <c r="BC255" s="277"/>
      <c r="BD255" s="277">
        <f>SUM(BD4:BD254)</f>
        <v>1392</v>
      </c>
      <c r="BE255" s="277">
        <f>SUM(BE4:BE254)</f>
        <v>1713</v>
      </c>
    </row>
    <row r="256" spans="1:57" ht="15.75" thickBot="1">
      <c r="AL256" s="67" t="s">
        <v>484</v>
      </c>
      <c r="AM256" s="67" t="s">
        <v>485</v>
      </c>
      <c r="AZ256" s="77"/>
      <c r="BD256" s="484">
        <f>SUM(BD255:BE255)</f>
        <v>3105</v>
      </c>
      <c r="BE256" s="484"/>
    </row>
    <row r="257" spans="1:57">
      <c r="A257" s="101" t="s">
        <v>431</v>
      </c>
      <c r="B257" s="101"/>
      <c r="C257" s="101">
        <f t="shared" ref="C257:C262" si="59">SUBTOTAL(9,E257:AJ257)</f>
        <v>1182</v>
      </c>
      <c r="D257" s="101"/>
      <c r="E257" s="347">
        <f t="shared" ref="E257:AJ257" si="60">COUNTIF(E4:E254,"*b*")</f>
        <v>32</v>
      </c>
      <c r="F257" s="348">
        <f t="shared" si="60"/>
        <v>63</v>
      </c>
      <c r="G257" s="348">
        <f t="shared" si="60"/>
        <v>84</v>
      </c>
      <c r="H257" s="348">
        <f t="shared" si="60"/>
        <v>77</v>
      </c>
      <c r="I257" s="348">
        <f t="shared" si="60"/>
        <v>82</v>
      </c>
      <c r="J257" s="348">
        <f t="shared" si="60"/>
        <v>0</v>
      </c>
      <c r="K257" s="348">
        <f t="shared" si="60"/>
        <v>0</v>
      </c>
      <c r="L257" s="349">
        <f t="shared" si="60"/>
        <v>0</v>
      </c>
      <c r="M257" s="347">
        <f t="shared" si="60"/>
        <v>0</v>
      </c>
      <c r="N257" s="348">
        <f t="shared" si="60"/>
        <v>0</v>
      </c>
      <c r="O257" s="348">
        <f t="shared" si="60"/>
        <v>0</v>
      </c>
      <c r="P257" s="348">
        <f t="shared" si="60"/>
        <v>87</v>
      </c>
      <c r="Q257" s="348">
        <f t="shared" si="60"/>
        <v>70</v>
      </c>
      <c r="R257" s="348">
        <f t="shared" si="60"/>
        <v>77</v>
      </c>
      <c r="S257" s="348">
        <f t="shared" si="60"/>
        <v>65</v>
      </c>
      <c r="T257" s="349">
        <f t="shared" si="60"/>
        <v>27</v>
      </c>
      <c r="U257" s="347">
        <f t="shared" si="60"/>
        <v>29</v>
      </c>
      <c r="V257" s="348">
        <f t="shared" si="60"/>
        <v>39</v>
      </c>
      <c r="W257" s="348">
        <f t="shared" si="60"/>
        <v>52</v>
      </c>
      <c r="X257" s="348">
        <f t="shared" si="60"/>
        <v>58</v>
      </c>
      <c r="Y257" s="348">
        <f t="shared" si="60"/>
        <v>78</v>
      </c>
      <c r="Z257" s="348">
        <f t="shared" si="60"/>
        <v>0</v>
      </c>
      <c r="AA257" s="348">
        <f t="shared" si="60"/>
        <v>0</v>
      </c>
      <c r="AB257" s="349">
        <f t="shared" si="60"/>
        <v>0</v>
      </c>
      <c r="AC257" s="347">
        <f t="shared" si="60"/>
        <v>0</v>
      </c>
      <c r="AD257" s="348">
        <f t="shared" si="60"/>
        <v>0</v>
      </c>
      <c r="AE257" s="348">
        <f t="shared" si="60"/>
        <v>0</v>
      </c>
      <c r="AF257" s="348">
        <f t="shared" si="60"/>
        <v>87</v>
      </c>
      <c r="AG257" s="348">
        <f t="shared" si="60"/>
        <v>59</v>
      </c>
      <c r="AH257" s="348">
        <f t="shared" si="60"/>
        <v>49</v>
      </c>
      <c r="AI257" s="348">
        <f t="shared" si="60"/>
        <v>35</v>
      </c>
      <c r="AJ257" s="349">
        <f t="shared" si="60"/>
        <v>32</v>
      </c>
      <c r="AL257" s="101">
        <f t="shared" ref="AL257:AL262" si="61">SUM(E257:T257)</f>
        <v>664</v>
      </c>
      <c r="AM257" s="101">
        <f t="shared" ref="AM257:AM262" si="62">SUM(U257:AJ257)</f>
        <v>518</v>
      </c>
      <c r="AV257" s="350">
        <f>AVERAGE(AV4:AV254)</f>
        <v>30.051792828685258</v>
      </c>
      <c r="AX257" s="350">
        <f t="shared" ref="AX257:BE257" si="63">AVERAGE(AX4:AX254)</f>
        <v>20.613545816733069</v>
      </c>
      <c r="AY257" s="350">
        <f t="shared" si="63"/>
        <v>103.06772908366534</v>
      </c>
      <c r="AZ257" s="76">
        <f t="shared" si="63"/>
        <v>0.23670523724752993</v>
      </c>
      <c r="BA257" s="350">
        <f t="shared" si="63"/>
        <v>12.370517928286853</v>
      </c>
      <c r="BB257" s="76">
        <f t="shared" si="63"/>
        <v>0.49488225847156547</v>
      </c>
      <c r="BD257" s="350">
        <f t="shared" si="63"/>
        <v>5.5458167330677295</v>
      </c>
      <c r="BE257" s="350">
        <f t="shared" si="63"/>
        <v>6.8247011952191237</v>
      </c>
    </row>
    <row r="258" spans="1:57">
      <c r="A258" s="285" t="s">
        <v>432</v>
      </c>
      <c r="B258" s="285"/>
      <c r="C258" s="285">
        <f t="shared" si="59"/>
        <v>1775</v>
      </c>
      <c r="D258" s="285"/>
      <c r="E258" s="351">
        <f t="shared" ref="E258:AJ258" si="64">COUNTIF(E4:E254,"*l*")</f>
        <v>25</v>
      </c>
      <c r="F258" s="352">
        <f t="shared" si="64"/>
        <v>42</v>
      </c>
      <c r="G258" s="352">
        <f t="shared" si="64"/>
        <v>43</v>
      </c>
      <c r="H258" s="352">
        <f t="shared" si="64"/>
        <v>33</v>
      </c>
      <c r="I258" s="352">
        <f t="shared" si="64"/>
        <v>20</v>
      </c>
      <c r="J258" s="352">
        <f t="shared" si="64"/>
        <v>24</v>
      </c>
      <c r="K258" s="352">
        <f t="shared" si="64"/>
        <v>33</v>
      </c>
      <c r="L258" s="353">
        <f t="shared" si="64"/>
        <v>26</v>
      </c>
      <c r="M258" s="351">
        <f t="shared" si="64"/>
        <v>26</v>
      </c>
      <c r="N258" s="352">
        <f t="shared" si="64"/>
        <v>30</v>
      </c>
      <c r="O258" s="352">
        <f t="shared" si="64"/>
        <v>35</v>
      </c>
      <c r="P258" s="352">
        <f t="shared" si="64"/>
        <v>23</v>
      </c>
      <c r="Q258" s="352">
        <f t="shared" si="64"/>
        <v>26</v>
      </c>
      <c r="R258" s="352">
        <f t="shared" si="64"/>
        <v>37</v>
      </c>
      <c r="S258" s="352">
        <f t="shared" si="64"/>
        <v>39</v>
      </c>
      <c r="T258" s="353">
        <f t="shared" si="64"/>
        <v>28</v>
      </c>
      <c r="U258" s="351">
        <f t="shared" si="64"/>
        <v>42</v>
      </c>
      <c r="V258" s="352">
        <f t="shared" si="64"/>
        <v>54</v>
      </c>
      <c r="W258" s="352">
        <f t="shared" si="64"/>
        <v>74</v>
      </c>
      <c r="X258" s="352">
        <f t="shared" si="64"/>
        <v>79</v>
      </c>
      <c r="Y258" s="352">
        <f t="shared" si="64"/>
        <v>80</v>
      </c>
      <c r="Z258" s="352">
        <f t="shared" si="64"/>
        <v>94</v>
      </c>
      <c r="AA258" s="352">
        <f t="shared" si="64"/>
        <v>116</v>
      </c>
      <c r="AB258" s="353">
        <f t="shared" si="64"/>
        <v>116</v>
      </c>
      <c r="AC258" s="351">
        <f t="shared" si="64"/>
        <v>110</v>
      </c>
      <c r="AD258" s="352">
        <f t="shared" si="64"/>
        <v>113</v>
      </c>
      <c r="AE258" s="352">
        <f t="shared" si="64"/>
        <v>95</v>
      </c>
      <c r="AF258" s="352">
        <f t="shared" si="64"/>
        <v>83</v>
      </c>
      <c r="AG258" s="352">
        <f t="shared" si="64"/>
        <v>67</v>
      </c>
      <c r="AH258" s="352">
        <f t="shared" si="64"/>
        <v>65</v>
      </c>
      <c r="AI258" s="352">
        <f t="shared" si="64"/>
        <v>49</v>
      </c>
      <c r="AJ258" s="353">
        <f t="shared" si="64"/>
        <v>48</v>
      </c>
      <c r="AL258" s="285">
        <f t="shared" si="61"/>
        <v>490</v>
      </c>
      <c r="AM258" s="285">
        <f t="shared" si="62"/>
        <v>1285</v>
      </c>
    </row>
    <row r="259" spans="1:57">
      <c r="A259" s="292" t="s">
        <v>486</v>
      </c>
      <c r="B259" s="292"/>
      <c r="C259" s="292">
        <f t="shared" si="59"/>
        <v>1249</v>
      </c>
      <c r="D259" s="292"/>
      <c r="E259" s="354">
        <f t="shared" ref="E259:AJ259" si="65">COUNTIF(E4:E254,"*h*")</f>
        <v>0</v>
      </c>
      <c r="F259" s="355">
        <f t="shared" si="65"/>
        <v>0</v>
      </c>
      <c r="G259" s="355">
        <f t="shared" si="65"/>
        <v>0</v>
      </c>
      <c r="H259" s="355">
        <f t="shared" si="65"/>
        <v>0</v>
      </c>
      <c r="I259" s="355">
        <f t="shared" si="65"/>
        <v>0</v>
      </c>
      <c r="J259" s="355">
        <f t="shared" si="65"/>
        <v>91</v>
      </c>
      <c r="K259" s="355">
        <f t="shared" si="65"/>
        <v>79</v>
      </c>
      <c r="L259" s="356">
        <f t="shared" si="65"/>
        <v>80</v>
      </c>
      <c r="M259" s="354">
        <f t="shared" si="65"/>
        <v>80</v>
      </c>
      <c r="N259" s="355">
        <f t="shared" si="65"/>
        <v>99</v>
      </c>
      <c r="O259" s="355">
        <f t="shared" si="65"/>
        <v>100</v>
      </c>
      <c r="P259" s="355">
        <f t="shared" si="65"/>
        <v>0</v>
      </c>
      <c r="Q259" s="355">
        <f t="shared" si="65"/>
        <v>0</v>
      </c>
      <c r="R259" s="355">
        <f t="shared" si="65"/>
        <v>0</v>
      </c>
      <c r="S259" s="355">
        <f t="shared" si="65"/>
        <v>0</v>
      </c>
      <c r="T259" s="356">
        <f t="shared" si="65"/>
        <v>0</v>
      </c>
      <c r="U259" s="354">
        <f t="shared" si="65"/>
        <v>0</v>
      </c>
      <c r="V259" s="355">
        <f t="shared" si="65"/>
        <v>0</v>
      </c>
      <c r="W259" s="355">
        <f t="shared" si="65"/>
        <v>0</v>
      </c>
      <c r="X259" s="355">
        <f t="shared" si="65"/>
        <v>0</v>
      </c>
      <c r="Y259" s="355">
        <f t="shared" si="65"/>
        <v>0</v>
      </c>
      <c r="Z259" s="355">
        <f t="shared" si="65"/>
        <v>108</v>
      </c>
      <c r="AA259" s="355">
        <f t="shared" si="65"/>
        <v>119</v>
      </c>
      <c r="AB259" s="356">
        <f t="shared" si="65"/>
        <v>123</v>
      </c>
      <c r="AC259" s="354">
        <f t="shared" si="65"/>
        <v>127</v>
      </c>
      <c r="AD259" s="355">
        <f t="shared" si="65"/>
        <v>125</v>
      </c>
      <c r="AE259" s="355">
        <f t="shared" si="65"/>
        <v>118</v>
      </c>
      <c r="AF259" s="355">
        <f t="shared" si="65"/>
        <v>0</v>
      </c>
      <c r="AG259" s="355">
        <f t="shared" si="65"/>
        <v>0</v>
      </c>
      <c r="AH259" s="355">
        <f t="shared" si="65"/>
        <v>0</v>
      </c>
      <c r="AI259" s="355">
        <f t="shared" si="65"/>
        <v>0</v>
      </c>
      <c r="AJ259" s="356">
        <f t="shared" si="65"/>
        <v>0</v>
      </c>
      <c r="AL259" s="292">
        <f t="shared" si="61"/>
        <v>529</v>
      </c>
      <c r="AM259" s="292">
        <f t="shared" si="62"/>
        <v>720</v>
      </c>
    </row>
    <row r="260" spans="1:57">
      <c r="A260" s="297" t="s">
        <v>434</v>
      </c>
      <c r="B260" s="297"/>
      <c r="C260" s="297">
        <f t="shared" si="59"/>
        <v>1656</v>
      </c>
      <c r="D260" s="297"/>
      <c r="E260" s="357">
        <f t="shared" ref="E260:AJ260" si="66">COUNTIF(E4:E254,"*m*")</f>
        <v>26</v>
      </c>
      <c r="F260" s="358">
        <f t="shared" si="66"/>
        <v>58</v>
      </c>
      <c r="G260" s="358">
        <f t="shared" si="66"/>
        <v>55</v>
      </c>
      <c r="H260" s="358">
        <f t="shared" si="66"/>
        <v>37</v>
      </c>
      <c r="I260" s="358">
        <f t="shared" si="66"/>
        <v>32</v>
      </c>
      <c r="J260" s="358">
        <f t="shared" si="66"/>
        <v>43</v>
      </c>
      <c r="K260" s="358">
        <f t="shared" si="66"/>
        <v>46</v>
      </c>
      <c r="L260" s="359">
        <f t="shared" si="66"/>
        <v>49</v>
      </c>
      <c r="M260" s="357">
        <f t="shared" si="66"/>
        <v>37</v>
      </c>
      <c r="N260" s="358">
        <f t="shared" si="66"/>
        <v>43</v>
      </c>
      <c r="O260" s="358">
        <f t="shared" si="66"/>
        <v>38</v>
      </c>
      <c r="P260" s="358">
        <f t="shared" si="66"/>
        <v>37</v>
      </c>
      <c r="Q260" s="358">
        <f t="shared" si="66"/>
        <v>32</v>
      </c>
      <c r="R260" s="358">
        <f t="shared" si="66"/>
        <v>34</v>
      </c>
      <c r="S260" s="358">
        <f t="shared" si="66"/>
        <v>49</v>
      </c>
      <c r="T260" s="359">
        <f t="shared" si="66"/>
        <v>23</v>
      </c>
      <c r="U260" s="357">
        <f t="shared" si="66"/>
        <v>29</v>
      </c>
      <c r="V260" s="358">
        <f t="shared" si="66"/>
        <v>42</v>
      </c>
      <c r="W260" s="358">
        <f t="shared" si="66"/>
        <v>35</v>
      </c>
      <c r="X260" s="358">
        <f t="shared" si="66"/>
        <v>48</v>
      </c>
      <c r="Y260" s="358">
        <f t="shared" si="66"/>
        <v>54</v>
      </c>
      <c r="Z260" s="358">
        <f t="shared" si="66"/>
        <v>79</v>
      </c>
      <c r="AA260" s="358">
        <f t="shared" si="66"/>
        <v>107</v>
      </c>
      <c r="AB260" s="359">
        <f t="shared" si="66"/>
        <v>106</v>
      </c>
      <c r="AC260" s="357">
        <f t="shared" si="66"/>
        <v>103</v>
      </c>
      <c r="AD260" s="358">
        <f t="shared" si="66"/>
        <v>106</v>
      </c>
      <c r="AE260" s="358">
        <f t="shared" si="66"/>
        <v>85</v>
      </c>
      <c r="AF260" s="358">
        <f t="shared" si="66"/>
        <v>68</v>
      </c>
      <c r="AG260" s="358">
        <f t="shared" si="66"/>
        <v>51</v>
      </c>
      <c r="AH260" s="358">
        <f t="shared" si="66"/>
        <v>38</v>
      </c>
      <c r="AI260" s="358">
        <f t="shared" si="66"/>
        <v>37</v>
      </c>
      <c r="AJ260" s="359">
        <f t="shared" si="66"/>
        <v>29</v>
      </c>
      <c r="AL260" s="297">
        <f t="shared" si="61"/>
        <v>639</v>
      </c>
      <c r="AM260" s="297">
        <f t="shared" si="62"/>
        <v>1017</v>
      </c>
    </row>
    <row r="261" spans="1:57">
      <c r="A261" s="301" t="s">
        <v>435</v>
      </c>
      <c r="B261" s="301"/>
      <c r="C261" s="301">
        <f t="shared" si="59"/>
        <v>1639</v>
      </c>
      <c r="D261" s="301"/>
      <c r="E261" s="360">
        <f t="shared" ref="E261:AJ261" si="67">COUNTIF(E4:E254,"*d*")</f>
        <v>31</v>
      </c>
      <c r="F261" s="361">
        <f t="shared" si="67"/>
        <v>47</v>
      </c>
      <c r="G261" s="361">
        <f t="shared" si="67"/>
        <v>58</v>
      </c>
      <c r="H261" s="361">
        <f t="shared" si="67"/>
        <v>37</v>
      </c>
      <c r="I261" s="361">
        <f t="shared" si="67"/>
        <v>37</v>
      </c>
      <c r="J261" s="361">
        <f t="shared" si="67"/>
        <v>33</v>
      </c>
      <c r="K261" s="361">
        <f t="shared" si="67"/>
        <v>39</v>
      </c>
      <c r="L261" s="362">
        <f t="shared" si="67"/>
        <v>35</v>
      </c>
      <c r="M261" s="360">
        <f t="shared" si="67"/>
        <v>28</v>
      </c>
      <c r="N261" s="361">
        <f t="shared" si="67"/>
        <v>35</v>
      </c>
      <c r="O261" s="361">
        <f t="shared" si="67"/>
        <v>37</v>
      </c>
      <c r="P261" s="361">
        <f t="shared" si="67"/>
        <v>39</v>
      </c>
      <c r="Q261" s="361">
        <f t="shared" si="67"/>
        <v>35</v>
      </c>
      <c r="R261" s="361">
        <f t="shared" si="67"/>
        <v>49</v>
      </c>
      <c r="S261" s="361">
        <f t="shared" si="67"/>
        <v>40</v>
      </c>
      <c r="T261" s="362">
        <f t="shared" si="67"/>
        <v>38</v>
      </c>
      <c r="U261" s="360">
        <f t="shared" si="67"/>
        <v>46</v>
      </c>
      <c r="V261" s="361">
        <f t="shared" si="67"/>
        <v>41</v>
      </c>
      <c r="W261" s="361">
        <f t="shared" si="67"/>
        <v>49</v>
      </c>
      <c r="X261" s="361">
        <f t="shared" si="67"/>
        <v>44</v>
      </c>
      <c r="Y261" s="361">
        <f t="shared" si="67"/>
        <v>53</v>
      </c>
      <c r="Z261" s="361">
        <f t="shared" si="67"/>
        <v>77</v>
      </c>
      <c r="AA261" s="361">
        <f t="shared" si="67"/>
        <v>99</v>
      </c>
      <c r="AB261" s="362">
        <f t="shared" si="67"/>
        <v>106</v>
      </c>
      <c r="AC261" s="360">
        <f t="shared" si="67"/>
        <v>104</v>
      </c>
      <c r="AD261" s="361">
        <f t="shared" si="67"/>
        <v>86</v>
      </c>
      <c r="AE261" s="361">
        <f t="shared" si="67"/>
        <v>79</v>
      </c>
      <c r="AF261" s="361">
        <f t="shared" si="67"/>
        <v>69</v>
      </c>
      <c r="AG261" s="361">
        <f t="shared" si="67"/>
        <v>43</v>
      </c>
      <c r="AH261" s="361">
        <f t="shared" si="67"/>
        <v>46</v>
      </c>
      <c r="AI261" s="361">
        <f t="shared" si="67"/>
        <v>40</v>
      </c>
      <c r="AJ261" s="362">
        <f t="shared" si="67"/>
        <v>39</v>
      </c>
      <c r="AL261" s="301">
        <f t="shared" si="61"/>
        <v>618</v>
      </c>
      <c r="AM261" s="301">
        <f t="shared" si="62"/>
        <v>1021</v>
      </c>
    </row>
    <row r="262" spans="1:57" ht="15.75" thickBot="1">
      <c r="A262" s="305" t="s">
        <v>436</v>
      </c>
      <c r="B262" s="305"/>
      <c r="C262" s="305">
        <f t="shared" si="59"/>
        <v>42</v>
      </c>
      <c r="D262" s="305"/>
      <c r="E262" s="363">
        <f t="shared" ref="E262:AJ262" si="68">COUNTIF(E4:E254,"*o*")</f>
        <v>2</v>
      </c>
      <c r="F262" s="364">
        <f t="shared" si="68"/>
        <v>3</v>
      </c>
      <c r="G262" s="364">
        <f t="shared" si="68"/>
        <v>3</v>
      </c>
      <c r="H262" s="364">
        <f t="shared" si="68"/>
        <v>2</v>
      </c>
      <c r="I262" s="364">
        <f t="shared" si="68"/>
        <v>2</v>
      </c>
      <c r="J262" s="364">
        <f t="shared" si="68"/>
        <v>0</v>
      </c>
      <c r="K262" s="364">
        <f t="shared" si="68"/>
        <v>0</v>
      </c>
      <c r="L262" s="365">
        <f t="shared" si="68"/>
        <v>0</v>
      </c>
      <c r="M262" s="363">
        <f t="shared" si="68"/>
        <v>1</v>
      </c>
      <c r="N262" s="364">
        <f t="shared" si="68"/>
        <v>0</v>
      </c>
      <c r="O262" s="364">
        <f t="shared" si="68"/>
        <v>0</v>
      </c>
      <c r="P262" s="364">
        <f t="shared" si="68"/>
        <v>3</v>
      </c>
      <c r="Q262" s="364">
        <f t="shared" si="68"/>
        <v>2</v>
      </c>
      <c r="R262" s="364">
        <f t="shared" si="68"/>
        <v>3</v>
      </c>
      <c r="S262" s="364">
        <f t="shared" si="68"/>
        <v>7</v>
      </c>
      <c r="T262" s="365">
        <f t="shared" si="68"/>
        <v>3</v>
      </c>
      <c r="U262" s="363">
        <f t="shared" si="68"/>
        <v>3</v>
      </c>
      <c r="V262" s="364">
        <f t="shared" si="68"/>
        <v>1</v>
      </c>
      <c r="W262" s="364">
        <f t="shared" si="68"/>
        <v>1</v>
      </c>
      <c r="X262" s="364">
        <f t="shared" si="68"/>
        <v>1</v>
      </c>
      <c r="Y262" s="364">
        <f t="shared" si="68"/>
        <v>2</v>
      </c>
      <c r="Z262" s="364">
        <f t="shared" si="68"/>
        <v>0</v>
      </c>
      <c r="AA262" s="364">
        <f t="shared" si="68"/>
        <v>0</v>
      </c>
      <c r="AB262" s="365">
        <f t="shared" si="68"/>
        <v>0</v>
      </c>
      <c r="AC262" s="363">
        <f t="shared" si="68"/>
        <v>0</v>
      </c>
      <c r="AD262" s="364">
        <f t="shared" si="68"/>
        <v>0</v>
      </c>
      <c r="AE262" s="364">
        <f t="shared" si="68"/>
        <v>1</v>
      </c>
      <c r="AF262" s="364">
        <f t="shared" si="68"/>
        <v>1</v>
      </c>
      <c r="AG262" s="364">
        <f t="shared" si="68"/>
        <v>1</v>
      </c>
      <c r="AH262" s="364">
        <f t="shared" si="68"/>
        <v>0</v>
      </c>
      <c r="AI262" s="364">
        <f t="shared" si="68"/>
        <v>0</v>
      </c>
      <c r="AJ262" s="365">
        <f t="shared" si="68"/>
        <v>0</v>
      </c>
      <c r="AL262" s="305">
        <f t="shared" si="61"/>
        <v>31</v>
      </c>
      <c r="AM262" s="305">
        <f t="shared" si="62"/>
        <v>11</v>
      </c>
    </row>
    <row r="263" spans="1:57" ht="15.75" thickBot="1">
      <c r="A263" s="8"/>
      <c r="B263" s="8"/>
      <c r="C263" s="8"/>
      <c r="D263" s="8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57">
      <c r="A264" s="310" t="s">
        <v>375</v>
      </c>
      <c r="B264" s="310"/>
      <c r="C264" s="310">
        <f>SUM(C257:C262)</f>
        <v>7543</v>
      </c>
      <c r="D264" s="310"/>
      <c r="E264" s="366">
        <f t="shared" ref="E264:AJ264" si="69">SUM(E257:E262)</f>
        <v>116</v>
      </c>
      <c r="F264" s="367">
        <f t="shared" si="69"/>
        <v>213</v>
      </c>
      <c r="G264" s="367">
        <f t="shared" si="69"/>
        <v>243</v>
      </c>
      <c r="H264" s="367">
        <f t="shared" si="69"/>
        <v>186</v>
      </c>
      <c r="I264" s="367">
        <f t="shared" si="69"/>
        <v>173</v>
      </c>
      <c r="J264" s="367">
        <f t="shared" si="69"/>
        <v>191</v>
      </c>
      <c r="K264" s="367">
        <f t="shared" si="69"/>
        <v>197</v>
      </c>
      <c r="L264" s="368">
        <f t="shared" si="69"/>
        <v>190</v>
      </c>
      <c r="M264" s="366">
        <f t="shared" si="69"/>
        <v>172</v>
      </c>
      <c r="N264" s="367">
        <f t="shared" si="69"/>
        <v>207</v>
      </c>
      <c r="O264" s="367">
        <f t="shared" si="69"/>
        <v>210</v>
      </c>
      <c r="P264" s="367">
        <f t="shared" si="69"/>
        <v>189</v>
      </c>
      <c r="Q264" s="367">
        <f t="shared" si="69"/>
        <v>165</v>
      </c>
      <c r="R264" s="367">
        <f t="shared" si="69"/>
        <v>200</v>
      </c>
      <c r="S264" s="367">
        <f t="shared" si="69"/>
        <v>200</v>
      </c>
      <c r="T264" s="368">
        <f t="shared" si="69"/>
        <v>119</v>
      </c>
      <c r="U264" s="366">
        <f t="shared" si="69"/>
        <v>149</v>
      </c>
      <c r="V264" s="367">
        <f t="shared" si="69"/>
        <v>177</v>
      </c>
      <c r="W264" s="367">
        <f t="shared" si="69"/>
        <v>211</v>
      </c>
      <c r="X264" s="367">
        <f t="shared" si="69"/>
        <v>230</v>
      </c>
      <c r="Y264" s="367">
        <f t="shared" si="69"/>
        <v>267</v>
      </c>
      <c r="Z264" s="367">
        <f t="shared" si="69"/>
        <v>358</v>
      </c>
      <c r="AA264" s="367">
        <f t="shared" si="69"/>
        <v>441</v>
      </c>
      <c r="AB264" s="368">
        <f t="shared" si="69"/>
        <v>451</v>
      </c>
      <c r="AC264" s="366">
        <f t="shared" si="69"/>
        <v>444</v>
      </c>
      <c r="AD264" s="367">
        <f t="shared" si="69"/>
        <v>430</v>
      </c>
      <c r="AE264" s="367">
        <f t="shared" si="69"/>
        <v>378</v>
      </c>
      <c r="AF264" s="367">
        <f t="shared" si="69"/>
        <v>308</v>
      </c>
      <c r="AG264" s="367">
        <f t="shared" si="69"/>
        <v>221</v>
      </c>
      <c r="AH264" s="367">
        <f t="shared" si="69"/>
        <v>198</v>
      </c>
      <c r="AI264" s="367">
        <f t="shared" si="69"/>
        <v>161</v>
      </c>
      <c r="AJ264" s="368">
        <f t="shared" si="69"/>
        <v>148</v>
      </c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57" ht="15.75" thickBot="1">
      <c r="A265" s="310" t="s">
        <v>374</v>
      </c>
      <c r="B265" s="310"/>
      <c r="C265" s="315">
        <f>C264/AY255</f>
        <v>0.29157325086973329</v>
      </c>
      <c r="D265" s="310"/>
      <c r="E265" s="369">
        <f>E264/C264</f>
        <v>1.5378496619382209E-2</v>
      </c>
      <c r="F265" s="370">
        <f>F264/C264</f>
        <v>2.8238101551106988E-2</v>
      </c>
      <c r="G265" s="370">
        <f>G264/C264</f>
        <v>3.2215298952671348E-2</v>
      </c>
      <c r="H265" s="370">
        <f>H264/C264</f>
        <v>2.4658623889699059E-2</v>
      </c>
      <c r="I265" s="370">
        <f>I264/C264</f>
        <v>2.29351716823545E-2</v>
      </c>
      <c r="J265" s="370">
        <f>J264/C264</f>
        <v>2.5321490123293121E-2</v>
      </c>
      <c r="K265" s="370">
        <f>K264/C264</f>
        <v>2.6116929603605992E-2</v>
      </c>
      <c r="L265" s="371">
        <f>L264/C264</f>
        <v>2.5188916876574308E-2</v>
      </c>
      <c r="M265" s="369">
        <f>M264/C264</f>
        <v>2.2802598435635688E-2</v>
      </c>
      <c r="N265" s="370">
        <f>N264/C264</f>
        <v>2.7442662070794113E-2</v>
      </c>
      <c r="O265" s="370">
        <f>O264/C264</f>
        <v>2.7840381810950551E-2</v>
      </c>
      <c r="P265" s="370">
        <f>P264/C264</f>
        <v>2.5056343629855496E-2</v>
      </c>
      <c r="Q265" s="370">
        <f>Q264/C264</f>
        <v>2.1874585708604004E-2</v>
      </c>
      <c r="R265" s="370">
        <f>R264/C264</f>
        <v>2.6514649343762429E-2</v>
      </c>
      <c r="S265" s="370">
        <f>S264/C264</f>
        <v>2.6514649343762429E-2</v>
      </c>
      <c r="T265" s="371">
        <f>T264/C264</f>
        <v>1.5776216359538645E-2</v>
      </c>
      <c r="U265" s="369">
        <f>U264/C264</f>
        <v>1.9753413761103008E-2</v>
      </c>
      <c r="V265" s="370">
        <f>V264/C264</f>
        <v>2.346546466922975E-2</v>
      </c>
      <c r="W265" s="370">
        <f>W264/C264</f>
        <v>2.7972955057669363E-2</v>
      </c>
      <c r="X265" s="370">
        <f>X264/C264</f>
        <v>3.0491846745326793E-2</v>
      </c>
      <c r="Y265" s="370">
        <f>Y264/C264</f>
        <v>3.539705687392284E-2</v>
      </c>
      <c r="Z265" s="370">
        <f>Z264/C264</f>
        <v>4.746122232533475E-2</v>
      </c>
      <c r="AA265" s="370">
        <f>AA264/C264</f>
        <v>5.8464801802996152E-2</v>
      </c>
      <c r="AB265" s="371">
        <f>AB264/C264</f>
        <v>5.9790534270184277E-2</v>
      </c>
      <c r="AC265" s="369">
        <f>AC264/C264</f>
        <v>5.8862521543152593E-2</v>
      </c>
      <c r="AD265" s="370">
        <f>AD264/C264</f>
        <v>5.7006496089089219E-2</v>
      </c>
      <c r="AE265" s="370">
        <f>AE264/C264</f>
        <v>5.0112687259710992E-2</v>
      </c>
      <c r="AF265" s="370">
        <f>AF264/C264</f>
        <v>4.083255998939414E-2</v>
      </c>
      <c r="AG265" s="370">
        <f>AG264/C264</f>
        <v>2.9298687524857484E-2</v>
      </c>
      <c r="AH265" s="370">
        <f>AH264/C264</f>
        <v>2.6249502850324805E-2</v>
      </c>
      <c r="AI265" s="370">
        <f>AI264/C264</f>
        <v>2.1344292721728754E-2</v>
      </c>
      <c r="AJ265" s="371">
        <f>AJ264/C264</f>
        <v>1.9620840514384199E-2</v>
      </c>
    </row>
    <row r="266" spans="1:57" ht="15.75" thickBot="1"/>
    <row r="267" spans="1:57">
      <c r="A267" s="101" t="s">
        <v>431</v>
      </c>
      <c r="B267" s="101"/>
      <c r="C267" s="101"/>
      <c r="D267" s="101"/>
      <c r="E267" s="485">
        <f t="shared" ref="E267:E272" si="70">E257:G257</f>
        <v>32</v>
      </c>
      <c r="F267" s="486"/>
      <c r="G267" s="486"/>
      <c r="H267" s="486">
        <f t="shared" ref="H267:H272" si="71">H257:I257</f>
        <v>77</v>
      </c>
      <c r="I267" s="486"/>
      <c r="J267" s="348">
        <f t="shared" ref="J267:J272" si="72">J257</f>
        <v>0</v>
      </c>
      <c r="K267" s="486">
        <f t="shared" ref="K267:K272" si="73">K257:N257</f>
        <v>0</v>
      </c>
      <c r="L267" s="486"/>
      <c r="M267" s="486"/>
      <c r="N267" s="486"/>
      <c r="O267" s="348">
        <f t="shared" ref="O267:O272" si="74">O257</f>
        <v>0</v>
      </c>
      <c r="P267" s="486">
        <f t="shared" ref="P267:P272" si="75">P257:Q257</f>
        <v>87</v>
      </c>
      <c r="Q267" s="486"/>
      <c r="R267" s="486">
        <f t="shared" ref="R267:R272" si="76">R257:T257</f>
        <v>77</v>
      </c>
      <c r="S267" s="486"/>
      <c r="T267" s="487"/>
      <c r="U267" s="485">
        <f t="shared" ref="U267:U272" si="77">U257:W257</f>
        <v>29</v>
      </c>
      <c r="V267" s="486"/>
      <c r="W267" s="486"/>
      <c r="X267" s="486">
        <f t="shared" ref="X267:X272" si="78">X257:Y257</f>
        <v>58</v>
      </c>
      <c r="Y267" s="486"/>
      <c r="Z267" s="348">
        <f t="shared" ref="Z267:Z272" si="79">Z257</f>
        <v>0</v>
      </c>
      <c r="AA267" s="486">
        <f t="shared" ref="AA267:AA272" si="80">AA257:AD257</f>
        <v>0</v>
      </c>
      <c r="AB267" s="486"/>
      <c r="AC267" s="486"/>
      <c r="AD267" s="486"/>
      <c r="AE267" s="348">
        <f t="shared" ref="AE267:AE272" si="81">AE257</f>
        <v>0</v>
      </c>
      <c r="AF267" s="486">
        <f t="shared" ref="AF267:AF272" si="82">AF257:AG257</f>
        <v>87</v>
      </c>
      <c r="AG267" s="486"/>
      <c r="AH267" s="486">
        <f t="shared" ref="AH267:AH272" si="83">AH257:AJ257</f>
        <v>49</v>
      </c>
      <c r="AI267" s="486"/>
      <c r="AJ267" s="487"/>
    </row>
    <row r="268" spans="1:57">
      <c r="A268" s="285" t="s">
        <v>432</v>
      </c>
      <c r="B268" s="285"/>
      <c r="C268" s="285"/>
      <c r="D268" s="285"/>
      <c r="E268" s="488">
        <f t="shared" si="70"/>
        <v>25</v>
      </c>
      <c r="F268" s="489"/>
      <c r="G268" s="489"/>
      <c r="H268" s="489">
        <f t="shared" si="71"/>
        <v>33</v>
      </c>
      <c r="I268" s="489"/>
      <c r="J268" s="352">
        <f t="shared" si="72"/>
        <v>24</v>
      </c>
      <c r="K268" s="489">
        <f t="shared" si="73"/>
        <v>33</v>
      </c>
      <c r="L268" s="489"/>
      <c r="M268" s="489"/>
      <c r="N268" s="489"/>
      <c r="O268" s="352">
        <f t="shared" si="74"/>
        <v>35</v>
      </c>
      <c r="P268" s="489">
        <f t="shared" si="75"/>
        <v>23</v>
      </c>
      <c r="Q268" s="489"/>
      <c r="R268" s="489">
        <f t="shared" si="76"/>
        <v>37</v>
      </c>
      <c r="S268" s="489"/>
      <c r="T268" s="490"/>
      <c r="U268" s="488">
        <f t="shared" si="77"/>
        <v>42</v>
      </c>
      <c r="V268" s="489"/>
      <c r="W268" s="489"/>
      <c r="X268" s="489">
        <f t="shared" si="78"/>
        <v>79</v>
      </c>
      <c r="Y268" s="489"/>
      <c r="Z268" s="352">
        <f t="shared" si="79"/>
        <v>94</v>
      </c>
      <c r="AA268" s="489">
        <f t="shared" si="80"/>
        <v>116</v>
      </c>
      <c r="AB268" s="489"/>
      <c r="AC268" s="489"/>
      <c r="AD268" s="489"/>
      <c r="AE268" s="352">
        <f t="shared" si="81"/>
        <v>95</v>
      </c>
      <c r="AF268" s="489">
        <f t="shared" si="82"/>
        <v>83</v>
      </c>
      <c r="AG268" s="489"/>
      <c r="AH268" s="489">
        <f t="shared" si="83"/>
        <v>65</v>
      </c>
      <c r="AI268" s="489"/>
      <c r="AJ268" s="490"/>
    </row>
    <row r="269" spans="1:57">
      <c r="A269" s="292" t="s">
        <v>486</v>
      </c>
      <c r="B269" s="292"/>
      <c r="C269" s="292"/>
      <c r="D269" s="292"/>
      <c r="E269" s="491">
        <f t="shared" si="70"/>
        <v>0</v>
      </c>
      <c r="F269" s="492"/>
      <c r="G269" s="492"/>
      <c r="H269" s="492">
        <f t="shared" si="71"/>
        <v>0</v>
      </c>
      <c r="I269" s="492"/>
      <c r="J269" s="355">
        <f t="shared" si="72"/>
        <v>91</v>
      </c>
      <c r="K269" s="492">
        <f t="shared" si="73"/>
        <v>79</v>
      </c>
      <c r="L269" s="492"/>
      <c r="M269" s="492"/>
      <c r="N269" s="492"/>
      <c r="O269" s="355">
        <f t="shared" si="74"/>
        <v>100</v>
      </c>
      <c r="P269" s="492">
        <f t="shared" si="75"/>
        <v>0</v>
      </c>
      <c r="Q269" s="492"/>
      <c r="R269" s="492">
        <f t="shared" si="76"/>
        <v>0</v>
      </c>
      <c r="S269" s="492"/>
      <c r="T269" s="493"/>
      <c r="U269" s="491">
        <f t="shared" si="77"/>
        <v>0</v>
      </c>
      <c r="V269" s="492"/>
      <c r="W269" s="492"/>
      <c r="X269" s="492">
        <f t="shared" si="78"/>
        <v>0</v>
      </c>
      <c r="Y269" s="492"/>
      <c r="Z269" s="355">
        <f t="shared" si="79"/>
        <v>108</v>
      </c>
      <c r="AA269" s="492">
        <f t="shared" si="80"/>
        <v>119</v>
      </c>
      <c r="AB269" s="492"/>
      <c r="AC269" s="492"/>
      <c r="AD269" s="492"/>
      <c r="AE269" s="355">
        <f t="shared" si="81"/>
        <v>118</v>
      </c>
      <c r="AF269" s="492">
        <f t="shared" si="82"/>
        <v>0</v>
      </c>
      <c r="AG269" s="492"/>
      <c r="AH269" s="492">
        <f t="shared" si="83"/>
        <v>0</v>
      </c>
      <c r="AI269" s="492"/>
      <c r="AJ269" s="493"/>
    </row>
    <row r="270" spans="1:57">
      <c r="A270" s="297" t="s">
        <v>434</v>
      </c>
      <c r="B270" s="297"/>
      <c r="C270" s="297"/>
      <c r="D270" s="297"/>
      <c r="E270" s="494">
        <f t="shared" si="70"/>
        <v>26</v>
      </c>
      <c r="F270" s="427"/>
      <c r="G270" s="427"/>
      <c r="H270" s="427">
        <f t="shared" si="71"/>
        <v>37</v>
      </c>
      <c r="I270" s="427"/>
      <c r="J270" s="358">
        <f t="shared" si="72"/>
        <v>43</v>
      </c>
      <c r="K270" s="427">
        <f t="shared" si="73"/>
        <v>46</v>
      </c>
      <c r="L270" s="427"/>
      <c r="M270" s="427"/>
      <c r="N270" s="427"/>
      <c r="O270" s="358">
        <f t="shared" si="74"/>
        <v>38</v>
      </c>
      <c r="P270" s="427">
        <f t="shared" si="75"/>
        <v>37</v>
      </c>
      <c r="Q270" s="427"/>
      <c r="R270" s="427">
        <f t="shared" si="76"/>
        <v>34</v>
      </c>
      <c r="S270" s="427"/>
      <c r="T270" s="495"/>
      <c r="U270" s="494">
        <f t="shared" si="77"/>
        <v>29</v>
      </c>
      <c r="V270" s="427"/>
      <c r="W270" s="427"/>
      <c r="X270" s="427">
        <f t="shared" si="78"/>
        <v>48</v>
      </c>
      <c r="Y270" s="427"/>
      <c r="Z270" s="358">
        <f t="shared" si="79"/>
        <v>79</v>
      </c>
      <c r="AA270" s="427">
        <f t="shared" si="80"/>
        <v>107</v>
      </c>
      <c r="AB270" s="427"/>
      <c r="AC270" s="427"/>
      <c r="AD270" s="427"/>
      <c r="AE270" s="358">
        <f t="shared" si="81"/>
        <v>85</v>
      </c>
      <c r="AF270" s="427">
        <f t="shared" si="82"/>
        <v>68</v>
      </c>
      <c r="AG270" s="427"/>
      <c r="AH270" s="427">
        <f t="shared" si="83"/>
        <v>38</v>
      </c>
      <c r="AI270" s="427"/>
      <c r="AJ270" s="495"/>
    </row>
    <row r="271" spans="1:57">
      <c r="A271" s="301" t="s">
        <v>435</v>
      </c>
      <c r="B271" s="301"/>
      <c r="C271" s="301"/>
      <c r="D271" s="301"/>
      <c r="E271" s="496">
        <f t="shared" si="70"/>
        <v>31</v>
      </c>
      <c r="F271" s="497"/>
      <c r="G271" s="497"/>
      <c r="H271" s="497">
        <f t="shared" si="71"/>
        <v>37</v>
      </c>
      <c r="I271" s="497"/>
      <c r="J271" s="361">
        <f t="shared" si="72"/>
        <v>33</v>
      </c>
      <c r="K271" s="497">
        <f t="shared" si="73"/>
        <v>39</v>
      </c>
      <c r="L271" s="497"/>
      <c r="M271" s="497"/>
      <c r="N271" s="497"/>
      <c r="O271" s="361">
        <f t="shared" si="74"/>
        <v>37</v>
      </c>
      <c r="P271" s="497">
        <f t="shared" si="75"/>
        <v>39</v>
      </c>
      <c r="Q271" s="497"/>
      <c r="R271" s="497">
        <f t="shared" si="76"/>
        <v>49</v>
      </c>
      <c r="S271" s="497"/>
      <c r="T271" s="498"/>
      <c r="U271" s="496">
        <f t="shared" si="77"/>
        <v>46</v>
      </c>
      <c r="V271" s="497"/>
      <c r="W271" s="497"/>
      <c r="X271" s="497">
        <f t="shared" si="78"/>
        <v>44</v>
      </c>
      <c r="Y271" s="497"/>
      <c r="Z271" s="361">
        <f t="shared" si="79"/>
        <v>77</v>
      </c>
      <c r="AA271" s="497">
        <f t="shared" si="80"/>
        <v>99</v>
      </c>
      <c r="AB271" s="497"/>
      <c r="AC271" s="497"/>
      <c r="AD271" s="497"/>
      <c r="AE271" s="361">
        <f t="shared" si="81"/>
        <v>79</v>
      </c>
      <c r="AF271" s="497">
        <f t="shared" si="82"/>
        <v>69</v>
      </c>
      <c r="AG271" s="497"/>
      <c r="AH271" s="497">
        <f t="shared" si="83"/>
        <v>46</v>
      </c>
      <c r="AI271" s="497"/>
      <c r="AJ271" s="498"/>
    </row>
    <row r="272" spans="1:57" ht="15.75" thickBot="1">
      <c r="A272" s="305" t="s">
        <v>436</v>
      </c>
      <c r="B272" s="305"/>
      <c r="C272" s="305"/>
      <c r="D272" s="305"/>
      <c r="E272" s="499">
        <f t="shared" si="70"/>
        <v>2</v>
      </c>
      <c r="F272" s="500"/>
      <c r="G272" s="500"/>
      <c r="H272" s="500">
        <f t="shared" si="71"/>
        <v>2</v>
      </c>
      <c r="I272" s="500"/>
      <c r="J272" s="364">
        <f t="shared" si="72"/>
        <v>0</v>
      </c>
      <c r="K272" s="500">
        <f t="shared" si="73"/>
        <v>0</v>
      </c>
      <c r="L272" s="500"/>
      <c r="M272" s="500"/>
      <c r="N272" s="500"/>
      <c r="O272" s="364">
        <f t="shared" si="74"/>
        <v>0</v>
      </c>
      <c r="P272" s="500">
        <f t="shared" si="75"/>
        <v>3</v>
      </c>
      <c r="Q272" s="500"/>
      <c r="R272" s="500">
        <f t="shared" si="76"/>
        <v>3</v>
      </c>
      <c r="S272" s="500"/>
      <c r="T272" s="501"/>
      <c r="U272" s="499">
        <f t="shared" si="77"/>
        <v>3</v>
      </c>
      <c r="V272" s="500"/>
      <c r="W272" s="500"/>
      <c r="X272" s="500">
        <f t="shared" si="78"/>
        <v>1</v>
      </c>
      <c r="Y272" s="500"/>
      <c r="Z272" s="364">
        <f t="shared" si="79"/>
        <v>0</v>
      </c>
      <c r="AA272" s="500">
        <f t="shared" si="80"/>
        <v>0</v>
      </c>
      <c r="AB272" s="500"/>
      <c r="AC272" s="500"/>
      <c r="AD272" s="500"/>
      <c r="AE272" s="364">
        <f t="shared" si="81"/>
        <v>1</v>
      </c>
      <c r="AF272" s="500">
        <f t="shared" si="82"/>
        <v>1</v>
      </c>
      <c r="AG272" s="500"/>
      <c r="AH272" s="500">
        <f t="shared" si="83"/>
        <v>0</v>
      </c>
      <c r="AI272" s="500"/>
      <c r="AJ272" s="501"/>
    </row>
    <row r="273" spans="1:56" ht="15.75" thickBot="1"/>
    <row r="274" spans="1:56" ht="15.75" thickBot="1">
      <c r="A274" s="67" t="s">
        <v>610</v>
      </c>
      <c r="E274" s="389">
        <f>SUM(E257:T262)</f>
        <v>2971</v>
      </c>
      <c r="F274" s="390"/>
      <c r="G274" s="390"/>
      <c r="H274" s="390"/>
      <c r="I274" s="390"/>
      <c r="J274" s="390"/>
      <c r="K274" s="390"/>
      <c r="L274" s="390"/>
      <c r="M274" s="390"/>
      <c r="N274" s="390"/>
      <c r="O274" s="390"/>
      <c r="P274" s="390"/>
      <c r="Q274" s="390"/>
      <c r="R274" s="390"/>
      <c r="S274" s="390"/>
      <c r="T274" s="391"/>
      <c r="U274" s="389">
        <f>SUM(U257:AJ262)</f>
        <v>4572</v>
      </c>
      <c r="V274" s="390"/>
      <c r="W274" s="390"/>
      <c r="X274" s="390"/>
      <c r="Y274" s="390"/>
      <c r="Z274" s="390"/>
      <c r="AA274" s="390"/>
      <c r="AB274" s="390"/>
      <c r="AC274" s="390"/>
      <c r="AD274" s="390"/>
      <c r="AE274" s="390"/>
      <c r="AF274" s="390"/>
      <c r="AG274" s="390"/>
      <c r="AH274" s="390"/>
      <c r="AI274" s="390"/>
      <c r="AJ274" s="391"/>
    </row>
    <row r="275" spans="1:56" ht="15.75" thickBot="1"/>
    <row r="276" spans="1:56">
      <c r="A276" s="67" t="s">
        <v>611</v>
      </c>
      <c r="E276" s="421">
        <v>12515</v>
      </c>
      <c r="F276" s="422"/>
      <c r="G276" s="422"/>
      <c r="H276" s="422"/>
      <c r="I276" s="422"/>
      <c r="J276" s="422"/>
      <c r="K276" s="422"/>
      <c r="L276" s="422"/>
      <c r="M276" s="422"/>
      <c r="N276" s="422"/>
      <c r="O276" s="422"/>
      <c r="P276" s="422"/>
      <c r="Q276" s="422"/>
      <c r="R276" s="422"/>
      <c r="S276" s="422"/>
      <c r="T276" s="423"/>
      <c r="U276" s="421">
        <v>13355</v>
      </c>
      <c r="V276" s="422"/>
      <c r="W276" s="422"/>
      <c r="X276" s="422"/>
      <c r="Y276" s="422"/>
      <c r="Z276" s="422"/>
      <c r="AA276" s="422"/>
      <c r="AB276" s="422"/>
      <c r="AC276" s="422"/>
      <c r="AD276" s="422"/>
      <c r="AE276" s="422"/>
      <c r="AF276" s="422"/>
      <c r="AG276" s="422"/>
      <c r="AH276" s="422"/>
      <c r="AI276" s="422"/>
      <c r="AJ276" s="423"/>
    </row>
    <row r="277" spans="1:56" ht="15.75" thickBot="1">
      <c r="A277" s="67" t="s">
        <v>612</v>
      </c>
      <c r="E277" s="521">
        <f>E274/E276</f>
        <v>0.23739512584898123</v>
      </c>
      <c r="F277" s="522"/>
      <c r="G277" s="522"/>
      <c r="H277" s="522"/>
      <c r="I277" s="522"/>
      <c r="J277" s="522"/>
      <c r="K277" s="522"/>
      <c r="L277" s="522"/>
      <c r="M277" s="522"/>
      <c r="N277" s="522"/>
      <c r="O277" s="522"/>
      <c r="P277" s="522"/>
      <c r="Q277" s="522"/>
      <c r="R277" s="522"/>
      <c r="S277" s="522"/>
      <c r="T277" s="523"/>
      <c r="U277" s="521">
        <f>U274/U276</f>
        <v>0.34234369150131039</v>
      </c>
      <c r="V277" s="522"/>
      <c r="W277" s="522"/>
      <c r="X277" s="522"/>
      <c r="Y277" s="522"/>
      <c r="Z277" s="522"/>
      <c r="AA277" s="522"/>
      <c r="AB277" s="522"/>
      <c r="AC277" s="522"/>
      <c r="AD277" s="522"/>
      <c r="AE277" s="522"/>
      <c r="AF277" s="522"/>
      <c r="AG277" s="522"/>
      <c r="AH277" s="522"/>
      <c r="AI277" s="522"/>
      <c r="AJ277" s="523"/>
    </row>
    <row r="278" spans="1:56" ht="15.75" thickBot="1"/>
    <row r="279" spans="1:56" ht="15.75" thickBot="1">
      <c r="A279" s="67" t="s">
        <v>487</v>
      </c>
      <c r="E279" s="266">
        <v>355</v>
      </c>
      <c r="F279" s="267">
        <v>575</v>
      </c>
      <c r="G279" s="267">
        <v>695</v>
      </c>
      <c r="H279" s="267">
        <v>890</v>
      </c>
      <c r="I279" s="267">
        <v>985</v>
      </c>
      <c r="J279" s="267">
        <v>925</v>
      </c>
      <c r="K279" s="267">
        <v>900</v>
      </c>
      <c r="L279" s="268">
        <v>905</v>
      </c>
      <c r="M279" s="266">
        <v>905</v>
      </c>
      <c r="N279" s="267">
        <v>945</v>
      </c>
      <c r="O279" s="267">
        <v>895</v>
      </c>
      <c r="P279" s="267">
        <v>1000</v>
      </c>
      <c r="Q279" s="267">
        <v>910</v>
      </c>
      <c r="R279" s="267">
        <v>685</v>
      </c>
      <c r="S279" s="267">
        <v>550</v>
      </c>
      <c r="T279" s="268">
        <v>395</v>
      </c>
      <c r="U279" s="266">
        <v>380</v>
      </c>
      <c r="V279" s="267">
        <v>560</v>
      </c>
      <c r="W279" s="267">
        <v>675</v>
      </c>
      <c r="X279" s="267">
        <v>920</v>
      </c>
      <c r="Y279" s="267">
        <v>1075</v>
      </c>
      <c r="Z279" s="267">
        <v>1010</v>
      </c>
      <c r="AA279" s="267">
        <v>1055</v>
      </c>
      <c r="AB279" s="268">
        <v>1000</v>
      </c>
      <c r="AC279" s="266">
        <v>1010</v>
      </c>
      <c r="AD279" s="267">
        <v>1040</v>
      </c>
      <c r="AE279" s="267">
        <v>1035</v>
      </c>
      <c r="AF279" s="267">
        <v>1095</v>
      </c>
      <c r="AG279" s="267">
        <v>945</v>
      </c>
      <c r="AH279" s="267">
        <v>650</v>
      </c>
      <c r="AI279" s="267">
        <v>505</v>
      </c>
      <c r="AJ279" s="268">
        <v>400</v>
      </c>
    </row>
    <row r="280" spans="1:56" ht="15.75" thickBot="1">
      <c r="A280" s="67" t="s">
        <v>487</v>
      </c>
      <c r="E280" s="389">
        <f>SUM(E279:G279)</f>
        <v>1625</v>
      </c>
      <c r="F280" s="390"/>
      <c r="G280" s="390"/>
      <c r="H280" s="502">
        <f>SUM(H279:I279)</f>
        <v>1875</v>
      </c>
      <c r="I280" s="390"/>
      <c r="J280" s="320">
        <f>J279</f>
        <v>925</v>
      </c>
      <c r="K280" s="502">
        <f>SUM(K279:N279)</f>
        <v>3655</v>
      </c>
      <c r="L280" s="390"/>
      <c r="M280" s="390"/>
      <c r="N280" s="390"/>
      <c r="O280" s="320">
        <f>O279</f>
        <v>895</v>
      </c>
      <c r="P280" s="502">
        <f>SUM(P279:Q279)</f>
        <v>1910</v>
      </c>
      <c r="Q280" s="390"/>
      <c r="R280" s="502">
        <f>SUM(R279:T279)</f>
        <v>1630</v>
      </c>
      <c r="S280" s="390"/>
      <c r="T280" s="391"/>
      <c r="U280" s="389">
        <f>SUM(U279:W279)</f>
        <v>1615</v>
      </c>
      <c r="V280" s="390"/>
      <c r="W280" s="390"/>
      <c r="X280" s="502">
        <f>SUM(X279:Y279)</f>
        <v>1995</v>
      </c>
      <c r="Y280" s="390"/>
      <c r="Z280" s="320">
        <f>Z279</f>
        <v>1010</v>
      </c>
      <c r="AA280" s="502">
        <f>SUM(AA279:AD279)</f>
        <v>4105</v>
      </c>
      <c r="AB280" s="390"/>
      <c r="AC280" s="390"/>
      <c r="AD280" s="390"/>
      <c r="AE280" s="320">
        <f>AE279</f>
        <v>1035</v>
      </c>
      <c r="AF280" s="502">
        <f>SUM(AF279:AG279)</f>
        <v>2040</v>
      </c>
      <c r="AG280" s="390"/>
      <c r="AH280" s="502">
        <f>SUM(AH279:AJ279)</f>
        <v>1555</v>
      </c>
      <c r="AI280" s="390"/>
      <c r="AJ280" s="391"/>
    </row>
    <row r="281" spans="1:56" ht="15.75" thickBot="1">
      <c r="A281" s="67" t="s">
        <v>487</v>
      </c>
      <c r="E281" s="408">
        <v>6230</v>
      </c>
      <c r="F281" s="409"/>
      <c r="G281" s="409"/>
      <c r="H281" s="409"/>
      <c r="I281" s="409"/>
      <c r="J281" s="409"/>
      <c r="K281" s="409"/>
      <c r="L281" s="410"/>
      <c r="M281" s="408">
        <v>6285</v>
      </c>
      <c r="N281" s="409"/>
      <c r="O281" s="409"/>
      <c r="P281" s="409"/>
      <c r="Q281" s="409"/>
      <c r="R281" s="409"/>
      <c r="S281" s="409"/>
      <c r="T281" s="409"/>
      <c r="U281" s="408">
        <v>6675</v>
      </c>
      <c r="V281" s="409"/>
      <c r="W281" s="409"/>
      <c r="X281" s="409"/>
      <c r="Y281" s="409"/>
      <c r="Z281" s="409"/>
      <c r="AA281" s="409"/>
      <c r="AB281" s="410"/>
      <c r="AC281" s="408">
        <v>6680</v>
      </c>
      <c r="AD281" s="409"/>
      <c r="AE281" s="409"/>
      <c r="AF281" s="409"/>
      <c r="AG281" s="409"/>
      <c r="AH281" s="409"/>
      <c r="AI281" s="409"/>
      <c r="AJ281" s="410"/>
    </row>
    <row r="282" spans="1:56" ht="15.75" thickBot="1">
      <c r="A282" s="67" t="s">
        <v>487</v>
      </c>
      <c r="E282" s="389">
        <v>12515</v>
      </c>
      <c r="F282" s="390"/>
      <c r="G282" s="390"/>
      <c r="H282" s="390"/>
      <c r="I282" s="390"/>
      <c r="J282" s="390"/>
      <c r="K282" s="390"/>
      <c r="L282" s="390"/>
      <c r="M282" s="390"/>
      <c r="N282" s="390"/>
      <c r="O282" s="390"/>
      <c r="P282" s="390"/>
      <c r="Q282" s="390"/>
      <c r="R282" s="390"/>
      <c r="S282" s="390"/>
      <c r="T282" s="390"/>
      <c r="U282" s="389">
        <v>13355</v>
      </c>
      <c r="V282" s="390"/>
      <c r="W282" s="390"/>
      <c r="X282" s="390"/>
      <c r="Y282" s="390"/>
      <c r="Z282" s="390"/>
      <c r="AA282" s="390"/>
      <c r="AB282" s="390"/>
      <c r="AC282" s="390"/>
      <c r="AD282" s="390"/>
      <c r="AE282" s="390"/>
      <c r="AF282" s="390"/>
      <c r="AG282" s="390"/>
      <c r="AH282" s="390"/>
      <c r="AI282" s="390"/>
      <c r="AJ282" s="391"/>
    </row>
    <row r="283" spans="1:56" ht="15.75" thickBot="1"/>
    <row r="284" spans="1:56">
      <c r="A284" s="101" t="s">
        <v>431</v>
      </c>
      <c r="B284" s="101"/>
      <c r="C284" s="101"/>
      <c r="D284" s="101"/>
      <c r="E284" s="322">
        <f t="shared" ref="E284:AJ284" si="84">E257/E279</f>
        <v>9.014084507042254E-2</v>
      </c>
      <c r="F284" s="323">
        <f t="shared" si="84"/>
        <v>0.10956521739130434</v>
      </c>
      <c r="G284" s="323">
        <f t="shared" si="84"/>
        <v>0.12086330935251799</v>
      </c>
      <c r="H284" s="323">
        <f t="shared" si="84"/>
        <v>8.6516853932584264E-2</v>
      </c>
      <c r="I284" s="323">
        <f t="shared" si="84"/>
        <v>8.3248730964466999E-2</v>
      </c>
      <c r="J284" s="323">
        <f t="shared" si="84"/>
        <v>0</v>
      </c>
      <c r="K284" s="323">
        <f t="shared" si="84"/>
        <v>0</v>
      </c>
      <c r="L284" s="324">
        <f t="shared" si="84"/>
        <v>0</v>
      </c>
      <c r="M284" s="322">
        <f t="shared" si="84"/>
        <v>0</v>
      </c>
      <c r="N284" s="323">
        <f t="shared" si="84"/>
        <v>0</v>
      </c>
      <c r="O284" s="323">
        <f t="shared" si="84"/>
        <v>0</v>
      </c>
      <c r="P284" s="323">
        <f t="shared" si="84"/>
        <v>8.6999999999999994E-2</v>
      </c>
      <c r="Q284" s="323">
        <f t="shared" si="84"/>
        <v>7.6923076923076927E-2</v>
      </c>
      <c r="R284" s="323">
        <f t="shared" si="84"/>
        <v>0.11240875912408758</v>
      </c>
      <c r="S284" s="323">
        <f t="shared" si="84"/>
        <v>0.11818181818181818</v>
      </c>
      <c r="T284" s="324">
        <f t="shared" si="84"/>
        <v>6.8354430379746839E-2</v>
      </c>
      <c r="U284" s="322">
        <f t="shared" si="84"/>
        <v>7.6315789473684212E-2</v>
      </c>
      <c r="V284" s="323">
        <f t="shared" si="84"/>
        <v>6.9642857142857145E-2</v>
      </c>
      <c r="W284" s="323">
        <f t="shared" si="84"/>
        <v>7.7037037037037043E-2</v>
      </c>
      <c r="X284" s="323">
        <f t="shared" si="84"/>
        <v>6.3043478260869562E-2</v>
      </c>
      <c r="Y284" s="323">
        <f t="shared" si="84"/>
        <v>7.2558139534883714E-2</v>
      </c>
      <c r="Z284" s="323">
        <f t="shared" si="84"/>
        <v>0</v>
      </c>
      <c r="AA284" s="323">
        <f t="shared" si="84"/>
        <v>0</v>
      </c>
      <c r="AB284" s="324">
        <f t="shared" si="84"/>
        <v>0</v>
      </c>
      <c r="AC284" s="322">
        <f t="shared" si="84"/>
        <v>0</v>
      </c>
      <c r="AD284" s="323">
        <f t="shared" si="84"/>
        <v>0</v>
      </c>
      <c r="AE284" s="323">
        <f t="shared" si="84"/>
        <v>0</v>
      </c>
      <c r="AF284" s="323">
        <f t="shared" si="84"/>
        <v>7.9452054794520555E-2</v>
      </c>
      <c r="AG284" s="323">
        <f t="shared" si="84"/>
        <v>6.2433862433862432E-2</v>
      </c>
      <c r="AH284" s="323">
        <f t="shared" si="84"/>
        <v>7.5384615384615383E-2</v>
      </c>
      <c r="AI284" s="323">
        <f t="shared" si="84"/>
        <v>6.9306930693069313E-2</v>
      </c>
      <c r="AJ284" s="324">
        <f t="shared" si="84"/>
        <v>0.08</v>
      </c>
      <c r="AL284" s="325">
        <f>AL257/E282</f>
        <v>5.3056332401118657E-2</v>
      </c>
      <c r="AM284" s="325">
        <f>AM257/U282</f>
        <v>3.8786971171845749E-2</v>
      </c>
    </row>
    <row r="285" spans="1:56">
      <c r="A285" s="285" t="s">
        <v>432</v>
      </c>
      <c r="B285" s="285"/>
      <c r="C285" s="285"/>
      <c r="D285" s="285"/>
      <c r="E285" s="326">
        <f t="shared" ref="E285:AJ285" si="85">E258/E279</f>
        <v>7.0422535211267609E-2</v>
      </c>
      <c r="F285" s="327">
        <f t="shared" si="85"/>
        <v>7.3043478260869571E-2</v>
      </c>
      <c r="G285" s="327">
        <f t="shared" si="85"/>
        <v>6.1870503597122303E-2</v>
      </c>
      <c r="H285" s="327">
        <f t="shared" si="85"/>
        <v>3.707865168539326E-2</v>
      </c>
      <c r="I285" s="327">
        <f t="shared" si="85"/>
        <v>2.030456852791878E-2</v>
      </c>
      <c r="J285" s="327">
        <f t="shared" si="85"/>
        <v>2.5945945945945945E-2</v>
      </c>
      <c r="K285" s="327">
        <f t="shared" si="85"/>
        <v>3.6666666666666667E-2</v>
      </c>
      <c r="L285" s="328">
        <f t="shared" si="85"/>
        <v>2.8729281767955802E-2</v>
      </c>
      <c r="M285" s="326">
        <f t="shared" si="85"/>
        <v>2.8729281767955802E-2</v>
      </c>
      <c r="N285" s="327">
        <f t="shared" si="85"/>
        <v>3.1746031746031744E-2</v>
      </c>
      <c r="O285" s="327">
        <f t="shared" si="85"/>
        <v>3.9106145251396648E-2</v>
      </c>
      <c r="P285" s="327">
        <f t="shared" si="85"/>
        <v>2.3E-2</v>
      </c>
      <c r="Q285" s="327">
        <f t="shared" si="85"/>
        <v>2.8571428571428571E-2</v>
      </c>
      <c r="R285" s="327">
        <f t="shared" si="85"/>
        <v>5.4014598540145987E-2</v>
      </c>
      <c r="S285" s="327">
        <f t="shared" si="85"/>
        <v>7.0909090909090908E-2</v>
      </c>
      <c r="T285" s="328">
        <f t="shared" si="85"/>
        <v>7.0886075949367092E-2</v>
      </c>
      <c r="U285" s="326">
        <f t="shared" si="85"/>
        <v>0.11052631578947368</v>
      </c>
      <c r="V285" s="327">
        <f t="shared" si="85"/>
        <v>9.6428571428571433E-2</v>
      </c>
      <c r="W285" s="327">
        <f t="shared" si="85"/>
        <v>0.10962962962962963</v>
      </c>
      <c r="X285" s="327">
        <f t="shared" si="85"/>
        <v>8.5869565217391308E-2</v>
      </c>
      <c r="Y285" s="327">
        <f t="shared" si="85"/>
        <v>7.441860465116279E-2</v>
      </c>
      <c r="Z285" s="327">
        <f t="shared" si="85"/>
        <v>9.3069306930693069E-2</v>
      </c>
      <c r="AA285" s="327">
        <f t="shared" si="85"/>
        <v>0.10995260663507109</v>
      </c>
      <c r="AB285" s="328">
        <f t="shared" si="85"/>
        <v>0.11600000000000001</v>
      </c>
      <c r="AC285" s="326">
        <f t="shared" si="85"/>
        <v>0.10891089108910891</v>
      </c>
      <c r="AD285" s="327">
        <f t="shared" si="85"/>
        <v>0.10865384615384616</v>
      </c>
      <c r="AE285" s="327">
        <f t="shared" si="85"/>
        <v>9.1787439613526575E-2</v>
      </c>
      <c r="AF285" s="327">
        <f t="shared" si="85"/>
        <v>7.5799086757990866E-2</v>
      </c>
      <c r="AG285" s="327">
        <f t="shared" si="85"/>
        <v>7.0899470899470893E-2</v>
      </c>
      <c r="AH285" s="327">
        <f t="shared" si="85"/>
        <v>0.1</v>
      </c>
      <c r="AI285" s="327">
        <f t="shared" si="85"/>
        <v>9.7029702970297033E-2</v>
      </c>
      <c r="AJ285" s="328">
        <f t="shared" si="85"/>
        <v>0.12</v>
      </c>
      <c r="AL285" s="327">
        <f>AL258/E282</f>
        <v>3.9153016380343589E-2</v>
      </c>
      <c r="AM285" s="287">
        <f>AM258/U282</f>
        <v>9.6218644702358663E-2</v>
      </c>
    </row>
    <row r="286" spans="1:56">
      <c r="A286" s="292" t="s">
        <v>486</v>
      </c>
      <c r="B286" s="292"/>
      <c r="C286" s="292"/>
      <c r="D286" s="292"/>
      <c r="E286" s="329">
        <f t="shared" ref="E286:AJ286" si="86">E259/E279</f>
        <v>0</v>
      </c>
      <c r="F286" s="330">
        <f t="shared" si="86"/>
        <v>0</v>
      </c>
      <c r="G286" s="330">
        <f t="shared" si="86"/>
        <v>0</v>
      </c>
      <c r="H286" s="330">
        <f t="shared" si="86"/>
        <v>0</v>
      </c>
      <c r="I286" s="330">
        <f t="shared" si="86"/>
        <v>0</v>
      </c>
      <c r="J286" s="330">
        <f t="shared" si="86"/>
        <v>9.8378378378378373E-2</v>
      </c>
      <c r="K286" s="330">
        <f t="shared" si="86"/>
        <v>8.7777777777777774E-2</v>
      </c>
      <c r="L286" s="331">
        <f t="shared" si="86"/>
        <v>8.8397790055248615E-2</v>
      </c>
      <c r="M286" s="329">
        <f t="shared" si="86"/>
        <v>8.8397790055248615E-2</v>
      </c>
      <c r="N286" s="330">
        <f t="shared" si="86"/>
        <v>0.10476190476190476</v>
      </c>
      <c r="O286" s="330">
        <f t="shared" si="86"/>
        <v>0.11173184357541899</v>
      </c>
      <c r="P286" s="330">
        <f t="shared" si="86"/>
        <v>0</v>
      </c>
      <c r="Q286" s="330">
        <f t="shared" si="86"/>
        <v>0</v>
      </c>
      <c r="R286" s="330">
        <f t="shared" si="86"/>
        <v>0</v>
      </c>
      <c r="S286" s="330">
        <f t="shared" si="86"/>
        <v>0</v>
      </c>
      <c r="T286" s="331">
        <f t="shared" si="86"/>
        <v>0</v>
      </c>
      <c r="U286" s="329">
        <f t="shared" si="86"/>
        <v>0</v>
      </c>
      <c r="V286" s="330">
        <f t="shared" si="86"/>
        <v>0</v>
      </c>
      <c r="W286" s="330">
        <f t="shared" si="86"/>
        <v>0</v>
      </c>
      <c r="X286" s="330">
        <f t="shared" si="86"/>
        <v>0</v>
      </c>
      <c r="Y286" s="330">
        <f t="shared" si="86"/>
        <v>0</v>
      </c>
      <c r="Z286" s="330">
        <f t="shared" si="86"/>
        <v>0.10693069306930693</v>
      </c>
      <c r="AA286" s="330">
        <f t="shared" si="86"/>
        <v>0.11279620853080569</v>
      </c>
      <c r="AB286" s="331">
        <f t="shared" si="86"/>
        <v>0.123</v>
      </c>
      <c r="AC286" s="329">
        <f t="shared" si="86"/>
        <v>0.12574257425742574</v>
      </c>
      <c r="AD286" s="330">
        <f t="shared" si="86"/>
        <v>0.1201923076923077</v>
      </c>
      <c r="AE286" s="330">
        <f t="shared" si="86"/>
        <v>0.11400966183574879</v>
      </c>
      <c r="AF286" s="330">
        <f t="shared" si="86"/>
        <v>0</v>
      </c>
      <c r="AG286" s="330">
        <f t="shared" si="86"/>
        <v>0</v>
      </c>
      <c r="AH286" s="330">
        <f t="shared" si="86"/>
        <v>0</v>
      </c>
      <c r="AI286" s="330">
        <f t="shared" si="86"/>
        <v>0</v>
      </c>
      <c r="AJ286" s="331">
        <f t="shared" si="86"/>
        <v>0</v>
      </c>
      <c r="AL286" s="330">
        <f>AL259/E282</f>
        <v>4.2269276867758693E-2</v>
      </c>
      <c r="AM286" s="332">
        <f>AM259/U282</f>
        <v>5.3912392362411084E-2</v>
      </c>
    </row>
    <row r="287" spans="1:56" s="297" customFormat="1">
      <c r="A287" s="297" t="s">
        <v>434</v>
      </c>
      <c r="E287" s="333">
        <f t="shared" ref="E287:AJ287" si="87">E260/E279</f>
        <v>7.3239436619718309E-2</v>
      </c>
      <c r="F287" s="334">
        <f t="shared" si="87"/>
        <v>0.10086956521739131</v>
      </c>
      <c r="G287" s="334">
        <f t="shared" si="87"/>
        <v>7.9136690647482008E-2</v>
      </c>
      <c r="H287" s="334">
        <f t="shared" si="87"/>
        <v>4.1573033707865172E-2</v>
      </c>
      <c r="I287" s="334">
        <f t="shared" si="87"/>
        <v>3.2487309644670052E-2</v>
      </c>
      <c r="J287" s="334">
        <f t="shared" si="87"/>
        <v>4.6486486486486484E-2</v>
      </c>
      <c r="K287" s="334">
        <f t="shared" si="87"/>
        <v>5.1111111111111114E-2</v>
      </c>
      <c r="L287" s="335">
        <f t="shared" si="87"/>
        <v>5.4143646408839778E-2</v>
      </c>
      <c r="M287" s="333">
        <f t="shared" si="87"/>
        <v>4.0883977900552489E-2</v>
      </c>
      <c r="N287" s="334">
        <f t="shared" si="87"/>
        <v>4.5502645502645503E-2</v>
      </c>
      <c r="O287" s="334">
        <f t="shared" si="87"/>
        <v>4.2458100558659215E-2</v>
      </c>
      <c r="P287" s="334">
        <f t="shared" si="87"/>
        <v>3.6999999999999998E-2</v>
      </c>
      <c r="Q287" s="334">
        <f t="shared" si="87"/>
        <v>3.5164835164835165E-2</v>
      </c>
      <c r="R287" s="334">
        <f t="shared" si="87"/>
        <v>4.9635036496350364E-2</v>
      </c>
      <c r="S287" s="334">
        <f t="shared" si="87"/>
        <v>8.9090909090909096E-2</v>
      </c>
      <c r="T287" s="335">
        <f t="shared" si="87"/>
        <v>5.8227848101265821E-2</v>
      </c>
      <c r="U287" s="333">
        <f t="shared" si="87"/>
        <v>7.6315789473684212E-2</v>
      </c>
      <c r="V287" s="334">
        <f t="shared" si="87"/>
        <v>7.4999999999999997E-2</v>
      </c>
      <c r="W287" s="334">
        <f t="shared" si="87"/>
        <v>5.185185185185185E-2</v>
      </c>
      <c r="X287" s="334">
        <f t="shared" si="87"/>
        <v>5.2173913043478258E-2</v>
      </c>
      <c r="Y287" s="334">
        <f t="shared" si="87"/>
        <v>5.0232558139534887E-2</v>
      </c>
      <c r="Z287" s="334">
        <f t="shared" si="87"/>
        <v>7.8217821782178218E-2</v>
      </c>
      <c r="AA287" s="334">
        <f t="shared" si="87"/>
        <v>0.1014218009478673</v>
      </c>
      <c r="AB287" s="335">
        <f t="shared" si="87"/>
        <v>0.106</v>
      </c>
      <c r="AC287" s="333">
        <f t="shared" si="87"/>
        <v>0.10198019801980197</v>
      </c>
      <c r="AD287" s="334">
        <f t="shared" si="87"/>
        <v>0.10192307692307692</v>
      </c>
      <c r="AE287" s="334">
        <f t="shared" si="87"/>
        <v>8.2125603864734303E-2</v>
      </c>
      <c r="AF287" s="334">
        <f t="shared" si="87"/>
        <v>6.2100456621004566E-2</v>
      </c>
      <c r="AG287" s="334">
        <f t="shared" si="87"/>
        <v>5.3968253968253971E-2</v>
      </c>
      <c r="AH287" s="334">
        <f t="shared" si="87"/>
        <v>5.8461538461538461E-2</v>
      </c>
      <c r="AI287" s="334">
        <f t="shared" si="87"/>
        <v>7.3267326732673263E-2</v>
      </c>
      <c r="AJ287" s="335">
        <f t="shared" si="87"/>
        <v>7.2499999999999995E-2</v>
      </c>
      <c r="AK287" s="8"/>
      <c r="AL287" s="334">
        <f>AL260/E282</f>
        <v>5.1058729524570516E-2</v>
      </c>
      <c r="AM287" s="336">
        <f>AM260/U282</f>
        <v>7.6151254211905647E-2</v>
      </c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</row>
    <row r="288" spans="1:56">
      <c r="A288" s="301" t="s">
        <v>435</v>
      </c>
      <c r="B288" s="301"/>
      <c r="C288" s="301"/>
      <c r="D288" s="301"/>
      <c r="E288" s="337">
        <f t="shared" ref="E288:AJ288" si="88">E261/E279</f>
        <v>8.7323943661971826E-2</v>
      </c>
      <c r="F288" s="338">
        <f t="shared" si="88"/>
        <v>8.1739130434782606E-2</v>
      </c>
      <c r="G288" s="338">
        <f t="shared" si="88"/>
        <v>8.3453237410071948E-2</v>
      </c>
      <c r="H288" s="338">
        <f t="shared" si="88"/>
        <v>4.1573033707865172E-2</v>
      </c>
      <c r="I288" s="338">
        <f t="shared" si="88"/>
        <v>3.7563451776649749E-2</v>
      </c>
      <c r="J288" s="338">
        <f t="shared" si="88"/>
        <v>3.5675675675675679E-2</v>
      </c>
      <c r="K288" s="338">
        <f t="shared" si="88"/>
        <v>4.3333333333333335E-2</v>
      </c>
      <c r="L288" s="339">
        <f t="shared" si="88"/>
        <v>3.8674033149171269E-2</v>
      </c>
      <c r="M288" s="337">
        <f t="shared" si="88"/>
        <v>3.0939226519337018E-2</v>
      </c>
      <c r="N288" s="338">
        <f t="shared" si="88"/>
        <v>3.7037037037037035E-2</v>
      </c>
      <c r="O288" s="338">
        <f t="shared" si="88"/>
        <v>4.1340782122905026E-2</v>
      </c>
      <c r="P288" s="338">
        <f t="shared" si="88"/>
        <v>3.9E-2</v>
      </c>
      <c r="Q288" s="338">
        <f t="shared" si="88"/>
        <v>3.8461538461538464E-2</v>
      </c>
      <c r="R288" s="338">
        <f t="shared" si="88"/>
        <v>7.153284671532846E-2</v>
      </c>
      <c r="S288" s="338">
        <f t="shared" si="88"/>
        <v>7.2727272727272724E-2</v>
      </c>
      <c r="T288" s="339">
        <f t="shared" si="88"/>
        <v>9.6202531645569619E-2</v>
      </c>
      <c r="U288" s="337">
        <f t="shared" si="88"/>
        <v>0.12105263157894737</v>
      </c>
      <c r="V288" s="338">
        <f t="shared" si="88"/>
        <v>7.3214285714285718E-2</v>
      </c>
      <c r="W288" s="338">
        <f t="shared" si="88"/>
        <v>7.2592592592592597E-2</v>
      </c>
      <c r="X288" s="338">
        <f t="shared" si="88"/>
        <v>4.7826086956521741E-2</v>
      </c>
      <c r="Y288" s="338">
        <f t="shared" si="88"/>
        <v>4.930232558139535E-2</v>
      </c>
      <c r="Z288" s="338">
        <f t="shared" si="88"/>
        <v>7.6237623762376236E-2</v>
      </c>
      <c r="AA288" s="338">
        <f t="shared" si="88"/>
        <v>9.3838862559241704E-2</v>
      </c>
      <c r="AB288" s="339">
        <f t="shared" si="88"/>
        <v>0.106</v>
      </c>
      <c r="AC288" s="337">
        <f t="shared" si="88"/>
        <v>0.10297029702970296</v>
      </c>
      <c r="AD288" s="338">
        <f t="shared" si="88"/>
        <v>8.269230769230769E-2</v>
      </c>
      <c r="AE288" s="338">
        <f t="shared" si="88"/>
        <v>7.6328502415458938E-2</v>
      </c>
      <c r="AF288" s="338">
        <f t="shared" si="88"/>
        <v>6.3013698630136991E-2</v>
      </c>
      <c r="AG288" s="338">
        <f t="shared" si="88"/>
        <v>4.5502645502645503E-2</v>
      </c>
      <c r="AH288" s="338">
        <f t="shared" si="88"/>
        <v>7.0769230769230765E-2</v>
      </c>
      <c r="AI288" s="338">
        <f t="shared" si="88"/>
        <v>7.9207920792079209E-2</v>
      </c>
      <c r="AJ288" s="339">
        <f t="shared" si="88"/>
        <v>9.7500000000000003E-2</v>
      </c>
      <c r="AL288" s="338">
        <f>AL261/E282</f>
        <v>4.9380743108270078E-2</v>
      </c>
      <c r="AM288" s="340">
        <f>AM261/U282</f>
        <v>7.6450767502807937E-2</v>
      </c>
    </row>
    <row r="289" spans="1:39" ht="15.75" thickBot="1">
      <c r="A289" s="305" t="s">
        <v>436</v>
      </c>
      <c r="B289" s="305"/>
      <c r="C289" s="305"/>
      <c r="D289" s="305"/>
      <c r="E289" s="341">
        <f t="shared" ref="E289:AJ289" si="89">E262/E279</f>
        <v>5.6338028169014088E-3</v>
      </c>
      <c r="F289" s="342">
        <f t="shared" si="89"/>
        <v>5.2173913043478265E-3</v>
      </c>
      <c r="G289" s="342">
        <f t="shared" si="89"/>
        <v>4.3165467625899279E-3</v>
      </c>
      <c r="H289" s="342">
        <f t="shared" si="89"/>
        <v>2.2471910112359553E-3</v>
      </c>
      <c r="I289" s="342">
        <f t="shared" si="89"/>
        <v>2.0304568527918783E-3</v>
      </c>
      <c r="J289" s="342">
        <f t="shared" si="89"/>
        <v>0</v>
      </c>
      <c r="K289" s="342">
        <f t="shared" si="89"/>
        <v>0</v>
      </c>
      <c r="L289" s="343">
        <f t="shared" si="89"/>
        <v>0</v>
      </c>
      <c r="M289" s="341">
        <f t="shared" si="89"/>
        <v>1.1049723756906078E-3</v>
      </c>
      <c r="N289" s="342">
        <f t="shared" si="89"/>
        <v>0</v>
      </c>
      <c r="O289" s="342">
        <f t="shared" si="89"/>
        <v>0</v>
      </c>
      <c r="P289" s="342">
        <f t="shared" si="89"/>
        <v>3.0000000000000001E-3</v>
      </c>
      <c r="Q289" s="342">
        <f t="shared" si="89"/>
        <v>2.1978021978021978E-3</v>
      </c>
      <c r="R289" s="342">
        <f t="shared" si="89"/>
        <v>4.3795620437956208E-3</v>
      </c>
      <c r="S289" s="342">
        <f t="shared" si="89"/>
        <v>1.2727272727272728E-2</v>
      </c>
      <c r="T289" s="343">
        <f t="shared" si="89"/>
        <v>7.5949367088607592E-3</v>
      </c>
      <c r="U289" s="341">
        <f t="shared" si="89"/>
        <v>7.8947368421052634E-3</v>
      </c>
      <c r="V289" s="342">
        <f t="shared" si="89"/>
        <v>1.7857142857142857E-3</v>
      </c>
      <c r="W289" s="342">
        <f t="shared" si="89"/>
        <v>1.4814814814814814E-3</v>
      </c>
      <c r="X289" s="342">
        <f t="shared" si="89"/>
        <v>1.0869565217391304E-3</v>
      </c>
      <c r="Y289" s="342">
        <f t="shared" si="89"/>
        <v>1.8604651162790699E-3</v>
      </c>
      <c r="Z289" s="342">
        <f t="shared" si="89"/>
        <v>0</v>
      </c>
      <c r="AA289" s="342">
        <f t="shared" si="89"/>
        <v>0</v>
      </c>
      <c r="AB289" s="343">
        <f t="shared" si="89"/>
        <v>0</v>
      </c>
      <c r="AC289" s="341">
        <f t="shared" si="89"/>
        <v>0</v>
      </c>
      <c r="AD289" s="342">
        <f t="shared" si="89"/>
        <v>0</v>
      </c>
      <c r="AE289" s="342">
        <f t="shared" si="89"/>
        <v>9.6618357487922703E-4</v>
      </c>
      <c r="AF289" s="342">
        <f t="shared" si="89"/>
        <v>9.1324200913242006E-4</v>
      </c>
      <c r="AG289" s="342">
        <f t="shared" si="89"/>
        <v>1.0582010582010583E-3</v>
      </c>
      <c r="AH289" s="342">
        <f t="shared" si="89"/>
        <v>0</v>
      </c>
      <c r="AI289" s="342">
        <f t="shared" si="89"/>
        <v>0</v>
      </c>
      <c r="AJ289" s="343">
        <f t="shared" si="89"/>
        <v>0</v>
      </c>
      <c r="AL289" s="344">
        <f>AL262/E282</f>
        <v>2.4770275669196962E-3</v>
      </c>
      <c r="AM289" s="345">
        <f>AM262/U282</f>
        <v>8.2366154998128041E-4</v>
      </c>
    </row>
    <row r="290" spans="1:39" ht="15.75" thickBot="1"/>
    <row r="291" spans="1:39">
      <c r="A291" s="101" t="s">
        <v>431</v>
      </c>
      <c r="B291" s="101"/>
      <c r="C291" s="101"/>
      <c r="D291" s="101"/>
      <c r="E291" s="503">
        <f>E267/E280</f>
        <v>1.9692307692307693E-2</v>
      </c>
      <c r="F291" s="504"/>
      <c r="G291" s="504"/>
      <c r="H291" s="504">
        <f>H267/H280</f>
        <v>4.1066666666666668E-2</v>
      </c>
      <c r="I291" s="504"/>
      <c r="J291" s="323">
        <f>J267/J280</f>
        <v>0</v>
      </c>
      <c r="K291" s="504">
        <f>K267/K280</f>
        <v>0</v>
      </c>
      <c r="L291" s="504"/>
      <c r="M291" s="504"/>
      <c r="N291" s="504"/>
      <c r="O291" s="323">
        <f>O267/O280</f>
        <v>0</v>
      </c>
      <c r="P291" s="504">
        <f>P267/P280</f>
        <v>4.5549738219895289E-2</v>
      </c>
      <c r="Q291" s="504"/>
      <c r="R291" s="504">
        <f>R267/R280</f>
        <v>4.7239263803680979E-2</v>
      </c>
      <c r="S291" s="504"/>
      <c r="T291" s="505"/>
      <c r="U291" s="503">
        <f>U267/U280</f>
        <v>1.7956656346749224E-2</v>
      </c>
      <c r="V291" s="504"/>
      <c r="W291" s="504"/>
      <c r="X291" s="504">
        <f>X267/X280</f>
        <v>2.9072681704260653E-2</v>
      </c>
      <c r="Y291" s="504"/>
      <c r="Z291" s="323">
        <f>Z267/Z280</f>
        <v>0</v>
      </c>
      <c r="AA291" s="504">
        <f>AA267/AA280</f>
        <v>0</v>
      </c>
      <c r="AB291" s="504"/>
      <c r="AC291" s="504"/>
      <c r="AD291" s="504"/>
      <c r="AE291" s="323">
        <f>AE267/AE280</f>
        <v>0</v>
      </c>
      <c r="AF291" s="504">
        <f>AF267/AF280</f>
        <v>4.2647058823529413E-2</v>
      </c>
      <c r="AG291" s="504"/>
      <c r="AH291" s="504">
        <f>AH267/AH280</f>
        <v>3.1511254019292605E-2</v>
      </c>
      <c r="AI291" s="504"/>
      <c r="AJ291" s="505"/>
    </row>
    <row r="292" spans="1:39">
      <c r="A292" s="285" t="s">
        <v>432</v>
      </c>
      <c r="B292" s="285"/>
      <c r="C292" s="285"/>
      <c r="D292" s="285"/>
      <c r="E292" s="506">
        <f>E268/E280</f>
        <v>1.5384615384615385E-2</v>
      </c>
      <c r="F292" s="507"/>
      <c r="G292" s="507"/>
      <c r="H292" s="507">
        <f>H268/H280</f>
        <v>1.7600000000000001E-2</v>
      </c>
      <c r="I292" s="507"/>
      <c r="J292" s="327">
        <f>J268/J280</f>
        <v>2.5945945945945945E-2</v>
      </c>
      <c r="K292" s="507">
        <f>K268/K280</f>
        <v>9.0287277701778385E-3</v>
      </c>
      <c r="L292" s="507"/>
      <c r="M292" s="507"/>
      <c r="N292" s="507"/>
      <c r="O292" s="327">
        <f>O268/O280</f>
        <v>3.9106145251396648E-2</v>
      </c>
      <c r="P292" s="507">
        <f>P268/P280</f>
        <v>1.2041884816753926E-2</v>
      </c>
      <c r="Q292" s="507"/>
      <c r="R292" s="507">
        <f>R268/R280</f>
        <v>2.2699386503067485E-2</v>
      </c>
      <c r="S292" s="507"/>
      <c r="T292" s="508"/>
      <c r="U292" s="506">
        <f>U268/U280</f>
        <v>2.6006191950464396E-2</v>
      </c>
      <c r="V292" s="507"/>
      <c r="W292" s="507"/>
      <c r="X292" s="507">
        <f>X268/X280</f>
        <v>3.9598997493734335E-2</v>
      </c>
      <c r="Y292" s="507"/>
      <c r="Z292" s="327">
        <f>Z268/Z280</f>
        <v>9.3069306930693069E-2</v>
      </c>
      <c r="AA292" s="507">
        <f>AA268/AA280</f>
        <v>2.825822168087698E-2</v>
      </c>
      <c r="AB292" s="507"/>
      <c r="AC292" s="507"/>
      <c r="AD292" s="507"/>
      <c r="AE292" s="327">
        <f>AE268/AE280</f>
        <v>9.1787439613526575E-2</v>
      </c>
      <c r="AF292" s="507">
        <f>AF268/AF280</f>
        <v>4.0686274509803923E-2</v>
      </c>
      <c r="AG292" s="507"/>
      <c r="AH292" s="507">
        <f>AH268/AH280</f>
        <v>4.1800643086816719E-2</v>
      </c>
      <c r="AI292" s="507"/>
      <c r="AJ292" s="508"/>
    </row>
    <row r="293" spans="1:39">
      <c r="A293" s="292" t="s">
        <v>486</v>
      </c>
      <c r="B293" s="292"/>
      <c r="C293" s="292"/>
      <c r="D293" s="292"/>
      <c r="E293" s="509">
        <f>E269/E280</f>
        <v>0</v>
      </c>
      <c r="F293" s="510"/>
      <c r="G293" s="510"/>
      <c r="H293" s="510">
        <f>H269/H280</f>
        <v>0</v>
      </c>
      <c r="I293" s="510"/>
      <c r="J293" s="330">
        <f>J269/J280</f>
        <v>9.8378378378378373E-2</v>
      </c>
      <c r="K293" s="510">
        <f>K269/K280</f>
        <v>2.161422708618331E-2</v>
      </c>
      <c r="L293" s="510"/>
      <c r="M293" s="510"/>
      <c r="N293" s="510"/>
      <c r="O293" s="330">
        <f>O269/O280</f>
        <v>0.11173184357541899</v>
      </c>
      <c r="P293" s="510">
        <f>P269/P280</f>
        <v>0</v>
      </c>
      <c r="Q293" s="510"/>
      <c r="R293" s="510">
        <f>R269/R280</f>
        <v>0</v>
      </c>
      <c r="S293" s="510"/>
      <c r="T293" s="511"/>
      <c r="U293" s="509">
        <f>U269/U280</f>
        <v>0</v>
      </c>
      <c r="V293" s="510"/>
      <c r="W293" s="510"/>
      <c r="X293" s="510">
        <f>X269/X280</f>
        <v>0</v>
      </c>
      <c r="Y293" s="510"/>
      <c r="Z293" s="330">
        <f>Z269/Z280</f>
        <v>0.10693069306930693</v>
      </c>
      <c r="AA293" s="510">
        <f>AA269/AA280</f>
        <v>2.8989037758830695E-2</v>
      </c>
      <c r="AB293" s="510"/>
      <c r="AC293" s="510"/>
      <c r="AD293" s="510"/>
      <c r="AE293" s="330">
        <f>AE269/AE280</f>
        <v>0.11400966183574879</v>
      </c>
      <c r="AF293" s="510">
        <f>AF269/AF280</f>
        <v>0</v>
      </c>
      <c r="AG293" s="510"/>
      <c r="AH293" s="510">
        <f>AH269/AH280</f>
        <v>0</v>
      </c>
      <c r="AI293" s="510"/>
      <c r="AJ293" s="511"/>
    </row>
    <row r="294" spans="1:39">
      <c r="A294" s="297" t="s">
        <v>434</v>
      </c>
      <c r="B294" s="297"/>
      <c r="C294" s="297"/>
      <c r="D294" s="297"/>
      <c r="E294" s="512">
        <f>E270/E280</f>
        <v>1.6E-2</v>
      </c>
      <c r="F294" s="513"/>
      <c r="G294" s="513"/>
      <c r="H294" s="513">
        <f>H270/H280</f>
        <v>1.9733333333333332E-2</v>
      </c>
      <c r="I294" s="513"/>
      <c r="J294" s="334">
        <f>J270/J280</f>
        <v>4.6486486486486484E-2</v>
      </c>
      <c r="K294" s="513">
        <f>K270/K280</f>
        <v>1.2585499316005472E-2</v>
      </c>
      <c r="L294" s="513"/>
      <c r="M294" s="513"/>
      <c r="N294" s="513"/>
      <c r="O294" s="334">
        <f>O270/O280</f>
        <v>4.2458100558659215E-2</v>
      </c>
      <c r="P294" s="513">
        <f>P270/P280</f>
        <v>1.93717277486911E-2</v>
      </c>
      <c r="Q294" s="513"/>
      <c r="R294" s="513">
        <f>R270/R280</f>
        <v>2.0858895705521473E-2</v>
      </c>
      <c r="S294" s="513"/>
      <c r="T294" s="514"/>
      <c r="U294" s="512">
        <f>U270/U280</f>
        <v>1.7956656346749224E-2</v>
      </c>
      <c r="V294" s="513"/>
      <c r="W294" s="513"/>
      <c r="X294" s="513">
        <f>X270/X280</f>
        <v>2.4060150375939851E-2</v>
      </c>
      <c r="Y294" s="513"/>
      <c r="Z294" s="334">
        <f>Z270/Z280</f>
        <v>7.8217821782178218E-2</v>
      </c>
      <c r="AA294" s="513">
        <f>AA270/AA280</f>
        <v>2.6065773447015834E-2</v>
      </c>
      <c r="AB294" s="513"/>
      <c r="AC294" s="513"/>
      <c r="AD294" s="513"/>
      <c r="AE294" s="334">
        <f>AE270/AE280</f>
        <v>8.2125603864734303E-2</v>
      </c>
      <c r="AF294" s="513">
        <f>AF270/AF280</f>
        <v>3.3333333333333333E-2</v>
      </c>
      <c r="AG294" s="513"/>
      <c r="AH294" s="513">
        <f>AH270/AH280</f>
        <v>2.4437299035369776E-2</v>
      </c>
      <c r="AI294" s="513"/>
      <c r="AJ294" s="514"/>
    </row>
    <row r="295" spans="1:39">
      <c r="A295" s="301" t="s">
        <v>435</v>
      </c>
      <c r="B295" s="301"/>
      <c r="C295" s="301"/>
      <c r="D295" s="301"/>
      <c r="E295" s="515">
        <f>E271/E280</f>
        <v>1.9076923076923078E-2</v>
      </c>
      <c r="F295" s="516"/>
      <c r="G295" s="516"/>
      <c r="H295" s="516">
        <f>H271/H280</f>
        <v>1.9733333333333332E-2</v>
      </c>
      <c r="I295" s="516"/>
      <c r="J295" s="338">
        <f>J271/J280</f>
        <v>3.5675675675675679E-2</v>
      </c>
      <c r="K295" s="516">
        <f>K271/K280</f>
        <v>1.06703146374829E-2</v>
      </c>
      <c r="L295" s="516"/>
      <c r="M295" s="516"/>
      <c r="N295" s="516"/>
      <c r="O295" s="338">
        <f>O271/O280</f>
        <v>4.1340782122905026E-2</v>
      </c>
      <c r="P295" s="516">
        <f>P271/P280</f>
        <v>2.0418848167539267E-2</v>
      </c>
      <c r="Q295" s="516"/>
      <c r="R295" s="516">
        <f>R271/R280</f>
        <v>3.0061349693251534E-2</v>
      </c>
      <c r="S295" s="516"/>
      <c r="T295" s="517"/>
      <c r="U295" s="515">
        <f>U271/U280</f>
        <v>2.848297213622291E-2</v>
      </c>
      <c r="V295" s="516"/>
      <c r="W295" s="516"/>
      <c r="X295" s="516">
        <f>X271/X280</f>
        <v>2.2055137844611529E-2</v>
      </c>
      <c r="Y295" s="516"/>
      <c r="Z295" s="338">
        <f>Z271/Z280</f>
        <v>7.6237623762376236E-2</v>
      </c>
      <c r="AA295" s="516">
        <f>AA271/AA280</f>
        <v>2.4116930572472595E-2</v>
      </c>
      <c r="AB295" s="516"/>
      <c r="AC295" s="516"/>
      <c r="AD295" s="516"/>
      <c r="AE295" s="338">
        <f>AE271/AE280</f>
        <v>7.6328502415458938E-2</v>
      </c>
      <c r="AF295" s="516">
        <f>AF271/AF280</f>
        <v>3.3823529411764704E-2</v>
      </c>
      <c r="AG295" s="516"/>
      <c r="AH295" s="516">
        <f>AH271/AH280</f>
        <v>2.9581993569131833E-2</v>
      </c>
      <c r="AI295" s="516"/>
      <c r="AJ295" s="517"/>
    </row>
    <row r="296" spans="1:39" ht="15.75" thickBot="1">
      <c r="A296" s="305" t="s">
        <v>436</v>
      </c>
      <c r="B296" s="305"/>
      <c r="C296" s="305"/>
      <c r="D296" s="305"/>
      <c r="E296" s="520">
        <f>E272/E280</f>
        <v>1.2307692307692308E-3</v>
      </c>
      <c r="F296" s="518"/>
      <c r="G296" s="518"/>
      <c r="H296" s="518">
        <f>H272/H280</f>
        <v>1.0666666666666667E-3</v>
      </c>
      <c r="I296" s="518"/>
      <c r="J296" s="342">
        <f>J272/J280</f>
        <v>0</v>
      </c>
      <c r="K296" s="518">
        <f>K272/K280</f>
        <v>0</v>
      </c>
      <c r="L296" s="518"/>
      <c r="M296" s="518"/>
      <c r="N296" s="518"/>
      <c r="O296" s="342">
        <f>O272/O280</f>
        <v>0</v>
      </c>
      <c r="P296" s="518">
        <f>P272/P280</f>
        <v>1.5706806282722514E-3</v>
      </c>
      <c r="Q296" s="518"/>
      <c r="R296" s="518">
        <f>R272/R280</f>
        <v>1.8404907975460123E-3</v>
      </c>
      <c r="S296" s="518"/>
      <c r="T296" s="519"/>
      <c r="U296" s="520">
        <f>U272/U280</f>
        <v>1.8575851393188853E-3</v>
      </c>
      <c r="V296" s="518"/>
      <c r="W296" s="518"/>
      <c r="X296" s="518">
        <f>X272/X280</f>
        <v>5.0125313283208019E-4</v>
      </c>
      <c r="Y296" s="518"/>
      <c r="Z296" s="342">
        <f>Z272/Z280</f>
        <v>0</v>
      </c>
      <c r="AA296" s="518">
        <f>AA272/AA280</f>
        <v>0</v>
      </c>
      <c r="AB296" s="518"/>
      <c r="AC296" s="518"/>
      <c r="AD296" s="518"/>
      <c r="AE296" s="342">
        <f>AE272/AE280</f>
        <v>9.6618357487922703E-4</v>
      </c>
      <c r="AF296" s="518">
        <f>AF272/AF280</f>
        <v>4.9019607843137254E-4</v>
      </c>
      <c r="AG296" s="518"/>
      <c r="AH296" s="518">
        <f>AH272/AH280</f>
        <v>0</v>
      </c>
      <c r="AI296" s="518"/>
      <c r="AJ296" s="519"/>
    </row>
  </sheetData>
  <mergeCells count="147">
    <mergeCell ref="AF296:AG296"/>
    <mergeCell ref="AH296:AJ296"/>
    <mergeCell ref="AF295:AG295"/>
    <mergeCell ref="AH295:AJ295"/>
    <mergeCell ref="E296:G296"/>
    <mergeCell ref="H296:I296"/>
    <mergeCell ref="K296:N296"/>
    <mergeCell ref="P296:Q296"/>
    <mergeCell ref="R296:T296"/>
    <mergeCell ref="U296:W296"/>
    <mergeCell ref="X296:Y296"/>
    <mergeCell ref="AA296:AD296"/>
    <mergeCell ref="AH294:AJ294"/>
    <mergeCell ref="E295:G295"/>
    <mergeCell ref="H295:I295"/>
    <mergeCell ref="K295:N295"/>
    <mergeCell ref="P295:Q295"/>
    <mergeCell ref="R295:T295"/>
    <mergeCell ref="U295:W295"/>
    <mergeCell ref="X295:Y295"/>
    <mergeCell ref="AA295:AD295"/>
    <mergeCell ref="E294:G294"/>
    <mergeCell ref="H294:I294"/>
    <mergeCell ref="K294:N294"/>
    <mergeCell ref="P294:Q294"/>
    <mergeCell ref="R294:T294"/>
    <mergeCell ref="U294:W294"/>
    <mergeCell ref="X294:Y294"/>
    <mergeCell ref="AA294:AD294"/>
    <mergeCell ref="AF294:AG294"/>
    <mergeCell ref="AH292:AJ292"/>
    <mergeCell ref="E293:G293"/>
    <mergeCell ref="H293:I293"/>
    <mergeCell ref="K293:N293"/>
    <mergeCell ref="P293:Q293"/>
    <mergeCell ref="R293:T293"/>
    <mergeCell ref="U293:W293"/>
    <mergeCell ref="X293:Y293"/>
    <mergeCell ref="AA293:AD293"/>
    <mergeCell ref="AF293:AG293"/>
    <mergeCell ref="AH293:AJ293"/>
    <mergeCell ref="E292:G292"/>
    <mergeCell ref="H292:I292"/>
    <mergeCell ref="K292:N292"/>
    <mergeCell ref="P292:Q292"/>
    <mergeCell ref="R292:T292"/>
    <mergeCell ref="U292:W292"/>
    <mergeCell ref="X292:Y292"/>
    <mergeCell ref="AA292:AD292"/>
    <mergeCell ref="AF292:AG292"/>
    <mergeCell ref="E282:T282"/>
    <mergeCell ref="U282:AJ282"/>
    <mergeCell ref="E291:G291"/>
    <mergeCell ref="H291:I291"/>
    <mergeCell ref="K291:N291"/>
    <mergeCell ref="P291:Q291"/>
    <mergeCell ref="R291:T291"/>
    <mergeCell ref="U291:W291"/>
    <mergeCell ref="X291:Y291"/>
    <mergeCell ref="AA291:AD291"/>
    <mergeCell ref="AF291:AG291"/>
    <mergeCell ref="AH291:AJ291"/>
    <mergeCell ref="X280:Y280"/>
    <mergeCell ref="AA280:AD280"/>
    <mergeCell ref="AF280:AG280"/>
    <mergeCell ref="AH280:AJ280"/>
    <mergeCell ref="E281:L281"/>
    <mergeCell ref="M281:T281"/>
    <mergeCell ref="U281:AB281"/>
    <mergeCell ref="AC281:AJ281"/>
    <mergeCell ref="E276:T276"/>
    <mergeCell ref="U276:AJ276"/>
    <mergeCell ref="E277:T277"/>
    <mergeCell ref="U277:AJ277"/>
    <mergeCell ref="E280:G280"/>
    <mergeCell ref="H280:I280"/>
    <mergeCell ref="K280:N280"/>
    <mergeCell ref="P280:Q280"/>
    <mergeCell ref="R280:T280"/>
    <mergeCell ref="U280:W280"/>
    <mergeCell ref="E274:T274"/>
    <mergeCell ref="U274:AJ274"/>
    <mergeCell ref="U271:W271"/>
    <mergeCell ref="X271:Y271"/>
    <mergeCell ref="AA271:AD271"/>
    <mergeCell ref="AF271:AG271"/>
    <mergeCell ref="AH271:AJ271"/>
    <mergeCell ref="E272:G272"/>
    <mergeCell ref="H272:I272"/>
    <mergeCell ref="K272:N272"/>
    <mergeCell ref="P272:Q272"/>
    <mergeCell ref="R272:T272"/>
    <mergeCell ref="AH270:AJ270"/>
    <mergeCell ref="E271:G271"/>
    <mergeCell ref="H271:I271"/>
    <mergeCell ref="K271:N271"/>
    <mergeCell ref="P271:Q271"/>
    <mergeCell ref="R271:T271"/>
    <mergeCell ref="U272:W272"/>
    <mergeCell ref="X272:Y272"/>
    <mergeCell ref="AA272:AD272"/>
    <mergeCell ref="AF272:AG272"/>
    <mergeCell ref="AH272:AJ272"/>
    <mergeCell ref="E270:G270"/>
    <mergeCell ref="H270:I270"/>
    <mergeCell ref="K270:N270"/>
    <mergeCell ref="P270:Q270"/>
    <mergeCell ref="R270:T270"/>
    <mergeCell ref="U270:W270"/>
    <mergeCell ref="X270:Y270"/>
    <mergeCell ref="AA270:AD270"/>
    <mergeCell ref="AF270:AG270"/>
    <mergeCell ref="AH268:AJ268"/>
    <mergeCell ref="E269:G269"/>
    <mergeCell ref="H269:I269"/>
    <mergeCell ref="K269:N269"/>
    <mergeCell ref="P269:Q269"/>
    <mergeCell ref="R269:T269"/>
    <mergeCell ref="U269:W269"/>
    <mergeCell ref="X269:Y269"/>
    <mergeCell ref="AA269:AD269"/>
    <mergeCell ref="AF269:AG269"/>
    <mergeCell ref="AH269:AJ269"/>
    <mergeCell ref="E268:G268"/>
    <mergeCell ref="H268:I268"/>
    <mergeCell ref="K268:N268"/>
    <mergeCell ref="P268:Q268"/>
    <mergeCell ref="R268:T268"/>
    <mergeCell ref="U268:W268"/>
    <mergeCell ref="X268:Y268"/>
    <mergeCell ref="AA268:AD268"/>
    <mergeCell ref="AF268:AG268"/>
    <mergeCell ref="E1:L1"/>
    <mergeCell ref="M1:T1"/>
    <mergeCell ref="U1:AB1"/>
    <mergeCell ref="AC1:AJ1"/>
    <mergeCell ref="BD256:BE256"/>
    <mergeCell ref="E267:G267"/>
    <mergeCell ref="H267:I267"/>
    <mergeCell ref="K267:N267"/>
    <mergeCell ref="P267:Q267"/>
    <mergeCell ref="R267:T267"/>
    <mergeCell ref="U267:W267"/>
    <mergeCell ref="X267:Y267"/>
    <mergeCell ref="AA267:AD267"/>
    <mergeCell ref="AF267:AG267"/>
    <mergeCell ref="AH267:AJ267"/>
  </mergeCells>
  <conditionalFormatting sqref="B40:D40">
    <cfRule type="duplicateValues" dxfId="0" priority="1" stopIfTrue="1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5"/>
  <sheetViews>
    <sheetView topLeftCell="A4" workbookViewId="0">
      <selection activeCell="L11" sqref="L11"/>
    </sheetView>
  </sheetViews>
  <sheetFormatPr defaultRowHeight="15"/>
  <cols>
    <col min="1" max="1" width="13.140625" style="67" bestFit="1" customWidth="1"/>
    <col min="2" max="6" width="6.5703125" style="67" bestFit="1" customWidth="1"/>
    <col min="7" max="7" width="8.140625" style="67" bestFit="1" customWidth="1"/>
    <col min="8" max="9" width="6.140625" style="67" bestFit="1" customWidth="1"/>
    <col min="10" max="10" width="6.5703125" style="67" bestFit="1" customWidth="1"/>
    <col min="11" max="11" width="6.140625" style="67" bestFit="1" customWidth="1"/>
    <col min="12" max="12" width="9.140625" style="67" bestFit="1" customWidth="1"/>
    <col min="13" max="16" width="6.5703125" style="67" bestFit="1" customWidth="1"/>
    <col min="17" max="17" width="6.5703125" style="67" customWidth="1"/>
    <col min="18" max="23" width="6.5703125" style="67" bestFit="1" customWidth="1"/>
    <col min="24" max="26" width="6.28515625" style="67" bestFit="1" customWidth="1"/>
    <col min="27" max="27" width="6.140625" style="67" bestFit="1" customWidth="1"/>
    <col min="28" max="33" width="6.5703125" style="67" bestFit="1" customWidth="1"/>
    <col min="34" max="16384" width="9.140625" style="67"/>
  </cols>
  <sheetData>
    <row r="1" spans="1:36">
      <c r="B1" s="524" t="s">
        <v>336</v>
      </c>
      <c r="C1" s="525"/>
      <c r="D1" s="525"/>
      <c r="E1" s="525"/>
      <c r="F1" s="525"/>
      <c r="G1" s="525"/>
      <c r="H1" s="525"/>
      <c r="I1" s="526"/>
      <c r="J1" s="527" t="s">
        <v>337</v>
      </c>
      <c r="K1" s="528"/>
      <c r="L1" s="528"/>
      <c r="M1" s="528"/>
      <c r="N1" s="528"/>
      <c r="O1" s="528"/>
      <c r="P1" s="528"/>
      <c r="Q1" s="529"/>
      <c r="R1" s="530" t="s">
        <v>339</v>
      </c>
      <c r="S1" s="531"/>
      <c r="T1" s="531"/>
      <c r="U1" s="531"/>
      <c r="V1" s="531"/>
      <c r="W1" s="531"/>
      <c r="X1" s="531"/>
      <c r="Y1" s="532"/>
      <c r="Z1" s="533" t="s">
        <v>338</v>
      </c>
      <c r="AA1" s="534"/>
      <c r="AB1" s="534"/>
      <c r="AC1" s="534"/>
      <c r="AD1" s="534"/>
      <c r="AE1" s="534"/>
      <c r="AF1" s="534"/>
      <c r="AG1" s="535"/>
    </row>
    <row r="2" spans="1:36">
      <c r="B2" s="26" t="s">
        <v>42</v>
      </c>
      <c r="C2" s="27" t="s">
        <v>42</v>
      </c>
      <c r="D2" s="27" t="s">
        <v>42</v>
      </c>
      <c r="E2" s="27" t="s">
        <v>340</v>
      </c>
      <c r="F2" s="27" t="s">
        <v>341</v>
      </c>
      <c r="G2" s="27" t="s">
        <v>334</v>
      </c>
      <c r="H2" s="27" t="s">
        <v>335</v>
      </c>
      <c r="I2" s="28" t="s">
        <v>335</v>
      </c>
      <c r="J2" s="32" t="s">
        <v>335</v>
      </c>
      <c r="K2" s="33" t="s">
        <v>335</v>
      </c>
      <c r="L2" s="33" t="s">
        <v>334</v>
      </c>
      <c r="M2" s="33" t="s">
        <v>341</v>
      </c>
      <c r="N2" s="33" t="s">
        <v>341</v>
      </c>
      <c r="O2" s="33" t="s">
        <v>42</v>
      </c>
      <c r="P2" s="33" t="s">
        <v>42</v>
      </c>
      <c r="Q2" s="34" t="s">
        <v>42</v>
      </c>
      <c r="R2" s="38" t="s">
        <v>42</v>
      </c>
      <c r="S2" s="39" t="s">
        <v>42</v>
      </c>
      <c r="T2" s="39" t="s">
        <v>42</v>
      </c>
      <c r="U2" s="39" t="s">
        <v>341</v>
      </c>
      <c r="V2" s="39" t="s">
        <v>341</v>
      </c>
      <c r="W2" s="39" t="s">
        <v>334</v>
      </c>
      <c r="X2" s="39" t="s">
        <v>335</v>
      </c>
      <c r="Y2" s="40" t="s">
        <v>335</v>
      </c>
      <c r="Z2" s="44" t="s">
        <v>335</v>
      </c>
      <c r="AA2" s="45" t="s">
        <v>335</v>
      </c>
      <c r="AB2" s="45" t="s">
        <v>334</v>
      </c>
      <c r="AC2" s="45" t="s">
        <v>341</v>
      </c>
      <c r="AD2" s="45" t="s">
        <v>341</v>
      </c>
      <c r="AE2" s="45" t="s">
        <v>42</v>
      </c>
      <c r="AF2" s="45" t="s">
        <v>42</v>
      </c>
      <c r="AG2" s="46" t="s">
        <v>42</v>
      </c>
    </row>
    <row r="3" spans="1:36">
      <c r="B3" s="109">
        <v>8</v>
      </c>
      <c r="C3" s="110">
        <v>7</v>
      </c>
      <c r="D3" s="110">
        <v>6</v>
      </c>
      <c r="E3" s="110">
        <v>5</v>
      </c>
      <c r="F3" s="110">
        <v>4</v>
      </c>
      <c r="G3" s="110">
        <v>3</v>
      </c>
      <c r="H3" s="110">
        <v>2</v>
      </c>
      <c r="I3" s="215">
        <v>1</v>
      </c>
      <c r="J3" s="112">
        <v>1</v>
      </c>
      <c r="K3" s="113">
        <v>2</v>
      </c>
      <c r="L3" s="113">
        <v>3</v>
      </c>
      <c r="M3" s="113">
        <v>4</v>
      </c>
      <c r="N3" s="113">
        <v>5</v>
      </c>
      <c r="O3" s="113">
        <v>6</v>
      </c>
      <c r="P3" s="113">
        <v>7</v>
      </c>
      <c r="Q3" s="114">
        <v>8</v>
      </c>
      <c r="R3" s="115">
        <v>8</v>
      </c>
      <c r="S3" s="116">
        <v>7</v>
      </c>
      <c r="T3" s="116">
        <v>6</v>
      </c>
      <c r="U3" s="116">
        <v>5</v>
      </c>
      <c r="V3" s="116">
        <v>4</v>
      </c>
      <c r="W3" s="116">
        <v>3</v>
      </c>
      <c r="X3" s="116">
        <v>2</v>
      </c>
      <c r="Y3" s="117">
        <v>1</v>
      </c>
      <c r="Z3" s="216">
        <v>1</v>
      </c>
      <c r="AA3" s="119">
        <v>2</v>
      </c>
      <c r="AB3" s="119">
        <v>3</v>
      </c>
      <c r="AC3" s="119">
        <v>4</v>
      </c>
      <c r="AD3" s="119">
        <v>5</v>
      </c>
      <c r="AE3" s="119">
        <v>6</v>
      </c>
      <c r="AF3" s="119">
        <v>7</v>
      </c>
      <c r="AG3" s="120">
        <v>8</v>
      </c>
      <c r="AI3" s="67" t="s">
        <v>342</v>
      </c>
    </row>
    <row r="4" spans="1:36">
      <c r="A4" s="67" t="s">
        <v>419</v>
      </c>
      <c r="B4" s="217">
        <v>71</v>
      </c>
      <c r="C4" s="218">
        <v>114</v>
      </c>
      <c r="D4" s="218">
        <v>139</v>
      </c>
      <c r="E4" s="218">
        <v>180</v>
      </c>
      <c r="F4" s="218">
        <v>197</v>
      </c>
      <c r="G4" s="218">
        <v>187</v>
      </c>
      <c r="H4" s="218">
        <v>181</v>
      </c>
      <c r="I4" s="219">
        <v>182</v>
      </c>
      <c r="J4" s="217">
        <v>182</v>
      </c>
      <c r="K4" s="218">
        <v>189</v>
      </c>
      <c r="L4" s="218">
        <v>180</v>
      </c>
      <c r="M4" s="218">
        <v>200</v>
      </c>
      <c r="N4" s="218">
        <v>182</v>
      </c>
      <c r="O4" s="218">
        <v>137</v>
      </c>
      <c r="P4" s="218">
        <v>110</v>
      </c>
      <c r="Q4" s="219">
        <v>79</v>
      </c>
      <c r="R4" s="217">
        <v>76</v>
      </c>
      <c r="S4" s="218">
        <v>112</v>
      </c>
      <c r="T4" s="218">
        <v>135</v>
      </c>
      <c r="U4" s="218">
        <v>187</v>
      </c>
      <c r="V4" s="218">
        <v>215</v>
      </c>
      <c r="W4" s="218">
        <v>204</v>
      </c>
      <c r="X4" s="218">
        <v>211</v>
      </c>
      <c r="Y4" s="219">
        <v>200</v>
      </c>
      <c r="Z4" s="217">
        <v>202</v>
      </c>
      <c r="AA4" s="218">
        <v>208</v>
      </c>
      <c r="AB4" s="218">
        <v>209</v>
      </c>
      <c r="AC4" s="218">
        <v>219</v>
      </c>
      <c r="AD4" s="218">
        <v>189</v>
      </c>
      <c r="AE4" s="218">
        <v>130</v>
      </c>
      <c r="AF4" s="218">
        <v>101</v>
      </c>
      <c r="AG4" s="219">
        <v>80</v>
      </c>
      <c r="AH4" s="220"/>
      <c r="AI4" s="220">
        <f>SUM(B4:AG4)</f>
        <v>5188</v>
      </c>
    </row>
    <row r="5" spans="1:36">
      <c r="A5" s="67" t="s">
        <v>420</v>
      </c>
      <c r="B5" s="221">
        <f>B4+2</f>
        <v>73</v>
      </c>
      <c r="C5" s="222">
        <f>C4+18</f>
        <v>132</v>
      </c>
      <c r="D5" s="222">
        <f>D4+19</f>
        <v>158</v>
      </c>
      <c r="E5" s="222">
        <f>E4+13</f>
        <v>193</v>
      </c>
      <c r="F5" s="222">
        <f>F4+11</f>
        <v>208</v>
      </c>
      <c r="G5" s="222">
        <f>G4+6</f>
        <v>193</v>
      </c>
      <c r="H5" s="222">
        <f>H4+9</f>
        <v>190</v>
      </c>
      <c r="I5" s="223">
        <f>I4+9</f>
        <v>191</v>
      </c>
      <c r="J5" s="221">
        <f>J4+10</f>
        <v>192</v>
      </c>
      <c r="K5" s="222">
        <f>K4+7</f>
        <v>196</v>
      </c>
      <c r="L5" s="222">
        <f>L4+5</f>
        <v>185</v>
      </c>
      <c r="M5" s="222">
        <f>M4+10</f>
        <v>210</v>
      </c>
      <c r="N5" s="222">
        <f>N4+12</f>
        <v>194</v>
      </c>
      <c r="O5" s="222">
        <f>O4+25</f>
        <v>162</v>
      </c>
      <c r="P5" s="222">
        <f>P4+15</f>
        <v>125</v>
      </c>
      <c r="Q5" s="223">
        <f>Q4+1</f>
        <v>80</v>
      </c>
      <c r="R5" s="221">
        <f>R4+6</f>
        <v>82</v>
      </c>
      <c r="S5" s="222">
        <f>S4+30</f>
        <v>142</v>
      </c>
      <c r="T5" s="222">
        <f>T4+33</f>
        <v>168</v>
      </c>
      <c r="U5" s="222">
        <f>U4+18</f>
        <v>205</v>
      </c>
      <c r="V5" s="222">
        <f>V4+7</f>
        <v>222</v>
      </c>
      <c r="W5" s="222">
        <f>W4+4</f>
        <v>208</v>
      </c>
      <c r="X5" s="222">
        <f>X4+4</f>
        <v>215</v>
      </c>
      <c r="Y5" s="223">
        <f>Y4+7</f>
        <v>207</v>
      </c>
      <c r="Z5" s="221">
        <f>Z4+10</f>
        <v>212</v>
      </c>
      <c r="AA5" s="222">
        <f>AA4+5</f>
        <v>213</v>
      </c>
      <c r="AB5" s="222">
        <f>AB4+2</f>
        <v>211</v>
      </c>
      <c r="AC5" s="222">
        <f>AC4+4</f>
        <v>223</v>
      </c>
      <c r="AD5" s="222">
        <f>AD4+15</f>
        <v>204</v>
      </c>
      <c r="AE5" s="222">
        <f>AE4+40</f>
        <v>170</v>
      </c>
      <c r="AF5" s="222">
        <f>AF4+36</f>
        <v>137</v>
      </c>
      <c r="AG5" s="223">
        <f>AG4+6</f>
        <v>86</v>
      </c>
      <c r="AH5" s="222"/>
      <c r="AI5" s="222">
        <f>SUM(B5:AG5)</f>
        <v>5587</v>
      </c>
      <c r="AJ5" s="8"/>
    </row>
    <row r="6" spans="1:36">
      <c r="A6" s="20" t="s">
        <v>421</v>
      </c>
      <c r="B6" s="224">
        <f>B5+4</f>
        <v>77</v>
      </c>
      <c r="C6" s="225">
        <f>C5+3</f>
        <v>135</v>
      </c>
      <c r="D6" s="225">
        <f>D5+4</f>
        <v>162</v>
      </c>
      <c r="E6" s="225">
        <f>E5+5</f>
        <v>198</v>
      </c>
      <c r="F6" s="225">
        <f>F5+11</f>
        <v>219</v>
      </c>
      <c r="G6" s="225">
        <f>G5+15</f>
        <v>208</v>
      </c>
      <c r="H6" s="225">
        <f>H5+40</f>
        <v>230</v>
      </c>
      <c r="I6" s="226">
        <f>I5+38</f>
        <v>229</v>
      </c>
      <c r="J6" s="224">
        <f>J5+35</f>
        <v>227</v>
      </c>
      <c r="K6" s="225">
        <f>K5+30</f>
        <v>226</v>
      </c>
      <c r="L6" s="225">
        <f>L5+20</f>
        <v>205</v>
      </c>
      <c r="M6" s="225">
        <f>M5+9</f>
        <v>219</v>
      </c>
      <c r="N6" s="225">
        <f>N5+6</f>
        <v>200</v>
      </c>
      <c r="O6" s="225">
        <f>O5+3</f>
        <v>165</v>
      </c>
      <c r="P6" s="225">
        <f>P5+3</f>
        <v>128</v>
      </c>
      <c r="Q6" s="226">
        <f>Q5+2</f>
        <v>82</v>
      </c>
      <c r="R6" s="224">
        <f>R5+4</f>
        <v>86</v>
      </c>
      <c r="S6" s="225">
        <f>S5+2</f>
        <v>144</v>
      </c>
      <c r="T6" s="225">
        <f>T5+3</f>
        <v>171</v>
      </c>
      <c r="U6" s="225">
        <f>U5+8</f>
        <v>213</v>
      </c>
      <c r="V6" s="225">
        <f>V5+10</f>
        <v>232</v>
      </c>
      <c r="W6" s="225">
        <f>W5+15</f>
        <v>223</v>
      </c>
      <c r="X6" s="225">
        <f>X5+22</f>
        <v>237</v>
      </c>
      <c r="Y6" s="226">
        <f>Y5+31</f>
        <v>238</v>
      </c>
      <c r="Z6" s="224">
        <f>Z5+27</f>
        <v>239</v>
      </c>
      <c r="AA6" s="225">
        <f>AA5+23</f>
        <v>236</v>
      </c>
      <c r="AB6" s="225">
        <f>AB5+9</f>
        <v>220</v>
      </c>
      <c r="AC6" s="225">
        <f>AC5+6</f>
        <v>229</v>
      </c>
      <c r="AD6" s="225">
        <f>AD5+6</f>
        <v>210</v>
      </c>
      <c r="AE6" s="225">
        <f>AE5+2</f>
        <v>172</v>
      </c>
      <c r="AF6" s="225">
        <f>AF5+6</f>
        <v>143</v>
      </c>
      <c r="AG6" s="226">
        <f>AG5+3</f>
        <v>89</v>
      </c>
      <c r="AH6" s="227"/>
      <c r="AI6" s="227">
        <f>SUM(B6:AG6)</f>
        <v>5992</v>
      </c>
      <c r="AJ6" s="8"/>
    </row>
    <row r="7" spans="1:36">
      <c r="A7" s="20"/>
      <c r="B7" s="536">
        <f>SUM(B6:Q6)</f>
        <v>2910</v>
      </c>
      <c r="C7" s="537"/>
      <c r="D7" s="537"/>
      <c r="E7" s="537"/>
      <c r="F7" s="537"/>
      <c r="G7" s="537"/>
      <c r="H7" s="537"/>
      <c r="I7" s="537"/>
      <c r="J7" s="537"/>
      <c r="K7" s="537"/>
      <c r="L7" s="537"/>
      <c r="M7" s="537"/>
      <c r="N7" s="537"/>
      <c r="O7" s="537"/>
      <c r="P7" s="537"/>
      <c r="Q7" s="538"/>
      <c r="R7" s="536">
        <f>SUM(R6:AG6)</f>
        <v>3082</v>
      </c>
      <c r="S7" s="537"/>
      <c r="T7" s="537"/>
      <c r="U7" s="537"/>
      <c r="V7" s="537"/>
      <c r="W7" s="537"/>
      <c r="X7" s="537"/>
      <c r="Y7" s="537"/>
      <c r="Z7" s="537"/>
      <c r="AA7" s="537"/>
      <c r="AB7" s="537"/>
      <c r="AC7" s="537"/>
      <c r="AD7" s="537"/>
      <c r="AE7" s="537"/>
      <c r="AF7" s="537"/>
      <c r="AG7" s="538"/>
      <c r="AH7" s="163"/>
      <c r="AI7" s="163"/>
      <c r="AJ7" s="8"/>
    </row>
    <row r="8" spans="1:36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I8" s="67" t="s">
        <v>342</v>
      </c>
    </row>
    <row r="9" spans="1:36" s="8" customFormat="1">
      <c r="A9" s="228" t="s">
        <v>362</v>
      </c>
      <c r="B9" s="229">
        <v>19</v>
      </c>
      <c r="C9" s="229">
        <v>30</v>
      </c>
      <c r="D9" s="229">
        <v>23</v>
      </c>
      <c r="E9" s="229">
        <v>16</v>
      </c>
      <c r="F9" s="229">
        <v>24</v>
      </c>
      <c r="G9" s="229">
        <v>13</v>
      </c>
      <c r="H9" s="229">
        <v>8</v>
      </c>
      <c r="I9" s="229">
        <v>3</v>
      </c>
      <c r="J9" s="229">
        <v>2</v>
      </c>
      <c r="K9" s="229">
        <v>9</v>
      </c>
      <c r="L9" s="229">
        <v>13</v>
      </c>
      <c r="M9" s="229">
        <v>28</v>
      </c>
      <c r="N9" s="229">
        <v>25</v>
      </c>
      <c r="O9" s="229">
        <v>32</v>
      </c>
      <c r="P9" s="229">
        <v>35</v>
      </c>
      <c r="Q9" s="229">
        <v>26</v>
      </c>
      <c r="R9" s="229">
        <v>20</v>
      </c>
      <c r="S9" s="229">
        <v>28</v>
      </c>
      <c r="T9" s="229">
        <v>32</v>
      </c>
      <c r="U9" s="229">
        <v>15</v>
      </c>
      <c r="V9" s="229">
        <v>11</v>
      </c>
      <c r="W9" s="229">
        <v>9</v>
      </c>
      <c r="X9" s="229">
        <v>2</v>
      </c>
      <c r="Y9" s="229">
        <v>4</v>
      </c>
      <c r="Z9" s="229">
        <v>1</v>
      </c>
      <c r="AA9" s="229">
        <v>3</v>
      </c>
      <c r="AB9" s="229">
        <v>8</v>
      </c>
      <c r="AC9" s="229">
        <v>16</v>
      </c>
      <c r="AD9" s="229">
        <v>20</v>
      </c>
      <c r="AE9" s="229">
        <v>36</v>
      </c>
      <c r="AF9" s="229">
        <v>31</v>
      </c>
      <c r="AG9" s="229">
        <v>18</v>
      </c>
      <c r="AH9" s="228"/>
      <c r="AI9" s="228">
        <f>SUM(B9:AG9)</f>
        <v>560</v>
      </c>
      <c r="AJ9" s="77"/>
    </row>
    <row r="10" spans="1:36" s="8" customFormat="1">
      <c r="A10" s="230" t="s">
        <v>167</v>
      </c>
      <c r="B10" s="231">
        <v>48</v>
      </c>
      <c r="C10" s="231">
        <v>82</v>
      </c>
      <c r="D10" s="231">
        <v>100</v>
      </c>
      <c r="E10" s="231">
        <v>94</v>
      </c>
      <c r="F10" s="231">
        <v>93</v>
      </c>
      <c r="G10" s="231">
        <v>97</v>
      </c>
      <c r="H10" s="231">
        <v>92</v>
      </c>
      <c r="I10" s="231">
        <v>94</v>
      </c>
      <c r="J10" s="231">
        <v>88</v>
      </c>
      <c r="K10" s="231">
        <v>104</v>
      </c>
      <c r="L10" s="231">
        <v>106</v>
      </c>
      <c r="M10" s="231">
        <v>92</v>
      </c>
      <c r="N10" s="231">
        <v>84</v>
      </c>
      <c r="O10" s="231">
        <v>86</v>
      </c>
      <c r="P10" s="231">
        <v>83</v>
      </c>
      <c r="Q10" s="231">
        <v>49</v>
      </c>
      <c r="R10" s="231">
        <v>55</v>
      </c>
      <c r="S10" s="231">
        <v>77</v>
      </c>
      <c r="T10" s="231">
        <v>87</v>
      </c>
      <c r="U10" s="231">
        <v>102</v>
      </c>
      <c r="V10" s="231">
        <v>116</v>
      </c>
      <c r="W10" s="231">
        <v>129</v>
      </c>
      <c r="X10" s="231">
        <v>141</v>
      </c>
      <c r="Y10" s="231">
        <v>136</v>
      </c>
      <c r="Z10" s="231">
        <v>139</v>
      </c>
      <c r="AA10" s="231">
        <v>144</v>
      </c>
      <c r="AB10" s="231">
        <v>135</v>
      </c>
      <c r="AC10" s="231">
        <v>127</v>
      </c>
      <c r="AD10" s="231">
        <v>108</v>
      </c>
      <c r="AE10" s="231">
        <v>84</v>
      </c>
      <c r="AF10" s="231">
        <v>70</v>
      </c>
      <c r="AG10" s="231">
        <v>63</v>
      </c>
      <c r="AH10" s="230"/>
      <c r="AI10" s="230">
        <f t="shared" ref="AI10:AI13" si="0">SUM(B10:AG10)</f>
        <v>3105</v>
      </c>
      <c r="AJ10" s="77"/>
    </row>
    <row r="11" spans="1:36" s="8" customFormat="1">
      <c r="A11" s="232" t="s">
        <v>165</v>
      </c>
      <c r="B11" s="85">
        <v>2</v>
      </c>
      <c r="C11" s="85">
        <v>19</v>
      </c>
      <c r="D11" s="85">
        <v>19</v>
      </c>
      <c r="E11" s="85">
        <v>12</v>
      </c>
      <c r="F11" s="85">
        <v>11</v>
      </c>
      <c r="G11" s="85">
        <v>6</v>
      </c>
      <c r="H11" s="85">
        <v>9</v>
      </c>
      <c r="I11" s="85">
        <v>9</v>
      </c>
      <c r="J11" s="85">
        <v>10</v>
      </c>
      <c r="K11" s="85">
        <v>7</v>
      </c>
      <c r="L11" s="85">
        <v>5</v>
      </c>
      <c r="M11" s="85">
        <v>10</v>
      </c>
      <c r="N11" s="85">
        <v>12</v>
      </c>
      <c r="O11" s="85">
        <v>25</v>
      </c>
      <c r="P11" s="85">
        <v>15</v>
      </c>
      <c r="Q11" s="85">
        <v>1</v>
      </c>
      <c r="R11" s="85">
        <v>6</v>
      </c>
      <c r="S11" s="85">
        <v>30</v>
      </c>
      <c r="T11" s="85">
        <v>33</v>
      </c>
      <c r="U11" s="85">
        <v>18</v>
      </c>
      <c r="V11" s="85">
        <v>7</v>
      </c>
      <c r="W11" s="85">
        <v>4</v>
      </c>
      <c r="X11" s="85">
        <v>4</v>
      </c>
      <c r="Y11" s="85">
        <v>7</v>
      </c>
      <c r="Z11" s="85">
        <v>10</v>
      </c>
      <c r="AA11" s="85">
        <v>5</v>
      </c>
      <c r="AB11" s="85">
        <v>2</v>
      </c>
      <c r="AC11" s="85">
        <v>4</v>
      </c>
      <c r="AD11" s="85">
        <v>15</v>
      </c>
      <c r="AE11" s="85">
        <v>40</v>
      </c>
      <c r="AF11" s="85">
        <v>36</v>
      </c>
      <c r="AG11" s="85">
        <v>6</v>
      </c>
      <c r="AH11" s="232"/>
      <c r="AI11" s="232">
        <f t="shared" si="0"/>
        <v>399</v>
      </c>
      <c r="AJ11" s="77"/>
    </row>
    <row r="12" spans="1:36" s="8" customFormat="1">
      <c r="A12" s="233" t="s">
        <v>422</v>
      </c>
      <c r="B12" s="234">
        <v>8</v>
      </c>
      <c r="C12" s="234">
        <v>17</v>
      </c>
      <c r="D12" s="234">
        <v>19</v>
      </c>
      <c r="E12" s="234">
        <v>14</v>
      </c>
      <c r="F12" s="234">
        <v>17</v>
      </c>
      <c r="G12" s="234">
        <v>10</v>
      </c>
      <c r="H12" s="234">
        <v>12</v>
      </c>
      <c r="I12" s="234">
        <v>7</v>
      </c>
      <c r="J12" s="234">
        <v>10</v>
      </c>
      <c r="K12" s="234">
        <v>8</v>
      </c>
      <c r="L12" s="234">
        <v>12</v>
      </c>
      <c r="M12" s="234">
        <v>13</v>
      </c>
      <c r="N12" s="234">
        <v>12</v>
      </c>
      <c r="O12" s="234">
        <v>22</v>
      </c>
      <c r="P12" s="234">
        <v>13</v>
      </c>
      <c r="Q12" s="234">
        <v>9</v>
      </c>
      <c r="R12" s="234">
        <v>7</v>
      </c>
      <c r="S12" s="234">
        <v>14</v>
      </c>
      <c r="T12" s="234">
        <v>21</v>
      </c>
      <c r="U12" s="234">
        <v>6</v>
      </c>
      <c r="V12" s="234">
        <v>4</v>
      </c>
      <c r="W12" s="234">
        <v>3</v>
      </c>
      <c r="X12" s="234">
        <v>2</v>
      </c>
      <c r="Y12" s="234">
        <v>4</v>
      </c>
      <c r="Z12" s="234">
        <v>3</v>
      </c>
      <c r="AA12" s="234">
        <v>0</v>
      </c>
      <c r="AB12" s="234">
        <v>6</v>
      </c>
      <c r="AC12" s="234">
        <v>8</v>
      </c>
      <c r="AD12" s="234">
        <v>9</v>
      </c>
      <c r="AE12" s="234">
        <v>21</v>
      </c>
      <c r="AF12" s="234">
        <v>11</v>
      </c>
      <c r="AG12" s="234">
        <v>8</v>
      </c>
      <c r="AH12" s="233"/>
      <c r="AI12" s="233">
        <f t="shared" si="0"/>
        <v>330</v>
      </c>
      <c r="AJ12" s="77"/>
    </row>
    <row r="13" spans="1:36" s="8" customFormat="1">
      <c r="A13" s="235" t="s">
        <v>423</v>
      </c>
      <c r="B13" s="236">
        <v>0</v>
      </c>
      <c r="C13" s="236">
        <v>0</v>
      </c>
      <c r="D13" s="236">
        <v>0</v>
      </c>
      <c r="E13" s="236">
        <v>6</v>
      </c>
      <c r="F13" s="236">
        <v>6</v>
      </c>
      <c r="G13" s="236">
        <v>48</v>
      </c>
      <c r="H13" s="236">
        <v>33</v>
      </c>
      <c r="I13" s="236">
        <v>53</v>
      </c>
      <c r="J13" s="236">
        <v>52</v>
      </c>
      <c r="K13" s="236">
        <v>31</v>
      </c>
      <c r="L13" s="236">
        <v>44</v>
      </c>
      <c r="M13" s="236">
        <v>7</v>
      </c>
      <c r="N13" s="236">
        <v>4</v>
      </c>
      <c r="O13" s="236">
        <v>0</v>
      </c>
      <c r="P13" s="236">
        <v>0</v>
      </c>
      <c r="Q13" s="236">
        <v>0</v>
      </c>
      <c r="R13" s="236">
        <v>0</v>
      </c>
      <c r="S13" s="236">
        <v>0</v>
      </c>
      <c r="T13" s="236">
        <v>0</v>
      </c>
      <c r="U13" s="236">
        <v>6</v>
      </c>
      <c r="V13" s="236">
        <v>11</v>
      </c>
      <c r="W13" s="236">
        <v>65</v>
      </c>
      <c r="X13" s="236">
        <v>29</v>
      </c>
      <c r="Y13" s="236">
        <v>29</v>
      </c>
      <c r="Z13" s="236">
        <v>28</v>
      </c>
      <c r="AA13" s="236">
        <v>28</v>
      </c>
      <c r="AB13" s="236">
        <v>56</v>
      </c>
      <c r="AC13" s="236">
        <v>10</v>
      </c>
      <c r="AD13" s="236">
        <v>6</v>
      </c>
      <c r="AE13" s="236">
        <v>0</v>
      </c>
      <c r="AF13" s="236">
        <v>0</v>
      </c>
      <c r="AG13" s="236">
        <v>0</v>
      </c>
      <c r="AH13" s="235"/>
      <c r="AI13" s="235">
        <f t="shared" si="0"/>
        <v>552</v>
      </c>
    </row>
    <row r="14" spans="1:36" s="5" customFormat="1">
      <c r="B14" s="163"/>
      <c r="C14" s="163"/>
      <c r="D14" s="163"/>
      <c r="E14" s="163"/>
      <c r="F14" s="163"/>
      <c r="G14" s="163"/>
      <c r="H14" s="163"/>
      <c r="I14" s="163"/>
      <c r="J14" s="163"/>
      <c r="K14" s="163"/>
      <c r="L14" s="163"/>
      <c r="M14" s="163"/>
      <c r="N14" s="163"/>
      <c r="O14" s="163"/>
      <c r="P14" s="163"/>
      <c r="Q14" s="163"/>
      <c r="R14" s="163"/>
      <c r="S14" s="163"/>
      <c r="T14" s="163"/>
      <c r="U14" s="163"/>
      <c r="V14" s="163"/>
      <c r="W14" s="163"/>
      <c r="X14" s="163"/>
      <c r="Y14" s="163"/>
      <c r="Z14" s="163"/>
      <c r="AA14" s="163"/>
      <c r="AB14" s="163"/>
      <c r="AC14" s="163"/>
      <c r="AD14" s="163"/>
      <c r="AE14" s="163"/>
      <c r="AF14" s="163"/>
      <c r="AG14" s="163"/>
    </row>
    <row r="15" spans="1:36" s="8" customFormat="1">
      <c r="A15" s="228" t="s">
        <v>424</v>
      </c>
      <c r="B15" s="237">
        <f>B9/B4</f>
        <v>0.26760563380281688</v>
      </c>
      <c r="C15" s="237">
        <f>C9/C4</f>
        <v>0.26315789473684209</v>
      </c>
      <c r="D15" s="237">
        <f t="shared" ref="D15:H15" si="1">D9/D4</f>
        <v>0.16546762589928057</v>
      </c>
      <c r="E15" s="237">
        <f t="shared" si="1"/>
        <v>8.8888888888888892E-2</v>
      </c>
      <c r="F15" s="237">
        <f t="shared" si="1"/>
        <v>0.12182741116751269</v>
      </c>
      <c r="G15" s="237">
        <f t="shared" si="1"/>
        <v>6.9518716577540107E-2</v>
      </c>
      <c r="H15" s="237">
        <f t="shared" si="1"/>
        <v>4.4198895027624308E-2</v>
      </c>
      <c r="I15" s="237">
        <f>I9/I4</f>
        <v>1.6483516483516484E-2</v>
      </c>
      <c r="J15" s="237">
        <f>J9/J4</f>
        <v>1.098901098901099E-2</v>
      </c>
      <c r="K15" s="237">
        <f>K9/K4</f>
        <v>4.7619047619047616E-2</v>
      </c>
      <c r="L15" s="237">
        <f t="shared" ref="L15:P15" si="2">L9/L4</f>
        <v>7.2222222222222215E-2</v>
      </c>
      <c r="M15" s="237">
        <f t="shared" si="2"/>
        <v>0.14000000000000001</v>
      </c>
      <c r="N15" s="237">
        <f t="shared" si="2"/>
        <v>0.13736263736263737</v>
      </c>
      <c r="O15" s="237">
        <f t="shared" si="2"/>
        <v>0.23357664233576642</v>
      </c>
      <c r="P15" s="237">
        <f t="shared" si="2"/>
        <v>0.31818181818181818</v>
      </c>
      <c r="Q15" s="237">
        <f>Q9/Q4</f>
        <v>0.32911392405063289</v>
      </c>
      <c r="R15" s="237">
        <f>R9/R4</f>
        <v>0.26315789473684209</v>
      </c>
      <c r="S15" s="237">
        <f>S9/S4</f>
        <v>0.25</v>
      </c>
      <c r="T15" s="237">
        <f t="shared" ref="T15:AG15" si="3">T9/T4</f>
        <v>0.23703703703703705</v>
      </c>
      <c r="U15" s="237">
        <f t="shared" si="3"/>
        <v>8.0213903743315509E-2</v>
      </c>
      <c r="V15" s="237">
        <f t="shared" si="3"/>
        <v>5.1162790697674418E-2</v>
      </c>
      <c r="W15" s="237">
        <f t="shared" si="3"/>
        <v>4.4117647058823532E-2</v>
      </c>
      <c r="X15" s="237">
        <f t="shared" si="3"/>
        <v>9.4786729857819912E-3</v>
      </c>
      <c r="Y15" s="237">
        <f t="shared" si="3"/>
        <v>0.02</v>
      </c>
      <c r="Z15" s="237">
        <f t="shared" si="3"/>
        <v>4.9504950495049506E-3</v>
      </c>
      <c r="AA15" s="237">
        <f t="shared" si="3"/>
        <v>1.4423076923076924E-2</v>
      </c>
      <c r="AB15" s="237">
        <f t="shared" si="3"/>
        <v>3.8277511961722487E-2</v>
      </c>
      <c r="AC15" s="237">
        <f t="shared" si="3"/>
        <v>7.3059360730593603E-2</v>
      </c>
      <c r="AD15" s="237">
        <f t="shared" si="3"/>
        <v>0.10582010582010581</v>
      </c>
      <c r="AE15" s="237">
        <f t="shared" si="3"/>
        <v>0.27692307692307694</v>
      </c>
      <c r="AF15" s="237">
        <f t="shared" si="3"/>
        <v>0.30693069306930693</v>
      </c>
      <c r="AG15" s="237">
        <f t="shared" si="3"/>
        <v>0.22500000000000001</v>
      </c>
      <c r="AJ15" s="77"/>
    </row>
    <row r="16" spans="1:36" s="8" customFormat="1">
      <c r="A16" s="230" t="s">
        <v>425</v>
      </c>
      <c r="B16" s="238">
        <f>B10/B4</f>
        <v>0.676056338028169</v>
      </c>
      <c r="C16" s="238">
        <f t="shared" ref="C16:AG16" si="4">C10/C4</f>
        <v>0.7192982456140351</v>
      </c>
      <c r="D16" s="238">
        <f t="shared" si="4"/>
        <v>0.71942446043165464</v>
      </c>
      <c r="E16" s="238">
        <f t="shared" si="4"/>
        <v>0.52222222222222225</v>
      </c>
      <c r="F16" s="238">
        <f t="shared" si="4"/>
        <v>0.4720812182741117</v>
      </c>
      <c r="G16" s="238">
        <f t="shared" si="4"/>
        <v>0.51871657754010692</v>
      </c>
      <c r="H16" s="238">
        <f t="shared" si="4"/>
        <v>0.50828729281767959</v>
      </c>
      <c r="I16" s="238">
        <f t="shared" si="4"/>
        <v>0.51648351648351654</v>
      </c>
      <c r="J16" s="238">
        <f t="shared" si="4"/>
        <v>0.48351648351648352</v>
      </c>
      <c r="K16" s="238">
        <f t="shared" si="4"/>
        <v>0.55026455026455023</v>
      </c>
      <c r="L16" s="238">
        <f t="shared" si="4"/>
        <v>0.58888888888888891</v>
      </c>
      <c r="M16" s="238">
        <f t="shared" si="4"/>
        <v>0.46</v>
      </c>
      <c r="N16" s="238">
        <f t="shared" si="4"/>
        <v>0.46153846153846156</v>
      </c>
      <c r="O16" s="238">
        <f t="shared" si="4"/>
        <v>0.62773722627737227</v>
      </c>
      <c r="P16" s="238">
        <f t="shared" si="4"/>
        <v>0.75454545454545452</v>
      </c>
      <c r="Q16" s="238">
        <f t="shared" si="4"/>
        <v>0.620253164556962</v>
      </c>
      <c r="R16" s="238">
        <f t="shared" si="4"/>
        <v>0.72368421052631582</v>
      </c>
      <c r="S16" s="238">
        <f t="shared" si="4"/>
        <v>0.6875</v>
      </c>
      <c r="T16" s="238">
        <f t="shared" si="4"/>
        <v>0.64444444444444449</v>
      </c>
      <c r="U16" s="238">
        <f t="shared" si="4"/>
        <v>0.54545454545454541</v>
      </c>
      <c r="V16" s="238">
        <f t="shared" si="4"/>
        <v>0.53953488372093028</v>
      </c>
      <c r="W16" s="238">
        <f t="shared" si="4"/>
        <v>0.63235294117647056</v>
      </c>
      <c r="X16" s="238">
        <f t="shared" si="4"/>
        <v>0.66824644549763035</v>
      </c>
      <c r="Y16" s="238">
        <f t="shared" si="4"/>
        <v>0.68</v>
      </c>
      <c r="Z16" s="238">
        <f t="shared" si="4"/>
        <v>0.68811881188118806</v>
      </c>
      <c r="AA16" s="238">
        <f t="shared" si="4"/>
        <v>0.69230769230769229</v>
      </c>
      <c r="AB16" s="238">
        <f t="shared" si="4"/>
        <v>0.64593301435406703</v>
      </c>
      <c r="AC16" s="238">
        <f t="shared" si="4"/>
        <v>0.57990867579908678</v>
      </c>
      <c r="AD16" s="238">
        <f t="shared" si="4"/>
        <v>0.5714285714285714</v>
      </c>
      <c r="AE16" s="238">
        <f t="shared" si="4"/>
        <v>0.64615384615384619</v>
      </c>
      <c r="AF16" s="238">
        <f t="shared" si="4"/>
        <v>0.69306930693069302</v>
      </c>
      <c r="AG16" s="238">
        <f t="shared" si="4"/>
        <v>0.78749999999999998</v>
      </c>
      <c r="AJ16" s="77"/>
    </row>
    <row r="17" spans="1:36" s="8" customFormat="1">
      <c r="A17" s="232" t="s">
        <v>426</v>
      </c>
      <c r="B17" s="239">
        <f>B11/B6</f>
        <v>2.5974025974025976E-2</v>
      </c>
      <c r="C17" s="239">
        <f t="shared" ref="C17:AG17" si="5">C11/C6</f>
        <v>0.14074074074074075</v>
      </c>
      <c r="D17" s="239">
        <f t="shared" si="5"/>
        <v>0.11728395061728394</v>
      </c>
      <c r="E17" s="239">
        <f t="shared" si="5"/>
        <v>6.0606060606060608E-2</v>
      </c>
      <c r="F17" s="239">
        <f t="shared" si="5"/>
        <v>5.0228310502283102E-2</v>
      </c>
      <c r="G17" s="239">
        <f t="shared" si="5"/>
        <v>2.8846153846153848E-2</v>
      </c>
      <c r="H17" s="239">
        <f t="shared" si="5"/>
        <v>3.9130434782608699E-2</v>
      </c>
      <c r="I17" s="239">
        <f t="shared" si="5"/>
        <v>3.9301310043668124E-2</v>
      </c>
      <c r="J17" s="239">
        <f t="shared" si="5"/>
        <v>4.405286343612335E-2</v>
      </c>
      <c r="K17" s="239">
        <f t="shared" si="5"/>
        <v>3.0973451327433628E-2</v>
      </c>
      <c r="L17" s="239">
        <f t="shared" si="5"/>
        <v>2.4390243902439025E-2</v>
      </c>
      <c r="M17" s="239">
        <f t="shared" si="5"/>
        <v>4.5662100456621002E-2</v>
      </c>
      <c r="N17" s="239">
        <f t="shared" si="5"/>
        <v>0.06</v>
      </c>
      <c r="O17" s="239">
        <f t="shared" si="5"/>
        <v>0.15151515151515152</v>
      </c>
      <c r="P17" s="239">
        <f t="shared" si="5"/>
        <v>0.1171875</v>
      </c>
      <c r="Q17" s="239">
        <f t="shared" si="5"/>
        <v>1.2195121951219513E-2</v>
      </c>
      <c r="R17" s="239">
        <f t="shared" si="5"/>
        <v>6.9767441860465115E-2</v>
      </c>
      <c r="S17" s="239">
        <f t="shared" si="5"/>
        <v>0.20833333333333334</v>
      </c>
      <c r="T17" s="239">
        <f t="shared" si="5"/>
        <v>0.19298245614035087</v>
      </c>
      <c r="U17" s="239">
        <f t="shared" si="5"/>
        <v>8.4507042253521125E-2</v>
      </c>
      <c r="V17" s="239">
        <f t="shared" si="5"/>
        <v>3.017241379310345E-2</v>
      </c>
      <c r="W17" s="239">
        <f t="shared" si="5"/>
        <v>1.7937219730941704E-2</v>
      </c>
      <c r="X17" s="239">
        <f t="shared" si="5"/>
        <v>1.6877637130801686E-2</v>
      </c>
      <c r="Y17" s="239">
        <f t="shared" si="5"/>
        <v>2.9411764705882353E-2</v>
      </c>
      <c r="Z17" s="239">
        <f t="shared" si="5"/>
        <v>4.1841004184100417E-2</v>
      </c>
      <c r="AA17" s="239">
        <f t="shared" si="5"/>
        <v>2.1186440677966101E-2</v>
      </c>
      <c r="AB17" s="239">
        <f t="shared" si="5"/>
        <v>9.0909090909090905E-3</v>
      </c>
      <c r="AC17" s="239">
        <f t="shared" si="5"/>
        <v>1.7467248908296942E-2</v>
      </c>
      <c r="AD17" s="239">
        <f t="shared" si="5"/>
        <v>7.1428571428571425E-2</v>
      </c>
      <c r="AE17" s="239">
        <f t="shared" si="5"/>
        <v>0.23255813953488372</v>
      </c>
      <c r="AF17" s="239">
        <f t="shared" si="5"/>
        <v>0.25174825174825177</v>
      </c>
      <c r="AG17" s="239">
        <f t="shared" si="5"/>
        <v>6.741573033707865E-2</v>
      </c>
      <c r="AJ17" s="77"/>
    </row>
    <row r="18" spans="1:36" s="8" customFormat="1">
      <c r="A18" s="233" t="s">
        <v>427</v>
      </c>
      <c r="B18" s="240">
        <f>B12/B6</f>
        <v>0.1038961038961039</v>
      </c>
      <c r="C18" s="240">
        <f>C12/C6</f>
        <v>0.12592592592592591</v>
      </c>
      <c r="D18" s="240">
        <f t="shared" ref="D18:H18" si="6">D12/D6</f>
        <v>0.11728395061728394</v>
      </c>
      <c r="E18" s="240">
        <f t="shared" si="6"/>
        <v>7.0707070707070704E-2</v>
      </c>
      <c r="F18" s="240">
        <f t="shared" si="6"/>
        <v>7.7625570776255703E-2</v>
      </c>
      <c r="G18" s="240">
        <f t="shared" si="6"/>
        <v>4.807692307692308E-2</v>
      </c>
      <c r="H18" s="240">
        <f t="shared" si="6"/>
        <v>5.2173913043478258E-2</v>
      </c>
      <c r="I18" s="240">
        <f>I12/I6</f>
        <v>3.0567685589519649E-2</v>
      </c>
      <c r="J18" s="240">
        <f>J12/J6</f>
        <v>4.405286343612335E-2</v>
      </c>
      <c r="K18" s="240">
        <f t="shared" ref="K18:P18" si="7">K12/K6</f>
        <v>3.5398230088495575E-2</v>
      </c>
      <c r="L18" s="240">
        <f t="shared" si="7"/>
        <v>5.8536585365853662E-2</v>
      </c>
      <c r="M18" s="240">
        <f t="shared" si="7"/>
        <v>5.9360730593607303E-2</v>
      </c>
      <c r="N18" s="240">
        <f t="shared" si="7"/>
        <v>0.06</v>
      </c>
      <c r="O18" s="240">
        <f t="shared" si="7"/>
        <v>0.13333333333333333</v>
      </c>
      <c r="P18" s="240">
        <f t="shared" si="7"/>
        <v>0.1015625</v>
      </c>
      <c r="Q18" s="240">
        <f>Q12/Q6</f>
        <v>0.10975609756097561</v>
      </c>
      <c r="R18" s="240">
        <f>R12/R6</f>
        <v>8.1395348837209308E-2</v>
      </c>
      <c r="S18" s="240">
        <f>S12/S6</f>
        <v>9.7222222222222224E-2</v>
      </c>
      <c r="T18" s="240">
        <f t="shared" ref="T18:X18" si="8">T12/T6</f>
        <v>0.12280701754385964</v>
      </c>
      <c r="U18" s="240">
        <f t="shared" si="8"/>
        <v>2.8169014084507043E-2</v>
      </c>
      <c r="V18" s="240">
        <f t="shared" si="8"/>
        <v>1.7241379310344827E-2</v>
      </c>
      <c r="W18" s="240">
        <f t="shared" si="8"/>
        <v>1.3452914798206279E-2</v>
      </c>
      <c r="X18" s="240">
        <f t="shared" si="8"/>
        <v>8.4388185654008432E-3</v>
      </c>
      <c r="Y18" s="240">
        <f>Y12/Y6</f>
        <v>1.680672268907563E-2</v>
      </c>
      <c r="Z18" s="240">
        <f>Z12/Z6</f>
        <v>1.2552301255230125E-2</v>
      </c>
      <c r="AA18" s="240">
        <f>AA12/AA6</f>
        <v>0</v>
      </c>
      <c r="AB18" s="240">
        <f t="shared" ref="AB18:AF18" si="9">AB12/AB6</f>
        <v>2.7272727272727271E-2</v>
      </c>
      <c r="AC18" s="240">
        <f t="shared" si="9"/>
        <v>3.4934497816593885E-2</v>
      </c>
      <c r="AD18" s="240">
        <f t="shared" si="9"/>
        <v>4.2857142857142858E-2</v>
      </c>
      <c r="AE18" s="240">
        <f t="shared" si="9"/>
        <v>0.12209302325581395</v>
      </c>
      <c r="AF18" s="240">
        <f t="shared" si="9"/>
        <v>7.6923076923076927E-2</v>
      </c>
      <c r="AG18" s="240">
        <f>AG12/AG6</f>
        <v>8.98876404494382E-2</v>
      </c>
      <c r="AJ18" s="77"/>
    </row>
    <row r="19" spans="1:36" s="8" customFormat="1">
      <c r="A19" s="235" t="s">
        <v>428</v>
      </c>
      <c r="B19" s="241">
        <f>B13/B4</f>
        <v>0</v>
      </c>
      <c r="C19" s="241">
        <f t="shared" ref="C19:AG19" si="10">C13/C4</f>
        <v>0</v>
      </c>
      <c r="D19" s="241">
        <f t="shared" si="10"/>
        <v>0</v>
      </c>
      <c r="E19" s="241">
        <f t="shared" si="10"/>
        <v>3.3333333333333333E-2</v>
      </c>
      <c r="F19" s="241">
        <f t="shared" si="10"/>
        <v>3.0456852791878174E-2</v>
      </c>
      <c r="G19" s="241">
        <f t="shared" si="10"/>
        <v>0.25668449197860965</v>
      </c>
      <c r="H19" s="241">
        <f t="shared" si="10"/>
        <v>0.18232044198895028</v>
      </c>
      <c r="I19" s="241">
        <f t="shared" si="10"/>
        <v>0.29120879120879123</v>
      </c>
      <c r="J19" s="241">
        <f t="shared" si="10"/>
        <v>0.2857142857142857</v>
      </c>
      <c r="K19" s="241">
        <f t="shared" si="10"/>
        <v>0.16402116402116401</v>
      </c>
      <c r="L19" s="241">
        <f t="shared" si="10"/>
        <v>0.24444444444444444</v>
      </c>
      <c r="M19" s="241">
        <f t="shared" si="10"/>
        <v>3.5000000000000003E-2</v>
      </c>
      <c r="N19" s="241">
        <f t="shared" si="10"/>
        <v>2.197802197802198E-2</v>
      </c>
      <c r="O19" s="241">
        <f t="shared" si="10"/>
        <v>0</v>
      </c>
      <c r="P19" s="241">
        <f t="shared" si="10"/>
        <v>0</v>
      </c>
      <c r="Q19" s="241">
        <f t="shared" si="10"/>
        <v>0</v>
      </c>
      <c r="R19" s="241">
        <f t="shared" si="10"/>
        <v>0</v>
      </c>
      <c r="S19" s="241">
        <f t="shared" si="10"/>
        <v>0</v>
      </c>
      <c r="T19" s="241">
        <f t="shared" si="10"/>
        <v>0</v>
      </c>
      <c r="U19" s="241">
        <f t="shared" si="10"/>
        <v>3.2085561497326207E-2</v>
      </c>
      <c r="V19" s="241">
        <f t="shared" si="10"/>
        <v>5.1162790697674418E-2</v>
      </c>
      <c r="W19" s="241">
        <f t="shared" si="10"/>
        <v>0.31862745098039214</v>
      </c>
      <c r="X19" s="241">
        <f t="shared" si="10"/>
        <v>0.13744075829383887</v>
      </c>
      <c r="Y19" s="241">
        <f t="shared" si="10"/>
        <v>0.14499999999999999</v>
      </c>
      <c r="Z19" s="241">
        <f t="shared" si="10"/>
        <v>0.13861386138613863</v>
      </c>
      <c r="AA19" s="241">
        <f t="shared" si="10"/>
        <v>0.13461538461538461</v>
      </c>
      <c r="AB19" s="241">
        <f t="shared" si="10"/>
        <v>0.26794258373205743</v>
      </c>
      <c r="AC19" s="241">
        <f t="shared" si="10"/>
        <v>4.5662100456621002E-2</v>
      </c>
      <c r="AD19" s="241">
        <f t="shared" si="10"/>
        <v>3.1746031746031744E-2</v>
      </c>
      <c r="AE19" s="241">
        <f t="shared" si="10"/>
        <v>0</v>
      </c>
      <c r="AF19" s="241">
        <f t="shared" si="10"/>
        <v>0</v>
      </c>
      <c r="AG19" s="241">
        <f t="shared" si="10"/>
        <v>0</v>
      </c>
      <c r="AJ19" s="77"/>
    </row>
    <row r="20" spans="1:36" s="5" customFormat="1">
      <c r="B20" s="163"/>
      <c r="C20" s="163"/>
      <c r="D20" s="163"/>
      <c r="E20" s="163"/>
      <c r="F20" s="163"/>
      <c r="G20" s="163"/>
      <c r="H20" s="163"/>
      <c r="I20" s="163"/>
      <c r="J20" s="163"/>
      <c r="K20" s="163"/>
      <c r="L20" s="163"/>
      <c r="M20" s="163"/>
      <c r="N20" s="163"/>
      <c r="O20" s="163"/>
      <c r="P20" s="163"/>
      <c r="Q20" s="163"/>
      <c r="R20" s="163"/>
      <c r="S20" s="163"/>
      <c r="T20" s="163"/>
      <c r="U20" s="163"/>
      <c r="V20" s="163"/>
      <c r="W20" s="163"/>
      <c r="X20" s="163"/>
      <c r="Y20" s="163"/>
      <c r="Z20" s="163"/>
      <c r="AA20" s="163"/>
      <c r="AB20" s="163"/>
      <c r="AC20" s="163"/>
      <c r="AD20" s="163"/>
      <c r="AE20" s="163"/>
      <c r="AF20" s="163"/>
      <c r="AG20" s="163"/>
    </row>
    <row r="21" spans="1:36" s="5" customFormat="1">
      <c r="A21" s="5" t="s">
        <v>375</v>
      </c>
      <c r="B21" s="539">
        <f>B4+C4+D4</f>
        <v>324</v>
      </c>
      <c r="C21" s="540"/>
      <c r="D21" s="540"/>
      <c r="E21" s="541">
        <f>E4+F4</f>
        <v>377</v>
      </c>
      <c r="F21" s="541"/>
      <c r="G21" s="242">
        <f>G4</f>
        <v>187</v>
      </c>
      <c r="H21" s="542">
        <f>H4+I4</f>
        <v>363</v>
      </c>
      <c r="I21" s="542"/>
      <c r="J21" s="542">
        <f>J4+K4</f>
        <v>371</v>
      </c>
      <c r="K21" s="542"/>
      <c r="L21" s="242">
        <f>L4</f>
        <v>180</v>
      </c>
      <c r="M21" s="541">
        <f>M4+N4</f>
        <v>382</v>
      </c>
      <c r="N21" s="541"/>
      <c r="O21" s="540">
        <f>O4+P4+Q4</f>
        <v>326</v>
      </c>
      <c r="P21" s="540"/>
      <c r="Q21" s="543"/>
      <c r="R21" s="539">
        <f>R4+S4+T4</f>
        <v>323</v>
      </c>
      <c r="S21" s="540"/>
      <c r="T21" s="540"/>
      <c r="U21" s="541">
        <f>U4+V4</f>
        <v>402</v>
      </c>
      <c r="V21" s="541"/>
      <c r="W21" s="242">
        <f>W4</f>
        <v>204</v>
      </c>
      <c r="X21" s="542">
        <f>X4+Y4</f>
        <v>411</v>
      </c>
      <c r="Y21" s="542"/>
      <c r="Z21" s="542">
        <f>Z4+AA4</f>
        <v>410</v>
      </c>
      <c r="AA21" s="542"/>
      <c r="AB21" s="242">
        <f>AB4</f>
        <v>209</v>
      </c>
      <c r="AC21" s="541">
        <f>AC4+AD4</f>
        <v>408</v>
      </c>
      <c r="AD21" s="541"/>
      <c r="AE21" s="540">
        <f>AE4+AF4+AG4</f>
        <v>311</v>
      </c>
      <c r="AF21" s="540"/>
      <c r="AG21" s="543"/>
    </row>
    <row r="22" spans="1:36" s="5" customFormat="1">
      <c r="A22" s="5" t="s">
        <v>375</v>
      </c>
      <c r="B22" s="549">
        <f>B21+O21</f>
        <v>650</v>
      </c>
      <c r="C22" s="550"/>
      <c r="D22" s="550"/>
      <c r="E22" s="551">
        <f>E21+M21</f>
        <v>759</v>
      </c>
      <c r="F22" s="551"/>
      <c r="G22" s="243">
        <f>G21+L21</f>
        <v>367</v>
      </c>
      <c r="H22" s="552">
        <f>H21+J21</f>
        <v>734</v>
      </c>
      <c r="I22" s="552"/>
      <c r="J22" s="552"/>
      <c r="K22" s="552"/>
      <c r="L22" s="243"/>
      <c r="M22" s="551"/>
      <c r="N22" s="551"/>
      <c r="O22" s="550"/>
      <c r="P22" s="550"/>
      <c r="Q22" s="553"/>
      <c r="R22" s="554">
        <f>R21+AE21</f>
        <v>634</v>
      </c>
      <c r="S22" s="544"/>
      <c r="T22" s="544"/>
      <c r="U22" s="558">
        <f>U21+AC21</f>
        <v>810</v>
      </c>
      <c r="V22" s="558"/>
      <c r="W22" s="244">
        <f>W21+AB21</f>
        <v>413</v>
      </c>
      <c r="X22" s="559">
        <f>X21+Z21</f>
        <v>821</v>
      </c>
      <c r="Y22" s="559"/>
      <c r="Z22" s="559"/>
      <c r="AA22" s="559"/>
      <c r="AB22" s="244"/>
      <c r="AC22" s="558"/>
      <c r="AD22" s="558"/>
      <c r="AE22" s="544"/>
      <c r="AF22" s="544"/>
      <c r="AG22" s="545"/>
    </row>
    <row r="23" spans="1:36" s="5" customFormat="1">
      <c r="A23" s="5" t="s">
        <v>375</v>
      </c>
      <c r="B23" s="546">
        <f>B21+E21+G21+H21+J21+L21+M21+O21</f>
        <v>2510</v>
      </c>
      <c r="C23" s="547"/>
      <c r="D23" s="547"/>
      <c r="E23" s="547"/>
      <c r="F23" s="547"/>
      <c r="G23" s="547"/>
      <c r="H23" s="547"/>
      <c r="I23" s="547"/>
      <c r="J23" s="547"/>
      <c r="K23" s="547"/>
      <c r="L23" s="547"/>
      <c r="M23" s="547"/>
      <c r="N23" s="547"/>
      <c r="O23" s="547"/>
      <c r="P23" s="547"/>
      <c r="Q23" s="548"/>
      <c r="R23" s="546">
        <f>R21+U21+W21+X21+Z21+AB21+AC21+AE21</f>
        <v>2678</v>
      </c>
      <c r="S23" s="547"/>
      <c r="T23" s="547"/>
      <c r="U23" s="547"/>
      <c r="V23" s="547"/>
      <c r="W23" s="547"/>
      <c r="X23" s="547"/>
      <c r="Y23" s="547"/>
      <c r="Z23" s="547"/>
      <c r="AA23" s="547"/>
      <c r="AB23" s="547"/>
      <c r="AC23" s="547"/>
      <c r="AD23" s="547"/>
      <c r="AE23" s="547"/>
      <c r="AF23" s="547"/>
      <c r="AG23" s="548"/>
    </row>
    <row r="24" spans="1:36" s="5" customFormat="1">
      <c r="A24" s="5" t="s">
        <v>375</v>
      </c>
      <c r="B24" s="555">
        <f>B22+R22</f>
        <v>1284</v>
      </c>
      <c r="C24" s="555"/>
      <c r="D24" s="555"/>
      <c r="E24" s="556">
        <f>E22+U22</f>
        <v>1569</v>
      </c>
      <c r="F24" s="556"/>
      <c r="G24" s="245">
        <f>G22+W22</f>
        <v>780</v>
      </c>
      <c r="H24" s="557">
        <f>H22+X22</f>
        <v>1555</v>
      </c>
      <c r="I24" s="557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</row>
    <row r="25" spans="1:36" s="5" customFormat="1">
      <c r="B25" s="163"/>
      <c r="C25" s="163"/>
      <c r="D25" s="163"/>
      <c r="E25" s="163"/>
      <c r="F25" s="163"/>
      <c r="G25" s="163"/>
      <c r="H25" s="163"/>
      <c r="I25" s="163"/>
      <c r="J25" s="163"/>
      <c r="K25" s="163"/>
      <c r="L25" s="163"/>
      <c r="M25" s="163"/>
      <c r="N25" s="163"/>
      <c r="O25" s="163"/>
      <c r="P25" s="163"/>
      <c r="Q25" s="163"/>
      <c r="R25" s="163"/>
      <c r="S25" s="163"/>
      <c r="T25" s="163"/>
      <c r="U25" s="163"/>
      <c r="V25" s="163"/>
      <c r="W25" s="163"/>
      <c r="X25" s="163"/>
      <c r="Y25" s="163"/>
      <c r="Z25" s="163"/>
      <c r="AA25" s="163"/>
      <c r="AB25" s="163"/>
      <c r="AC25" s="163"/>
      <c r="AD25" s="163"/>
      <c r="AE25" s="163"/>
      <c r="AF25" s="163"/>
      <c r="AG25" s="163"/>
    </row>
    <row r="26" spans="1:36" s="5" customFormat="1">
      <c r="A26" s="67" t="s">
        <v>421</v>
      </c>
      <c r="B26" s="539">
        <f>B6+C6+D6</f>
        <v>374</v>
      </c>
      <c r="C26" s="540"/>
      <c r="D26" s="540"/>
      <c r="E26" s="541">
        <f>E6+F6</f>
        <v>417</v>
      </c>
      <c r="F26" s="541"/>
      <c r="G26" s="242">
        <f>G6</f>
        <v>208</v>
      </c>
      <c r="H26" s="542">
        <f>H6+I6</f>
        <v>459</v>
      </c>
      <c r="I26" s="542"/>
      <c r="J26" s="542">
        <f>J6+K6</f>
        <v>453</v>
      </c>
      <c r="K26" s="542"/>
      <c r="L26" s="242">
        <f>L6</f>
        <v>205</v>
      </c>
      <c r="M26" s="541">
        <f>M6+N6</f>
        <v>419</v>
      </c>
      <c r="N26" s="541"/>
      <c r="O26" s="540">
        <f>O6+P6+Q6</f>
        <v>375</v>
      </c>
      <c r="P26" s="540"/>
      <c r="Q26" s="543"/>
      <c r="R26" s="539">
        <f>R6+S6+T6</f>
        <v>401</v>
      </c>
      <c r="S26" s="540"/>
      <c r="T26" s="540"/>
      <c r="U26" s="541">
        <f>U6+V6</f>
        <v>445</v>
      </c>
      <c r="V26" s="541"/>
      <c r="W26" s="242">
        <f>W6</f>
        <v>223</v>
      </c>
      <c r="X26" s="542">
        <f>X6+Y6</f>
        <v>475</v>
      </c>
      <c r="Y26" s="542"/>
      <c r="Z26" s="542">
        <f>Z6+AA6</f>
        <v>475</v>
      </c>
      <c r="AA26" s="542"/>
      <c r="AB26" s="242">
        <f>AB6</f>
        <v>220</v>
      </c>
      <c r="AC26" s="541">
        <f>AC6+AD6</f>
        <v>439</v>
      </c>
      <c r="AD26" s="541"/>
      <c r="AE26" s="540">
        <f>AE6+AF6+AG6</f>
        <v>404</v>
      </c>
      <c r="AF26" s="540"/>
      <c r="AG26" s="543"/>
    </row>
    <row r="27" spans="1:36" s="5" customFormat="1">
      <c r="A27" s="67" t="s">
        <v>421</v>
      </c>
      <c r="B27" s="549">
        <f>B26+O26</f>
        <v>749</v>
      </c>
      <c r="C27" s="550"/>
      <c r="D27" s="550"/>
      <c r="E27" s="551">
        <f>E26+M26</f>
        <v>836</v>
      </c>
      <c r="F27" s="551"/>
      <c r="G27" s="243">
        <f>G26+L26</f>
        <v>413</v>
      </c>
      <c r="H27" s="552">
        <f>H26+J26</f>
        <v>912</v>
      </c>
      <c r="I27" s="552"/>
      <c r="J27" s="552"/>
      <c r="K27" s="552"/>
      <c r="L27" s="243"/>
      <c r="M27" s="551"/>
      <c r="N27" s="551"/>
      <c r="O27" s="550"/>
      <c r="P27" s="550"/>
      <c r="Q27" s="553"/>
      <c r="R27" s="549">
        <f>R26+AE26</f>
        <v>805</v>
      </c>
      <c r="S27" s="550"/>
      <c r="T27" s="550"/>
      <c r="U27" s="551">
        <f>U26+AC26</f>
        <v>884</v>
      </c>
      <c r="V27" s="551"/>
      <c r="W27" s="243">
        <f>W26+AB26</f>
        <v>443</v>
      </c>
      <c r="X27" s="552">
        <f>X26+Z26</f>
        <v>950</v>
      </c>
      <c r="Y27" s="552"/>
      <c r="Z27" s="552"/>
      <c r="AA27" s="552"/>
      <c r="AB27" s="243"/>
      <c r="AC27" s="551"/>
      <c r="AD27" s="551"/>
      <c r="AE27" s="550"/>
      <c r="AF27" s="550"/>
      <c r="AG27" s="553"/>
    </row>
    <row r="28" spans="1:36" s="5" customFormat="1">
      <c r="A28" s="67" t="s">
        <v>421</v>
      </c>
      <c r="B28" s="546">
        <f>B26+E26+G26+H26+J26+L26+M26+O26</f>
        <v>2910</v>
      </c>
      <c r="C28" s="547"/>
      <c r="D28" s="547"/>
      <c r="E28" s="547"/>
      <c r="F28" s="547"/>
      <c r="G28" s="547"/>
      <c r="H28" s="547"/>
      <c r="I28" s="547"/>
      <c r="J28" s="547"/>
      <c r="K28" s="547"/>
      <c r="L28" s="547"/>
      <c r="M28" s="547"/>
      <c r="N28" s="547"/>
      <c r="O28" s="547"/>
      <c r="P28" s="547"/>
      <c r="Q28" s="548"/>
      <c r="R28" s="546">
        <f>R26+U26+W26+X26+Z26+AB26+AC26+AE26</f>
        <v>3082</v>
      </c>
      <c r="S28" s="547"/>
      <c r="T28" s="547"/>
      <c r="U28" s="547"/>
      <c r="V28" s="547"/>
      <c r="W28" s="547"/>
      <c r="X28" s="547"/>
      <c r="Y28" s="547"/>
      <c r="Z28" s="547"/>
      <c r="AA28" s="547"/>
      <c r="AB28" s="547"/>
      <c r="AC28" s="547"/>
      <c r="AD28" s="547"/>
      <c r="AE28" s="547"/>
      <c r="AF28" s="547"/>
      <c r="AG28" s="548"/>
    </row>
    <row r="29" spans="1:36" s="5" customFormat="1">
      <c r="A29" s="67" t="s">
        <v>421</v>
      </c>
      <c r="B29" s="555">
        <f>B27+R27</f>
        <v>1554</v>
      </c>
      <c r="C29" s="555"/>
      <c r="D29" s="555"/>
      <c r="E29" s="556">
        <f>E27+U27</f>
        <v>1720</v>
      </c>
      <c r="F29" s="556"/>
      <c r="G29" s="245">
        <f>G27+W27</f>
        <v>856</v>
      </c>
      <c r="H29" s="557">
        <f>H27+X27</f>
        <v>1862</v>
      </c>
      <c r="I29" s="557"/>
      <c r="J29" s="163"/>
      <c r="K29" s="163"/>
      <c r="L29" s="163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163"/>
      <c r="AB29" s="163"/>
      <c r="AC29" s="163"/>
      <c r="AD29" s="163"/>
      <c r="AE29" s="163"/>
      <c r="AF29" s="163"/>
      <c r="AG29" s="163"/>
    </row>
    <row r="30" spans="1:36" s="5" customFormat="1">
      <c r="B30" s="163"/>
      <c r="C30" s="163"/>
      <c r="D30" s="163"/>
      <c r="E30" s="163"/>
      <c r="F30" s="163"/>
      <c r="G30" s="163"/>
      <c r="H30" s="163"/>
      <c r="I30" s="163"/>
      <c r="J30" s="163"/>
      <c r="K30" s="163"/>
      <c r="L30" s="163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163"/>
      <c r="AB30" s="163"/>
      <c r="AC30" s="163"/>
      <c r="AD30" s="163"/>
      <c r="AE30" s="163"/>
      <c r="AF30" s="163"/>
      <c r="AG30" s="163"/>
    </row>
    <row r="31" spans="1:36" s="5" customFormat="1">
      <c r="A31" s="228" t="s">
        <v>362</v>
      </c>
      <c r="B31" s="539">
        <f>B9+C9+D9</f>
        <v>72</v>
      </c>
      <c r="C31" s="540"/>
      <c r="D31" s="540"/>
      <c r="E31" s="541">
        <f>E9+F9</f>
        <v>40</v>
      </c>
      <c r="F31" s="541"/>
      <c r="G31" s="242">
        <f>G9</f>
        <v>13</v>
      </c>
      <c r="H31" s="542">
        <f>H9+I9</f>
        <v>11</v>
      </c>
      <c r="I31" s="542"/>
      <c r="J31" s="542">
        <f>J9+K9</f>
        <v>11</v>
      </c>
      <c r="K31" s="542"/>
      <c r="L31" s="242">
        <f>L9</f>
        <v>13</v>
      </c>
      <c r="M31" s="541">
        <f>M9+N9</f>
        <v>53</v>
      </c>
      <c r="N31" s="541"/>
      <c r="O31" s="540">
        <f>O9+P9+Q9</f>
        <v>93</v>
      </c>
      <c r="P31" s="540"/>
      <c r="Q31" s="543"/>
      <c r="R31" s="539">
        <f>R9+S9+T9</f>
        <v>80</v>
      </c>
      <c r="S31" s="540"/>
      <c r="T31" s="540"/>
      <c r="U31" s="541">
        <f>U9+V9</f>
        <v>26</v>
      </c>
      <c r="V31" s="541"/>
      <c r="W31" s="242">
        <f>W9</f>
        <v>9</v>
      </c>
      <c r="X31" s="542">
        <f>X9+Y9</f>
        <v>6</v>
      </c>
      <c r="Y31" s="542"/>
      <c r="Z31" s="542">
        <f>Z9+AA9</f>
        <v>4</v>
      </c>
      <c r="AA31" s="542"/>
      <c r="AB31" s="242">
        <f>AB9</f>
        <v>8</v>
      </c>
      <c r="AC31" s="541">
        <f>AC9+AD9</f>
        <v>36</v>
      </c>
      <c r="AD31" s="541"/>
      <c r="AE31" s="540">
        <f>AE9+AF9+AG9</f>
        <v>85</v>
      </c>
      <c r="AF31" s="540"/>
      <c r="AG31" s="543"/>
    </row>
    <row r="32" spans="1:36" s="5" customFormat="1">
      <c r="A32" s="228" t="s">
        <v>424</v>
      </c>
      <c r="B32" s="560">
        <f>B31/B21</f>
        <v>0.22222222222222221</v>
      </c>
      <c r="C32" s="561"/>
      <c r="D32" s="561"/>
      <c r="E32" s="562">
        <f>E31/E21</f>
        <v>0.10610079575596817</v>
      </c>
      <c r="F32" s="562"/>
      <c r="G32" s="246">
        <f>G31/G21</f>
        <v>6.9518716577540107E-2</v>
      </c>
      <c r="H32" s="563">
        <f>H31/H21</f>
        <v>3.0303030303030304E-2</v>
      </c>
      <c r="I32" s="563"/>
      <c r="J32" s="563">
        <f>J31/J21</f>
        <v>2.9649595687331536E-2</v>
      </c>
      <c r="K32" s="563"/>
      <c r="L32" s="246">
        <f>L31/L21</f>
        <v>7.2222222222222215E-2</v>
      </c>
      <c r="M32" s="562">
        <f>M31/M21</f>
        <v>0.13874345549738221</v>
      </c>
      <c r="N32" s="562"/>
      <c r="O32" s="561">
        <f>O31/O21</f>
        <v>0.28527607361963192</v>
      </c>
      <c r="P32" s="561"/>
      <c r="Q32" s="564"/>
      <c r="R32" s="560">
        <f>R31/R21</f>
        <v>0.24767801857585139</v>
      </c>
      <c r="S32" s="561"/>
      <c r="T32" s="561"/>
      <c r="U32" s="562">
        <f>U31/U21</f>
        <v>6.4676616915422883E-2</v>
      </c>
      <c r="V32" s="562"/>
      <c r="W32" s="246">
        <f>W31/W21</f>
        <v>4.4117647058823532E-2</v>
      </c>
      <c r="X32" s="563">
        <f>X31/X21</f>
        <v>1.4598540145985401E-2</v>
      </c>
      <c r="Y32" s="563"/>
      <c r="Z32" s="563">
        <f>Z31/Z21</f>
        <v>9.7560975609756097E-3</v>
      </c>
      <c r="AA32" s="563"/>
      <c r="AB32" s="246">
        <f>AB31/AB21</f>
        <v>3.8277511961722487E-2</v>
      </c>
      <c r="AC32" s="562">
        <f>AC31/AC21</f>
        <v>8.8235294117647065E-2</v>
      </c>
      <c r="AD32" s="562"/>
      <c r="AE32" s="561">
        <f>AE31/AE21</f>
        <v>0.27331189710610931</v>
      </c>
      <c r="AF32" s="561"/>
      <c r="AG32" s="564"/>
    </row>
    <row r="33" spans="1:33" s="5" customFormat="1">
      <c r="A33" s="228" t="s">
        <v>362</v>
      </c>
      <c r="B33" s="565">
        <f>B31+E31+G31+H31+J31+L31+M31+O31</f>
        <v>306</v>
      </c>
      <c r="C33" s="566"/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6"/>
      <c r="Q33" s="567"/>
      <c r="R33" s="565">
        <f>R31+U31+W31+X31+Z31+AB31+AC31+AE31</f>
        <v>254</v>
      </c>
      <c r="S33" s="566"/>
      <c r="T33" s="566"/>
      <c r="U33" s="566"/>
      <c r="V33" s="566"/>
      <c r="W33" s="566"/>
      <c r="X33" s="566"/>
      <c r="Y33" s="566"/>
      <c r="Z33" s="566"/>
      <c r="AA33" s="566"/>
      <c r="AB33" s="566"/>
      <c r="AC33" s="566"/>
      <c r="AD33" s="566"/>
      <c r="AE33" s="566"/>
      <c r="AF33" s="566"/>
      <c r="AG33" s="567"/>
    </row>
    <row r="34" spans="1:33" s="5" customFormat="1">
      <c r="A34" s="228" t="s">
        <v>424</v>
      </c>
      <c r="B34" s="560">
        <f>B33/B23</f>
        <v>0.12191235059760956</v>
      </c>
      <c r="C34" s="561"/>
      <c r="D34" s="561"/>
      <c r="E34" s="561"/>
      <c r="F34" s="561"/>
      <c r="G34" s="561"/>
      <c r="H34" s="561"/>
      <c r="I34" s="561"/>
      <c r="J34" s="561"/>
      <c r="K34" s="561"/>
      <c r="L34" s="561"/>
      <c r="M34" s="561"/>
      <c r="N34" s="561"/>
      <c r="O34" s="561"/>
      <c r="P34" s="561"/>
      <c r="Q34" s="564"/>
      <c r="R34" s="560">
        <f>R33/R23</f>
        <v>9.4846900672143394E-2</v>
      </c>
      <c r="S34" s="561"/>
      <c r="T34" s="561"/>
      <c r="U34" s="561"/>
      <c r="V34" s="561"/>
      <c r="W34" s="561"/>
      <c r="X34" s="561"/>
      <c r="Y34" s="561"/>
      <c r="Z34" s="561"/>
      <c r="AA34" s="561"/>
      <c r="AB34" s="561"/>
      <c r="AC34" s="561"/>
      <c r="AD34" s="561"/>
      <c r="AE34" s="561"/>
      <c r="AF34" s="561"/>
      <c r="AG34" s="564"/>
    </row>
    <row r="35" spans="1:33" s="5" customFormat="1">
      <c r="A35" s="228" t="s">
        <v>362</v>
      </c>
      <c r="B35" s="568">
        <f>B31+O31</f>
        <v>165</v>
      </c>
      <c r="C35" s="569"/>
      <c r="D35" s="569"/>
      <c r="E35" s="570">
        <f>E31+M31</f>
        <v>93</v>
      </c>
      <c r="F35" s="570"/>
      <c r="G35" s="247">
        <f>G31+L31</f>
        <v>26</v>
      </c>
      <c r="H35" s="571">
        <f>H31+J31</f>
        <v>22</v>
      </c>
      <c r="I35" s="571"/>
      <c r="J35" s="571"/>
      <c r="K35" s="571"/>
      <c r="L35" s="247"/>
      <c r="M35" s="570"/>
      <c r="N35" s="570"/>
      <c r="O35" s="569"/>
      <c r="P35" s="569"/>
      <c r="Q35" s="572"/>
      <c r="R35" s="573">
        <f>R31+AE31</f>
        <v>165</v>
      </c>
      <c r="S35" s="574"/>
      <c r="T35" s="574"/>
      <c r="U35" s="575">
        <f>U31+AC31</f>
        <v>62</v>
      </c>
      <c r="V35" s="575"/>
      <c r="W35" s="248">
        <f>W31+AB31</f>
        <v>17</v>
      </c>
      <c r="X35" s="576">
        <f>X31+Z31</f>
        <v>10</v>
      </c>
      <c r="Y35" s="576"/>
      <c r="Z35" s="576"/>
      <c r="AA35" s="576"/>
      <c r="AB35" s="248"/>
      <c r="AC35" s="575"/>
      <c r="AD35" s="575"/>
      <c r="AE35" s="574"/>
      <c r="AF35" s="574"/>
      <c r="AG35" s="577"/>
    </row>
    <row r="36" spans="1:33" s="5" customFormat="1">
      <c r="A36" s="228" t="s">
        <v>424</v>
      </c>
      <c r="B36" s="578">
        <f>B35/B22</f>
        <v>0.25384615384615383</v>
      </c>
      <c r="C36" s="579"/>
      <c r="D36" s="579"/>
      <c r="E36" s="580">
        <f>E35/E22</f>
        <v>0.1225296442687747</v>
      </c>
      <c r="F36" s="580"/>
      <c r="G36" s="249">
        <f>G35/G22</f>
        <v>7.0844686648501368E-2</v>
      </c>
      <c r="H36" s="581">
        <f>H35/H22</f>
        <v>2.9972752043596729E-2</v>
      </c>
      <c r="I36" s="581"/>
      <c r="J36" s="581"/>
      <c r="K36" s="581"/>
      <c r="L36" s="249"/>
      <c r="M36" s="250"/>
      <c r="N36" s="250"/>
      <c r="O36" s="579"/>
      <c r="P36" s="579"/>
      <c r="Q36" s="582"/>
      <c r="R36" s="583">
        <f>R35/R22</f>
        <v>0.26025236593059936</v>
      </c>
      <c r="S36" s="584"/>
      <c r="T36" s="584"/>
      <c r="U36" s="585">
        <f>U35/U22</f>
        <v>7.6543209876543214E-2</v>
      </c>
      <c r="V36" s="585"/>
      <c r="W36" s="251">
        <f>W35/W22</f>
        <v>4.1162227602905568E-2</v>
      </c>
      <c r="X36" s="589">
        <f>X35/X22</f>
        <v>1.2180267965895249E-2</v>
      </c>
      <c r="Y36" s="589"/>
      <c r="Z36" s="589"/>
      <c r="AA36" s="589"/>
      <c r="AB36" s="251"/>
      <c r="AC36" s="590"/>
      <c r="AD36" s="590"/>
      <c r="AE36" s="591"/>
      <c r="AF36" s="591"/>
      <c r="AG36" s="592"/>
    </row>
    <row r="37" spans="1:33" s="5" customFormat="1">
      <c r="A37" s="228" t="s">
        <v>362</v>
      </c>
      <c r="B37" s="555">
        <f>B35+R35</f>
        <v>330</v>
      </c>
      <c r="C37" s="555"/>
      <c r="D37" s="555"/>
      <c r="E37" s="556">
        <f>E35+U35</f>
        <v>155</v>
      </c>
      <c r="F37" s="556"/>
      <c r="G37" s="245">
        <f>G35+W35</f>
        <v>43</v>
      </c>
      <c r="H37" s="557">
        <f>H35+X35</f>
        <v>32</v>
      </c>
      <c r="I37" s="557"/>
      <c r="J37" s="252"/>
      <c r="K37" s="252"/>
      <c r="L37" s="252"/>
      <c r="M37" s="252"/>
      <c r="N37" s="252"/>
      <c r="O37" s="252"/>
      <c r="P37" s="252"/>
      <c r="Q37" s="252"/>
      <c r="R37" s="252"/>
      <c r="S37" s="252"/>
      <c r="T37" s="252"/>
      <c r="U37" s="252"/>
      <c r="V37" s="252"/>
      <c r="W37" s="252"/>
      <c r="X37" s="252"/>
      <c r="Y37" s="252"/>
      <c r="Z37" s="252"/>
      <c r="AA37" s="252"/>
      <c r="AB37" s="252"/>
      <c r="AC37" s="252"/>
      <c r="AD37" s="252"/>
      <c r="AE37" s="252"/>
      <c r="AF37" s="252"/>
      <c r="AG37" s="252"/>
    </row>
    <row r="38" spans="1:33" s="5" customFormat="1">
      <c r="A38" s="228" t="s">
        <v>424</v>
      </c>
      <c r="B38" s="586">
        <f>B37/B24</f>
        <v>0.2570093457943925</v>
      </c>
      <c r="C38" s="586"/>
      <c r="D38" s="586"/>
      <c r="E38" s="587">
        <f>E37/E24</f>
        <v>9.8789037603569149E-2</v>
      </c>
      <c r="F38" s="587"/>
      <c r="G38" s="253">
        <f>G37/G29</f>
        <v>5.0233644859813083E-2</v>
      </c>
      <c r="H38" s="588">
        <f>H37/H24</f>
        <v>2.0578778135048232E-2</v>
      </c>
      <c r="I38" s="588"/>
      <c r="J38" s="252"/>
      <c r="K38" s="252"/>
      <c r="L38" s="252"/>
      <c r="M38" s="252"/>
      <c r="N38" s="252"/>
      <c r="O38" s="252"/>
      <c r="P38" s="252"/>
      <c r="Q38" s="252"/>
      <c r="R38" s="252"/>
      <c r="S38" s="252"/>
      <c r="T38" s="252"/>
      <c r="U38" s="252"/>
      <c r="V38" s="252"/>
      <c r="W38" s="252"/>
      <c r="X38" s="252"/>
      <c r="Y38" s="252"/>
      <c r="Z38" s="252"/>
      <c r="AA38" s="252"/>
      <c r="AB38" s="252"/>
      <c r="AC38" s="252"/>
      <c r="AD38" s="252"/>
      <c r="AE38" s="252"/>
      <c r="AF38" s="252"/>
      <c r="AG38" s="252"/>
    </row>
    <row r="39" spans="1:33" s="5" customFormat="1">
      <c r="A39" s="8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</row>
    <row r="40" spans="1:33">
      <c r="A40" s="230" t="s">
        <v>167</v>
      </c>
      <c r="B40" s="539">
        <f>B10+C10+D10</f>
        <v>230</v>
      </c>
      <c r="C40" s="540"/>
      <c r="D40" s="540"/>
      <c r="E40" s="541">
        <f>E10+F10</f>
        <v>187</v>
      </c>
      <c r="F40" s="541"/>
      <c r="G40" s="242">
        <f>G10</f>
        <v>97</v>
      </c>
      <c r="H40" s="542">
        <f>H10+I10</f>
        <v>186</v>
      </c>
      <c r="I40" s="542"/>
      <c r="J40" s="542">
        <f>J10+K10</f>
        <v>192</v>
      </c>
      <c r="K40" s="542"/>
      <c r="L40" s="242">
        <f>L10</f>
        <v>106</v>
      </c>
      <c r="M40" s="541">
        <f>M10+N10</f>
        <v>176</v>
      </c>
      <c r="N40" s="541"/>
      <c r="O40" s="540">
        <f>O10+P10+Q10</f>
        <v>218</v>
      </c>
      <c r="P40" s="540"/>
      <c r="Q40" s="543"/>
      <c r="R40" s="539">
        <f>R10+S10+T10</f>
        <v>219</v>
      </c>
      <c r="S40" s="540"/>
      <c r="T40" s="540"/>
      <c r="U40" s="541">
        <f>U10+V10</f>
        <v>218</v>
      </c>
      <c r="V40" s="541"/>
      <c r="W40" s="242">
        <f>W10</f>
        <v>129</v>
      </c>
      <c r="X40" s="542">
        <f>X10+Y10</f>
        <v>277</v>
      </c>
      <c r="Y40" s="542"/>
      <c r="Z40" s="542">
        <f>Z10+AA10</f>
        <v>283</v>
      </c>
      <c r="AA40" s="542"/>
      <c r="AB40" s="242">
        <f>AB10</f>
        <v>135</v>
      </c>
      <c r="AC40" s="541">
        <f>AC10+AD10</f>
        <v>235</v>
      </c>
      <c r="AD40" s="541"/>
      <c r="AE40" s="540">
        <f>AE10+AF10+AG10</f>
        <v>217</v>
      </c>
      <c r="AF40" s="540"/>
      <c r="AG40" s="543"/>
    </row>
    <row r="41" spans="1:33">
      <c r="A41" s="230" t="s">
        <v>425</v>
      </c>
      <c r="B41" s="560">
        <f>B40/B21</f>
        <v>0.70987654320987659</v>
      </c>
      <c r="C41" s="561"/>
      <c r="D41" s="561"/>
      <c r="E41" s="562">
        <f>E40/E21</f>
        <v>0.49602122015915118</v>
      </c>
      <c r="F41" s="562"/>
      <c r="G41" s="246">
        <f>G40/G21</f>
        <v>0.51871657754010692</v>
      </c>
      <c r="H41" s="563">
        <f>H40/H21</f>
        <v>0.51239669421487599</v>
      </c>
      <c r="I41" s="563"/>
      <c r="J41" s="563">
        <f>J40/J21</f>
        <v>0.51752021563342321</v>
      </c>
      <c r="K41" s="563"/>
      <c r="L41" s="246">
        <f>L40/L21</f>
        <v>0.58888888888888891</v>
      </c>
      <c r="M41" s="562">
        <f>M40/M21</f>
        <v>0.4607329842931937</v>
      </c>
      <c r="N41" s="562"/>
      <c r="O41" s="561">
        <f>O40/O21</f>
        <v>0.66871165644171782</v>
      </c>
      <c r="P41" s="561"/>
      <c r="Q41" s="564"/>
      <c r="R41" s="560">
        <f>R40/R21</f>
        <v>0.67801857585139313</v>
      </c>
      <c r="S41" s="561"/>
      <c r="T41" s="561"/>
      <c r="U41" s="562">
        <f>U40/U21</f>
        <v>0.54228855721393032</v>
      </c>
      <c r="V41" s="562"/>
      <c r="W41" s="246">
        <f>W40/W21</f>
        <v>0.63235294117647056</v>
      </c>
      <c r="X41" s="563">
        <f>X40/X21</f>
        <v>0.67396593673965932</v>
      </c>
      <c r="Y41" s="563"/>
      <c r="Z41" s="563">
        <f>Z40/Z21</f>
        <v>0.69024390243902434</v>
      </c>
      <c r="AA41" s="563"/>
      <c r="AB41" s="246">
        <f>AB40/AB21</f>
        <v>0.64593301435406703</v>
      </c>
      <c r="AC41" s="562">
        <f>AC40/AC21</f>
        <v>0.5759803921568627</v>
      </c>
      <c r="AD41" s="562"/>
      <c r="AE41" s="561">
        <f>AE40/AE21</f>
        <v>0.69774919614147912</v>
      </c>
      <c r="AF41" s="561"/>
      <c r="AG41" s="564"/>
    </row>
    <row r="42" spans="1:33">
      <c r="A42" s="230" t="s">
        <v>167</v>
      </c>
      <c r="B42" s="565">
        <f>B40+E40+G40+H40+J40+L40+M40+O40</f>
        <v>1392</v>
      </c>
      <c r="C42" s="566"/>
      <c r="D42" s="566"/>
      <c r="E42" s="566"/>
      <c r="F42" s="566"/>
      <c r="G42" s="566"/>
      <c r="H42" s="566"/>
      <c r="I42" s="566"/>
      <c r="J42" s="566"/>
      <c r="K42" s="566"/>
      <c r="L42" s="566"/>
      <c r="M42" s="566"/>
      <c r="N42" s="566"/>
      <c r="O42" s="566"/>
      <c r="P42" s="566"/>
      <c r="Q42" s="567"/>
      <c r="R42" s="565">
        <f>R40+U40+W40+X40+Z40+AB40+AC40+AE40</f>
        <v>1713</v>
      </c>
      <c r="S42" s="566"/>
      <c r="T42" s="566"/>
      <c r="U42" s="566"/>
      <c r="V42" s="566"/>
      <c r="W42" s="566"/>
      <c r="X42" s="566"/>
      <c r="Y42" s="566"/>
      <c r="Z42" s="566"/>
      <c r="AA42" s="566"/>
      <c r="AB42" s="566"/>
      <c r="AC42" s="566"/>
      <c r="AD42" s="566"/>
      <c r="AE42" s="566"/>
      <c r="AF42" s="566"/>
      <c r="AG42" s="567"/>
    </row>
    <row r="43" spans="1:33">
      <c r="A43" s="230" t="s">
        <v>429</v>
      </c>
      <c r="B43" s="593">
        <f>B42/B23</f>
        <v>0.55458167330677288</v>
      </c>
      <c r="C43" s="594"/>
      <c r="D43" s="594"/>
      <c r="E43" s="594"/>
      <c r="F43" s="594"/>
      <c r="G43" s="594"/>
      <c r="H43" s="594"/>
      <c r="I43" s="594"/>
      <c r="J43" s="594"/>
      <c r="K43" s="594"/>
      <c r="L43" s="594"/>
      <c r="M43" s="594"/>
      <c r="N43" s="594"/>
      <c r="O43" s="594"/>
      <c r="P43" s="594"/>
      <c r="Q43" s="595"/>
      <c r="R43" s="560">
        <f>R42/R23</f>
        <v>0.63965646004480958</v>
      </c>
      <c r="S43" s="561"/>
      <c r="T43" s="561"/>
      <c r="U43" s="561"/>
      <c r="V43" s="561"/>
      <c r="W43" s="561"/>
      <c r="X43" s="561"/>
      <c r="Y43" s="561"/>
      <c r="Z43" s="561"/>
      <c r="AA43" s="561"/>
      <c r="AB43" s="561"/>
      <c r="AC43" s="561"/>
      <c r="AD43" s="561"/>
      <c r="AE43" s="561"/>
      <c r="AF43" s="561"/>
      <c r="AG43" s="564"/>
    </row>
    <row r="44" spans="1:33" s="5" customFormat="1">
      <c r="A44" s="230" t="s">
        <v>167</v>
      </c>
      <c r="B44" s="568">
        <f>B40+O40</f>
        <v>448</v>
      </c>
      <c r="C44" s="569"/>
      <c r="D44" s="569"/>
      <c r="E44" s="570">
        <f>E40+M40</f>
        <v>363</v>
      </c>
      <c r="F44" s="570"/>
      <c r="G44" s="247">
        <f>G40+L40</f>
        <v>203</v>
      </c>
      <c r="H44" s="571">
        <f>H40+J40</f>
        <v>378</v>
      </c>
      <c r="I44" s="571"/>
      <c r="J44" s="571"/>
      <c r="K44" s="571"/>
      <c r="L44" s="247"/>
      <c r="M44" s="570"/>
      <c r="N44" s="570"/>
      <c r="O44" s="569"/>
      <c r="P44" s="569"/>
      <c r="Q44" s="572"/>
      <c r="R44" s="574">
        <f>R40+AE40</f>
        <v>436</v>
      </c>
      <c r="S44" s="574"/>
      <c r="T44" s="574"/>
      <c r="U44" s="575">
        <f>U40+AC40</f>
        <v>453</v>
      </c>
      <c r="V44" s="575"/>
      <c r="W44" s="248">
        <f>W40+AB40</f>
        <v>264</v>
      </c>
      <c r="X44" s="576">
        <f>X40+Z40</f>
        <v>560</v>
      </c>
      <c r="Y44" s="576"/>
      <c r="Z44" s="576"/>
      <c r="AA44" s="576"/>
      <c r="AB44" s="248"/>
      <c r="AC44" s="575"/>
      <c r="AD44" s="575"/>
      <c r="AE44" s="574"/>
      <c r="AF44" s="574"/>
      <c r="AG44" s="577"/>
    </row>
    <row r="45" spans="1:33" s="5" customFormat="1">
      <c r="A45" s="230" t="s">
        <v>425</v>
      </c>
      <c r="B45" s="578">
        <f>B44/B22</f>
        <v>0.6892307692307692</v>
      </c>
      <c r="C45" s="579"/>
      <c r="D45" s="579"/>
      <c r="E45" s="580">
        <f>E44/E22</f>
        <v>0.47826086956521741</v>
      </c>
      <c r="F45" s="580"/>
      <c r="G45" s="249">
        <f>G44/G22</f>
        <v>0.55313351498637597</v>
      </c>
      <c r="H45" s="581">
        <f>H44/H22</f>
        <v>0.51498637602179842</v>
      </c>
      <c r="I45" s="581"/>
      <c r="J45" s="581"/>
      <c r="K45" s="581"/>
      <c r="L45" s="249"/>
      <c r="M45" s="580"/>
      <c r="N45" s="580"/>
      <c r="O45" s="579"/>
      <c r="P45" s="579"/>
      <c r="Q45" s="582"/>
      <c r="R45" s="584">
        <f>R44/R22</f>
        <v>0.68769716088328081</v>
      </c>
      <c r="S45" s="584"/>
      <c r="T45" s="584"/>
      <c r="U45" s="585">
        <f>U44/U22</f>
        <v>0.55925925925925923</v>
      </c>
      <c r="V45" s="585"/>
      <c r="W45" s="251">
        <f>W44/W22</f>
        <v>0.63922518159806296</v>
      </c>
      <c r="X45" s="589">
        <f>X44/X22</f>
        <v>0.68209500609013396</v>
      </c>
      <c r="Y45" s="589"/>
      <c r="Z45" s="589"/>
      <c r="AA45" s="589"/>
      <c r="AB45" s="251"/>
      <c r="AC45" s="585"/>
      <c r="AD45" s="585"/>
      <c r="AE45" s="584"/>
      <c r="AF45" s="584"/>
      <c r="AG45" s="596"/>
    </row>
    <row r="46" spans="1:33" s="5" customFormat="1">
      <c r="A46" s="230" t="s">
        <v>167</v>
      </c>
      <c r="B46" s="555">
        <f>B44+R44</f>
        <v>884</v>
      </c>
      <c r="C46" s="555"/>
      <c r="D46" s="555"/>
      <c r="E46" s="556">
        <f>E44+U44</f>
        <v>816</v>
      </c>
      <c r="F46" s="556"/>
      <c r="G46" s="245">
        <f>G44+W44</f>
        <v>467</v>
      </c>
      <c r="H46" s="557">
        <f>H44+X44</f>
        <v>938</v>
      </c>
      <c r="I46" s="557"/>
      <c r="J46" s="252"/>
      <c r="K46" s="252"/>
      <c r="L46" s="252"/>
      <c r="M46" s="252"/>
      <c r="N46" s="252"/>
      <c r="O46" s="252"/>
      <c r="P46" s="252"/>
      <c r="Q46" s="252"/>
      <c r="R46" s="254"/>
      <c r="S46" s="254"/>
      <c r="T46" s="254"/>
      <c r="U46" s="254"/>
      <c r="V46" s="254"/>
      <c r="W46" s="252"/>
      <c r="X46" s="252"/>
      <c r="Y46" s="252"/>
      <c r="Z46" s="252"/>
      <c r="AA46" s="252"/>
      <c r="AB46" s="252"/>
      <c r="AC46" s="254"/>
      <c r="AD46" s="254"/>
      <c r="AE46" s="254"/>
      <c r="AF46" s="254"/>
      <c r="AG46" s="254"/>
    </row>
    <row r="47" spans="1:33" s="5" customFormat="1">
      <c r="A47" s="230" t="s">
        <v>425</v>
      </c>
      <c r="B47" s="586">
        <f>B46/B24</f>
        <v>0.68847352024922115</v>
      </c>
      <c r="C47" s="586"/>
      <c r="D47" s="586"/>
      <c r="E47" s="587">
        <f>E46/E24</f>
        <v>0.5200764818355641</v>
      </c>
      <c r="F47" s="587"/>
      <c r="G47" s="253">
        <f>G46/G24</f>
        <v>0.5987179487179487</v>
      </c>
      <c r="H47" s="588">
        <f>H46/H24</f>
        <v>0.60321543408360123</v>
      </c>
      <c r="I47" s="588"/>
      <c r="J47" s="252"/>
      <c r="K47" s="252"/>
      <c r="L47" s="252"/>
      <c r="M47" s="252"/>
      <c r="N47" s="252"/>
      <c r="O47" s="252"/>
      <c r="P47" s="252"/>
      <c r="Q47" s="252"/>
      <c r="R47" s="254"/>
      <c r="S47" s="254"/>
      <c r="T47" s="254"/>
      <c r="U47" s="254"/>
      <c r="V47" s="254"/>
      <c r="W47" s="252"/>
      <c r="X47" s="252"/>
      <c r="Y47" s="252"/>
      <c r="Z47" s="252"/>
      <c r="AA47" s="252"/>
      <c r="AB47" s="252"/>
      <c r="AC47" s="254"/>
      <c r="AD47" s="254"/>
      <c r="AE47" s="254"/>
      <c r="AF47" s="254"/>
      <c r="AG47" s="254"/>
    </row>
    <row r="48" spans="1:33"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</row>
    <row r="49" spans="1:35">
      <c r="A49" s="232" t="s">
        <v>165</v>
      </c>
      <c r="B49" s="539">
        <f>B11+C11+D11</f>
        <v>40</v>
      </c>
      <c r="C49" s="540"/>
      <c r="D49" s="540"/>
      <c r="E49" s="541">
        <f>E11+F11</f>
        <v>23</v>
      </c>
      <c r="F49" s="541"/>
      <c r="G49" s="242">
        <f>G11</f>
        <v>6</v>
      </c>
      <c r="H49" s="542">
        <f>H11+I11</f>
        <v>18</v>
      </c>
      <c r="I49" s="542"/>
      <c r="J49" s="542">
        <f>J11+K11</f>
        <v>17</v>
      </c>
      <c r="K49" s="542"/>
      <c r="L49" s="242">
        <f>L11</f>
        <v>5</v>
      </c>
      <c r="M49" s="541">
        <f>M11+N11</f>
        <v>22</v>
      </c>
      <c r="N49" s="541"/>
      <c r="O49" s="540">
        <f>O11+P11+Q11</f>
        <v>41</v>
      </c>
      <c r="P49" s="540"/>
      <c r="Q49" s="543"/>
      <c r="R49" s="539">
        <f>R11+S11+T11</f>
        <v>69</v>
      </c>
      <c r="S49" s="540"/>
      <c r="T49" s="540"/>
      <c r="U49" s="541">
        <f>U11+V11</f>
        <v>25</v>
      </c>
      <c r="V49" s="541"/>
      <c r="W49" s="242">
        <f>W11</f>
        <v>4</v>
      </c>
      <c r="X49" s="542">
        <f>X11+Y11</f>
        <v>11</v>
      </c>
      <c r="Y49" s="542"/>
      <c r="Z49" s="542">
        <f>Z11+AA11</f>
        <v>15</v>
      </c>
      <c r="AA49" s="542"/>
      <c r="AB49" s="242">
        <f>AB11</f>
        <v>2</v>
      </c>
      <c r="AC49" s="541">
        <f>AC11+AD11</f>
        <v>19</v>
      </c>
      <c r="AD49" s="541"/>
      <c r="AE49" s="540">
        <f>AE11+AF11+AG11</f>
        <v>82</v>
      </c>
      <c r="AF49" s="540"/>
      <c r="AG49" s="543"/>
    </row>
    <row r="50" spans="1:35">
      <c r="A50" s="255" t="s">
        <v>426</v>
      </c>
      <c r="B50" s="560">
        <f>B49/B21</f>
        <v>0.12345679012345678</v>
      </c>
      <c r="C50" s="561"/>
      <c r="D50" s="561"/>
      <c r="E50" s="562">
        <f>E49/E26</f>
        <v>5.5155875299760189E-2</v>
      </c>
      <c r="F50" s="562"/>
      <c r="G50" s="246">
        <f>G49/G26</f>
        <v>2.8846153846153848E-2</v>
      </c>
      <c r="H50" s="563">
        <f>H49/H26</f>
        <v>3.9215686274509803E-2</v>
      </c>
      <c r="I50" s="563"/>
      <c r="J50" s="563">
        <f>J49/J26</f>
        <v>3.7527593818984545E-2</v>
      </c>
      <c r="K50" s="563"/>
      <c r="L50" s="246">
        <f>L49/L26</f>
        <v>2.4390243902439025E-2</v>
      </c>
      <c r="M50" s="562">
        <f>M49/M26</f>
        <v>5.2505966587112173E-2</v>
      </c>
      <c r="N50" s="562"/>
      <c r="O50" s="561">
        <f>O49/O26</f>
        <v>0.10933333333333334</v>
      </c>
      <c r="P50" s="561"/>
      <c r="Q50" s="564"/>
      <c r="R50" s="560">
        <f>R49/R26</f>
        <v>0.17206982543640897</v>
      </c>
      <c r="S50" s="561"/>
      <c r="T50" s="561"/>
      <c r="U50" s="562">
        <f>U49/U26</f>
        <v>5.6179775280898875E-2</v>
      </c>
      <c r="V50" s="562"/>
      <c r="W50" s="246">
        <f>W49/W26</f>
        <v>1.7937219730941704E-2</v>
      </c>
      <c r="X50" s="563">
        <f>X49/X26</f>
        <v>2.3157894736842106E-2</v>
      </c>
      <c r="Y50" s="563"/>
      <c r="Z50" s="563">
        <f>Z49/Z26</f>
        <v>3.1578947368421054E-2</v>
      </c>
      <c r="AA50" s="563"/>
      <c r="AB50" s="246">
        <f>AB49/AB26</f>
        <v>9.0909090909090905E-3</v>
      </c>
      <c r="AC50" s="562">
        <f>AC49/AC26</f>
        <v>4.328018223234624E-2</v>
      </c>
      <c r="AD50" s="562"/>
      <c r="AE50" s="561">
        <f>AE49/AE26</f>
        <v>0.20297029702970298</v>
      </c>
      <c r="AF50" s="561"/>
      <c r="AG50" s="564"/>
    </row>
    <row r="51" spans="1:35">
      <c r="A51" s="232" t="s">
        <v>165</v>
      </c>
      <c r="B51" s="565">
        <f>B49+E49+G49+H49+J49+L49+M49+O49</f>
        <v>172</v>
      </c>
      <c r="C51" s="566"/>
      <c r="D51" s="566"/>
      <c r="E51" s="566"/>
      <c r="F51" s="566"/>
      <c r="G51" s="566"/>
      <c r="H51" s="566"/>
      <c r="I51" s="566"/>
      <c r="J51" s="566"/>
      <c r="K51" s="566"/>
      <c r="L51" s="566"/>
      <c r="M51" s="566"/>
      <c r="N51" s="566"/>
      <c r="O51" s="566"/>
      <c r="P51" s="566"/>
      <c r="Q51" s="567"/>
      <c r="R51" s="565">
        <f>R49+U49+W49+X49+Z49+AB49+AC49+AE49</f>
        <v>227</v>
      </c>
      <c r="S51" s="566"/>
      <c r="T51" s="566"/>
      <c r="U51" s="566"/>
      <c r="V51" s="566"/>
      <c r="W51" s="566"/>
      <c r="X51" s="566"/>
      <c r="Y51" s="566"/>
      <c r="Z51" s="566"/>
      <c r="AA51" s="566"/>
      <c r="AB51" s="566"/>
      <c r="AC51" s="566"/>
      <c r="AD51" s="566"/>
      <c r="AE51" s="566"/>
      <c r="AF51" s="566"/>
      <c r="AG51" s="567"/>
    </row>
    <row r="52" spans="1:35">
      <c r="A52" s="232" t="s">
        <v>430</v>
      </c>
      <c r="B52" s="560">
        <f>B51/B28</f>
        <v>5.9106529209621991E-2</v>
      </c>
      <c r="C52" s="561"/>
      <c r="D52" s="561"/>
      <c r="E52" s="561"/>
      <c r="F52" s="561"/>
      <c r="G52" s="561"/>
      <c r="H52" s="561"/>
      <c r="I52" s="561"/>
      <c r="J52" s="561"/>
      <c r="K52" s="561"/>
      <c r="L52" s="561"/>
      <c r="M52" s="561"/>
      <c r="N52" s="561"/>
      <c r="O52" s="561"/>
      <c r="P52" s="561"/>
      <c r="Q52" s="564"/>
      <c r="R52" s="560">
        <f>R51/R28</f>
        <v>7.3653471771576898E-2</v>
      </c>
      <c r="S52" s="561"/>
      <c r="T52" s="561"/>
      <c r="U52" s="561"/>
      <c r="V52" s="561"/>
      <c r="W52" s="561"/>
      <c r="X52" s="561"/>
      <c r="Y52" s="561"/>
      <c r="Z52" s="561"/>
      <c r="AA52" s="561"/>
      <c r="AB52" s="561"/>
      <c r="AC52" s="561"/>
      <c r="AD52" s="561"/>
      <c r="AE52" s="561"/>
      <c r="AF52" s="561"/>
      <c r="AG52" s="564"/>
    </row>
    <row r="53" spans="1:35">
      <c r="A53" s="256" t="s">
        <v>165</v>
      </c>
      <c r="B53" s="568">
        <f>B49+O49</f>
        <v>81</v>
      </c>
      <c r="C53" s="569"/>
      <c r="D53" s="569"/>
      <c r="E53" s="570">
        <f>E49+M49</f>
        <v>45</v>
      </c>
      <c r="F53" s="570"/>
      <c r="G53" s="247">
        <f>G49+L49</f>
        <v>11</v>
      </c>
      <c r="H53" s="571">
        <f>H49+J49</f>
        <v>35</v>
      </c>
      <c r="I53" s="571"/>
      <c r="J53" s="571"/>
      <c r="K53" s="571"/>
      <c r="L53" s="247"/>
      <c r="M53" s="570"/>
      <c r="N53" s="570"/>
      <c r="O53" s="569"/>
      <c r="P53" s="569"/>
      <c r="Q53" s="572"/>
      <c r="R53" s="573">
        <f>R49+AE49</f>
        <v>151</v>
      </c>
      <c r="S53" s="574"/>
      <c r="T53" s="574"/>
      <c r="U53" s="575">
        <f>U49+AC49</f>
        <v>44</v>
      </c>
      <c r="V53" s="575"/>
      <c r="W53" s="248">
        <f>W49+AB49</f>
        <v>6</v>
      </c>
      <c r="X53" s="576">
        <f>X49+Z49</f>
        <v>26</v>
      </c>
      <c r="Y53" s="576"/>
      <c r="Z53" s="576"/>
      <c r="AA53" s="576"/>
      <c r="AB53" s="248"/>
      <c r="AC53" s="575"/>
      <c r="AD53" s="575"/>
      <c r="AE53" s="574"/>
      <c r="AF53" s="574"/>
      <c r="AG53" s="577"/>
    </row>
    <row r="54" spans="1:35">
      <c r="A54" s="232" t="s">
        <v>430</v>
      </c>
      <c r="B54" s="578">
        <f>B53/B27</f>
        <v>0.1081441922563418</v>
      </c>
      <c r="C54" s="579"/>
      <c r="D54" s="579"/>
      <c r="E54" s="580">
        <f>E53/E27</f>
        <v>5.3827751196172252E-2</v>
      </c>
      <c r="F54" s="580"/>
      <c r="G54" s="249">
        <f>G53/G27</f>
        <v>2.6634382566585957E-2</v>
      </c>
      <c r="H54" s="581">
        <f>H53/H27</f>
        <v>3.8377192982456142E-2</v>
      </c>
      <c r="I54" s="581"/>
      <c r="J54" s="581"/>
      <c r="K54" s="581"/>
      <c r="L54" s="249"/>
      <c r="M54" s="580"/>
      <c r="N54" s="580"/>
      <c r="O54" s="579"/>
      <c r="P54" s="579"/>
      <c r="Q54" s="582"/>
      <c r="R54" s="583">
        <f>R53/R27</f>
        <v>0.18757763975155278</v>
      </c>
      <c r="S54" s="584"/>
      <c r="T54" s="584"/>
      <c r="U54" s="585">
        <f>U53/U27</f>
        <v>4.9773755656108594E-2</v>
      </c>
      <c r="V54" s="585"/>
      <c r="W54" s="251">
        <f>W53/W27</f>
        <v>1.3544018058690745E-2</v>
      </c>
      <c r="X54" s="589">
        <f>X53/X27</f>
        <v>2.736842105263158E-2</v>
      </c>
      <c r="Y54" s="589"/>
      <c r="Z54" s="589"/>
      <c r="AA54" s="589"/>
      <c r="AB54" s="251"/>
      <c r="AC54" s="585"/>
      <c r="AD54" s="585"/>
      <c r="AE54" s="584"/>
      <c r="AF54" s="584"/>
      <c r="AG54" s="596"/>
    </row>
    <row r="55" spans="1:35">
      <c r="A55" s="232"/>
      <c r="B55" s="555">
        <f>B53+R53</f>
        <v>232</v>
      </c>
      <c r="C55" s="555"/>
      <c r="D55" s="555"/>
      <c r="E55" s="556">
        <f>E53+U53</f>
        <v>89</v>
      </c>
      <c r="F55" s="556"/>
      <c r="G55" s="245">
        <f>G53+W53</f>
        <v>17</v>
      </c>
      <c r="H55" s="557">
        <f>H53+X53</f>
        <v>61</v>
      </c>
      <c r="I55" s="557"/>
      <c r="J55" s="252"/>
      <c r="K55" s="252"/>
      <c r="L55" s="257"/>
      <c r="M55" s="252"/>
      <c r="N55" s="252"/>
      <c r="O55" s="252"/>
      <c r="P55" s="252"/>
      <c r="Q55" s="252"/>
      <c r="R55" s="254"/>
      <c r="S55" s="254"/>
      <c r="T55" s="254"/>
      <c r="U55" s="254"/>
      <c r="V55" s="254"/>
      <c r="W55" s="252"/>
      <c r="X55" s="252"/>
      <c r="Y55" s="252"/>
      <c r="Z55" s="252"/>
      <c r="AA55" s="252"/>
      <c r="AB55" s="252"/>
      <c r="AC55" s="254"/>
      <c r="AD55" s="254"/>
      <c r="AE55" s="254"/>
      <c r="AF55" s="254"/>
      <c r="AG55" s="254"/>
      <c r="AI55" s="76"/>
    </row>
    <row r="56" spans="1:35">
      <c r="A56" s="232"/>
      <c r="B56" s="586">
        <f>B55/B29</f>
        <v>0.14929214929214929</v>
      </c>
      <c r="C56" s="586"/>
      <c r="D56" s="586"/>
      <c r="E56" s="587">
        <f>E55/E29</f>
        <v>5.1744186046511625E-2</v>
      </c>
      <c r="F56" s="587"/>
      <c r="G56" s="253">
        <f>G55/G29</f>
        <v>1.9859813084112148E-2</v>
      </c>
      <c r="H56" s="588">
        <f>H55/H29</f>
        <v>3.2760472610096673E-2</v>
      </c>
      <c r="I56" s="588"/>
      <c r="J56" s="252"/>
      <c r="K56" s="252"/>
      <c r="L56" s="252"/>
      <c r="M56" s="252"/>
      <c r="N56" s="252"/>
      <c r="O56" s="252"/>
      <c r="P56" s="252"/>
      <c r="Q56" s="252"/>
      <c r="R56" s="254"/>
      <c r="S56" s="254"/>
      <c r="T56" s="254"/>
      <c r="U56" s="254"/>
      <c r="V56" s="254"/>
      <c r="W56" s="252"/>
      <c r="X56" s="252"/>
      <c r="Y56" s="252"/>
      <c r="Z56" s="252"/>
      <c r="AA56" s="252"/>
      <c r="AB56" s="252"/>
      <c r="AC56" s="254"/>
      <c r="AD56" s="254"/>
      <c r="AE56" s="254"/>
      <c r="AF56" s="254"/>
      <c r="AG56" s="254"/>
    </row>
    <row r="57" spans="1:35"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</row>
    <row r="58" spans="1:35">
      <c r="A58" s="233" t="s">
        <v>422</v>
      </c>
      <c r="B58" s="539">
        <f>B12+C12+D12</f>
        <v>44</v>
      </c>
      <c r="C58" s="540"/>
      <c r="D58" s="540"/>
      <c r="E58" s="541">
        <f>E12+F12</f>
        <v>31</v>
      </c>
      <c r="F58" s="541"/>
      <c r="G58" s="242">
        <f>G12</f>
        <v>10</v>
      </c>
      <c r="H58" s="542">
        <f>H12+I12</f>
        <v>19</v>
      </c>
      <c r="I58" s="542"/>
      <c r="J58" s="542">
        <f>J12+K12</f>
        <v>18</v>
      </c>
      <c r="K58" s="542"/>
      <c r="L58" s="242">
        <f>L12</f>
        <v>12</v>
      </c>
      <c r="M58" s="541">
        <f>M12+N12</f>
        <v>25</v>
      </c>
      <c r="N58" s="541"/>
      <c r="O58" s="540">
        <f>O12+P12+Q12</f>
        <v>44</v>
      </c>
      <c r="P58" s="540"/>
      <c r="Q58" s="543"/>
      <c r="R58" s="539">
        <f>R12+S12+T12</f>
        <v>42</v>
      </c>
      <c r="S58" s="540"/>
      <c r="T58" s="540"/>
      <c r="U58" s="541">
        <f>U12+V12</f>
        <v>10</v>
      </c>
      <c r="V58" s="541"/>
      <c r="W58" s="242">
        <f>W12</f>
        <v>3</v>
      </c>
      <c r="X58" s="542">
        <f>X12+Y12</f>
        <v>6</v>
      </c>
      <c r="Y58" s="542"/>
      <c r="Z58" s="542">
        <f>Z12+AA12</f>
        <v>3</v>
      </c>
      <c r="AA58" s="542"/>
      <c r="AB58" s="242">
        <f>AB12</f>
        <v>6</v>
      </c>
      <c r="AC58" s="541">
        <f>AC12+AD12</f>
        <v>17</v>
      </c>
      <c r="AD58" s="541"/>
      <c r="AE58" s="540">
        <f>AE12+AF12+AG12</f>
        <v>40</v>
      </c>
      <c r="AF58" s="540"/>
      <c r="AG58" s="543"/>
    </row>
    <row r="59" spans="1:35">
      <c r="A59" s="233" t="s">
        <v>427</v>
      </c>
      <c r="B59" s="560">
        <f>B58/B26</f>
        <v>0.11764705882352941</v>
      </c>
      <c r="C59" s="561"/>
      <c r="D59" s="561"/>
      <c r="E59" s="562">
        <f>E58/E26</f>
        <v>7.4340527577937646E-2</v>
      </c>
      <c r="F59" s="562"/>
      <c r="G59" s="246">
        <f>G58/G26</f>
        <v>4.807692307692308E-2</v>
      </c>
      <c r="H59" s="563">
        <f>H58/H26</f>
        <v>4.1394335511982572E-2</v>
      </c>
      <c r="I59" s="563"/>
      <c r="J59" s="563">
        <f>J58/J26</f>
        <v>3.9735099337748346E-2</v>
      </c>
      <c r="K59" s="563"/>
      <c r="L59" s="246">
        <f>L58/L26</f>
        <v>5.8536585365853662E-2</v>
      </c>
      <c r="M59" s="562">
        <f>M58/M26</f>
        <v>5.9665871121718374E-2</v>
      </c>
      <c r="N59" s="562"/>
      <c r="O59" s="561">
        <f>O58/O26</f>
        <v>0.11733333333333333</v>
      </c>
      <c r="P59" s="561"/>
      <c r="Q59" s="564"/>
      <c r="R59" s="560">
        <f>R58/R26</f>
        <v>0.10473815461346633</v>
      </c>
      <c r="S59" s="561"/>
      <c r="T59" s="561"/>
      <c r="U59" s="562">
        <f>U58/U26</f>
        <v>2.247191011235955E-2</v>
      </c>
      <c r="V59" s="562"/>
      <c r="W59" s="246">
        <f>W58/W26</f>
        <v>1.3452914798206279E-2</v>
      </c>
      <c r="X59" s="563">
        <f>X58/X26</f>
        <v>1.2631578947368421E-2</v>
      </c>
      <c r="Y59" s="563"/>
      <c r="Z59" s="563">
        <f>Z58/Z26</f>
        <v>6.3157894736842104E-3</v>
      </c>
      <c r="AA59" s="563"/>
      <c r="AB59" s="246">
        <f>AB58/AB26</f>
        <v>2.7272727272727271E-2</v>
      </c>
      <c r="AC59" s="562">
        <f>AC58/AC26</f>
        <v>3.8724373576309798E-2</v>
      </c>
      <c r="AD59" s="562"/>
      <c r="AE59" s="561">
        <f>AE58/AE26</f>
        <v>9.9009900990099015E-2</v>
      </c>
      <c r="AF59" s="561"/>
      <c r="AG59" s="564"/>
    </row>
    <row r="60" spans="1:35">
      <c r="A60" s="233" t="s">
        <v>422</v>
      </c>
      <c r="B60" s="539">
        <f>SUM(B12:Q12)</f>
        <v>203</v>
      </c>
      <c r="C60" s="540"/>
      <c r="D60" s="540"/>
      <c r="E60" s="540"/>
      <c r="F60" s="540"/>
      <c r="G60" s="540"/>
      <c r="H60" s="540"/>
      <c r="I60" s="540"/>
      <c r="J60" s="540"/>
      <c r="K60" s="540"/>
      <c r="L60" s="540"/>
      <c r="M60" s="540"/>
      <c r="N60" s="540"/>
      <c r="O60" s="540"/>
      <c r="P60" s="540"/>
      <c r="Q60" s="543"/>
      <c r="R60" s="539">
        <f>SUM(R12:AG12)</f>
        <v>127</v>
      </c>
      <c r="S60" s="540"/>
      <c r="T60" s="540"/>
      <c r="U60" s="540"/>
      <c r="V60" s="540"/>
      <c r="W60" s="540"/>
      <c r="X60" s="540"/>
      <c r="Y60" s="540"/>
      <c r="Z60" s="540"/>
      <c r="AA60" s="540"/>
      <c r="AB60" s="540"/>
      <c r="AC60" s="540"/>
      <c r="AD60" s="540"/>
      <c r="AE60" s="540"/>
      <c r="AF60" s="540"/>
      <c r="AG60" s="543"/>
    </row>
    <row r="61" spans="1:35" s="76" customFormat="1">
      <c r="A61" s="258" t="s">
        <v>427</v>
      </c>
      <c r="B61" s="560">
        <f>B60/B28</f>
        <v>6.9759450171821308E-2</v>
      </c>
      <c r="C61" s="561"/>
      <c r="D61" s="561"/>
      <c r="E61" s="561"/>
      <c r="F61" s="561"/>
      <c r="G61" s="561"/>
      <c r="H61" s="561"/>
      <c r="I61" s="561"/>
      <c r="J61" s="561"/>
      <c r="K61" s="561"/>
      <c r="L61" s="561"/>
      <c r="M61" s="561"/>
      <c r="N61" s="561"/>
      <c r="O61" s="561"/>
      <c r="P61" s="561"/>
      <c r="Q61" s="564"/>
      <c r="R61" s="560">
        <f>R60/R28</f>
        <v>4.1207008436080467E-2</v>
      </c>
      <c r="S61" s="561"/>
      <c r="T61" s="561"/>
      <c r="U61" s="561"/>
      <c r="V61" s="561"/>
      <c r="W61" s="561"/>
      <c r="X61" s="561"/>
      <c r="Y61" s="561"/>
      <c r="Z61" s="561"/>
      <c r="AA61" s="561"/>
      <c r="AB61" s="561"/>
      <c r="AC61" s="561"/>
      <c r="AD61" s="561"/>
      <c r="AE61" s="561"/>
      <c r="AF61" s="561"/>
      <c r="AG61" s="564"/>
    </row>
    <row r="62" spans="1:35">
      <c r="A62" s="233" t="s">
        <v>422</v>
      </c>
      <c r="B62" s="597">
        <f>B58+O58</f>
        <v>88</v>
      </c>
      <c r="C62" s="598"/>
      <c r="D62" s="598"/>
      <c r="E62" s="599">
        <f>E58+M58</f>
        <v>56</v>
      </c>
      <c r="F62" s="599"/>
      <c r="G62" s="259">
        <f>G58+L58</f>
        <v>22</v>
      </c>
      <c r="H62" s="600">
        <f>H58+J58</f>
        <v>37</v>
      </c>
      <c r="I62" s="600"/>
      <c r="J62" s="600"/>
      <c r="K62" s="600"/>
      <c r="L62" s="242"/>
      <c r="M62" s="260"/>
      <c r="N62" s="260"/>
      <c r="O62" s="261"/>
      <c r="P62" s="261"/>
      <c r="Q62" s="262"/>
      <c r="R62" s="601">
        <f>R58+AE58</f>
        <v>82</v>
      </c>
      <c r="S62" s="602"/>
      <c r="T62" s="602"/>
      <c r="U62" s="603">
        <f>U58+AC58</f>
        <v>27</v>
      </c>
      <c r="V62" s="603"/>
      <c r="W62" s="259">
        <f>W58+AB58</f>
        <v>9</v>
      </c>
      <c r="X62" s="600">
        <f>X58+Z58</f>
        <v>9</v>
      </c>
      <c r="Y62" s="600"/>
      <c r="Z62" s="600"/>
      <c r="AA62" s="600"/>
      <c r="AB62" s="242"/>
      <c r="AC62" s="260"/>
      <c r="AD62" s="260"/>
      <c r="AE62" s="261"/>
      <c r="AF62" s="261"/>
      <c r="AG62" s="262"/>
    </row>
    <row r="63" spans="1:35" s="76" customFormat="1">
      <c r="A63" s="258" t="s">
        <v>427</v>
      </c>
      <c r="B63" s="578">
        <f>B62/B27</f>
        <v>0.11748998664886515</v>
      </c>
      <c r="C63" s="579"/>
      <c r="D63" s="579"/>
      <c r="E63" s="580">
        <f>E62/E27</f>
        <v>6.6985645933014357E-2</v>
      </c>
      <c r="F63" s="580"/>
      <c r="G63" s="251">
        <f>G62/G27</f>
        <v>5.3268765133171914E-2</v>
      </c>
      <c r="H63" s="581">
        <f>H62/H27</f>
        <v>4.0570175438596492E-2</v>
      </c>
      <c r="I63" s="581"/>
      <c r="J63" s="581"/>
      <c r="K63" s="581"/>
      <c r="L63" s="246"/>
      <c r="M63" s="263"/>
      <c r="N63" s="263"/>
      <c r="O63" s="264"/>
      <c r="P63" s="264"/>
      <c r="Q63" s="265"/>
      <c r="R63" s="583">
        <f>R62/R27</f>
        <v>0.10186335403726708</v>
      </c>
      <c r="S63" s="584"/>
      <c r="T63" s="584"/>
      <c r="U63" s="585">
        <f>U62/U27</f>
        <v>3.0542986425339366E-2</v>
      </c>
      <c r="V63" s="585"/>
      <c r="W63" s="251">
        <f>W62/W27</f>
        <v>2.0316027088036117E-2</v>
      </c>
      <c r="X63" s="581">
        <f>X62/X27</f>
        <v>9.4736842105263164E-3</v>
      </c>
      <c r="Y63" s="581"/>
      <c r="Z63" s="581"/>
      <c r="AA63" s="581"/>
      <c r="AB63" s="246"/>
      <c r="AC63" s="263"/>
      <c r="AD63" s="263"/>
      <c r="AE63" s="264"/>
      <c r="AF63" s="264"/>
      <c r="AG63" s="265"/>
    </row>
    <row r="64" spans="1:35" s="76" customFormat="1">
      <c r="A64" s="258" t="s">
        <v>422</v>
      </c>
      <c r="B64" s="555">
        <f>B62+R62</f>
        <v>170</v>
      </c>
      <c r="C64" s="555"/>
      <c r="D64" s="555"/>
      <c r="E64" s="556">
        <f>E62+U62</f>
        <v>83</v>
      </c>
      <c r="F64" s="556"/>
      <c r="G64" s="245">
        <f>G62+W62</f>
        <v>31</v>
      </c>
      <c r="H64" s="557">
        <f>H62+X62</f>
        <v>46</v>
      </c>
      <c r="I64" s="557"/>
      <c r="J64" s="252"/>
      <c r="K64" s="252"/>
      <c r="L64" s="252"/>
      <c r="M64" s="252"/>
      <c r="N64" s="252"/>
      <c r="O64" s="252"/>
      <c r="P64" s="252"/>
      <c r="Q64" s="252"/>
      <c r="R64" s="254"/>
      <c r="S64" s="254"/>
      <c r="T64" s="254"/>
      <c r="U64" s="254"/>
      <c r="V64" s="254"/>
      <c r="W64" s="252"/>
      <c r="X64" s="252"/>
      <c r="Y64" s="252"/>
      <c r="Z64" s="252"/>
      <c r="AA64" s="252"/>
      <c r="AB64" s="252"/>
      <c r="AC64" s="252"/>
      <c r="AD64" s="252"/>
      <c r="AE64" s="252"/>
      <c r="AF64" s="252"/>
      <c r="AG64" s="252"/>
    </row>
    <row r="65" spans="1:33" s="76" customFormat="1">
      <c r="A65" s="258" t="s">
        <v>427</v>
      </c>
      <c r="B65" s="586">
        <f>B64/B29</f>
        <v>0.10939510939510939</v>
      </c>
      <c r="C65" s="586"/>
      <c r="D65" s="586"/>
      <c r="E65" s="587">
        <f>E64/E29</f>
        <v>4.8255813953488373E-2</v>
      </c>
      <c r="F65" s="587"/>
      <c r="G65" s="253">
        <f>G64/G29</f>
        <v>3.6214953271028034E-2</v>
      </c>
      <c r="H65" s="588">
        <f>H64/H29</f>
        <v>2.4704618689581095E-2</v>
      </c>
      <c r="I65" s="588"/>
      <c r="J65" s="252"/>
      <c r="K65" s="252"/>
      <c r="L65" s="252"/>
      <c r="M65" s="252"/>
      <c r="N65" s="252"/>
      <c r="O65" s="252"/>
      <c r="P65" s="252"/>
      <c r="Q65" s="252"/>
      <c r="R65" s="254"/>
      <c r="S65" s="254"/>
      <c r="T65" s="254"/>
      <c r="U65" s="254"/>
      <c r="V65" s="254"/>
      <c r="W65" s="252"/>
      <c r="X65" s="252"/>
      <c r="Y65" s="252"/>
      <c r="Z65" s="252"/>
      <c r="AA65" s="252"/>
      <c r="AB65" s="252"/>
      <c r="AC65" s="252"/>
      <c r="AD65" s="252"/>
      <c r="AE65" s="252"/>
      <c r="AF65" s="252"/>
      <c r="AG65" s="252"/>
    </row>
  </sheetData>
  <mergeCells count="267">
    <mergeCell ref="B64:D64"/>
    <mergeCell ref="E64:F64"/>
    <mergeCell ref="H64:I64"/>
    <mergeCell ref="B65:D65"/>
    <mergeCell ref="E65:F65"/>
    <mergeCell ref="H65:I65"/>
    <mergeCell ref="B63:D63"/>
    <mergeCell ref="E63:F63"/>
    <mergeCell ref="H63:K63"/>
    <mergeCell ref="R63:T63"/>
    <mergeCell ref="U63:V63"/>
    <mergeCell ref="X63:AA63"/>
    <mergeCell ref="B61:Q61"/>
    <mergeCell ref="R61:AG61"/>
    <mergeCell ref="B62:D62"/>
    <mergeCell ref="E62:F62"/>
    <mergeCell ref="H62:K62"/>
    <mergeCell ref="R62:T62"/>
    <mergeCell ref="U62:V62"/>
    <mergeCell ref="X62:AA62"/>
    <mergeCell ref="U59:V59"/>
    <mergeCell ref="X59:Y59"/>
    <mergeCell ref="Z59:AA59"/>
    <mergeCell ref="AC59:AD59"/>
    <mergeCell ref="AE59:AG59"/>
    <mergeCell ref="B60:Q60"/>
    <mergeCell ref="R60:AG60"/>
    <mergeCell ref="Z58:AA58"/>
    <mergeCell ref="AC58:AD58"/>
    <mergeCell ref="AE58:AG58"/>
    <mergeCell ref="B59:D59"/>
    <mergeCell ref="E59:F59"/>
    <mergeCell ref="H59:I59"/>
    <mergeCell ref="J59:K59"/>
    <mergeCell ref="M59:N59"/>
    <mergeCell ref="O59:Q59"/>
    <mergeCell ref="R59:T59"/>
    <mergeCell ref="J58:K58"/>
    <mergeCell ref="M58:N58"/>
    <mergeCell ref="O58:Q58"/>
    <mergeCell ref="R58:T58"/>
    <mergeCell ref="U58:V58"/>
    <mergeCell ref="X58:Y58"/>
    <mergeCell ref="B56:D56"/>
    <mergeCell ref="E56:F56"/>
    <mergeCell ref="H56:I56"/>
    <mergeCell ref="B58:D58"/>
    <mergeCell ref="E58:F58"/>
    <mergeCell ref="H58:I58"/>
    <mergeCell ref="U54:V54"/>
    <mergeCell ref="X54:AA54"/>
    <mergeCell ref="AC54:AD54"/>
    <mergeCell ref="AE54:AG54"/>
    <mergeCell ref="B55:D55"/>
    <mergeCell ref="E55:F55"/>
    <mergeCell ref="H55:I55"/>
    <mergeCell ref="U53:V53"/>
    <mergeCell ref="X53:AA53"/>
    <mergeCell ref="AC53:AD53"/>
    <mergeCell ref="AE53:AG53"/>
    <mergeCell ref="B54:D54"/>
    <mergeCell ref="E54:F54"/>
    <mergeCell ref="H54:K54"/>
    <mergeCell ref="M54:N54"/>
    <mergeCell ref="O54:Q54"/>
    <mergeCell ref="R54:T54"/>
    <mergeCell ref="B51:Q51"/>
    <mergeCell ref="R51:AG51"/>
    <mergeCell ref="B52:Q52"/>
    <mergeCell ref="R52:AG52"/>
    <mergeCell ref="B53:D53"/>
    <mergeCell ref="E53:F53"/>
    <mergeCell ref="H53:K53"/>
    <mergeCell ref="M53:N53"/>
    <mergeCell ref="O53:Q53"/>
    <mergeCell ref="R53:T53"/>
    <mergeCell ref="R50:T50"/>
    <mergeCell ref="U50:V50"/>
    <mergeCell ref="X50:Y50"/>
    <mergeCell ref="Z50:AA50"/>
    <mergeCell ref="AC50:AD50"/>
    <mergeCell ref="AE50:AG50"/>
    <mergeCell ref="B50:D50"/>
    <mergeCell ref="E50:F50"/>
    <mergeCell ref="H50:I50"/>
    <mergeCell ref="J50:K50"/>
    <mergeCell ref="M50:N50"/>
    <mergeCell ref="O50:Q50"/>
    <mergeCell ref="R49:T49"/>
    <mergeCell ref="U49:V49"/>
    <mergeCell ref="X49:Y49"/>
    <mergeCell ref="Z49:AA49"/>
    <mergeCell ref="AC49:AD49"/>
    <mergeCell ref="AE49:AG49"/>
    <mergeCell ref="B49:D49"/>
    <mergeCell ref="E49:F49"/>
    <mergeCell ref="H49:I49"/>
    <mergeCell ref="J49:K49"/>
    <mergeCell ref="M49:N49"/>
    <mergeCell ref="O49:Q49"/>
    <mergeCell ref="AC45:AD45"/>
    <mergeCell ref="AE45:AG45"/>
    <mergeCell ref="B46:D46"/>
    <mergeCell ref="E46:F46"/>
    <mergeCell ref="H46:I46"/>
    <mergeCell ref="B47:D47"/>
    <mergeCell ref="E47:F47"/>
    <mergeCell ref="H47:I47"/>
    <mergeCell ref="AC44:AD44"/>
    <mergeCell ref="AE44:AG44"/>
    <mergeCell ref="B45:D45"/>
    <mergeCell ref="E45:F45"/>
    <mergeCell ref="H45:K45"/>
    <mergeCell ref="M45:N45"/>
    <mergeCell ref="O45:Q45"/>
    <mergeCell ref="R45:T45"/>
    <mergeCell ref="U45:V45"/>
    <mergeCell ref="X45:AA45"/>
    <mergeCell ref="B43:Q43"/>
    <mergeCell ref="R43:AG43"/>
    <mergeCell ref="B44:D44"/>
    <mergeCell ref="E44:F44"/>
    <mergeCell ref="H44:K44"/>
    <mergeCell ref="M44:N44"/>
    <mergeCell ref="O44:Q44"/>
    <mergeCell ref="R44:T44"/>
    <mergeCell ref="U44:V44"/>
    <mergeCell ref="X44:AA44"/>
    <mergeCell ref="U41:V41"/>
    <mergeCell ref="X41:Y41"/>
    <mergeCell ref="Z41:AA41"/>
    <mergeCell ref="AC41:AD41"/>
    <mergeCell ref="AE41:AG41"/>
    <mergeCell ref="B42:Q42"/>
    <mergeCell ref="R42:AG42"/>
    <mergeCell ref="Z40:AA40"/>
    <mergeCell ref="AC40:AD40"/>
    <mergeCell ref="AE40:AG40"/>
    <mergeCell ref="B41:D41"/>
    <mergeCell ref="E41:F41"/>
    <mergeCell ref="H41:I41"/>
    <mergeCell ref="J41:K41"/>
    <mergeCell ref="M41:N41"/>
    <mergeCell ref="O41:Q41"/>
    <mergeCell ref="R41:T41"/>
    <mergeCell ref="J40:K40"/>
    <mergeCell ref="M40:N40"/>
    <mergeCell ref="O40:Q40"/>
    <mergeCell ref="R40:T40"/>
    <mergeCell ref="U40:V40"/>
    <mergeCell ref="X40:Y40"/>
    <mergeCell ref="B40:D40"/>
    <mergeCell ref="E40:F40"/>
    <mergeCell ref="H40:I40"/>
    <mergeCell ref="X36:AA36"/>
    <mergeCell ref="AC36:AD36"/>
    <mergeCell ref="AE36:AG36"/>
    <mergeCell ref="B37:D37"/>
    <mergeCell ref="E37:F37"/>
    <mergeCell ref="H37:I37"/>
    <mergeCell ref="B36:D36"/>
    <mergeCell ref="E36:F36"/>
    <mergeCell ref="H36:K36"/>
    <mergeCell ref="O36:Q36"/>
    <mergeCell ref="R36:T36"/>
    <mergeCell ref="U36:V36"/>
    <mergeCell ref="B38:D38"/>
    <mergeCell ref="E38:F38"/>
    <mergeCell ref="H38:I38"/>
    <mergeCell ref="B33:Q33"/>
    <mergeCell ref="R33:AG33"/>
    <mergeCell ref="B34:Q34"/>
    <mergeCell ref="R34:AG34"/>
    <mergeCell ref="B35:D35"/>
    <mergeCell ref="E35:F35"/>
    <mergeCell ref="H35:K35"/>
    <mergeCell ref="M35:N35"/>
    <mergeCell ref="O35:Q35"/>
    <mergeCell ref="R35:T35"/>
    <mergeCell ref="U35:V35"/>
    <mergeCell ref="X35:AA35"/>
    <mergeCell ref="AC35:AD35"/>
    <mergeCell ref="AE35:AG35"/>
    <mergeCell ref="R32:T32"/>
    <mergeCell ref="U32:V32"/>
    <mergeCell ref="X32:Y32"/>
    <mergeCell ref="Z32:AA32"/>
    <mergeCell ref="AC32:AD32"/>
    <mergeCell ref="AE32:AG32"/>
    <mergeCell ref="B32:D32"/>
    <mergeCell ref="E32:F32"/>
    <mergeCell ref="H32:I32"/>
    <mergeCell ref="J32:K32"/>
    <mergeCell ref="M32:N32"/>
    <mergeCell ref="O32:Q32"/>
    <mergeCell ref="R31:T31"/>
    <mergeCell ref="U31:V31"/>
    <mergeCell ref="X31:Y31"/>
    <mergeCell ref="Z31:AA31"/>
    <mergeCell ref="AC31:AD31"/>
    <mergeCell ref="AE31:AG31"/>
    <mergeCell ref="B31:D31"/>
    <mergeCell ref="E31:F31"/>
    <mergeCell ref="H31:I31"/>
    <mergeCell ref="J31:K31"/>
    <mergeCell ref="M31:N31"/>
    <mergeCell ref="O31:Q31"/>
    <mergeCell ref="X27:AA27"/>
    <mergeCell ref="AC27:AD27"/>
    <mergeCell ref="AE27:AG27"/>
    <mergeCell ref="B28:Q28"/>
    <mergeCell ref="R28:AG28"/>
    <mergeCell ref="B29:D29"/>
    <mergeCell ref="E29:F29"/>
    <mergeCell ref="H29:I29"/>
    <mergeCell ref="Z26:AA26"/>
    <mergeCell ref="AC26:AD26"/>
    <mergeCell ref="AE26:AG26"/>
    <mergeCell ref="B27:D27"/>
    <mergeCell ref="E27:F27"/>
    <mergeCell ref="H27:K27"/>
    <mergeCell ref="M27:N27"/>
    <mergeCell ref="O27:Q27"/>
    <mergeCell ref="R27:T27"/>
    <mergeCell ref="U27:V27"/>
    <mergeCell ref="J26:K26"/>
    <mergeCell ref="M26:N26"/>
    <mergeCell ref="O26:Q26"/>
    <mergeCell ref="R26:T26"/>
    <mergeCell ref="U26:V26"/>
    <mergeCell ref="X26:Y26"/>
    <mergeCell ref="B24:D24"/>
    <mergeCell ref="E24:F24"/>
    <mergeCell ref="H24:I24"/>
    <mergeCell ref="B26:D26"/>
    <mergeCell ref="E26:F26"/>
    <mergeCell ref="H26:I26"/>
    <mergeCell ref="U22:V22"/>
    <mergeCell ref="X22:AA22"/>
    <mergeCell ref="AC22:AD22"/>
    <mergeCell ref="AE22:AG22"/>
    <mergeCell ref="B23:Q23"/>
    <mergeCell ref="R23:AG23"/>
    <mergeCell ref="B22:D22"/>
    <mergeCell ref="E22:F22"/>
    <mergeCell ref="H22:K22"/>
    <mergeCell ref="M22:N22"/>
    <mergeCell ref="O22:Q22"/>
    <mergeCell ref="R22:T22"/>
    <mergeCell ref="B1:I1"/>
    <mergeCell ref="J1:Q1"/>
    <mergeCell ref="R1:Y1"/>
    <mergeCell ref="Z1:AG1"/>
    <mergeCell ref="B7:Q7"/>
    <mergeCell ref="R7:AG7"/>
    <mergeCell ref="R21:T21"/>
    <mergeCell ref="U21:V21"/>
    <mergeCell ref="X21:Y21"/>
    <mergeCell ref="Z21:AA21"/>
    <mergeCell ref="AC21:AD21"/>
    <mergeCell ref="AE21:AG21"/>
    <mergeCell ref="B21:D21"/>
    <mergeCell ref="E21:F21"/>
    <mergeCell ref="H21:I21"/>
    <mergeCell ref="J21:K21"/>
    <mergeCell ref="M21:N21"/>
    <mergeCell ref="O21:Q21"/>
  </mergeCells>
  <pageMargins left="0.7" right="0.7" top="0.75" bottom="0.75" header="0.3" footer="0.3"/>
  <ignoredErrors>
    <ignoredError sqref="B16:AG16 AE6 R6 C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Üld</vt:lpstr>
      <vt:lpstr>Kaaries</vt:lpstr>
      <vt:lpstr>Hambakivi</vt:lpstr>
      <vt:lpstr>AM-kaotatud</vt:lpstr>
      <vt:lpstr>Periap. tühimikud</vt:lpstr>
      <vt:lpstr>Taandumine</vt:lpstr>
      <vt:lpstr>Hammaste hüpoplaasia (HH)</vt:lpstr>
      <vt:lpstr>Patoloogiate esinemine</vt:lpstr>
      <vt:lpstr>Kaariese tugevus</vt:lpstr>
      <vt:lpstr>Kaariese asukoht</vt:lpstr>
      <vt:lpstr>Hambakivi asukoht</vt:lpstr>
      <vt:lpstr>Patoloogiad hammaste kaupa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Mari-Anne Liblik</dc:creator>
  <cp:lastModifiedBy>MariAnne</cp:lastModifiedBy>
  <cp:lastPrinted>2016-07-20T18:12:49Z</cp:lastPrinted>
  <dcterms:created xsi:type="dcterms:W3CDTF">2015-12-25T10:23:34Z</dcterms:created>
  <dcterms:modified xsi:type="dcterms:W3CDTF">2017-09-07T08:55:21Z</dcterms:modified>
</cp:coreProperties>
</file>