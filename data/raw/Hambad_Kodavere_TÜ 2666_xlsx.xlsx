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libl\Downloads\"/>
    </mc:Choice>
  </mc:AlternateContent>
  <xr:revisionPtr revIDLastSave="0" documentId="8_{C68FEE7B-4B06-4B7D-9466-7CCAE668640F}" xr6:coauthVersionLast="47" xr6:coauthVersionMax="47" xr10:uidLastSave="{00000000-0000-0000-0000-000000000000}"/>
  <bookViews>
    <workbookView xWindow="28680" yWindow="-120" windowWidth="29040" windowHeight="15720" tabRatio="500" activeTab="7" xr2:uid="{F9FE04B6-71F9-4116-8379-11409A42B1C4}"/>
  </bookViews>
  <sheets>
    <sheet name="Üldinfo" sheetId="1" r:id="rId1"/>
    <sheet name="DC" sheetId="2" r:id="rId2"/>
    <sheet name="Kaaries" sheetId="3" r:id="rId3"/>
    <sheet name="DEH" sheetId="4" r:id="rId4"/>
    <sheet name="PA" sheetId="5" r:id="rId5"/>
    <sheet name="AM" sheetId="6" r:id="rId6"/>
    <sheet name="Reduktsioon" sheetId="7" r:id="rId7"/>
    <sheet name="Kulumus" sheetId="8" r:id="rId8"/>
  </sheets>
  <definedNames>
    <definedName name="_xlnm._FilterDatabase" localSheetId="1" hidden="1">DC!$A$1:$AM$76</definedName>
    <definedName name="_xlnm._FilterDatabase" localSheetId="3" hidden="1">DEH!$A$4:$AQ$76</definedName>
    <definedName name="_xlnm._FilterDatabase" localSheetId="2" hidden="1">Kaaries!$A$4:$AY$76</definedName>
    <definedName name="_xlnm._FilterDatabase" localSheetId="6" hidden="1">Reduktsioon!$A$2:$E$80</definedName>
    <definedName name="_xlnm._FilterDatabase" localSheetId="0" hidden="1">Üldinfo!$A$3:$IT$79</definedName>
    <definedName name="Excel_BuiltIn__FilterDatabase" localSheetId="5">AM!$A$4:$AN$76</definedName>
    <definedName name="Excel_BuiltIn__FilterDatabase" localSheetId="4">PA!$A$4:$AN$74</definedName>
    <definedName name="Excel_BuiltIn__FilterDatabase" localSheetId="0">Üldinfo!$A$1:$BB$79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8" l="1"/>
  <c r="B5" i="8"/>
  <c r="C5" i="8"/>
  <c r="D5" i="8"/>
  <c r="A6" i="8"/>
  <c r="B6" i="8"/>
  <c r="C6" i="8"/>
  <c r="D6" i="8"/>
  <c r="A7" i="8"/>
  <c r="B7" i="8"/>
  <c r="C7" i="8"/>
  <c r="D7" i="8"/>
  <c r="A8" i="8"/>
  <c r="B8" i="8"/>
  <c r="C8" i="8"/>
  <c r="D8" i="8"/>
  <c r="A9" i="8"/>
  <c r="B9" i="8"/>
  <c r="C9" i="8"/>
  <c r="D9" i="8"/>
  <c r="A10" i="8"/>
  <c r="B10" i="8"/>
  <c r="C10" i="8"/>
  <c r="D10" i="8"/>
  <c r="A11" i="8"/>
  <c r="B11" i="8"/>
  <c r="C11" i="8"/>
  <c r="D11" i="8"/>
  <c r="A12" i="8"/>
  <c r="B12" i="8"/>
  <c r="C12" i="8"/>
  <c r="D12" i="8"/>
  <c r="A13" i="8"/>
  <c r="B13" i="8"/>
  <c r="C13" i="8"/>
  <c r="D13" i="8"/>
  <c r="A14" i="8"/>
  <c r="B14" i="8"/>
  <c r="C14" i="8"/>
  <c r="D14" i="8"/>
  <c r="A15" i="8"/>
  <c r="B15" i="8"/>
  <c r="C15" i="8"/>
  <c r="D15" i="8"/>
  <c r="A16" i="8"/>
  <c r="B16" i="8"/>
  <c r="C16" i="8"/>
  <c r="D16" i="8"/>
  <c r="A17" i="8"/>
  <c r="B17" i="8"/>
  <c r="C17" i="8"/>
  <c r="D17" i="8"/>
  <c r="A18" i="8"/>
  <c r="B18" i="8"/>
  <c r="C18" i="8"/>
  <c r="D18" i="8"/>
  <c r="A19" i="8"/>
  <c r="B19" i="8"/>
  <c r="C19" i="8"/>
  <c r="D19" i="8"/>
  <c r="A20" i="8"/>
  <c r="B20" i="8"/>
  <c r="C20" i="8"/>
  <c r="D20" i="8"/>
  <c r="A21" i="8"/>
  <c r="B21" i="8"/>
  <c r="C21" i="8"/>
  <c r="D21" i="8"/>
  <c r="A22" i="8"/>
  <c r="B22" i="8"/>
  <c r="C22" i="8"/>
  <c r="D22" i="8"/>
  <c r="A23" i="8"/>
  <c r="B23" i="8"/>
  <c r="C23" i="8"/>
  <c r="D23" i="8"/>
  <c r="A24" i="8"/>
  <c r="B24" i="8"/>
  <c r="C24" i="8"/>
  <c r="D24" i="8"/>
  <c r="A25" i="8"/>
  <c r="B25" i="8"/>
  <c r="C25" i="8"/>
  <c r="D25" i="8"/>
  <c r="A26" i="8"/>
  <c r="B26" i="8"/>
  <c r="C26" i="8"/>
  <c r="D26" i="8"/>
  <c r="A27" i="8"/>
  <c r="B27" i="8"/>
  <c r="C27" i="8"/>
  <c r="D27" i="8"/>
  <c r="A28" i="8"/>
  <c r="B28" i="8"/>
  <c r="C28" i="8"/>
  <c r="D28" i="8"/>
  <c r="A29" i="8"/>
  <c r="B29" i="8"/>
  <c r="C29" i="8"/>
  <c r="D29" i="8"/>
  <c r="A30" i="8"/>
  <c r="B30" i="8"/>
  <c r="C30" i="8"/>
  <c r="D30" i="8"/>
  <c r="A31" i="8"/>
  <c r="B31" i="8"/>
  <c r="C31" i="8"/>
  <c r="D31" i="8"/>
  <c r="A32" i="8"/>
  <c r="B32" i="8"/>
  <c r="C32" i="8"/>
  <c r="D32" i="8"/>
  <c r="A33" i="8"/>
  <c r="B33" i="8"/>
  <c r="C33" i="8"/>
  <c r="D33" i="8"/>
  <c r="A34" i="8"/>
  <c r="B34" i="8"/>
  <c r="C34" i="8"/>
  <c r="D34" i="8"/>
  <c r="A35" i="8"/>
  <c r="B35" i="8"/>
  <c r="C35" i="8"/>
  <c r="D35" i="8"/>
  <c r="A36" i="8"/>
  <c r="B36" i="8"/>
  <c r="C36" i="8"/>
  <c r="D36" i="8"/>
  <c r="A37" i="8"/>
  <c r="B37" i="8"/>
  <c r="C37" i="8"/>
  <c r="D37" i="8"/>
  <c r="A38" i="8"/>
  <c r="B38" i="8"/>
  <c r="C38" i="8"/>
  <c r="D38" i="8"/>
  <c r="A39" i="8"/>
  <c r="B39" i="8"/>
  <c r="C39" i="8"/>
  <c r="D39" i="8"/>
  <c r="A40" i="8"/>
  <c r="B40" i="8"/>
  <c r="C40" i="8"/>
  <c r="D40" i="8"/>
  <c r="A41" i="8"/>
  <c r="B41" i="8"/>
  <c r="C41" i="8"/>
  <c r="D41" i="8"/>
  <c r="A42" i="8"/>
  <c r="B42" i="8"/>
  <c r="C42" i="8"/>
  <c r="D42" i="8"/>
  <c r="A43" i="8"/>
  <c r="B43" i="8"/>
  <c r="C43" i="8"/>
  <c r="D43" i="8"/>
  <c r="A44" i="8"/>
  <c r="B44" i="8"/>
  <c r="C44" i="8"/>
  <c r="D44" i="8"/>
  <c r="A45" i="8"/>
  <c r="B45" i="8"/>
  <c r="C45" i="8"/>
  <c r="D45" i="8"/>
  <c r="A46" i="8"/>
  <c r="B46" i="8"/>
  <c r="C46" i="8"/>
  <c r="D46" i="8"/>
  <c r="A47" i="8"/>
  <c r="B47" i="8"/>
  <c r="C47" i="8"/>
  <c r="D47" i="8"/>
  <c r="A48" i="8"/>
  <c r="B48" i="8"/>
  <c r="C48" i="8"/>
  <c r="D48" i="8"/>
  <c r="A49" i="8"/>
  <c r="B49" i="8"/>
  <c r="C49" i="8"/>
  <c r="D49" i="8"/>
  <c r="A50" i="8"/>
  <c r="B50" i="8"/>
  <c r="C50" i="8"/>
  <c r="D50" i="8"/>
  <c r="A51" i="8"/>
  <c r="B51" i="8"/>
  <c r="C51" i="8"/>
  <c r="D51" i="8"/>
  <c r="A52" i="8"/>
  <c r="B52" i="8"/>
  <c r="C52" i="8"/>
  <c r="D52" i="8"/>
  <c r="A53" i="8"/>
  <c r="B53" i="8"/>
  <c r="C53" i="8"/>
  <c r="D53" i="8"/>
  <c r="A54" i="8"/>
  <c r="B54" i="8"/>
  <c r="C54" i="8"/>
  <c r="D54" i="8"/>
  <c r="A55" i="8"/>
  <c r="B55" i="8"/>
  <c r="C55" i="8"/>
  <c r="D55" i="8"/>
  <c r="A56" i="8"/>
  <c r="B56" i="8"/>
  <c r="C56" i="8"/>
  <c r="D56" i="8"/>
  <c r="A57" i="8"/>
  <c r="B57" i="8"/>
  <c r="C57" i="8"/>
  <c r="D57" i="8"/>
  <c r="A58" i="8"/>
  <c r="B58" i="8"/>
  <c r="C58" i="8"/>
  <c r="D58" i="8"/>
  <c r="A59" i="8"/>
  <c r="B59" i="8"/>
  <c r="C59" i="8"/>
  <c r="D59" i="8"/>
  <c r="A60" i="8"/>
  <c r="B60" i="8"/>
  <c r="C60" i="8"/>
  <c r="D60" i="8"/>
  <c r="A61" i="8"/>
  <c r="B61" i="8"/>
  <c r="C61" i="8"/>
  <c r="D61" i="8"/>
  <c r="A62" i="8"/>
  <c r="B62" i="8"/>
  <c r="C62" i="8"/>
  <c r="D62" i="8"/>
  <c r="A63" i="8"/>
  <c r="B63" i="8"/>
  <c r="C63" i="8"/>
  <c r="D63" i="8"/>
  <c r="A64" i="8"/>
  <c r="B64" i="8"/>
  <c r="C64" i="8"/>
  <c r="D64" i="8"/>
  <c r="A65" i="8"/>
  <c r="B65" i="8"/>
  <c r="C65" i="8"/>
  <c r="D65" i="8"/>
  <c r="A66" i="8"/>
  <c r="B66" i="8"/>
  <c r="C66" i="8"/>
  <c r="D66" i="8"/>
  <c r="A67" i="8"/>
  <c r="B67" i="8"/>
  <c r="C67" i="8"/>
  <c r="D67" i="8"/>
  <c r="A68" i="8"/>
  <c r="B68" i="8"/>
  <c r="C68" i="8"/>
  <c r="D68" i="8"/>
  <c r="A69" i="8"/>
  <c r="B69" i="8"/>
  <c r="C69" i="8"/>
  <c r="D69" i="8"/>
  <c r="A70" i="8"/>
  <c r="B70" i="8"/>
  <c r="C70" i="8"/>
  <c r="D70" i="8"/>
  <c r="A71" i="8"/>
  <c r="B71" i="8"/>
  <c r="C71" i="8"/>
  <c r="D71" i="8"/>
  <c r="A72" i="8"/>
  <c r="B72" i="8"/>
  <c r="C72" i="8"/>
  <c r="D72" i="8"/>
  <c r="A73" i="8"/>
  <c r="B73" i="8"/>
  <c r="C73" i="8"/>
  <c r="D73" i="8"/>
  <c r="A3" i="7"/>
  <c r="B3" i="7"/>
  <c r="C3" i="7"/>
  <c r="E3" i="7"/>
  <c r="A4" i="7"/>
  <c r="B4" i="7"/>
  <c r="C4" i="7"/>
  <c r="E4" i="7"/>
  <c r="A5" i="7"/>
  <c r="B5" i="7"/>
  <c r="C5" i="7"/>
  <c r="E5" i="7"/>
  <c r="A6" i="7"/>
  <c r="B6" i="7"/>
  <c r="C6" i="7"/>
  <c r="E6" i="7"/>
  <c r="A7" i="7"/>
  <c r="B7" i="7"/>
  <c r="C7" i="7"/>
  <c r="E7" i="7"/>
  <c r="A8" i="7"/>
  <c r="B8" i="7"/>
  <c r="C8" i="7"/>
  <c r="E8" i="7"/>
  <c r="A9" i="7"/>
  <c r="B9" i="7"/>
  <c r="C9" i="7"/>
  <c r="E9" i="7"/>
  <c r="A10" i="7"/>
  <c r="B10" i="7"/>
  <c r="C10" i="7"/>
  <c r="E10" i="7"/>
  <c r="A11" i="7"/>
  <c r="B11" i="7"/>
  <c r="C11" i="7"/>
  <c r="E11" i="7"/>
  <c r="A12" i="7"/>
  <c r="B12" i="7"/>
  <c r="C12" i="7"/>
  <c r="E12" i="7"/>
  <c r="A13" i="7"/>
  <c r="B13" i="7"/>
  <c r="C13" i="7"/>
  <c r="E13" i="7"/>
  <c r="A14" i="7"/>
  <c r="B14" i="7"/>
  <c r="C14" i="7"/>
  <c r="E14" i="7"/>
  <c r="A15" i="7"/>
  <c r="B15" i="7"/>
  <c r="C15" i="7"/>
  <c r="E15" i="7"/>
  <c r="A16" i="7"/>
  <c r="B16" i="7"/>
  <c r="C16" i="7"/>
  <c r="E16" i="7"/>
  <c r="A17" i="7"/>
  <c r="B17" i="7"/>
  <c r="C17" i="7"/>
  <c r="E17" i="7"/>
  <c r="A18" i="7"/>
  <c r="B18" i="7"/>
  <c r="C18" i="7"/>
  <c r="E18" i="7"/>
  <c r="A19" i="7"/>
  <c r="B19" i="7"/>
  <c r="C19" i="7"/>
  <c r="E19" i="7"/>
  <c r="A20" i="7"/>
  <c r="B20" i="7"/>
  <c r="C20" i="7"/>
  <c r="E20" i="7"/>
  <c r="A21" i="7"/>
  <c r="B21" i="7"/>
  <c r="C21" i="7"/>
  <c r="E21" i="7"/>
  <c r="A22" i="7"/>
  <c r="B22" i="7"/>
  <c r="C22" i="7"/>
  <c r="E22" i="7"/>
  <c r="A23" i="7"/>
  <c r="B23" i="7"/>
  <c r="C23" i="7"/>
  <c r="E23" i="7"/>
  <c r="A24" i="7"/>
  <c r="B24" i="7"/>
  <c r="C24" i="7"/>
  <c r="E24" i="7"/>
  <c r="A25" i="7"/>
  <c r="B25" i="7"/>
  <c r="C25" i="7"/>
  <c r="E25" i="7"/>
  <c r="A26" i="7"/>
  <c r="B26" i="7"/>
  <c r="C26" i="7"/>
  <c r="E26" i="7"/>
  <c r="A27" i="7"/>
  <c r="B27" i="7"/>
  <c r="C27" i="7"/>
  <c r="E27" i="7"/>
  <c r="A28" i="7"/>
  <c r="B28" i="7"/>
  <c r="C28" i="7"/>
  <c r="E28" i="7"/>
  <c r="A29" i="7"/>
  <c r="B29" i="7"/>
  <c r="C29" i="7"/>
  <c r="E29" i="7"/>
  <c r="A30" i="7"/>
  <c r="B30" i="7"/>
  <c r="C30" i="7"/>
  <c r="E30" i="7"/>
  <c r="A31" i="7"/>
  <c r="B31" i="7"/>
  <c r="C31" i="7"/>
  <c r="E31" i="7"/>
  <c r="A32" i="7"/>
  <c r="B32" i="7"/>
  <c r="C32" i="7"/>
  <c r="E32" i="7"/>
  <c r="A33" i="7"/>
  <c r="B33" i="7"/>
  <c r="C33" i="7"/>
  <c r="E33" i="7"/>
  <c r="A34" i="7"/>
  <c r="B34" i="7"/>
  <c r="C34" i="7"/>
  <c r="E34" i="7"/>
  <c r="A35" i="7"/>
  <c r="B35" i="7"/>
  <c r="C35" i="7"/>
  <c r="E35" i="7"/>
  <c r="E72" i="7" s="1"/>
  <c r="A36" i="7"/>
  <c r="B36" i="7"/>
  <c r="C36" i="7"/>
  <c r="E36" i="7"/>
  <c r="A37" i="7"/>
  <c r="B37" i="7"/>
  <c r="C37" i="7"/>
  <c r="E37" i="7"/>
  <c r="A38" i="7"/>
  <c r="B38" i="7"/>
  <c r="C38" i="7"/>
  <c r="E38" i="7"/>
  <c r="A39" i="7"/>
  <c r="B39" i="7"/>
  <c r="C39" i="7"/>
  <c r="E39" i="7"/>
  <c r="A40" i="7"/>
  <c r="B40" i="7"/>
  <c r="C40" i="7"/>
  <c r="E40" i="7"/>
  <c r="A41" i="7"/>
  <c r="B41" i="7"/>
  <c r="C41" i="7"/>
  <c r="E41" i="7"/>
  <c r="A42" i="7"/>
  <c r="B42" i="7"/>
  <c r="C42" i="7"/>
  <c r="E42" i="7"/>
  <c r="A43" i="7"/>
  <c r="B43" i="7"/>
  <c r="C43" i="7"/>
  <c r="E43" i="7"/>
  <c r="A44" i="7"/>
  <c r="B44" i="7"/>
  <c r="C44" i="7"/>
  <c r="E44" i="7"/>
  <c r="A45" i="7"/>
  <c r="B45" i="7"/>
  <c r="C45" i="7"/>
  <c r="E45" i="7"/>
  <c r="A46" i="7"/>
  <c r="B46" i="7"/>
  <c r="C46" i="7"/>
  <c r="E46" i="7"/>
  <c r="A47" i="7"/>
  <c r="B47" i="7"/>
  <c r="C47" i="7"/>
  <c r="E47" i="7"/>
  <c r="A48" i="7"/>
  <c r="B48" i="7"/>
  <c r="C48" i="7"/>
  <c r="E48" i="7"/>
  <c r="A49" i="7"/>
  <c r="B49" i="7"/>
  <c r="C49" i="7"/>
  <c r="E49" i="7"/>
  <c r="A50" i="7"/>
  <c r="B50" i="7"/>
  <c r="C50" i="7"/>
  <c r="E50" i="7"/>
  <c r="A51" i="7"/>
  <c r="B51" i="7"/>
  <c r="C51" i="7"/>
  <c r="E51" i="7"/>
  <c r="A52" i="7"/>
  <c r="B52" i="7"/>
  <c r="C52" i="7"/>
  <c r="E52" i="7"/>
  <c r="A53" i="7"/>
  <c r="B53" i="7"/>
  <c r="C53" i="7"/>
  <c r="E53" i="7"/>
  <c r="A54" i="7"/>
  <c r="B54" i="7"/>
  <c r="C54" i="7"/>
  <c r="E54" i="7"/>
  <c r="A55" i="7"/>
  <c r="B55" i="7"/>
  <c r="C55" i="7"/>
  <c r="E55" i="7"/>
  <c r="A56" i="7"/>
  <c r="B56" i="7"/>
  <c r="C56" i="7"/>
  <c r="E56" i="7"/>
  <c r="A57" i="7"/>
  <c r="B57" i="7"/>
  <c r="C57" i="7"/>
  <c r="E57" i="7"/>
  <c r="A58" i="7"/>
  <c r="B58" i="7"/>
  <c r="C58" i="7"/>
  <c r="E58" i="7"/>
  <c r="A59" i="7"/>
  <c r="B59" i="7"/>
  <c r="C59" i="7"/>
  <c r="E59" i="7"/>
  <c r="A60" i="7"/>
  <c r="B60" i="7"/>
  <c r="C60" i="7"/>
  <c r="E60" i="7"/>
  <c r="A61" i="7"/>
  <c r="B61" i="7"/>
  <c r="C61" i="7"/>
  <c r="E61" i="7"/>
  <c r="A62" i="7"/>
  <c r="B62" i="7"/>
  <c r="C62" i="7"/>
  <c r="E62" i="7"/>
  <c r="A63" i="7"/>
  <c r="B63" i="7"/>
  <c r="C63" i="7"/>
  <c r="E63" i="7"/>
  <c r="A64" i="7"/>
  <c r="B64" i="7"/>
  <c r="C64" i="7"/>
  <c r="E64" i="7"/>
  <c r="A65" i="7"/>
  <c r="B65" i="7"/>
  <c r="C65" i="7"/>
  <c r="E65" i="7"/>
  <c r="A66" i="7"/>
  <c r="B66" i="7"/>
  <c r="C66" i="7"/>
  <c r="E66" i="7"/>
  <c r="A67" i="7"/>
  <c r="B67" i="7"/>
  <c r="C67" i="7"/>
  <c r="E67" i="7"/>
  <c r="A68" i="7"/>
  <c r="B68" i="7"/>
  <c r="C68" i="7"/>
  <c r="E68" i="7"/>
  <c r="A69" i="7"/>
  <c r="B69" i="7"/>
  <c r="C69" i="7"/>
  <c r="E69" i="7"/>
  <c r="A70" i="7"/>
  <c r="B70" i="7"/>
  <c r="C70" i="7"/>
  <c r="E70" i="7"/>
  <c r="A71" i="7"/>
  <c r="B71" i="7"/>
  <c r="C71" i="7"/>
  <c r="E71" i="7"/>
  <c r="D72" i="7"/>
  <c r="D73" i="7"/>
  <c r="D74" i="7"/>
  <c r="D79" i="7" s="1"/>
  <c r="D75" i="7"/>
  <c r="A5" i="6"/>
  <c r="B5" i="6"/>
  <c r="C5" i="6"/>
  <c r="D5" i="6"/>
  <c r="AL5" i="6"/>
  <c r="A6" i="6"/>
  <c r="B6" i="6"/>
  <c r="C6" i="6"/>
  <c r="D6" i="6"/>
  <c r="AL6" i="6"/>
  <c r="A7" i="6"/>
  <c r="B7" i="6"/>
  <c r="C7" i="6"/>
  <c r="D7" i="6"/>
  <c r="AL7" i="6"/>
  <c r="A8" i="6"/>
  <c r="B8" i="6"/>
  <c r="C8" i="6"/>
  <c r="D8" i="6"/>
  <c r="AL8" i="6"/>
  <c r="A9" i="6"/>
  <c r="B9" i="6"/>
  <c r="C9" i="6"/>
  <c r="D9" i="6"/>
  <c r="AL9" i="6"/>
  <c r="A10" i="6"/>
  <c r="B10" i="6"/>
  <c r="C10" i="6"/>
  <c r="D10" i="6"/>
  <c r="AL10" i="6"/>
  <c r="A11" i="6"/>
  <c r="B11" i="6"/>
  <c r="C11" i="6"/>
  <c r="D11" i="6"/>
  <c r="AL11" i="6"/>
  <c r="A12" i="6"/>
  <c r="B12" i="6"/>
  <c r="C12" i="6"/>
  <c r="D12" i="6"/>
  <c r="AL12" i="6"/>
  <c r="A13" i="6"/>
  <c r="B13" i="6"/>
  <c r="C13" i="6"/>
  <c r="D13" i="6"/>
  <c r="AL13" i="6"/>
  <c r="A14" i="6"/>
  <c r="B14" i="6"/>
  <c r="C14" i="6"/>
  <c r="D14" i="6"/>
  <c r="AL14" i="6"/>
  <c r="A15" i="6"/>
  <c r="B15" i="6"/>
  <c r="C15" i="6"/>
  <c r="D15" i="6"/>
  <c r="AL15" i="6"/>
  <c r="A16" i="6"/>
  <c r="B16" i="6"/>
  <c r="C16" i="6"/>
  <c r="D16" i="6"/>
  <c r="AL16" i="6"/>
  <c r="A17" i="6"/>
  <c r="B17" i="6"/>
  <c r="C17" i="6"/>
  <c r="D17" i="6"/>
  <c r="AL17" i="6"/>
  <c r="A18" i="6"/>
  <c r="B18" i="6"/>
  <c r="C18" i="6"/>
  <c r="D18" i="6"/>
  <c r="AL18" i="6"/>
  <c r="A19" i="6"/>
  <c r="B19" i="6"/>
  <c r="C19" i="6"/>
  <c r="D19" i="6"/>
  <c r="AL19" i="6"/>
  <c r="A20" i="6"/>
  <c r="B20" i="6"/>
  <c r="C20" i="6"/>
  <c r="D20" i="6"/>
  <c r="AL20" i="6"/>
  <c r="A21" i="6"/>
  <c r="B21" i="6"/>
  <c r="C21" i="6"/>
  <c r="D21" i="6"/>
  <c r="AL21" i="6"/>
  <c r="A22" i="6"/>
  <c r="B22" i="6"/>
  <c r="C22" i="6"/>
  <c r="D22" i="6"/>
  <c r="AL22" i="6"/>
  <c r="A23" i="6"/>
  <c r="B23" i="6"/>
  <c r="C23" i="6"/>
  <c r="D23" i="6"/>
  <c r="AL23" i="6"/>
  <c r="A24" i="6"/>
  <c r="B24" i="6"/>
  <c r="C24" i="6"/>
  <c r="D24" i="6"/>
  <c r="AL24" i="6"/>
  <c r="A25" i="6"/>
  <c r="B25" i="6"/>
  <c r="C25" i="6"/>
  <c r="D25" i="6"/>
  <c r="AL25" i="6"/>
  <c r="A26" i="6"/>
  <c r="B26" i="6"/>
  <c r="C26" i="6"/>
  <c r="D26" i="6"/>
  <c r="AL26" i="6"/>
  <c r="A27" i="6"/>
  <c r="B27" i="6"/>
  <c r="C27" i="6"/>
  <c r="D27" i="6"/>
  <c r="AL27" i="6"/>
  <c r="A28" i="6"/>
  <c r="B28" i="6"/>
  <c r="C28" i="6"/>
  <c r="D28" i="6"/>
  <c r="AL28" i="6"/>
  <c r="A29" i="6"/>
  <c r="B29" i="6"/>
  <c r="C29" i="6"/>
  <c r="D29" i="6"/>
  <c r="AL29" i="6"/>
  <c r="A30" i="6"/>
  <c r="B30" i="6"/>
  <c r="C30" i="6"/>
  <c r="D30" i="6"/>
  <c r="AL30" i="6"/>
  <c r="A31" i="6"/>
  <c r="B31" i="6"/>
  <c r="C31" i="6"/>
  <c r="D31" i="6"/>
  <c r="AL31" i="6"/>
  <c r="A32" i="6"/>
  <c r="B32" i="6"/>
  <c r="C32" i="6"/>
  <c r="D32" i="6"/>
  <c r="AL32" i="6"/>
  <c r="A33" i="6"/>
  <c r="B33" i="6"/>
  <c r="C33" i="6"/>
  <c r="D33" i="6"/>
  <c r="AL33" i="6"/>
  <c r="A34" i="6"/>
  <c r="B34" i="6"/>
  <c r="C34" i="6"/>
  <c r="D34" i="6"/>
  <c r="AL34" i="6"/>
  <c r="A35" i="6"/>
  <c r="B35" i="6"/>
  <c r="C35" i="6"/>
  <c r="D35" i="6"/>
  <c r="AL35" i="6"/>
  <c r="A36" i="6"/>
  <c r="B36" i="6"/>
  <c r="C36" i="6"/>
  <c r="D36" i="6"/>
  <c r="AL36" i="6"/>
  <c r="A37" i="6"/>
  <c r="B37" i="6"/>
  <c r="C37" i="6"/>
  <c r="D37" i="6"/>
  <c r="AL37" i="6"/>
  <c r="A38" i="6"/>
  <c r="B38" i="6"/>
  <c r="C38" i="6"/>
  <c r="D38" i="6"/>
  <c r="AL38" i="6"/>
  <c r="A39" i="6"/>
  <c r="B39" i="6"/>
  <c r="C39" i="6"/>
  <c r="D39" i="6"/>
  <c r="AL39" i="6"/>
  <c r="A40" i="6"/>
  <c r="B40" i="6"/>
  <c r="C40" i="6"/>
  <c r="D40" i="6"/>
  <c r="AL40" i="6"/>
  <c r="A41" i="6"/>
  <c r="B41" i="6"/>
  <c r="C41" i="6"/>
  <c r="D41" i="6"/>
  <c r="AL41" i="6"/>
  <c r="A42" i="6"/>
  <c r="B42" i="6"/>
  <c r="C42" i="6"/>
  <c r="D42" i="6"/>
  <c r="AL42" i="6"/>
  <c r="A43" i="6"/>
  <c r="B43" i="6"/>
  <c r="C43" i="6"/>
  <c r="D43" i="6"/>
  <c r="AL43" i="6"/>
  <c r="A44" i="6"/>
  <c r="B44" i="6"/>
  <c r="C44" i="6"/>
  <c r="D44" i="6"/>
  <c r="AL44" i="6"/>
  <c r="A45" i="6"/>
  <c r="B45" i="6"/>
  <c r="C45" i="6"/>
  <c r="D45" i="6"/>
  <c r="AL45" i="6"/>
  <c r="A46" i="6"/>
  <c r="B46" i="6"/>
  <c r="C46" i="6"/>
  <c r="D46" i="6"/>
  <c r="AL46" i="6"/>
  <c r="A47" i="6"/>
  <c r="B47" i="6"/>
  <c r="C47" i="6"/>
  <c r="D47" i="6"/>
  <c r="AL47" i="6"/>
  <c r="A48" i="6"/>
  <c r="B48" i="6"/>
  <c r="C48" i="6"/>
  <c r="D48" i="6"/>
  <c r="AL48" i="6"/>
  <c r="A49" i="6"/>
  <c r="B49" i="6"/>
  <c r="C49" i="6"/>
  <c r="D49" i="6"/>
  <c r="AL49" i="6"/>
  <c r="A50" i="6"/>
  <c r="B50" i="6"/>
  <c r="C50" i="6"/>
  <c r="D50" i="6"/>
  <c r="AL50" i="6"/>
  <c r="A51" i="6"/>
  <c r="B51" i="6"/>
  <c r="C51" i="6"/>
  <c r="D51" i="6"/>
  <c r="AL51" i="6"/>
  <c r="A52" i="6"/>
  <c r="B52" i="6"/>
  <c r="C52" i="6"/>
  <c r="D52" i="6"/>
  <c r="AL52" i="6"/>
  <c r="A53" i="6"/>
  <c r="B53" i="6"/>
  <c r="C53" i="6"/>
  <c r="D53" i="6"/>
  <c r="AL53" i="6"/>
  <c r="A54" i="6"/>
  <c r="B54" i="6"/>
  <c r="C54" i="6"/>
  <c r="D54" i="6"/>
  <c r="AL54" i="6"/>
  <c r="A55" i="6"/>
  <c r="B55" i="6"/>
  <c r="C55" i="6"/>
  <c r="D55" i="6"/>
  <c r="AL55" i="6"/>
  <c r="A56" i="6"/>
  <c r="B56" i="6"/>
  <c r="C56" i="6"/>
  <c r="D56" i="6"/>
  <c r="AL56" i="6"/>
  <c r="A57" i="6"/>
  <c r="B57" i="6"/>
  <c r="C57" i="6"/>
  <c r="D57" i="6"/>
  <c r="AL57" i="6"/>
  <c r="A58" i="6"/>
  <c r="B58" i="6"/>
  <c r="C58" i="6"/>
  <c r="D58" i="6"/>
  <c r="AL58" i="6"/>
  <c r="A59" i="6"/>
  <c r="B59" i="6"/>
  <c r="C59" i="6"/>
  <c r="D59" i="6"/>
  <c r="AL59" i="6"/>
  <c r="A60" i="6"/>
  <c r="B60" i="6"/>
  <c r="C60" i="6"/>
  <c r="D60" i="6"/>
  <c r="AL60" i="6"/>
  <c r="A61" i="6"/>
  <c r="B61" i="6"/>
  <c r="C61" i="6"/>
  <c r="D61" i="6"/>
  <c r="AL61" i="6"/>
  <c r="A62" i="6"/>
  <c r="B62" i="6"/>
  <c r="C62" i="6"/>
  <c r="D62" i="6"/>
  <c r="AL62" i="6"/>
  <c r="A63" i="6"/>
  <c r="B63" i="6"/>
  <c r="C63" i="6"/>
  <c r="D63" i="6"/>
  <c r="AL63" i="6"/>
  <c r="A64" i="6"/>
  <c r="B64" i="6"/>
  <c r="C64" i="6"/>
  <c r="D64" i="6"/>
  <c r="AL64" i="6"/>
  <c r="A65" i="6"/>
  <c r="B65" i="6"/>
  <c r="C65" i="6"/>
  <c r="D65" i="6"/>
  <c r="AL65" i="6"/>
  <c r="A66" i="6"/>
  <c r="B66" i="6"/>
  <c r="C66" i="6"/>
  <c r="D66" i="6"/>
  <c r="AL66" i="6"/>
  <c r="A67" i="6"/>
  <c r="B67" i="6"/>
  <c r="C67" i="6"/>
  <c r="D67" i="6"/>
  <c r="AL67" i="6"/>
  <c r="A68" i="6"/>
  <c r="B68" i="6"/>
  <c r="C68" i="6"/>
  <c r="D68" i="6"/>
  <c r="AL68" i="6"/>
  <c r="A69" i="6"/>
  <c r="B69" i="6"/>
  <c r="C69" i="6"/>
  <c r="D69" i="6"/>
  <c r="AL69" i="6"/>
  <c r="A70" i="6"/>
  <c r="B70" i="6"/>
  <c r="C70" i="6"/>
  <c r="D70" i="6"/>
  <c r="AL70" i="6"/>
  <c r="A71" i="6"/>
  <c r="B71" i="6"/>
  <c r="C71" i="6"/>
  <c r="D71" i="6"/>
  <c r="AL71" i="6"/>
  <c r="A72" i="6"/>
  <c r="B72" i="6"/>
  <c r="C72" i="6"/>
  <c r="D72" i="6"/>
  <c r="AL72" i="6"/>
  <c r="A73" i="6"/>
  <c r="B73" i="6"/>
  <c r="C73" i="6"/>
  <c r="D73" i="6"/>
  <c r="AL73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5" i="5"/>
  <c r="B5" i="5"/>
  <c r="C5" i="5"/>
  <c r="D5" i="5"/>
  <c r="AL5" i="5"/>
  <c r="A6" i="5"/>
  <c r="B6" i="5"/>
  <c r="C6" i="5"/>
  <c r="D6" i="5"/>
  <c r="AL6" i="5"/>
  <c r="A7" i="5"/>
  <c r="B7" i="5"/>
  <c r="C7" i="5"/>
  <c r="D7" i="5"/>
  <c r="AL7" i="5"/>
  <c r="A8" i="5"/>
  <c r="B8" i="5"/>
  <c r="C8" i="5"/>
  <c r="D8" i="5"/>
  <c r="AL8" i="5"/>
  <c r="AN8" i="5" s="1"/>
  <c r="A9" i="5"/>
  <c r="B9" i="5"/>
  <c r="C9" i="5"/>
  <c r="D9" i="5"/>
  <c r="AL9" i="5"/>
  <c r="AN9" i="5" s="1"/>
  <c r="A10" i="5"/>
  <c r="B10" i="5"/>
  <c r="C10" i="5"/>
  <c r="D10" i="5"/>
  <c r="AL10" i="5"/>
  <c r="A11" i="5"/>
  <c r="B11" i="5"/>
  <c r="C11" i="5"/>
  <c r="D11" i="5"/>
  <c r="AL11" i="5"/>
  <c r="A12" i="5"/>
  <c r="B12" i="5"/>
  <c r="C12" i="5"/>
  <c r="D12" i="5"/>
  <c r="AL12" i="5"/>
  <c r="AN12" i="5" s="1"/>
  <c r="A13" i="5"/>
  <c r="B13" i="5"/>
  <c r="C13" i="5"/>
  <c r="D13" i="5"/>
  <c r="AL13" i="5"/>
  <c r="A14" i="5"/>
  <c r="B14" i="5"/>
  <c r="C14" i="5"/>
  <c r="D14" i="5"/>
  <c r="AL14" i="5"/>
  <c r="A15" i="5"/>
  <c r="B15" i="5"/>
  <c r="C15" i="5"/>
  <c r="D15" i="5"/>
  <c r="AL15" i="5"/>
  <c r="A16" i="5"/>
  <c r="B16" i="5"/>
  <c r="C16" i="5"/>
  <c r="D16" i="5"/>
  <c r="AL16" i="5"/>
  <c r="A17" i="5"/>
  <c r="B17" i="5"/>
  <c r="C17" i="5"/>
  <c r="D17" i="5"/>
  <c r="AL17" i="5"/>
  <c r="A18" i="5"/>
  <c r="B18" i="5"/>
  <c r="C18" i="5"/>
  <c r="D18" i="5"/>
  <c r="AL18" i="5"/>
  <c r="A19" i="5"/>
  <c r="B19" i="5"/>
  <c r="C19" i="5"/>
  <c r="D19" i="5"/>
  <c r="AL19" i="5"/>
  <c r="A20" i="5"/>
  <c r="B20" i="5"/>
  <c r="C20" i="5"/>
  <c r="D20" i="5"/>
  <c r="AL20" i="5"/>
  <c r="A21" i="5"/>
  <c r="B21" i="5"/>
  <c r="C21" i="5"/>
  <c r="D21" i="5"/>
  <c r="AL21" i="5"/>
  <c r="A22" i="5"/>
  <c r="B22" i="5"/>
  <c r="C22" i="5"/>
  <c r="D22" i="5"/>
  <c r="AL22" i="5"/>
  <c r="A23" i="5"/>
  <c r="B23" i="5"/>
  <c r="C23" i="5"/>
  <c r="D23" i="5"/>
  <c r="AL23" i="5"/>
  <c r="A24" i="5"/>
  <c r="B24" i="5"/>
  <c r="C24" i="5"/>
  <c r="D24" i="5"/>
  <c r="AL24" i="5"/>
  <c r="A25" i="5"/>
  <c r="B25" i="5"/>
  <c r="C25" i="5"/>
  <c r="D25" i="5"/>
  <c r="AL25" i="5"/>
  <c r="A26" i="5"/>
  <c r="B26" i="5"/>
  <c r="C26" i="5"/>
  <c r="D26" i="5"/>
  <c r="AL26" i="5"/>
  <c r="A27" i="5"/>
  <c r="B27" i="5"/>
  <c r="C27" i="5"/>
  <c r="D27" i="5"/>
  <c r="AL27" i="5"/>
  <c r="A28" i="5"/>
  <c r="B28" i="5"/>
  <c r="C28" i="5"/>
  <c r="D28" i="5"/>
  <c r="AL28" i="5"/>
  <c r="A29" i="5"/>
  <c r="B29" i="5"/>
  <c r="C29" i="5"/>
  <c r="D29" i="5"/>
  <c r="AL29" i="5"/>
  <c r="A30" i="5"/>
  <c r="B30" i="5"/>
  <c r="C30" i="5"/>
  <c r="D30" i="5"/>
  <c r="AL30" i="5"/>
  <c r="A31" i="5"/>
  <c r="B31" i="5"/>
  <c r="C31" i="5"/>
  <c r="D31" i="5"/>
  <c r="AL31" i="5"/>
  <c r="A32" i="5"/>
  <c r="B32" i="5"/>
  <c r="C32" i="5"/>
  <c r="D32" i="5"/>
  <c r="AL32" i="5"/>
  <c r="A33" i="5"/>
  <c r="B33" i="5"/>
  <c r="C33" i="5"/>
  <c r="D33" i="5"/>
  <c r="AL33" i="5"/>
  <c r="A34" i="5"/>
  <c r="B34" i="5"/>
  <c r="C34" i="5"/>
  <c r="D34" i="5"/>
  <c r="AL34" i="5"/>
  <c r="A35" i="5"/>
  <c r="B35" i="5"/>
  <c r="C35" i="5"/>
  <c r="D35" i="5"/>
  <c r="AL35" i="5"/>
  <c r="A36" i="5"/>
  <c r="B36" i="5"/>
  <c r="C36" i="5"/>
  <c r="D36" i="5"/>
  <c r="AL36" i="5"/>
  <c r="A37" i="5"/>
  <c r="B37" i="5"/>
  <c r="C37" i="5"/>
  <c r="D37" i="5"/>
  <c r="AL37" i="5"/>
  <c r="A38" i="5"/>
  <c r="B38" i="5"/>
  <c r="C38" i="5"/>
  <c r="D38" i="5"/>
  <c r="AL38" i="5"/>
  <c r="A39" i="5"/>
  <c r="B39" i="5"/>
  <c r="C39" i="5"/>
  <c r="D39" i="5"/>
  <c r="AL39" i="5"/>
  <c r="A40" i="5"/>
  <c r="B40" i="5"/>
  <c r="C40" i="5"/>
  <c r="D40" i="5"/>
  <c r="AL40" i="5"/>
  <c r="A41" i="5"/>
  <c r="B41" i="5"/>
  <c r="C41" i="5"/>
  <c r="D41" i="5"/>
  <c r="AL41" i="5"/>
  <c r="A42" i="5"/>
  <c r="B42" i="5"/>
  <c r="C42" i="5"/>
  <c r="D42" i="5"/>
  <c r="AL42" i="5"/>
  <c r="A43" i="5"/>
  <c r="B43" i="5"/>
  <c r="C43" i="5"/>
  <c r="D43" i="5"/>
  <c r="AL43" i="5"/>
  <c r="A44" i="5"/>
  <c r="B44" i="5"/>
  <c r="C44" i="5"/>
  <c r="D44" i="5"/>
  <c r="AL44" i="5"/>
  <c r="A45" i="5"/>
  <c r="B45" i="5"/>
  <c r="C45" i="5"/>
  <c r="D45" i="5"/>
  <c r="AL45" i="5"/>
  <c r="A46" i="5"/>
  <c r="B46" i="5"/>
  <c r="C46" i="5"/>
  <c r="D46" i="5"/>
  <c r="AL46" i="5"/>
  <c r="A47" i="5"/>
  <c r="B47" i="5"/>
  <c r="C47" i="5"/>
  <c r="D47" i="5"/>
  <c r="AL47" i="5"/>
  <c r="A48" i="5"/>
  <c r="B48" i="5"/>
  <c r="C48" i="5"/>
  <c r="D48" i="5"/>
  <c r="AL48" i="5"/>
  <c r="A49" i="5"/>
  <c r="B49" i="5"/>
  <c r="C49" i="5"/>
  <c r="D49" i="5"/>
  <c r="AL49" i="5"/>
  <c r="A50" i="5"/>
  <c r="B50" i="5"/>
  <c r="C50" i="5"/>
  <c r="D50" i="5"/>
  <c r="AL50" i="5"/>
  <c r="A51" i="5"/>
  <c r="B51" i="5"/>
  <c r="C51" i="5"/>
  <c r="D51" i="5"/>
  <c r="AL51" i="5"/>
  <c r="A52" i="5"/>
  <c r="B52" i="5"/>
  <c r="C52" i="5"/>
  <c r="D52" i="5"/>
  <c r="AL52" i="5"/>
  <c r="A53" i="5"/>
  <c r="B53" i="5"/>
  <c r="C53" i="5"/>
  <c r="D53" i="5"/>
  <c r="AL53" i="5"/>
  <c r="A54" i="5"/>
  <c r="B54" i="5"/>
  <c r="C54" i="5"/>
  <c r="D54" i="5"/>
  <c r="AL54" i="5"/>
  <c r="A55" i="5"/>
  <c r="B55" i="5"/>
  <c r="C55" i="5"/>
  <c r="D55" i="5"/>
  <c r="AL55" i="5"/>
  <c r="A56" i="5"/>
  <c r="B56" i="5"/>
  <c r="C56" i="5"/>
  <c r="D56" i="5"/>
  <c r="AL56" i="5"/>
  <c r="A57" i="5"/>
  <c r="B57" i="5"/>
  <c r="C57" i="5"/>
  <c r="D57" i="5"/>
  <c r="AL57" i="5"/>
  <c r="A58" i="5"/>
  <c r="B58" i="5"/>
  <c r="C58" i="5"/>
  <c r="D58" i="5"/>
  <c r="AL58" i="5"/>
  <c r="A59" i="5"/>
  <c r="B59" i="5"/>
  <c r="C59" i="5"/>
  <c r="D59" i="5"/>
  <c r="AL59" i="5"/>
  <c r="A60" i="5"/>
  <c r="B60" i="5"/>
  <c r="C60" i="5"/>
  <c r="D60" i="5"/>
  <c r="AL60" i="5"/>
  <c r="A61" i="5"/>
  <c r="B61" i="5"/>
  <c r="C61" i="5"/>
  <c r="D61" i="5"/>
  <c r="AL61" i="5"/>
  <c r="A62" i="5"/>
  <c r="B62" i="5"/>
  <c r="C62" i="5"/>
  <c r="D62" i="5"/>
  <c r="AL62" i="5"/>
  <c r="A63" i="5"/>
  <c r="B63" i="5"/>
  <c r="C63" i="5"/>
  <c r="D63" i="5"/>
  <c r="AL63" i="5"/>
  <c r="A64" i="5"/>
  <c r="B64" i="5"/>
  <c r="C64" i="5"/>
  <c r="D64" i="5"/>
  <c r="AL64" i="5"/>
  <c r="A65" i="5"/>
  <c r="B65" i="5"/>
  <c r="C65" i="5"/>
  <c r="D65" i="5"/>
  <c r="AL65" i="5"/>
  <c r="A66" i="5"/>
  <c r="B66" i="5"/>
  <c r="C66" i="5"/>
  <c r="D66" i="5"/>
  <c r="AL66" i="5"/>
  <c r="A67" i="5"/>
  <c r="B67" i="5"/>
  <c r="C67" i="5"/>
  <c r="D67" i="5"/>
  <c r="AL67" i="5"/>
  <c r="A68" i="5"/>
  <c r="B68" i="5"/>
  <c r="C68" i="5"/>
  <c r="D68" i="5"/>
  <c r="AL68" i="5"/>
  <c r="A69" i="5"/>
  <c r="B69" i="5"/>
  <c r="C69" i="5"/>
  <c r="D69" i="5"/>
  <c r="AL69" i="5"/>
  <c r="A70" i="5"/>
  <c r="B70" i="5"/>
  <c r="C70" i="5"/>
  <c r="D70" i="5"/>
  <c r="AL70" i="5"/>
  <c r="A71" i="5"/>
  <c r="B71" i="5"/>
  <c r="C71" i="5"/>
  <c r="D71" i="5"/>
  <c r="AL71" i="5"/>
  <c r="A72" i="5"/>
  <c r="B72" i="5"/>
  <c r="C72" i="5"/>
  <c r="D72" i="5"/>
  <c r="AL72" i="5"/>
  <c r="A73" i="5"/>
  <c r="B73" i="5"/>
  <c r="C73" i="5"/>
  <c r="D73" i="5"/>
  <c r="AL73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5" i="4"/>
  <c r="B5" i="4"/>
  <c r="C5" i="4"/>
  <c r="AK5" i="4"/>
  <c r="AO5" i="4"/>
  <c r="AP5" i="4"/>
  <c r="AQ5" i="4"/>
  <c r="A6" i="4"/>
  <c r="B6" i="4"/>
  <c r="C6" i="4"/>
  <c r="AK6" i="4"/>
  <c r="AO6" i="4"/>
  <c r="AP6" i="4"/>
  <c r="AQ6" i="4"/>
  <c r="A7" i="4"/>
  <c r="B7" i="4"/>
  <c r="C7" i="4"/>
  <c r="AK7" i="4"/>
  <c r="AO7" i="4"/>
  <c r="AP7" i="4"/>
  <c r="AQ7" i="4"/>
  <c r="A8" i="4"/>
  <c r="B8" i="4"/>
  <c r="C8" i="4"/>
  <c r="AK8" i="4"/>
  <c r="AO8" i="4"/>
  <c r="AP8" i="4"/>
  <c r="AQ8" i="4"/>
  <c r="A9" i="4"/>
  <c r="B9" i="4"/>
  <c r="C9" i="4"/>
  <c r="AK9" i="4"/>
  <c r="AO9" i="4"/>
  <c r="AP9" i="4"/>
  <c r="AQ9" i="4"/>
  <c r="A10" i="4"/>
  <c r="B10" i="4"/>
  <c r="C10" i="4"/>
  <c r="AK10" i="4"/>
  <c r="AO10" i="4"/>
  <c r="AP10" i="4"/>
  <c r="AQ10" i="4"/>
  <c r="A11" i="4"/>
  <c r="B11" i="4"/>
  <c r="C11" i="4"/>
  <c r="AK11" i="4"/>
  <c r="AO11" i="4"/>
  <c r="AP11" i="4"/>
  <c r="AQ11" i="4"/>
  <c r="A12" i="4"/>
  <c r="B12" i="4"/>
  <c r="C12" i="4"/>
  <c r="AK12" i="4"/>
  <c r="AO12" i="4"/>
  <c r="AP12" i="4"/>
  <c r="AQ12" i="4"/>
  <c r="A13" i="4"/>
  <c r="B13" i="4"/>
  <c r="C13" i="4"/>
  <c r="AK13" i="4"/>
  <c r="AO13" i="4"/>
  <c r="AP13" i="4"/>
  <c r="AQ13" i="4"/>
  <c r="A14" i="4"/>
  <c r="B14" i="4"/>
  <c r="C14" i="4"/>
  <c r="AK14" i="4"/>
  <c r="AO14" i="4"/>
  <c r="AP14" i="4"/>
  <c r="AQ14" i="4"/>
  <c r="A15" i="4"/>
  <c r="B15" i="4"/>
  <c r="C15" i="4"/>
  <c r="AK15" i="4"/>
  <c r="AO15" i="4"/>
  <c r="AP15" i="4"/>
  <c r="AQ15" i="4"/>
  <c r="A16" i="4"/>
  <c r="B16" i="4"/>
  <c r="C16" i="4"/>
  <c r="AK16" i="4"/>
  <c r="AO16" i="4"/>
  <c r="AP16" i="4"/>
  <c r="AQ16" i="4"/>
  <c r="A17" i="4"/>
  <c r="B17" i="4"/>
  <c r="C17" i="4"/>
  <c r="AK17" i="4"/>
  <c r="AO17" i="4"/>
  <c r="AP17" i="4"/>
  <c r="AQ17" i="4"/>
  <c r="A18" i="4"/>
  <c r="B18" i="4"/>
  <c r="C18" i="4"/>
  <c r="AK18" i="4"/>
  <c r="AO18" i="4"/>
  <c r="AP18" i="4"/>
  <c r="AQ18" i="4"/>
  <c r="A19" i="4"/>
  <c r="B19" i="4"/>
  <c r="C19" i="4"/>
  <c r="AK19" i="4"/>
  <c r="AO19" i="4"/>
  <c r="AP19" i="4"/>
  <c r="AQ19" i="4"/>
  <c r="A20" i="4"/>
  <c r="B20" i="4"/>
  <c r="C20" i="4"/>
  <c r="AK20" i="4"/>
  <c r="AO20" i="4"/>
  <c r="AP20" i="4"/>
  <c r="AQ20" i="4"/>
  <c r="A21" i="4"/>
  <c r="B21" i="4"/>
  <c r="C21" i="4"/>
  <c r="AK21" i="4"/>
  <c r="AO21" i="4"/>
  <c r="AP21" i="4"/>
  <c r="AQ21" i="4"/>
  <c r="A22" i="4"/>
  <c r="B22" i="4"/>
  <c r="C22" i="4"/>
  <c r="AK22" i="4"/>
  <c r="AO22" i="4"/>
  <c r="AP22" i="4"/>
  <c r="AQ22" i="4"/>
  <c r="A23" i="4"/>
  <c r="B23" i="4"/>
  <c r="C23" i="4"/>
  <c r="AK23" i="4"/>
  <c r="AO23" i="4"/>
  <c r="AP23" i="4"/>
  <c r="AQ23" i="4"/>
  <c r="A24" i="4"/>
  <c r="B24" i="4"/>
  <c r="C24" i="4"/>
  <c r="AK24" i="4"/>
  <c r="AO24" i="4"/>
  <c r="AP24" i="4"/>
  <c r="AQ24" i="4"/>
  <c r="A25" i="4"/>
  <c r="B25" i="4"/>
  <c r="C25" i="4"/>
  <c r="AK25" i="4"/>
  <c r="AO25" i="4"/>
  <c r="AP25" i="4"/>
  <c r="AQ25" i="4"/>
  <c r="A26" i="4"/>
  <c r="B26" i="4"/>
  <c r="C26" i="4"/>
  <c r="AK26" i="4"/>
  <c r="AO26" i="4"/>
  <c r="AP26" i="4"/>
  <c r="AQ26" i="4"/>
  <c r="A27" i="4"/>
  <c r="B27" i="4"/>
  <c r="C27" i="4"/>
  <c r="AK27" i="4"/>
  <c r="AO27" i="4"/>
  <c r="AP27" i="4"/>
  <c r="AQ27" i="4"/>
  <c r="A28" i="4"/>
  <c r="B28" i="4"/>
  <c r="C28" i="4"/>
  <c r="AK28" i="4"/>
  <c r="AO28" i="4"/>
  <c r="AP28" i="4"/>
  <c r="AQ28" i="4"/>
  <c r="A29" i="4"/>
  <c r="B29" i="4"/>
  <c r="C29" i="4"/>
  <c r="AK29" i="4"/>
  <c r="AO29" i="4"/>
  <c r="AP29" i="4"/>
  <c r="AQ29" i="4"/>
  <c r="A30" i="4"/>
  <c r="B30" i="4"/>
  <c r="C30" i="4"/>
  <c r="AK30" i="4"/>
  <c r="AO30" i="4"/>
  <c r="AP30" i="4"/>
  <c r="AQ30" i="4"/>
  <c r="A31" i="4"/>
  <c r="B31" i="4"/>
  <c r="C31" i="4"/>
  <c r="AK31" i="4"/>
  <c r="AO31" i="4"/>
  <c r="AP31" i="4"/>
  <c r="AQ31" i="4"/>
  <c r="A32" i="4"/>
  <c r="B32" i="4"/>
  <c r="C32" i="4"/>
  <c r="AK32" i="4"/>
  <c r="AO32" i="4"/>
  <c r="AP32" i="4"/>
  <c r="AQ32" i="4"/>
  <c r="A33" i="4"/>
  <c r="B33" i="4"/>
  <c r="C33" i="4"/>
  <c r="AK33" i="4"/>
  <c r="AO33" i="4"/>
  <c r="AP33" i="4"/>
  <c r="AQ33" i="4"/>
  <c r="A34" i="4"/>
  <c r="B34" i="4"/>
  <c r="C34" i="4"/>
  <c r="AK34" i="4"/>
  <c r="AO34" i="4"/>
  <c r="AO74" i="4" s="1"/>
  <c r="AP34" i="4"/>
  <c r="AQ34" i="4"/>
  <c r="A35" i="4"/>
  <c r="B35" i="4"/>
  <c r="C35" i="4"/>
  <c r="AK35" i="4"/>
  <c r="AO35" i="4"/>
  <c r="AP35" i="4"/>
  <c r="AQ35" i="4"/>
  <c r="A36" i="4"/>
  <c r="B36" i="4"/>
  <c r="C36" i="4"/>
  <c r="AK36" i="4"/>
  <c r="AO36" i="4"/>
  <c r="AP36" i="4"/>
  <c r="AQ36" i="4"/>
  <c r="A37" i="4"/>
  <c r="B37" i="4"/>
  <c r="C37" i="4"/>
  <c r="AK37" i="4"/>
  <c r="AO37" i="4"/>
  <c r="AP37" i="4"/>
  <c r="AQ37" i="4"/>
  <c r="A38" i="4"/>
  <c r="B38" i="4"/>
  <c r="C38" i="4"/>
  <c r="AK38" i="4"/>
  <c r="AO38" i="4"/>
  <c r="AP38" i="4"/>
  <c r="AQ38" i="4"/>
  <c r="A39" i="4"/>
  <c r="B39" i="4"/>
  <c r="C39" i="4"/>
  <c r="AK39" i="4"/>
  <c r="AO39" i="4"/>
  <c r="AP39" i="4"/>
  <c r="AQ39" i="4"/>
  <c r="A40" i="4"/>
  <c r="B40" i="4"/>
  <c r="C40" i="4"/>
  <c r="AK40" i="4"/>
  <c r="AO40" i="4"/>
  <c r="AP40" i="4"/>
  <c r="AQ40" i="4"/>
  <c r="A41" i="4"/>
  <c r="B41" i="4"/>
  <c r="C41" i="4"/>
  <c r="AK41" i="4"/>
  <c r="AO41" i="4"/>
  <c r="AP41" i="4"/>
  <c r="AQ41" i="4"/>
  <c r="A42" i="4"/>
  <c r="B42" i="4"/>
  <c r="C42" i="4"/>
  <c r="AK42" i="4"/>
  <c r="AO42" i="4"/>
  <c r="AP42" i="4"/>
  <c r="AQ42" i="4"/>
  <c r="A43" i="4"/>
  <c r="B43" i="4"/>
  <c r="C43" i="4"/>
  <c r="AK43" i="4"/>
  <c r="AO43" i="4"/>
  <c r="AP43" i="4"/>
  <c r="AQ43" i="4"/>
  <c r="A44" i="4"/>
  <c r="B44" i="4"/>
  <c r="C44" i="4"/>
  <c r="AK44" i="4"/>
  <c r="AO44" i="4"/>
  <c r="AP44" i="4"/>
  <c r="AQ44" i="4"/>
  <c r="A45" i="4"/>
  <c r="B45" i="4"/>
  <c r="C45" i="4"/>
  <c r="AK45" i="4"/>
  <c r="AO45" i="4"/>
  <c r="AP45" i="4"/>
  <c r="AQ45" i="4"/>
  <c r="A46" i="4"/>
  <c r="B46" i="4"/>
  <c r="C46" i="4"/>
  <c r="AK46" i="4"/>
  <c r="AO46" i="4"/>
  <c r="AP46" i="4"/>
  <c r="AQ46" i="4"/>
  <c r="A47" i="4"/>
  <c r="B47" i="4"/>
  <c r="C47" i="4"/>
  <c r="AK47" i="4"/>
  <c r="AO47" i="4"/>
  <c r="AP47" i="4"/>
  <c r="AQ47" i="4"/>
  <c r="A48" i="4"/>
  <c r="B48" i="4"/>
  <c r="C48" i="4"/>
  <c r="AK48" i="4"/>
  <c r="AO48" i="4"/>
  <c r="AP48" i="4"/>
  <c r="AQ48" i="4"/>
  <c r="A49" i="4"/>
  <c r="B49" i="4"/>
  <c r="C49" i="4"/>
  <c r="AK49" i="4"/>
  <c r="AO49" i="4"/>
  <c r="AP49" i="4"/>
  <c r="AQ49" i="4"/>
  <c r="A50" i="4"/>
  <c r="B50" i="4"/>
  <c r="C50" i="4"/>
  <c r="AK50" i="4"/>
  <c r="AO50" i="4"/>
  <c r="AP50" i="4"/>
  <c r="AQ50" i="4"/>
  <c r="A51" i="4"/>
  <c r="B51" i="4"/>
  <c r="C51" i="4"/>
  <c r="AK51" i="4"/>
  <c r="AO51" i="4"/>
  <c r="AP51" i="4"/>
  <c r="AQ51" i="4"/>
  <c r="A52" i="4"/>
  <c r="B52" i="4"/>
  <c r="C52" i="4"/>
  <c r="AK52" i="4"/>
  <c r="AO52" i="4"/>
  <c r="AP52" i="4"/>
  <c r="AQ52" i="4"/>
  <c r="A53" i="4"/>
  <c r="B53" i="4"/>
  <c r="C53" i="4"/>
  <c r="AK53" i="4"/>
  <c r="AO53" i="4"/>
  <c r="AP53" i="4"/>
  <c r="AQ53" i="4"/>
  <c r="A54" i="4"/>
  <c r="B54" i="4"/>
  <c r="C54" i="4"/>
  <c r="AK54" i="4"/>
  <c r="AO54" i="4"/>
  <c r="AP54" i="4"/>
  <c r="AQ54" i="4"/>
  <c r="A55" i="4"/>
  <c r="B55" i="4"/>
  <c r="C55" i="4"/>
  <c r="AK55" i="4"/>
  <c r="AO55" i="4"/>
  <c r="AP55" i="4"/>
  <c r="AQ55" i="4"/>
  <c r="A56" i="4"/>
  <c r="B56" i="4"/>
  <c r="C56" i="4"/>
  <c r="AK56" i="4"/>
  <c r="AO56" i="4"/>
  <c r="AP56" i="4"/>
  <c r="AQ56" i="4"/>
  <c r="A57" i="4"/>
  <c r="B57" i="4"/>
  <c r="C57" i="4"/>
  <c r="AK57" i="4"/>
  <c r="AO57" i="4"/>
  <c r="AP57" i="4"/>
  <c r="AQ57" i="4"/>
  <c r="A58" i="4"/>
  <c r="B58" i="4"/>
  <c r="C58" i="4"/>
  <c r="AK58" i="4"/>
  <c r="AO58" i="4"/>
  <c r="AP58" i="4"/>
  <c r="AQ58" i="4"/>
  <c r="A59" i="4"/>
  <c r="B59" i="4"/>
  <c r="C59" i="4"/>
  <c r="AK59" i="4"/>
  <c r="AO59" i="4"/>
  <c r="AP59" i="4"/>
  <c r="AQ59" i="4"/>
  <c r="A60" i="4"/>
  <c r="B60" i="4"/>
  <c r="C60" i="4"/>
  <c r="AK60" i="4"/>
  <c r="AO60" i="4"/>
  <c r="AP60" i="4"/>
  <c r="AQ60" i="4"/>
  <c r="A61" i="4"/>
  <c r="B61" i="4"/>
  <c r="C61" i="4"/>
  <c r="AK61" i="4"/>
  <c r="AO61" i="4"/>
  <c r="AP61" i="4"/>
  <c r="AQ61" i="4"/>
  <c r="A62" i="4"/>
  <c r="B62" i="4"/>
  <c r="C62" i="4"/>
  <c r="AK62" i="4"/>
  <c r="AO62" i="4"/>
  <c r="AP62" i="4"/>
  <c r="AQ62" i="4"/>
  <c r="A63" i="4"/>
  <c r="B63" i="4"/>
  <c r="C63" i="4"/>
  <c r="AK63" i="4"/>
  <c r="AO63" i="4"/>
  <c r="AP63" i="4"/>
  <c r="AQ63" i="4"/>
  <c r="A64" i="4"/>
  <c r="B64" i="4"/>
  <c r="C64" i="4"/>
  <c r="AK64" i="4"/>
  <c r="AO64" i="4"/>
  <c r="AP64" i="4"/>
  <c r="AQ64" i="4"/>
  <c r="A65" i="4"/>
  <c r="B65" i="4"/>
  <c r="C65" i="4"/>
  <c r="AK65" i="4"/>
  <c r="AO65" i="4"/>
  <c r="AP65" i="4"/>
  <c r="AQ65" i="4"/>
  <c r="A66" i="4"/>
  <c r="B66" i="4"/>
  <c r="C66" i="4"/>
  <c r="AK66" i="4"/>
  <c r="AO66" i="4"/>
  <c r="AP66" i="4"/>
  <c r="AQ66" i="4"/>
  <c r="A67" i="4"/>
  <c r="B67" i="4"/>
  <c r="C67" i="4"/>
  <c r="AK67" i="4"/>
  <c r="AO67" i="4"/>
  <c r="AP67" i="4"/>
  <c r="AQ67" i="4"/>
  <c r="A68" i="4"/>
  <c r="B68" i="4"/>
  <c r="C68" i="4"/>
  <c r="AK68" i="4"/>
  <c r="AO68" i="4"/>
  <c r="AP68" i="4"/>
  <c r="AQ68" i="4"/>
  <c r="A69" i="4"/>
  <c r="B69" i="4"/>
  <c r="C69" i="4"/>
  <c r="AK69" i="4"/>
  <c r="AO69" i="4"/>
  <c r="AP69" i="4"/>
  <c r="AQ69" i="4"/>
  <c r="A70" i="4"/>
  <c r="B70" i="4"/>
  <c r="C70" i="4"/>
  <c r="AK70" i="4"/>
  <c r="AO70" i="4"/>
  <c r="AP70" i="4"/>
  <c r="AQ70" i="4"/>
  <c r="A71" i="4"/>
  <c r="B71" i="4"/>
  <c r="C71" i="4"/>
  <c r="AK71" i="4"/>
  <c r="AO71" i="4"/>
  <c r="AP71" i="4"/>
  <c r="AQ71" i="4"/>
  <c r="A72" i="4"/>
  <c r="B72" i="4"/>
  <c r="C72" i="4"/>
  <c r="AK72" i="4"/>
  <c r="AO72" i="4"/>
  <c r="AP72" i="4"/>
  <c r="AQ72" i="4"/>
  <c r="A73" i="4"/>
  <c r="B73" i="4"/>
  <c r="C73" i="4"/>
  <c r="AK73" i="4"/>
  <c r="AO73" i="4"/>
  <c r="AP73" i="4"/>
  <c r="AQ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P74" i="4"/>
  <c r="AQ74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5" i="3"/>
  <c r="B5" i="3"/>
  <c r="C5" i="3"/>
  <c r="AK5" i="3"/>
  <c r="AO5" i="3"/>
  <c r="AR5" i="3" s="1"/>
  <c r="AP5" i="3"/>
  <c r="AQ5" i="3"/>
  <c r="AT5" i="3"/>
  <c r="AU5" i="3"/>
  <c r="AV5" i="3"/>
  <c r="AW5" i="3"/>
  <c r="AX5" i="3"/>
  <c r="AY5" i="3" s="1"/>
  <c r="A6" i="3"/>
  <c r="B6" i="3"/>
  <c r="C6" i="3"/>
  <c r="AK6" i="3"/>
  <c r="AO6" i="3"/>
  <c r="AR6" i="3" s="1"/>
  <c r="AP6" i="3"/>
  <c r="AQ6" i="3"/>
  <c r="AT6" i="3"/>
  <c r="AU6" i="3"/>
  <c r="AV6" i="3"/>
  <c r="AW6" i="3"/>
  <c r="AX6" i="3"/>
  <c r="AY6" i="3"/>
  <c r="A7" i="3"/>
  <c r="B7" i="3"/>
  <c r="C7" i="3"/>
  <c r="AK7" i="3"/>
  <c r="AO7" i="3"/>
  <c r="AR7" i="3" s="1"/>
  <c r="AP7" i="3"/>
  <c r="AQ7" i="3"/>
  <c r="AT7" i="3"/>
  <c r="AU7" i="3"/>
  <c r="AV7" i="3"/>
  <c r="AW7" i="3"/>
  <c r="AY7" i="3" s="1"/>
  <c r="AX7" i="3"/>
  <c r="A8" i="3"/>
  <c r="B8" i="3"/>
  <c r="C8" i="3"/>
  <c r="AK8" i="3"/>
  <c r="AO8" i="3"/>
  <c r="AR8" i="3" s="1"/>
  <c r="AP8" i="3"/>
  <c r="AQ8" i="3"/>
  <c r="AT8" i="3"/>
  <c r="AU8" i="3"/>
  <c r="AV8" i="3"/>
  <c r="AW8" i="3"/>
  <c r="AX8" i="3"/>
  <c r="AY8" i="3" s="1"/>
  <c r="A9" i="3"/>
  <c r="B9" i="3"/>
  <c r="C9" i="3"/>
  <c r="AK9" i="3"/>
  <c r="AO9" i="3"/>
  <c r="AR9" i="3" s="1"/>
  <c r="AP9" i="3"/>
  <c r="AQ9" i="3"/>
  <c r="AT9" i="3"/>
  <c r="AU9" i="3"/>
  <c r="AV9" i="3"/>
  <c r="AW9" i="3"/>
  <c r="AX9" i="3"/>
  <c r="AY9" i="3" s="1"/>
  <c r="A10" i="3"/>
  <c r="B10" i="3"/>
  <c r="C10" i="3"/>
  <c r="AK10" i="3"/>
  <c r="AO10" i="3"/>
  <c r="AR10" i="3" s="1"/>
  <c r="AP10" i="3"/>
  <c r="AQ10" i="3"/>
  <c r="AT10" i="3"/>
  <c r="AU10" i="3"/>
  <c r="AV10" i="3"/>
  <c r="AW10" i="3"/>
  <c r="AX10" i="3"/>
  <c r="AY10" i="3" s="1"/>
  <c r="A11" i="3"/>
  <c r="B11" i="3"/>
  <c r="C11" i="3"/>
  <c r="AK11" i="3"/>
  <c r="AO11" i="3"/>
  <c r="AR11" i="3" s="1"/>
  <c r="AP11" i="3"/>
  <c r="AQ11" i="3"/>
  <c r="AT11" i="3"/>
  <c r="AU11" i="3"/>
  <c r="AV11" i="3"/>
  <c r="AW11" i="3"/>
  <c r="AX11" i="3"/>
  <c r="AY11" i="3" s="1"/>
  <c r="A12" i="3"/>
  <c r="B12" i="3"/>
  <c r="C12" i="3"/>
  <c r="AK12" i="3"/>
  <c r="AO12" i="3"/>
  <c r="AR12" i="3" s="1"/>
  <c r="AP12" i="3"/>
  <c r="AQ12" i="3"/>
  <c r="AT12" i="3"/>
  <c r="AU12" i="3"/>
  <c r="AV12" i="3"/>
  <c r="AW12" i="3"/>
  <c r="AX12" i="3"/>
  <c r="AY12" i="3" s="1"/>
  <c r="A13" i="3"/>
  <c r="B13" i="3"/>
  <c r="C13" i="3"/>
  <c r="AK13" i="3"/>
  <c r="AO13" i="3"/>
  <c r="AR13" i="3" s="1"/>
  <c r="AP13" i="3"/>
  <c r="AQ13" i="3"/>
  <c r="AT13" i="3"/>
  <c r="AU13" i="3"/>
  <c r="AV13" i="3"/>
  <c r="AW13" i="3"/>
  <c r="AY13" i="3" s="1"/>
  <c r="AX13" i="3"/>
  <c r="A14" i="3"/>
  <c r="B14" i="3"/>
  <c r="C14" i="3"/>
  <c r="AK14" i="3"/>
  <c r="AO14" i="3"/>
  <c r="AR14" i="3" s="1"/>
  <c r="AP14" i="3"/>
  <c r="AQ14" i="3"/>
  <c r="AT14" i="3"/>
  <c r="AU14" i="3"/>
  <c r="AV14" i="3"/>
  <c r="AW14" i="3"/>
  <c r="AY14" i="3" s="1"/>
  <c r="AX14" i="3"/>
  <c r="A15" i="3"/>
  <c r="B15" i="3"/>
  <c r="C15" i="3"/>
  <c r="AK15" i="3"/>
  <c r="AO15" i="3"/>
  <c r="AR15" i="3" s="1"/>
  <c r="AP15" i="3"/>
  <c r="AQ15" i="3"/>
  <c r="AT15" i="3"/>
  <c r="AU15" i="3"/>
  <c r="AV15" i="3"/>
  <c r="AW15" i="3"/>
  <c r="AX15" i="3"/>
  <c r="AY15" i="3" s="1"/>
  <c r="A16" i="3"/>
  <c r="B16" i="3"/>
  <c r="C16" i="3"/>
  <c r="AK16" i="3"/>
  <c r="AO16" i="3"/>
  <c r="AR16" i="3" s="1"/>
  <c r="AP16" i="3"/>
  <c r="AQ16" i="3"/>
  <c r="AT16" i="3"/>
  <c r="AU16" i="3"/>
  <c r="AV16" i="3"/>
  <c r="AW16" i="3"/>
  <c r="AX16" i="3"/>
  <c r="AY16" i="3" s="1"/>
  <c r="A17" i="3"/>
  <c r="B17" i="3"/>
  <c r="C17" i="3"/>
  <c r="AK17" i="3"/>
  <c r="AO17" i="3"/>
  <c r="AR17" i="3" s="1"/>
  <c r="AP17" i="3"/>
  <c r="AQ17" i="3"/>
  <c r="AT17" i="3"/>
  <c r="AU17" i="3"/>
  <c r="AV17" i="3"/>
  <c r="AW17" i="3"/>
  <c r="AX17" i="3"/>
  <c r="AY17" i="3" s="1"/>
  <c r="A18" i="3"/>
  <c r="B18" i="3"/>
  <c r="C18" i="3"/>
  <c r="AK18" i="3"/>
  <c r="AO18" i="3"/>
  <c r="AR18" i="3" s="1"/>
  <c r="AP18" i="3"/>
  <c r="AQ18" i="3"/>
  <c r="AT18" i="3"/>
  <c r="AU18" i="3"/>
  <c r="AV18" i="3"/>
  <c r="AW18" i="3"/>
  <c r="AX18" i="3"/>
  <c r="AY18" i="3" s="1"/>
  <c r="A19" i="3"/>
  <c r="B19" i="3"/>
  <c r="C19" i="3"/>
  <c r="AK19" i="3"/>
  <c r="AO19" i="3"/>
  <c r="AR19" i="3" s="1"/>
  <c r="AP19" i="3"/>
  <c r="AQ19" i="3"/>
  <c r="AT19" i="3"/>
  <c r="AU19" i="3"/>
  <c r="AV19" i="3"/>
  <c r="AW19" i="3"/>
  <c r="AX19" i="3"/>
  <c r="AY19" i="3" s="1"/>
  <c r="A20" i="3"/>
  <c r="B20" i="3"/>
  <c r="C20" i="3"/>
  <c r="AK20" i="3"/>
  <c r="AO20" i="3"/>
  <c r="AR20" i="3" s="1"/>
  <c r="AP20" i="3"/>
  <c r="AQ20" i="3"/>
  <c r="AT20" i="3"/>
  <c r="AU20" i="3"/>
  <c r="AV20" i="3"/>
  <c r="AW20" i="3"/>
  <c r="AY20" i="3" s="1"/>
  <c r="AX20" i="3"/>
  <c r="A21" i="3"/>
  <c r="B21" i="3"/>
  <c r="C21" i="3"/>
  <c r="AK21" i="3"/>
  <c r="AO21" i="3"/>
  <c r="AR21" i="3" s="1"/>
  <c r="AP21" i="3"/>
  <c r="AQ21" i="3"/>
  <c r="AT21" i="3"/>
  <c r="AU21" i="3"/>
  <c r="AV21" i="3"/>
  <c r="AW21" i="3"/>
  <c r="AX21" i="3"/>
  <c r="AY21" i="3" s="1"/>
  <c r="A22" i="3"/>
  <c r="B22" i="3"/>
  <c r="C22" i="3"/>
  <c r="AK22" i="3"/>
  <c r="AO22" i="3"/>
  <c r="AR22" i="3" s="1"/>
  <c r="AP22" i="3"/>
  <c r="AQ22" i="3"/>
  <c r="AT22" i="3"/>
  <c r="AU22" i="3"/>
  <c r="AV22" i="3"/>
  <c r="AW22" i="3"/>
  <c r="AX22" i="3"/>
  <c r="AY22" i="3"/>
  <c r="A23" i="3"/>
  <c r="B23" i="3"/>
  <c r="C23" i="3"/>
  <c r="AK23" i="3"/>
  <c r="AO23" i="3"/>
  <c r="AR23" i="3" s="1"/>
  <c r="AP23" i="3"/>
  <c r="AQ23" i="3"/>
  <c r="AT23" i="3"/>
  <c r="AU23" i="3"/>
  <c r="AV23" i="3"/>
  <c r="AW23" i="3"/>
  <c r="AX23" i="3"/>
  <c r="AY23" i="3"/>
  <c r="A24" i="3"/>
  <c r="B24" i="3"/>
  <c r="C24" i="3"/>
  <c r="AK24" i="3"/>
  <c r="AO24" i="3"/>
  <c r="AR24" i="3" s="1"/>
  <c r="AP24" i="3"/>
  <c r="AQ24" i="3"/>
  <c r="AT24" i="3"/>
  <c r="AU24" i="3"/>
  <c r="AV24" i="3"/>
  <c r="AW24" i="3"/>
  <c r="AX24" i="3"/>
  <c r="AY24" i="3" s="1"/>
  <c r="A25" i="3"/>
  <c r="B25" i="3"/>
  <c r="C25" i="3"/>
  <c r="AK25" i="3"/>
  <c r="AO25" i="3"/>
  <c r="AR25" i="3" s="1"/>
  <c r="AP25" i="3"/>
  <c r="AQ25" i="3"/>
  <c r="AT25" i="3"/>
  <c r="AU25" i="3"/>
  <c r="AV25" i="3"/>
  <c r="AW25" i="3"/>
  <c r="AX25" i="3"/>
  <c r="AY25" i="3" s="1"/>
  <c r="A26" i="3"/>
  <c r="B26" i="3"/>
  <c r="C26" i="3"/>
  <c r="AK26" i="3"/>
  <c r="AO26" i="3"/>
  <c r="AR26" i="3" s="1"/>
  <c r="AP26" i="3"/>
  <c r="AQ26" i="3"/>
  <c r="AT26" i="3"/>
  <c r="AU26" i="3"/>
  <c r="AV26" i="3"/>
  <c r="AW26" i="3"/>
  <c r="AX26" i="3"/>
  <c r="AY26" i="3" s="1"/>
  <c r="A27" i="3"/>
  <c r="B27" i="3"/>
  <c r="C27" i="3"/>
  <c r="AK27" i="3"/>
  <c r="AO27" i="3"/>
  <c r="AR27" i="3" s="1"/>
  <c r="AP27" i="3"/>
  <c r="AQ27" i="3"/>
  <c r="AT27" i="3"/>
  <c r="AU27" i="3"/>
  <c r="AV27" i="3"/>
  <c r="AW27" i="3"/>
  <c r="AX27" i="3"/>
  <c r="AY27" i="3" s="1"/>
  <c r="A28" i="3"/>
  <c r="B28" i="3"/>
  <c r="C28" i="3"/>
  <c r="AK28" i="3"/>
  <c r="AO28" i="3"/>
  <c r="AR28" i="3" s="1"/>
  <c r="AP28" i="3"/>
  <c r="AQ28" i="3"/>
  <c r="AT28" i="3"/>
  <c r="AU28" i="3"/>
  <c r="AV28" i="3"/>
  <c r="AW28" i="3"/>
  <c r="AX28" i="3"/>
  <c r="AY28" i="3" s="1"/>
  <c r="A29" i="3"/>
  <c r="B29" i="3"/>
  <c r="C29" i="3"/>
  <c r="AK29" i="3"/>
  <c r="AO29" i="3"/>
  <c r="AR29" i="3" s="1"/>
  <c r="AP29" i="3"/>
  <c r="AQ29" i="3"/>
  <c r="AT29" i="3"/>
  <c r="AU29" i="3"/>
  <c r="AV29" i="3"/>
  <c r="AW29" i="3"/>
  <c r="AX29" i="3"/>
  <c r="AY29" i="3"/>
  <c r="A30" i="3"/>
  <c r="B30" i="3"/>
  <c r="C30" i="3"/>
  <c r="AK30" i="3"/>
  <c r="AO30" i="3"/>
  <c r="AR30" i="3" s="1"/>
  <c r="AP30" i="3"/>
  <c r="AQ30" i="3"/>
  <c r="AT30" i="3"/>
  <c r="AU30" i="3"/>
  <c r="AV30" i="3"/>
  <c r="AW30" i="3"/>
  <c r="AX30" i="3"/>
  <c r="AY30" i="3"/>
  <c r="A31" i="3"/>
  <c r="B31" i="3"/>
  <c r="C31" i="3"/>
  <c r="AK31" i="3"/>
  <c r="AO31" i="3"/>
  <c r="AP31" i="3"/>
  <c r="AQ31" i="3"/>
  <c r="AR31" i="3"/>
  <c r="AT31" i="3"/>
  <c r="AU31" i="3"/>
  <c r="AV31" i="3"/>
  <c r="AW31" i="3"/>
  <c r="AX31" i="3"/>
  <c r="AY31" i="3"/>
  <c r="A32" i="3"/>
  <c r="B32" i="3"/>
  <c r="C32" i="3"/>
  <c r="AK32" i="3"/>
  <c r="AO32" i="3"/>
  <c r="AP32" i="3"/>
  <c r="AQ32" i="3"/>
  <c r="AR32" i="3"/>
  <c r="AT32" i="3"/>
  <c r="AU32" i="3"/>
  <c r="AV32" i="3"/>
  <c r="AW32" i="3"/>
  <c r="AX32" i="3"/>
  <c r="AY32" i="3"/>
  <c r="A33" i="3"/>
  <c r="B33" i="3"/>
  <c r="C33" i="3"/>
  <c r="AK33" i="3"/>
  <c r="AO33" i="3"/>
  <c r="AP33" i="3"/>
  <c r="AQ33" i="3"/>
  <c r="AR33" i="3"/>
  <c r="AT33" i="3"/>
  <c r="AU33" i="3"/>
  <c r="AV33" i="3"/>
  <c r="AW33" i="3"/>
  <c r="AX33" i="3"/>
  <c r="AY33" i="3"/>
  <c r="A34" i="3"/>
  <c r="B34" i="3"/>
  <c r="C34" i="3"/>
  <c r="AK34" i="3"/>
  <c r="AO34" i="3"/>
  <c r="AP34" i="3"/>
  <c r="AQ34" i="3"/>
  <c r="AR34" i="3"/>
  <c r="AT34" i="3"/>
  <c r="AU34" i="3"/>
  <c r="AV34" i="3"/>
  <c r="AW34" i="3"/>
  <c r="AX34" i="3"/>
  <c r="AY34" i="3"/>
  <c r="A35" i="3"/>
  <c r="B35" i="3"/>
  <c r="C35" i="3"/>
  <c r="AK35" i="3"/>
  <c r="AO35" i="3"/>
  <c r="AP35" i="3"/>
  <c r="AQ35" i="3"/>
  <c r="AR35" i="3"/>
  <c r="AT35" i="3"/>
  <c r="AU35" i="3"/>
  <c r="AV35" i="3"/>
  <c r="AW35" i="3"/>
  <c r="AX35" i="3"/>
  <c r="AY35" i="3"/>
  <c r="A36" i="3"/>
  <c r="B36" i="3"/>
  <c r="C36" i="3"/>
  <c r="AK36" i="3"/>
  <c r="AO36" i="3"/>
  <c r="AP36" i="3"/>
  <c r="AQ36" i="3"/>
  <c r="AR36" i="3"/>
  <c r="AT36" i="3"/>
  <c r="AU36" i="3"/>
  <c r="AV36" i="3"/>
  <c r="AW36" i="3"/>
  <c r="AX36" i="3"/>
  <c r="AY36" i="3"/>
  <c r="A37" i="3"/>
  <c r="B37" i="3"/>
  <c r="C37" i="3"/>
  <c r="AK37" i="3"/>
  <c r="AO37" i="3"/>
  <c r="AP37" i="3"/>
  <c r="AQ37" i="3"/>
  <c r="AR37" i="3"/>
  <c r="AT37" i="3"/>
  <c r="AU37" i="3"/>
  <c r="AV37" i="3"/>
  <c r="AW37" i="3"/>
  <c r="AX37" i="3"/>
  <c r="AY37" i="3"/>
  <c r="A38" i="3"/>
  <c r="B38" i="3"/>
  <c r="C38" i="3"/>
  <c r="AK38" i="3"/>
  <c r="AO38" i="3"/>
  <c r="AP38" i="3"/>
  <c r="AQ38" i="3"/>
  <c r="AR38" i="3"/>
  <c r="AT38" i="3"/>
  <c r="AU38" i="3"/>
  <c r="AV38" i="3"/>
  <c r="AW38" i="3"/>
  <c r="AX38" i="3"/>
  <c r="AY38" i="3"/>
  <c r="A39" i="3"/>
  <c r="B39" i="3"/>
  <c r="C39" i="3"/>
  <c r="AK39" i="3"/>
  <c r="AO39" i="3"/>
  <c r="AP39" i="3"/>
  <c r="AQ39" i="3"/>
  <c r="AR39" i="3"/>
  <c r="AT39" i="3"/>
  <c r="AU39" i="3"/>
  <c r="AV39" i="3"/>
  <c r="AW39" i="3"/>
  <c r="AX39" i="3"/>
  <c r="AY39" i="3"/>
  <c r="A40" i="3"/>
  <c r="B40" i="3"/>
  <c r="C40" i="3"/>
  <c r="AK40" i="3"/>
  <c r="AO40" i="3"/>
  <c r="AP40" i="3"/>
  <c r="AQ40" i="3"/>
  <c r="AR40" i="3"/>
  <c r="AT40" i="3"/>
  <c r="AU40" i="3"/>
  <c r="AV40" i="3"/>
  <c r="AW40" i="3"/>
  <c r="AX40" i="3"/>
  <c r="AY40" i="3"/>
  <c r="A41" i="3"/>
  <c r="B41" i="3"/>
  <c r="C41" i="3"/>
  <c r="AK41" i="3"/>
  <c r="AO41" i="3"/>
  <c r="AP41" i="3"/>
  <c r="AQ41" i="3"/>
  <c r="AR41" i="3"/>
  <c r="AT41" i="3"/>
  <c r="AU41" i="3"/>
  <c r="AV41" i="3"/>
  <c r="AW41" i="3"/>
  <c r="AX41" i="3"/>
  <c r="AY41" i="3"/>
  <c r="A42" i="3"/>
  <c r="B42" i="3"/>
  <c r="C42" i="3"/>
  <c r="AK42" i="3"/>
  <c r="AO42" i="3"/>
  <c r="AP42" i="3"/>
  <c r="AQ42" i="3"/>
  <c r="AR42" i="3"/>
  <c r="AT42" i="3"/>
  <c r="AU42" i="3"/>
  <c r="AV42" i="3"/>
  <c r="AW42" i="3"/>
  <c r="AX42" i="3"/>
  <c r="AY42" i="3"/>
  <c r="A43" i="3"/>
  <c r="B43" i="3"/>
  <c r="C43" i="3"/>
  <c r="AK43" i="3"/>
  <c r="AO43" i="3"/>
  <c r="AP43" i="3"/>
  <c r="AQ43" i="3"/>
  <c r="AR43" i="3"/>
  <c r="AT43" i="3"/>
  <c r="AU43" i="3"/>
  <c r="AV43" i="3"/>
  <c r="AW43" i="3"/>
  <c r="AX43" i="3"/>
  <c r="AY43" i="3"/>
  <c r="A44" i="3"/>
  <c r="B44" i="3"/>
  <c r="C44" i="3"/>
  <c r="AK44" i="3"/>
  <c r="AO44" i="3"/>
  <c r="AP44" i="3"/>
  <c r="AQ44" i="3"/>
  <c r="AR44" i="3"/>
  <c r="AT44" i="3"/>
  <c r="AU44" i="3"/>
  <c r="AV44" i="3"/>
  <c r="AW44" i="3"/>
  <c r="AX44" i="3"/>
  <c r="AY44" i="3"/>
  <c r="A45" i="3"/>
  <c r="B45" i="3"/>
  <c r="C45" i="3"/>
  <c r="AK45" i="3"/>
  <c r="AO45" i="3"/>
  <c r="AP45" i="3"/>
  <c r="AQ45" i="3"/>
  <c r="AR45" i="3"/>
  <c r="AT45" i="3"/>
  <c r="AU45" i="3"/>
  <c r="AV45" i="3"/>
  <c r="AW45" i="3"/>
  <c r="AX45" i="3"/>
  <c r="AY45" i="3"/>
  <c r="A46" i="3"/>
  <c r="B46" i="3"/>
  <c r="C46" i="3"/>
  <c r="AK46" i="3"/>
  <c r="AO46" i="3"/>
  <c r="AP46" i="3"/>
  <c r="AQ46" i="3"/>
  <c r="AR46" i="3"/>
  <c r="AT46" i="3"/>
  <c r="AU46" i="3"/>
  <c r="AV46" i="3"/>
  <c r="AW46" i="3"/>
  <c r="AX46" i="3"/>
  <c r="AY46" i="3"/>
  <c r="A47" i="3"/>
  <c r="B47" i="3"/>
  <c r="C47" i="3"/>
  <c r="AK47" i="3"/>
  <c r="AO47" i="3"/>
  <c r="AP47" i="3"/>
  <c r="AQ47" i="3"/>
  <c r="AR47" i="3"/>
  <c r="AT47" i="3"/>
  <c r="AU47" i="3"/>
  <c r="AV47" i="3"/>
  <c r="AW47" i="3"/>
  <c r="AX47" i="3"/>
  <c r="AY47" i="3"/>
  <c r="A48" i="3"/>
  <c r="B48" i="3"/>
  <c r="C48" i="3"/>
  <c r="AK48" i="3"/>
  <c r="AO48" i="3"/>
  <c r="AP48" i="3"/>
  <c r="AQ48" i="3"/>
  <c r="AR48" i="3"/>
  <c r="AT48" i="3"/>
  <c r="AU48" i="3"/>
  <c r="AV48" i="3"/>
  <c r="AW48" i="3"/>
  <c r="AX48" i="3"/>
  <c r="AY48" i="3"/>
  <c r="A49" i="3"/>
  <c r="B49" i="3"/>
  <c r="C49" i="3"/>
  <c r="AK49" i="3"/>
  <c r="AO49" i="3"/>
  <c r="AP49" i="3"/>
  <c r="AQ49" i="3"/>
  <c r="AR49" i="3"/>
  <c r="AT49" i="3"/>
  <c r="AU49" i="3"/>
  <c r="AV49" i="3"/>
  <c r="AW49" i="3"/>
  <c r="AX49" i="3"/>
  <c r="AY49" i="3"/>
  <c r="A50" i="3"/>
  <c r="B50" i="3"/>
  <c r="C50" i="3"/>
  <c r="AK50" i="3"/>
  <c r="AO50" i="3"/>
  <c r="AP50" i="3"/>
  <c r="AQ50" i="3"/>
  <c r="AR50" i="3"/>
  <c r="AT50" i="3"/>
  <c r="AU50" i="3"/>
  <c r="AV50" i="3"/>
  <c r="AW50" i="3"/>
  <c r="AX50" i="3"/>
  <c r="AY50" i="3"/>
  <c r="A51" i="3"/>
  <c r="B51" i="3"/>
  <c r="C51" i="3"/>
  <c r="AK51" i="3"/>
  <c r="AO51" i="3"/>
  <c r="AP51" i="3"/>
  <c r="AQ51" i="3"/>
  <c r="AR51" i="3"/>
  <c r="AT51" i="3"/>
  <c r="AU51" i="3"/>
  <c r="AV51" i="3"/>
  <c r="AW51" i="3"/>
  <c r="AX51" i="3"/>
  <c r="AY51" i="3"/>
  <c r="A52" i="3"/>
  <c r="B52" i="3"/>
  <c r="C52" i="3"/>
  <c r="AK52" i="3"/>
  <c r="AO52" i="3"/>
  <c r="AP52" i="3"/>
  <c r="AQ52" i="3"/>
  <c r="AR52" i="3"/>
  <c r="AT52" i="3"/>
  <c r="AU52" i="3"/>
  <c r="AV52" i="3"/>
  <c r="AW52" i="3"/>
  <c r="AX52" i="3"/>
  <c r="AY52" i="3"/>
  <c r="A53" i="3"/>
  <c r="B53" i="3"/>
  <c r="C53" i="3"/>
  <c r="AK53" i="3"/>
  <c r="AO53" i="3"/>
  <c r="AP53" i="3"/>
  <c r="AQ53" i="3"/>
  <c r="AR53" i="3"/>
  <c r="AT53" i="3"/>
  <c r="AU53" i="3"/>
  <c r="AV53" i="3"/>
  <c r="AW53" i="3"/>
  <c r="AX53" i="3"/>
  <c r="AY53" i="3"/>
  <c r="A54" i="3"/>
  <c r="B54" i="3"/>
  <c r="C54" i="3"/>
  <c r="AK54" i="3"/>
  <c r="AO54" i="3"/>
  <c r="AP54" i="3"/>
  <c r="AQ54" i="3"/>
  <c r="AR54" i="3"/>
  <c r="AT54" i="3"/>
  <c r="AU54" i="3"/>
  <c r="AV54" i="3"/>
  <c r="AW54" i="3"/>
  <c r="AX54" i="3"/>
  <c r="AY54" i="3"/>
  <c r="A55" i="3"/>
  <c r="B55" i="3"/>
  <c r="C55" i="3"/>
  <c r="AK55" i="3"/>
  <c r="AO55" i="3"/>
  <c r="AR55" i="3" s="1"/>
  <c r="AP55" i="3"/>
  <c r="AQ55" i="3"/>
  <c r="AT55" i="3"/>
  <c r="AU55" i="3"/>
  <c r="AV55" i="3"/>
  <c r="AW55" i="3"/>
  <c r="AX55" i="3"/>
  <c r="AY55" i="3" s="1"/>
  <c r="A56" i="3"/>
  <c r="B56" i="3"/>
  <c r="C56" i="3"/>
  <c r="AK56" i="3"/>
  <c r="AO56" i="3"/>
  <c r="AR56" i="3" s="1"/>
  <c r="AP56" i="3"/>
  <c r="AQ56" i="3"/>
  <c r="AT56" i="3"/>
  <c r="AU56" i="3"/>
  <c r="AV56" i="3"/>
  <c r="AW56" i="3"/>
  <c r="AX56" i="3"/>
  <c r="AY56" i="3" s="1"/>
  <c r="A57" i="3"/>
  <c r="B57" i="3"/>
  <c r="C57" i="3"/>
  <c r="AK57" i="3"/>
  <c r="AO57" i="3"/>
  <c r="AR57" i="3" s="1"/>
  <c r="AP57" i="3"/>
  <c r="AQ57" i="3"/>
  <c r="AT57" i="3"/>
  <c r="AU57" i="3"/>
  <c r="AV57" i="3"/>
  <c r="AW57" i="3"/>
  <c r="AX57" i="3"/>
  <c r="AY57" i="3" s="1"/>
  <c r="A58" i="3"/>
  <c r="B58" i="3"/>
  <c r="C58" i="3"/>
  <c r="AK58" i="3"/>
  <c r="AO58" i="3"/>
  <c r="AR58" i="3" s="1"/>
  <c r="AP58" i="3"/>
  <c r="AQ58" i="3"/>
  <c r="AT58" i="3"/>
  <c r="AU58" i="3"/>
  <c r="AV58" i="3"/>
  <c r="AW58" i="3"/>
  <c r="AX58" i="3"/>
  <c r="AY58" i="3"/>
  <c r="A59" i="3"/>
  <c r="B59" i="3"/>
  <c r="C59" i="3"/>
  <c r="AK59" i="3"/>
  <c r="AO59" i="3"/>
  <c r="AR59" i="3" s="1"/>
  <c r="AP59" i="3"/>
  <c r="AQ59" i="3"/>
  <c r="AT59" i="3"/>
  <c r="AU59" i="3"/>
  <c r="AV59" i="3"/>
  <c r="AW59" i="3"/>
  <c r="AX59" i="3"/>
  <c r="AY59" i="3" s="1"/>
  <c r="A60" i="3"/>
  <c r="B60" i="3"/>
  <c r="C60" i="3"/>
  <c r="AK60" i="3"/>
  <c r="AO60" i="3"/>
  <c r="AR60" i="3" s="1"/>
  <c r="AP60" i="3"/>
  <c r="AQ60" i="3"/>
  <c r="AT60" i="3"/>
  <c r="AY60" i="3" s="1"/>
  <c r="AU60" i="3"/>
  <c r="AV60" i="3"/>
  <c r="AW60" i="3"/>
  <c r="AX60" i="3"/>
  <c r="A61" i="3"/>
  <c r="B61" i="3"/>
  <c r="C61" i="3"/>
  <c r="AK61" i="3"/>
  <c r="AO61" i="3"/>
  <c r="AR61" i="3" s="1"/>
  <c r="AP61" i="3"/>
  <c r="AQ61" i="3"/>
  <c r="AT61" i="3"/>
  <c r="AU61" i="3"/>
  <c r="AV61" i="3"/>
  <c r="AW61" i="3"/>
  <c r="AX61" i="3"/>
  <c r="AY61" i="3"/>
  <c r="A62" i="3"/>
  <c r="B62" i="3"/>
  <c r="C62" i="3"/>
  <c r="AK62" i="3"/>
  <c r="AO62" i="3"/>
  <c r="AR62" i="3" s="1"/>
  <c r="AP62" i="3"/>
  <c r="AQ62" i="3"/>
  <c r="AT62" i="3"/>
  <c r="AU62" i="3"/>
  <c r="AV62" i="3"/>
  <c r="AW62" i="3"/>
  <c r="AX62" i="3"/>
  <c r="AY62" i="3" s="1"/>
  <c r="A63" i="3"/>
  <c r="B63" i="3"/>
  <c r="C63" i="3"/>
  <c r="AK63" i="3"/>
  <c r="AO63" i="3"/>
  <c r="AR63" i="3" s="1"/>
  <c r="AP63" i="3"/>
  <c r="AQ63" i="3"/>
  <c r="AT63" i="3"/>
  <c r="AU63" i="3"/>
  <c r="AV63" i="3"/>
  <c r="AW63" i="3"/>
  <c r="AX63" i="3"/>
  <c r="AY63" i="3" s="1"/>
  <c r="A64" i="3"/>
  <c r="B64" i="3"/>
  <c r="C64" i="3"/>
  <c r="AK64" i="3"/>
  <c r="AO64" i="3"/>
  <c r="AR64" i="3" s="1"/>
  <c r="AP64" i="3"/>
  <c r="AQ64" i="3"/>
  <c r="AT64" i="3"/>
  <c r="AU64" i="3"/>
  <c r="AV64" i="3"/>
  <c r="AW64" i="3"/>
  <c r="AX64" i="3"/>
  <c r="AY64" i="3" s="1"/>
  <c r="A65" i="3"/>
  <c r="B65" i="3"/>
  <c r="C65" i="3"/>
  <c r="AK65" i="3"/>
  <c r="AO65" i="3"/>
  <c r="AR65" i="3" s="1"/>
  <c r="AP65" i="3"/>
  <c r="AQ65" i="3"/>
  <c r="AT65" i="3"/>
  <c r="AU65" i="3"/>
  <c r="AV65" i="3"/>
  <c r="AW65" i="3"/>
  <c r="AX65" i="3"/>
  <c r="AY65" i="3" s="1"/>
  <c r="A66" i="3"/>
  <c r="B66" i="3"/>
  <c r="C66" i="3"/>
  <c r="AK66" i="3"/>
  <c r="AO66" i="3"/>
  <c r="AR66" i="3" s="1"/>
  <c r="AP66" i="3"/>
  <c r="AQ66" i="3"/>
  <c r="AT66" i="3"/>
  <c r="AU66" i="3"/>
  <c r="AV66" i="3"/>
  <c r="AW66" i="3"/>
  <c r="AX66" i="3"/>
  <c r="AY66" i="3" s="1"/>
  <c r="A67" i="3"/>
  <c r="B67" i="3"/>
  <c r="C67" i="3"/>
  <c r="AK67" i="3"/>
  <c r="AO67" i="3"/>
  <c r="AR67" i="3" s="1"/>
  <c r="AP67" i="3"/>
  <c r="AQ67" i="3"/>
  <c r="AT67" i="3"/>
  <c r="AU67" i="3"/>
  <c r="AV67" i="3"/>
  <c r="AW67" i="3"/>
  <c r="AX67" i="3"/>
  <c r="AY67" i="3" s="1"/>
  <c r="A68" i="3"/>
  <c r="B68" i="3"/>
  <c r="C68" i="3"/>
  <c r="AK68" i="3"/>
  <c r="AO68" i="3"/>
  <c r="AR68" i="3" s="1"/>
  <c r="AP68" i="3"/>
  <c r="AQ68" i="3"/>
  <c r="AT68" i="3"/>
  <c r="AU68" i="3"/>
  <c r="AV68" i="3"/>
  <c r="AW68" i="3"/>
  <c r="AX68" i="3"/>
  <c r="AY68" i="3" s="1"/>
  <c r="A69" i="3"/>
  <c r="B69" i="3"/>
  <c r="C69" i="3"/>
  <c r="AK69" i="3"/>
  <c r="AO69" i="3"/>
  <c r="AR69" i="3" s="1"/>
  <c r="AP69" i="3"/>
  <c r="AQ69" i="3"/>
  <c r="AT69" i="3"/>
  <c r="AU69" i="3"/>
  <c r="AV69" i="3"/>
  <c r="AW69" i="3"/>
  <c r="AX69" i="3"/>
  <c r="AY69" i="3" s="1"/>
  <c r="A70" i="3"/>
  <c r="B70" i="3"/>
  <c r="C70" i="3"/>
  <c r="AK70" i="3"/>
  <c r="AO70" i="3"/>
  <c r="AR70" i="3" s="1"/>
  <c r="AP70" i="3"/>
  <c r="AQ70" i="3"/>
  <c r="AT70" i="3"/>
  <c r="AU70" i="3"/>
  <c r="AV70" i="3"/>
  <c r="AW70" i="3"/>
  <c r="AX70" i="3"/>
  <c r="AY70" i="3" s="1"/>
  <c r="A71" i="3"/>
  <c r="B71" i="3"/>
  <c r="C71" i="3"/>
  <c r="AK71" i="3"/>
  <c r="AO71" i="3"/>
  <c r="AR71" i="3" s="1"/>
  <c r="AP71" i="3"/>
  <c r="AQ71" i="3"/>
  <c r="AT71" i="3"/>
  <c r="AU71" i="3"/>
  <c r="AV71" i="3"/>
  <c r="AW71" i="3"/>
  <c r="AX71" i="3"/>
  <c r="AY71" i="3" s="1"/>
  <c r="A72" i="3"/>
  <c r="B72" i="3"/>
  <c r="C72" i="3"/>
  <c r="AK72" i="3"/>
  <c r="AO72" i="3"/>
  <c r="AR72" i="3" s="1"/>
  <c r="AP72" i="3"/>
  <c r="AQ72" i="3"/>
  <c r="AT72" i="3"/>
  <c r="AU72" i="3"/>
  <c r="AV72" i="3"/>
  <c r="AW72" i="3"/>
  <c r="AX72" i="3"/>
  <c r="AY72" i="3" s="1"/>
  <c r="A73" i="3"/>
  <c r="B73" i="3"/>
  <c r="C73" i="3"/>
  <c r="AK73" i="3"/>
  <c r="AO73" i="3"/>
  <c r="AR73" i="3" s="1"/>
  <c r="AP73" i="3"/>
  <c r="AQ73" i="3"/>
  <c r="AT73" i="3"/>
  <c r="AU73" i="3"/>
  <c r="AV73" i="3"/>
  <c r="AW73" i="3"/>
  <c r="AX73" i="3"/>
  <c r="AY73" i="3" s="1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J78" i="3" s="1"/>
  <c r="AG78" i="3"/>
  <c r="AH78" i="3"/>
  <c r="AI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J79" i="3" s="1"/>
  <c r="AH79" i="3"/>
  <c r="AI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J80" i="3" s="1"/>
  <c r="AI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J81" i="3" s="1"/>
  <c r="AH81" i="3"/>
  <c r="AI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D85" i="3"/>
  <c r="E85" i="3"/>
  <c r="F85" i="3"/>
  <c r="AJ85" i="3" s="1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J86" i="3" s="1"/>
  <c r="AI86" i="3"/>
  <c r="D87" i="3"/>
  <c r="E87" i="3"/>
  <c r="F87" i="3"/>
  <c r="G87" i="3"/>
  <c r="H87" i="3"/>
  <c r="I87" i="3"/>
  <c r="J87" i="3"/>
  <c r="K87" i="3"/>
  <c r="L87" i="3"/>
  <c r="M87" i="3"/>
  <c r="N87" i="3"/>
  <c r="AJ87" i="3" s="1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 s="1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J89" i="3" s="1"/>
  <c r="AH89" i="3"/>
  <c r="AI89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 s="1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J92" i="3" s="1"/>
  <c r="AH92" i="3"/>
  <c r="AI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J93" i="3" s="1"/>
  <c r="AH93" i="3"/>
  <c r="AI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J94" i="3" s="1"/>
  <c r="AI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J95" i="3" s="1"/>
  <c r="AI95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J97" i="3" s="1"/>
  <c r="AI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 s="1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J99" i="3" s="1"/>
  <c r="AH99" i="3"/>
  <c r="AI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J100" i="3" s="1"/>
  <c r="AH100" i="3"/>
  <c r="AI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J101" i="3" s="1"/>
  <c r="AA101" i="3"/>
  <c r="AB101" i="3"/>
  <c r="AC101" i="3"/>
  <c r="AD101" i="3"/>
  <c r="AE101" i="3"/>
  <c r="AF101" i="3"/>
  <c r="AG101" i="3"/>
  <c r="AH101" i="3"/>
  <c r="AI101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J103" i="3" s="1"/>
  <c r="AH103" i="3"/>
  <c r="AI103" i="3"/>
  <c r="A5" i="2"/>
  <c r="B5" i="2"/>
  <c r="C5" i="2"/>
  <c r="AK5" i="2"/>
  <c r="AO5" i="2"/>
  <c r="AR5" i="2" s="1"/>
  <c r="AP5" i="2"/>
  <c r="AQ5" i="2"/>
  <c r="AT5" i="2"/>
  <c r="AU5" i="2"/>
  <c r="AV5" i="2"/>
  <c r="AW5" i="2"/>
  <c r="AX5" i="2"/>
  <c r="AY5" i="2" s="1"/>
  <c r="A6" i="2"/>
  <c r="B6" i="2"/>
  <c r="C6" i="2"/>
  <c r="AK6" i="2"/>
  <c r="AO6" i="2"/>
  <c r="AR6" i="2" s="1"/>
  <c r="AP6" i="2"/>
  <c r="AQ6" i="2"/>
  <c r="AT6" i="2"/>
  <c r="AU6" i="2"/>
  <c r="AV6" i="2"/>
  <c r="AW6" i="2"/>
  <c r="AX6" i="2"/>
  <c r="AY6" i="2" s="1"/>
  <c r="A7" i="2"/>
  <c r="B7" i="2"/>
  <c r="C7" i="2"/>
  <c r="AK7" i="2"/>
  <c r="AO7" i="2"/>
  <c r="AR7" i="2" s="1"/>
  <c r="AP7" i="2"/>
  <c r="AQ7" i="2"/>
  <c r="AT7" i="2"/>
  <c r="AU7" i="2"/>
  <c r="AV7" i="2"/>
  <c r="AW7" i="2"/>
  <c r="AX7" i="2"/>
  <c r="AY7" i="2" s="1"/>
  <c r="A8" i="2"/>
  <c r="B8" i="2"/>
  <c r="C8" i="2"/>
  <c r="AK8" i="2"/>
  <c r="AO8" i="2"/>
  <c r="AR8" i="2" s="1"/>
  <c r="AP8" i="2"/>
  <c r="AQ8" i="2"/>
  <c r="AT8" i="2"/>
  <c r="AU8" i="2"/>
  <c r="AV8" i="2"/>
  <c r="AW8" i="2"/>
  <c r="AX8" i="2"/>
  <c r="AY8" i="2" s="1"/>
  <c r="A9" i="2"/>
  <c r="B9" i="2"/>
  <c r="C9" i="2"/>
  <c r="AK9" i="2"/>
  <c r="AO9" i="2"/>
  <c r="AR9" i="2" s="1"/>
  <c r="AP9" i="2"/>
  <c r="AQ9" i="2"/>
  <c r="AT9" i="2"/>
  <c r="AU9" i="2"/>
  <c r="AV9" i="2"/>
  <c r="AW9" i="2"/>
  <c r="AX9" i="2"/>
  <c r="AY9" i="2" s="1"/>
  <c r="A10" i="2"/>
  <c r="B10" i="2"/>
  <c r="C10" i="2"/>
  <c r="AK10" i="2"/>
  <c r="AO10" i="2"/>
  <c r="AR10" i="2" s="1"/>
  <c r="AP10" i="2"/>
  <c r="AQ10" i="2"/>
  <c r="AT10" i="2"/>
  <c r="AU10" i="2"/>
  <c r="AV10" i="2"/>
  <c r="AW10" i="2"/>
  <c r="AX10" i="2"/>
  <c r="AY10" i="2" s="1"/>
  <c r="A11" i="2"/>
  <c r="B11" i="2"/>
  <c r="C11" i="2"/>
  <c r="AK11" i="2"/>
  <c r="AO11" i="2"/>
  <c r="AR11" i="2" s="1"/>
  <c r="AP11" i="2"/>
  <c r="AQ11" i="2"/>
  <c r="AT11" i="2"/>
  <c r="AU11" i="2"/>
  <c r="AV11" i="2"/>
  <c r="AW11" i="2"/>
  <c r="AX11" i="2"/>
  <c r="AY11" i="2" s="1"/>
  <c r="A12" i="2"/>
  <c r="B12" i="2"/>
  <c r="C12" i="2"/>
  <c r="AK12" i="2"/>
  <c r="AO12" i="2"/>
  <c r="AR12" i="2" s="1"/>
  <c r="AP12" i="2"/>
  <c r="AQ12" i="2"/>
  <c r="AT12" i="2"/>
  <c r="AU12" i="2"/>
  <c r="AV12" i="2"/>
  <c r="AW12" i="2"/>
  <c r="AX12" i="2"/>
  <c r="AY12" i="2" s="1"/>
  <c r="A13" i="2"/>
  <c r="B13" i="2"/>
  <c r="C13" i="2"/>
  <c r="AK13" i="2"/>
  <c r="AO13" i="2"/>
  <c r="AR13" i="2" s="1"/>
  <c r="AP13" i="2"/>
  <c r="AQ13" i="2"/>
  <c r="AT13" i="2"/>
  <c r="AU13" i="2"/>
  <c r="AV13" i="2"/>
  <c r="AW13" i="2"/>
  <c r="AX13" i="2"/>
  <c r="AY13" i="2"/>
  <c r="A14" i="2"/>
  <c r="B14" i="2"/>
  <c r="C14" i="2"/>
  <c r="AK14" i="2"/>
  <c r="AO14" i="2"/>
  <c r="AR14" i="2" s="1"/>
  <c r="AP14" i="2"/>
  <c r="AQ14" i="2"/>
  <c r="AT14" i="2"/>
  <c r="AU14" i="2"/>
  <c r="AV14" i="2"/>
  <c r="AW14" i="2"/>
  <c r="AX14" i="2"/>
  <c r="AY14" i="2" s="1"/>
  <c r="A15" i="2"/>
  <c r="B15" i="2"/>
  <c r="C15" i="2"/>
  <c r="AK15" i="2"/>
  <c r="AO15" i="2"/>
  <c r="AR15" i="2" s="1"/>
  <c r="AP15" i="2"/>
  <c r="AQ15" i="2"/>
  <c r="AT15" i="2"/>
  <c r="AU15" i="2"/>
  <c r="AV15" i="2"/>
  <c r="AW15" i="2"/>
  <c r="AX15" i="2"/>
  <c r="AY15" i="2" s="1"/>
  <c r="A16" i="2"/>
  <c r="B16" i="2"/>
  <c r="C16" i="2"/>
  <c r="AK16" i="2"/>
  <c r="AO16" i="2"/>
  <c r="AR16" i="2" s="1"/>
  <c r="AP16" i="2"/>
  <c r="AQ16" i="2"/>
  <c r="AT16" i="2"/>
  <c r="AU16" i="2"/>
  <c r="AV16" i="2"/>
  <c r="AW16" i="2"/>
  <c r="AX16" i="2"/>
  <c r="AY16" i="2" s="1"/>
  <c r="A17" i="2"/>
  <c r="B17" i="2"/>
  <c r="C17" i="2"/>
  <c r="AK17" i="2"/>
  <c r="AO17" i="2"/>
  <c r="AR17" i="2" s="1"/>
  <c r="AP17" i="2"/>
  <c r="AQ17" i="2"/>
  <c r="AT17" i="2"/>
  <c r="AU17" i="2"/>
  <c r="AV17" i="2"/>
  <c r="AW17" i="2"/>
  <c r="AX17" i="2"/>
  <c r="AY17" i="2" s="1"/>
  <c r="A18" i="2"/>
  <c r="B18" i="2"/>
  <c r="C18" i="2"/>
  <c r="AK18" i="2"/>
  <c r="AO18" i="2"/>
  <c r="AR18" i="2" s="1"/>
  <c r="AP18" i="2"/>
  <c r="AQ18" i="2"/>
  <c r="AT18" i="2"/>
  <c r="AU18" i="2"/>
  <c r="AV18" i="2"/>
  <c r="AW18" i="2"/>
  <c r="AX18" i="2"/>
  <c r="AY18" i="2" s="1"/>
  <c r="A19" i="2"/>
  <c r="B19" i="2"/>
  <c r="C19" i="2"/>
  <c r="AK19" i="2"/>
  <c r="AO19" i="2"/>
  <c r="AR19" i="2" s="1"/>
  <c r="AP19" i="2"/>
  <c r="AQ19" i="2"/>
  <c r="AT19" i="2"/>
  <c r="AU19" i="2"/>
  <c r="AV19" i="2"/>
  <c r="AW19" i="2"/>
  <c r="AX19" i="2"/>
  <c r="AY19" i="2" s="1"/>
  <c r="A20" i="2"/>
  <c r="B20" i="2"/>
  <c r="C20" i="2"/>
  <c r="AK20" i="2"/>
  <c r="AO20" i="2"/>
  <c r="AR20" i="2" s="1"/>
  <c r="AP20" i="2"/>
  <c r="AQ20" i="2"/>
  <c r="AT20" i="2"/>
  <c r="AU20" i="2"/>
  <c r="AV20" i="2"/>
  <c r="AW20" i="2"/>
  <c r="AX20" i="2"/>
  <c r="AY20" i="2" s="1"/>
  <c r="A21" i="2"/>
  <c r="B21" i="2"/>
  <c r="C21" i="2"/>
  <c r="AK21" i="2"/>
  <c r="AO21" i="2"/>
  <c r="AR21" i="2" s="1"/>
  <c r="AP21" i="2"/>
  <c r="AQ21" i="2"/>
  <c r="AT21" i="2"/>
  <c r="AU21" i="2"/>
  <c r="AV21" i="2"/>
  <c r="AW21" i="2"/>
  <c r="AX21" i="2"/>
  <c r="AY21" i="2" s="1"/>
  <c r="A22" i="2"/>
  <c r="B22" i="2"/>
  <c r="C22" i="2"/>
  <c r="AK22" i="2"/>
  <c r="AO22" i="2"/>
  <c r="AR22" i="2" s="1"/>
  <c r="AP22" i="2"/>
  <c r="AQ22" i="2"/>
  <c r="AT22" i="2"/>
  <c r="AU22" i="2"/>
  <c r="AV22" i="2"/>
  <c r="AW22" i="2"/>
  <c r="AX22" i="2"/>
  <c r="AY22" i="2" s="1"/>
  <c r="A23" i="2"/>
  <c r="B23" i="2"/>
  <c r="C23" i="2"/>
  <c r="AK23" i="2"/>
  <c r="AO23" i="2"/>
  <c r="AR23" i="2" s="1"/>
  <c r="AP23" i="2"/>
  <c r="AQ23" i="2"/>
  <c r="AT23" i="2"/>
  <c r="AU23" i="2"/>
  <c r="AV23" i="2"/>
  <c r="AW23" i="2"/>
  <c r="AX23" i="2"/>
  <c r="AY23" i="2" s="1"/>
  <c r="A24" i="2"/>
  <c r="B24" i="2"/>
  <c r="C24" i="2"/>
  <c r="AK24" i="2"/>
  <c r="AO24" i="2"/>
  <c r="AR24" i="2" s="1"/>
  <c r="AP24" i="2"/>
  <c r="AQ24" i="2"/>
  <c r="AT24" i="2"/>
  <c r="AU24" i="2"/>
  <c r="AV24" i="2"/>
  <c r="AW24" i="2"/>
  <c r="AX24" i="2"/>
  <c r="AY24" i="2" s="1"/>
  <c r="A25" i="2"/>
  <c r="B25" i="2"/>
  <c r="C25" i="2"/>
  <c r="AK25" i="2"/>
  <c r="AO25" i="2"/>
  <c r="AR25" i="2" s="1"/>
  <c r="AP25" i="2"/>
  <c r="AQ25" i="2"/>
  <c r="AT25" i="2"/>
  <c r="AU25" i="2"/>
  <c r="AV25" i="2"/>
  <c r="AW25" i="2"/>
  <c r="AX25" i="2"/>
  <c r="AY25" i="2" s="1"/>
  <c r="A26" i="2"/>
  <c r="B26" i="2"/>
  <c r="C26" i="2"/>
  <c r="AK26" i="2"/>
  <c r="AO26" i="2"/>
  <c r="AR26" i="2" s="1"/>
  <c r="AP26" i="2"/>
  <c r="AQ26" i="2"/>
  <c r="AT26" i="2"/>
  <c r="AU26" i="2"/>
  <c r="AV26" i="2"/>
  <c r="AW26" i="2"/>
  <c r="AX26" i="2"/>
  <c r="AY26" i="2" s="1"/>
  <c r="A27" i="2"/>
  <c r="B27" i="2"/>
  <c r="C27" i="2"/>
  <c r="AK27" i="2"/>
  <c r="AO27" i="2"/>
  <c r="AR27" i="2" s="1"/>
  <c r="AP27" i="2"/>
  <c r="AQ27" i="2"/>
  <c r="AT27" i="2"/>
  <c r="AU27" i="2"/>
  <c r="AV27" i="2"/>
  <c r="AW27" i="2"/>
  <c r="AX27" i="2"/>
  <c r="AY27" i="2" s="1"/>
  <c r="A28" i="2"/>
  <c r="B28" i="2"/>
  <c r="C28" i="2"/>
  <c r="AK28" i="2"/>
  <c r="AO28" i="2"/>
  <c r="AR28" i="2" s="1"/>
  <c r="AP28" i="2"/>
  <c r="AQ28" i="2"/>
  <c r="AT28" i="2"/>
  <c r="AU28" i="2"/>
  <c r="AV28" i="2"/>
  <c r="AW28" i="2"/>
  <c r="AX28" i="2"/>
  <c r="AY28" i="2" s="1"/>
  <c r="A29" i="2"/>
  <c r="B29" i="2"/>
  <c r="C29" i="2"/>
  <c r="AK29" i="2"/>
  <c r="AO29" i="2"/>
  <c r="AR29" i="2" s="1"/>
  <c r="AP29" i="2"/>
  <c r="AQ29" i="2"/>
  <c r="AT29" i="2"/>
  <c r="AU29" i="2"/>
  <c r="AV29" i="2"/>
  <c r="AW29" i="2"/>
  <c r="AX29" i="2"/>
  <c r="AY29" i="2" s="1"/>
  <c r="A30" i="2"/>
  <c r="B30" i="2"/>
  <c r="C30" i="2"/>
  <c r="AK30" i="2"/>
  <c r="AO30" i="2"/>
  <c r="AR30" i="2" s="1"/>
  <c r="AP30" i="2"/>
  <c r="AQ30" i="2"/>
  <c r="AT30" i="2"/>
  <c r="AU30" i="2"/>
  <c r="AV30" i="2"/>
  <c r="AW30" i="2"/>
  <c r="AX30" i="2"/>
  <c r="AY30" i="2" s="1"/>
  <c r="A31" i="2"/>
  <c r="B31" i="2"/>
  <c r="C31" i="2"/>
  <c r="AK31" i="2"/>
  <c r="AO31" i="2"/>
  <c r="AR31" i="2" s="1"/>
  <c r="AP31" i="2"/>
  <c r="AQ31" i="2"/>
  <c r="AT31" i="2"/>
  <c r="AU31" i="2"/>
  <c r="AV31" i="2"/>
  <c r="AW31" i="2"/>
  <c r="AX31" i="2"/>
  <c r="AY31" i="2" s="1"/>
  <c r="A32" i="2"/>
  <c r="B32" i="2"/>
  <c r="C32" i="2"/>
  <c r="AK32" i="2"/>
  <c r="AO32" i="2"/>
  <c r="AR32" i="2" s="1"/>
  <c r="AP32" i="2"/>
  <c r="AQ32" i="2"/>
  <c r="AT32" i="2"/>
  <c r="AY32" i="2" s="1"/>
  <c r="AU32" i="2"/>
  <c r="AV32" i="2"/>
  <c r="AW32" i="2"/>
  <c r="AX32" i="2"/>
  <c r="A33" i="2"/>
  <c r="B33" i="2"/>
  <c r="C33" i="2"/>
  <c r="AK33" i="2"/>
  <c r="AO33" i="2"/>
  <c r="AR33" i="2" s="1"/>
  <c r="AP33" i="2"/>
  <c r="AQ33" i="2"/>
  <c r="AT33" i="2"/>
  <c r="AU33" i="2"/>
  <c r="AV33" i="2"/>
  <c r="AW33" i="2"/>
  <c r="AX33" i="2"/>
  <c r="AY33" i="2" s="1"/>
  <c r="A34" i="2"/>
  <c r="B34" i="2"/>
  <c r="C34" i="2"/>
  <c r="AK34" i="2"/>
  <c r="AO34" i="2"/>
  <c r="AR34" i="2" s="1"/>
  <c r="AP34" i="2"/>
  <c r="AQ34" i="2"/>
  <c r="AT34" i="2"/>
  <c r="AU34" i="2"/>
  <c r="AV34" i="2"/>
  <c r="AW34" i="2"/>
  <c r="AX34" i="2"/>
  <c r="AY34" i="2" s="1"/>
  <c r="A35" i="2"/>
  <c r="B35" i="2"/>
  <c r="C35" i="2"/>
  <c r="AK35" i="2"/>
  <c r="AO35" i="2"/>
  <c r="AR35" i="2" s="1"/>
  <c r="AP35" i="2"/>
  <c r="AQ35" i="2"/>
  <c r="AT35" i="2"/>
  <c r="AU35" i="2"/>
  <c r="AV35" i="2"/>
  <c r="AW35" i="2"/>
  <c r="AX35" i="2"/>
  <c r="AY35" i="2" s="1"/>
  <c r="A36" i="2"/>
  <c r="B36" i="2"/>
  <c r="C36" i="2"/>
  <c r="AK36" i="2"/>
  <c r="AO36" i="2"/>
  <c r="AR36" i="2" s="1"/>
  <c r="AP36" i="2"/>
  <c r="AQ36" i="2"/>
  <c r="AT36" i="2"/>
  <c r="AU36" i="2"/>
  <c r="AV36" i="2"/>
  <c r="AW36" i="2"/>
  <c r="AX36" i="2"/>
  <c r="AY36" i="2" s="1"/>
  <c r="A37" i="2"/>
  <c r="B37" i="2"/>
  <c r="C37" i="2"/>
  <c r="AK37" i="2"/>
  <c r="AO37" i="2"/>
  <c r="AR37" i="2" s="1"/>
  <c r="AP37" i="2"/>
  <c r="AQ37" i="2"/>
  <c r="AT37" i="2"/>
  <c r="AU37" i="2"/>
  <c r="AV37" i="2"/>
  <c r="AW37" i="2"/>
  <c r="AX37" i="2"/>
  <c r="AY37" i="2" s="1"/>
  <c r="A38" i="2"/>
  <c r="B38" i="2"/>
  <c r="C38" i="2"/>
  <c r="AK38" i="2"/>
  <c r="AO38" i="2"/>
  <c r="AR38" i="2" s="1"/>
  <c r="AP38" i="2"/>
  <c r="AQ38" i="2"/>
  <c r="AT38" i="2"/>
  <c r="AU38" i="2"/>
  <c r="AV38" i="2"/>
  <c r="AW38" i="2"/>
  <c r="AX38" i="2"/>
  <c r="AY38" i="2" s="1"/>
  <c r="A39" i="2"/>
  <c r="B39" i="2"/>
  <c r="C39" i="2"/>
  <c r="AK39" i="2"/>
  <c r="AO39" i="2"/>
  <c r="AR39" i="2" s="1"/>
  <c r="AP39" i="2"/>
  <c r="AQ39" i="2"/>
  <c r="AT39" i="2"/>
  <c r="AU39" i="2"/>
  <c r="AV39" i="2"/>
  <c r="AW39" i="2"/>
  <c r="AX39" i="2"/>
  <c r="AY39" i="2" s="1"/>
  <c r="A40" i="2"/>
  <c r="B40" i="2"/>
  <c r="C40" i="2"/>
  <c r="AK40" i="2"/>
  <c r="AO40" i="2"/>
  <c r="AR40" i="2" s="1"/>
  <c r="AP40" i="2"/>
  <c r="AQ40" i="2"/>
  <c r="AT40" i="2"/>
  <c r="AU40" i="2"/>
  <c r="AV40" i="2"/>
  <c r="AW40" i="2"/>
  <c r="AX40" i="2"/>
  <c r="AY40" i="2" s="1"/>
  <c r="A41" i="2"/>
  <c r="B41" i="2"/>
  <c r="C41" i="2"/>
  <c r="AK41" i="2"/>
  <c r="AO41" i="2"/>
  <c r="AR41" i="2" s="1"/>
  <c r="AP41" i="2"/>
  <c r="AQ41" i="2"/>
  <c r="AT41" i="2"/>
  <c r="AU41" i="2"/>
  <c r="AV41" i="2"/>
  <c r="AW41" i="2"/>
  <c r="AX41" i="2"/>
  <c r="AY41" i="2" s="1"/>
  <c r="A42" i="2"/>
  <c r="B42" i="2"/>
  <c r="C42" i="2"/>
  <c r="AK42" i="2"/>
  <c r="AO42" i="2"/>
  <c r="AR42" i="2" s="1"/>
  <c r="AP42" i="2"/>
  <c r="AQ42" i="2"/>
  <c r="AT42" i="2"/>
  <c r="AU42" i="2"/>
  <c r="AV42" i="2"/>
  <c r="AW42" i="2"/>
  <c r="AY42" i="2" s="1"/>
  <c r="AX42" i="2"/>
  <c r="A43" i="2"/>
  <c r="B43" i="2"/>
  <c r="C43" i="2"/>
  <c r="AK43" i="2"/>
  <c r="AO43" i="2"/>
  <c r="AR43" i="2" s="1"/>
  <c r="AP43" i="2"/>
  <c r="AQ43" i="2"/>
  <c r="AT43" i="2"/>
  <c r="AU43" i="2"/>
  <c r="AV43" i="2"/>
  <c r="AW43" i="2"/>
  <c r="AY43" i="2" s="1"/>
  <c r="AX43" i="2"/>
  <c r="A44" i="2"/>
  <c r="B44" i="2"/>
  <c r="C44" i="2"/>
  <c r="AK44" i="2"/>
  <c r="AO44" i="2"/>
  <c r="AR44" i="2" s="1"/>
  <c r="AP44" i="2"/>
  <c r="AQ44" i="2"/>
  <c r="AT44" i="2"/>
  <c r="AU44" i="2"/>
  <c r="AV44" i="2"/>
  <c r="AW44" i="2"/>
  <c r="AX44" i="2"/>
  <c r="AY44" i="2"/>
  <c r="A45" i="2"/>
  <c r="B45" i="2"/>
  <c r="C45" i="2"/>
  <c r="AK45" i="2"/>
  <c r="AO45" i="2"/>
  <c r="AR45" i="2" s="1"/>
  <c r="AP45" i="2"/>
  <c r="AQ45" i="2"/>
  <c r="AT45" i="2"/>
  <c r="AU45" i="2"/>
  <c r="AV45" i="2"/>
  <c r="AW45" i="2"/>
  <c r="AX45" i="2"/>
  <c r="AY45" i="2" s="1"/>
  <c r="A46" i="2"/>
  <c r="B46" i="2"/>
  <c r="C46" i="2"/>
  <c r="AK46" i="2"/>
  <c r="AO46" i="2"/>
  <c r="AR46" i="2" s="1"/>
  <c r="AP46" i="2"/>
  <c r="AQ46" i="2"/>
  <c r="AT46" i="2"/>
  <c r="AU46" i="2"/>
  <c r="AV46" i="2"/>
  <c r="AW46" i="2"/>
  <c r="AX46" i="2"/>
  <c r="AY46" i="2" s="1"/>
  <c r="A47" i="2"/>
  <c r="B47" i="2"/>
  <c r="C47" i="2"/>
  <c r="AK47" i="2"/>
  <c r="AO47" i="2"/>
  <c r="AR47" i="2" s="1"/>
  <c r="AP47" i="2"/>
  <c r="AQ47" i="2"/>
  <c r="AT47" i="2"/>
  <c r="AU47" i="2"/>
  <c r="AV47" i="2"/>
  <c r="AW47" i="2"/>
  <c r="AX47" i="2"/>
  <c r="AY47" i="2" s="1"/>
  <c r="A48" i="2"/>
  <c r="B48" i="2"/>
  <c r="C48" i="2"/>
  <c r="AK48" i="2"/>
  <c r="AO48" i="2"/>
  <c r="AR48" i="2" s="1"/>
  <c r="AP48" i="2"/>
  <c r="AQ48" i="2"/>
  <c r="AT48" i="2"/>
  <c r="AU48" i="2"/>
  <c r="AV48" i="2"/>
  <c r="AW48" i="2"/>
  <c r="AX48" i="2"/>
  <c r="AY48" i="2" s="1"/>
  <c r="A49" i="2"/>
  <c r="B49" i="2"/>
  <c r="C49" i="2"/>
  <c r="AK49" i="2"/>
  <c r="AO49" i="2"/>
  <c r="AR49" i="2" s="1"/>
  <c r="AP49" i="2"/>
  <c r="AQ49" i="2"/>
  <c r="AT49" i="2"/>
  <c r="AU49" i="2"/>
  <c r="AV49" i="2"/>
  <c r="AW49" i="2"/>
  <c r="AX49" i="2"/>
  <c r="AY49" i="2" s="1"/>
  <c r="A50" i="2"/>
  <c r="B50" i="2"/>
  <c r="C50" i="2"/>
  <c r="AK50" i="2"/>
  <c r="AO50" i="2"/>
  <c r="AR50" i="2" s="1"/>
  <c r="AP50" i="2"/>
  <c r="AQ50" i="2"/>
  <c r="AT50" i="2"/>
  <c r="AU50" i="2"/>
  <c r="AV50" i="2"/>
  <c r="AW50" i="2"/>
  <c r="AX50" i="2"/>
  <c r="AY50" i="2"/>
  <c r="A51" i="2"/>
  <c r="B51" i="2"/>
  <c r="C51" i="2"/>
  <c r="AK51" i="2"/>
  <c r="AO51" i="2"/>
  <c r="AR51" i="2" s="1"/>
  <c r="AP51" i="2"/>
  <c r="AQ51" i="2"/>
  <c r="AT51" i="2"/>
  <c r="AU51" i="2"/>
  <c r="AV51" i="2"/>
  <c r="AW51" i="2"/>
  <c r="AX51" i="2"/>
  <c r="AY51" i="2" s="1"/>
  <c r="A52" i="2"/>
  <c r="B52" i="2"/>
  <c r="C52" i="2"/>
  <c r="AK52" i="2"/>
  <c r="AO52" i="2"/>
  <c r="AR52" i="2" s="1"/>
  <c r="AP52" i="2"/>
  <c r="AQ52" i="2"/>
  <c r="AT52" i="2"/>
  <c r="AU52" i="2"/>
  <c r="AV52" i="2"/>
  <c r="AW52" i="2"/>
  <c r="AX52" i="2"/>
  <c r="AY52" i="2" s="1"/>
  <c r="A53" i="2"/>
  <c r="B53" i="2"/>
  <c r="C53" i="2"/>
  <c r="AK53" i="2"/>
  <c r="AO53" i="2"/>
  <c r="AR53" i="2" s="1"/>
  <c r="AP53" i="2"/>
  <c r="AQ53" i="2"/>
  <c r="AT53" i="2"/>
  <c r="AU53" i="2"/>
  <c r="AV53" i="2"/>
  <c r="AW53" i="2"/>
  <c r="AX53" i="2"/>
  <c r="AY53" i="2" s="1"/>
  <c r="A54" i="2"/>
  <c r="B54" i="2"/>
  <c r="C54" i="2"/>
  <c r="AK54" i="2"/>
  <c r="AO54" i="2"/>
  <c r="AR54" i="2" s="1"/>
  <c r="AP54" i="2"/>
  <c r="AQ54" i="2"/>
  <c r="AT54" i="2"/>
  <c r="AU54" i="2"/>
  <c r="AV54" i="2"/>
  <c r="AW54" i="2"/>
  <c r="AX54" i="2"/>
  <c r="AY54" i="2" s="1"/>
  <c r="A55" i="2"/>
  <c r="B55" i="2"/>
  <c r="C55" i="2"/>
  <c r="AK55" i="2"/>
  <c r="AO55" i="2"/>
  <c r="AR55" i="2" s="1"/>
  <c r="AP55" i="2"/>
  <c r="AQ55" i="2"/>
  <c r="AT55" i="2"/>
  <c r="AU55" i="2"/>
  <c r="AV55" i="2"/>
  <c r="AW55" i="2"/>
  <c r="AX55" i="2"/>
  <c r="AY55" i="2" s="1"/>
  <c r="A56" i="2"/>
  <c r="B56" i="2"/>
  <c r="C56" i="2"/>
  <c r="AK56" i="2"/>
  <c r="AO56" i="2"/>
  <c r="AR56" i="2" s="1"/>
  <c r="AP56" i="2"/>
  <c r="AQ56" i="2"/>
  <c r="AT56" i="2"/>
  <c r="AU56" i="2"/>
  <c r="AV56" i="2"/>
  <c r="AW56" i="2"/>
  <c r="AX56" i="2"/>
  <c r="AY56" i="2" s="1"/>
  <c r="A57" i="2"/>
  <c r="B57" i="2"/>
  <c r="C57" i="2"/>
  <c r="AK57" i="2"/>
  <c r="AO57" i="2"/>
  <c r="AR57" i="2" s="1"/>
  <c r="AP57" i="2"/>
  <c r="AQ57" i="2"/>
  <c r="AT57" i="2"/>
  <c r="AU57" i="2"/>
  <c r="AV57" i="2"/>
  <c r="AW57" i="2"/>
  <c r="AX57" i="2"/>
  <c r="AY57" i="2" s="1"/>
  <c r="A58" i="2"/>
  <c r="B58" i="2"/>
  <c r="C58" i="2"/>
  <c r="AK58" i="2"/>
  <c r="AO58" i="2"/>
  <c r="AR58" i="2" s="1"/>
  <c r="AP58" i="2"/>
  <c r="AQ58" i="2"/>
  <c r="AT58" i="2"/>
  <c r="AU58" i="2"/>
  <c r="AV58" i="2"/>
  <c r="AW58" i="2"/>
  <c r="AX58" i="2"/>
  <c r="AY58" i="2" s="1"/>
  <c r="A59" i="2"/>
  <c r="B59" i="2"/>
  <c r="C59" i="2"/>
  <c r="AK59" i="2"/>
  <c r="AO59" i="2"/>
  <c r="AR59" i="2" s="1"/>
  <c r="AP59" i="2"/>
  <c r="AQ59" i="2"/>
  <c r="AT59" i="2"/>
  <c r="AU59" i="2"/>
  <c r="AV59" i="2"/>
  <c r="AW59" i="2"/>
  <c r="AX59" i="2"/>
  <c r="AY59" i="2"/>
  <c r="A60" i="2"/>
  <c r="B60" i="2"/>
  <c r="C60" i="2"/>
  <c r="AK60" i="2"/>
  <c r="AO60" i="2"/>
  <c r="AR60" i="2" s="1"/>
  <c r="AP60" i="2"/>
  <c r="AQ60" i="2"/>
  <c r="AT60" i="2"/>
  <c r="AU60" i="2"/>
  <c r="AV60" i="2"/>
  <c r="AW60" i="2"/>
  <c r="AX60" i="2"/>
  <c r="AY60" i="2" s="1"/>
  <c r="A61" i="2"/>
  <c r="B61" i="2"/>
  <c r="C61" i="2"/>
  <c r="AK61" i="2"/>
  <c r="AO61" i="2"/>
  <c r="AR61" i="2" s="1"/>
  <c r="AP61" i="2"/>
  <c r="AQ61" i="2"/>
  <c r="AT61" i="2"/>
  <c r="AU61" i="2"/>
  <c r="AV61" i="2"/>
  <c r="AW61" i="2"/>
  <c r="AX61" i="2"/>
  <c r="AY61" i="2" s="1"/>
  <c r="A62" i="2"/>
  <c r="B62" i="2"/>
  <c r="C62" i="2"/>
  <c r="AK62" i="2"/>
  <c r="AO62" i="2"/>
  <c r="AR62" i="2" s="1"/>
  <c r="AP62" i="2"/>
  <c r="AQ62" i="2"/>
  <c r="AT62" i="2"/>
  <c r="AY62" i="2" s="1"/>
  <c r="AU62" i="2"/>
  <c r="AV62" i="2"/>
  <c r="AW62" i="2"/>
  <c r="AX62" i="2"/>
  <c r="A63" i="2"/>
  <c r="B63" i="2"/>
  <c r="C63" i="2"/>
  <c r="AK63" i="2"/>
  <c r="AO63" i="2"/>
  <c r="AR63" i="2" s="1"/>
  <c r="AP63" i="2"/>
  <c r="AQ63" i="2"/>
  <c r="AT63" i="2"/>
  <c r="AU63" i="2"/>
  <c r="AV63" i="2"/>
  <c r="AW63" i="2"/>
  <c r="AX63" i="2"/>
  <c r="AY63" i="2" s="1"/>
  <c r="A64" i="2"/>
  <c r="B64" i="2"/>
  <c r="C64" i="2"/>
  <c r="AK64" i="2"/>
  <c r="AO64" i="2"/>
  <c r="AR64" i="2" s="1"/>
  <c r="AP64" i="2"/>
  <c r="AQ64" i="2"/>
  <c r="AT64" i="2"/>
  <c r="AU64" i="2"/>
  <c r="AV64" i="2"/>
  <c r="AW64" i="2"/>
  <c r="AX64" i="2"/>
  <c r="AY64" i="2" s="1"/>
  <c r="A65" i="2"/>
  <c r="B65" i="2"/>
  <c r="C65" i="2"/>
  <c r="AK65" i="2"/>
  <c r="AO65" i="2"/>
  <c r="AR65" i="2" s="1"/>
  <c r="AP65" i="2"/>
  <c r="AQ65" i="2"/>
  <c r="AT65" i="2"/>
  <c r="AU65" i="2"/>
  <c r="AV65" i="2"/>
  <c r="AW65" i="2"/>
  <c r="AX65" i="2"/>
  <c r="AY65" i="2" s="1"/>
  <c r="A66" i="2"/>
  <c r="B66" i="2"/>
  <c r="C66" i="2"/>
  <c r="AK66" i="2"/>
  <c r="AO66" i="2"/>
  <c r="AR66" i="2" s="1"/>
  <c r="AP66" i="2"/>
  <c r="AQ66" i="2"/>
  <c r="AT66" i="2"/>
  <c r="AU66" i="2"/>
  <c r="AV66" i="2"/>
  <c r="AW66" i="2"/>
  <c r="AX66" i="2"/>
  <c r="AY66" i="2" s="1"/>
  <c r="A67" i="2"/>
  <c r="B67" i="2"/>
  <c r="C67" i="2"/>
  <c r="AK67" i="2"/>
  <c r="AO67" i="2"/>
  <c r="AR67" i="2" s="1"/>
  <c r="AP67" i="2"/>
  <c r="AQ67" i="2"/>
  <c r="AT67" i="2"/>
  <c r="AU67" i="2"/>
  <c r="AV67" i="2"/>
  <c r="AW67" i="2"/>
  <c r="AX67" i="2"/>
  <c r="AY67" i="2" s="1"/>
  <c r="A68" i="2"/>
  <c r="B68" i="2"/>
  <c r="C68" i="2"/>
  <c r="AK68" i="2"/>
  <c r="AO68" i="2"/>
  <c r="AR68" i="2" s="1"/>
  <c r="AP68" i="2"/>
  <c r="AQ68" i="2"/>
  <c r="AT68" i="2"/>
  <c r="AU68" i="2"/>
  <c r="AV68" i="2"/>
  <c r="AW68" i="2"/>
  <c r="AX68" i="2"/>
  <c r="AY68" i="2" s="1"/>
  <c r="A69" i="2"/>
  <c r="B69" i="2"/>
  <c r="C69" i="2"/>
  <c r="AK69" i="2"/>
  <c r="AO69" i="2"/>
  <c r="AR69" i="2" s="1"/>
  <c r="AP69" i="2"/>
  <c r="AQ69" i="2"/>
  <c r="AT69" i="2"/>
  <c r="AU69" i="2"/>
  <c r="AV69" i="2"/>
  <c r="AW69" i="2"/>
  <c r="AX69" i="2"/>
  <c r="AY69" i="2" s="1"/>
  <c r="A70" i="2"/>
  <c r="B70" i="2"/>
  <c r="C70" i="2"/>
  <c r="AK70" i="2"/>
  <c r="AO70" i="2"/>
  <c r="AR70" i="2" s="1"/>
  <c r="AP70" i="2"/>
  <c r="AQ70" i="2"/>
  <c r="AT70" i="2"/>
  <c r="AU70" i="2"/>
  <c r="AV70" i="2"/>
  <c r="AW70" i="2"/>
  <c r="AX70" i="2"/>
  <c r="AY70" i="2" s="1"/>
  <c r="A71" i="2"/>
  <c r="B71" i="2"/>
  <c r="C71" i="2"/>
  <c r="AK71" i="2"/>
  <c r="AO71" i="2"/>
  <c r="AR71" i="2" s="1"/>
  <c r="AP71" i="2"/>
  <c r="AQ71" i="2"/>
  <c r="AT71" i="2"/>
  <c r="AU71" i="2"/>
  <c r="AV71" i="2"/>
  <c r="AW71" i="2"/>
  <c r="AX71" i="2"/>
  <c r="AY71" i="2" s="1"/>
  <c r="A72" i="2"/>
  <c r="B72" i="2"/>
  <c r="C72" i="2"/>
  <c r="AK72" i="2"/>
  <c r="AO72" i="2"/>
  <c r="AR72" i="2" s="1"/>
  <c r="AP72" i="2"/>
  <c r="AQ72" i="2"/>
  <c r="AT72" i="2"/>
  <c r="AU72" i="2"/>
  <c r="AV72" i="2"/>
  <c r="AW72" i="2"/>
  <c r="AX72" i="2"/>
  <c r="AY72" i="2" s="1"/>
  <c r="A73" i="2"/>
  <c r="B73" i="2"/>
  <c r="C73" i="2"/>
  <c r="AK73" i="2"/>
  <c r="AO73" i="2"/>
  <c r="AR73" i="2" s="1"/>
  <c r="AP73" i="2"/>
  <c r="AQ73" i="2"/>
  <c r="AT73" i="2"/>
  <c r="AU73" i="2"/>
  <c r="AV73" i="2"/>
  <c r="AW73" i="2"/>
  <c r="AX73" i="2"/>
  <c r="AY73" i="2" s="1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J78" i="2" s="1"/>
  <c r="AF78" i="2"/>
  <c r="AG78" i="2"/>
  <c r="AH78" i="2"/>
  <c r="AI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 s="1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 s="1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J81" i="2" s="1"/>
  <c r="AH81" i="2"/>
  <c r="AI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 s="1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J85" i="2" s="1"/>
  <c r="AH85" i="2"/>
  <c r="AI85" i="2"/>
  <c r="D86" i="2"/>
  <c r="AJ86" i="2" s="1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 s="1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 s="1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 s="1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 s="1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 s="1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J93" i="2" s="1"/>
  <c r="AH93" i="2"/>
  <c r="AI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J94" i="2" s="1"/>
  <c r="AI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J95" i="2" s="1"/>
  <c r="AI95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J97" i="2" s="1"/>
  <c r="AH97" i="2"/>
  <c r="AI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 s="1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J100" i="2" s="1"/>
  <c r="AI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J101" i="2" s="1"/>
  <c r="AH101" i="2"/>
  <c r="AI101" i="2"/>
  <c r="D103" i="2"/>
  <c r="E103" i="2"/>
  <c r="F103" i="2"/>
  <c r="G103" i="2"/>
  <c r="H103" i="2"/>
  <c r="I103" i="2"/>
  <c r="J103" i="2"/>
  <c r="K103" i="2"/>
  <c r="AJ103" i="2" s="1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K4" i="1"/>
  <c r="AL4" i="1"/>
  <c r="AM4" i="1"/>
  <c r="AN4" i="1"/>
  <c r="AO4" i="1"/>
  <c r="AQ4" i="1"/>
  <c r="AR4" i="1"/>
  <c r="AT4" i="1"/>
  <c r="BB4" i="1"/>
  <c r="AK5" i="1"/>
  <c r="AL5" i="1"/>
  <c r="AM5" i="1"/>
  <c r="AN5" i="1"/>
  <c r="AO5" i="1"/>
  <c r="AQ5" i="1"/>
  <c r="AR5" i="1"/>
  <c r="AT5" i="1"/>
  <c r="BB5" i="1"/>
  <c r="AK6" i="1"/>
  <c r="AL6" i="1"/>
  <c r="AM6" i="1"/>
  <c r="AN6" i="1"/>
  <c r="AO6" i="1"/>
  <c r="AQ6" i="1"/>
  <c r="AR6" i="1"/>
  <c r="AT6" i="1"/>
  <c r="BB6" i="1"/>
  <c r="AK7" i="1"/>
  <c r="AL7" i="1"/>
  <c r="AM7" i="1"/>
  <c r="AN7" i="1"/>
  <c r="AO7" i="1"/>
  <c r="AQ7" i="1"/>
  <c r="AM8" i="6" s="1"/>
  <c r="AN8" i="6" s="1"/>
  <c r="AR7" i="1"/>
  <c r="AS7" i="1"/>
  <c r="AM8" i="5" s="1"/>
  <c r="AT7" i="1"/>
  <c r="BB7" i="1"/>
  <c r="AK8" i="1"/>
  <c r="AL8" i="1"/>
  <c r="AM8" i="1"/>
  <c r="AN8" i="1"/>
  <c r="AO8" i="1"/>
  <c r="AQ8" i="1"/>
  <c r="AM9" i="6" s="1"/>
  <c r="AN9" i="6" s="1"/>
  <c r="AR8" i="1"/>
  <c r="AS8" i="1"/>
  <c r="AM9" i="5" s="1"/>
  <c r="AT8" i="1"/>
  <c r="BB8" i="1"/>
  <c r="AK9" i="1"/>
  <c r="AL9" i="1"/>
  <c r="AM9" i="1"/>
  <c r="AN9" i="1"/>
  <c r="AO9" i="1"/>
  <c r="AQ9" i="1"/>
  <c r="AR9" i="1"/>
  <c r="AT9" i="1"/>
  <c r="BB9" i="1"/>
  <c r="AK10" i="1"/>
  <c r="AL10" i="1"/>
  <c r="AM10" i="1"/>
  <c r="AN10" i="1"/>
  <c r="AO10" i="1"/>
  <c r="AQ10" i="1"/>
  <c r="AR10" i="1"/>
  <c r="AT10" i="1"/>
  <c r="BB10" i="1"/>
  <c r="AK11" i="1"/>
  <c r="AL11" i="1"/>
  <c r="AM11" i="1"/>
  <c r="AN11" i="1"/>
  <c r="AO11" i="1"/>
  <c r="AQ11" i="1"/>
  <c r="AM12" i="6" s="1"/>
  <c r="AN12" i="6" s="1"/>
  <c r="AR11" i="1"/>
  <c r="AS11" i="1" s="1"/>
  <c r="AM12" i="5" s="1"/>
  <c r="AT11" i="1"/>
  <c r="BB11" i="1"/>
  <c r="AK12" i="1"/>
  <c r="AL12" i="1"/>
  <c r="AM12" i="1"/>
  <c r="AN12" i="1"/>
  <c r="AO12" i="1"/>
  <c r="AQ12" i="1"/>
  <c r="AR12" i="1"/>
  <c r="AT12" i="1"/>
  <c r="BB12" i="1"/>
  <c r="AK13" i="1"/>
  <c r="AL13" i="1"/>
  <c r="AM13" i="1"/>
  <c r="AN13" i="1"/>
  <c r="AO13" i="1"/>
  <c r="AQ13" i="1"/>
  <c r="AR13" i="1"/>
  <c r="AT13" i="1"/>
  <c r="BB13" i="1"/>
  <c r="AK14" i="1"/>
  <c r="AL14" i="1"/>
  <c r="AM14" i="1"/>
  <c r="AN14" i="1"/>
  <c r="AO14" i="1"/>
  <c r="AQ14" i="1"/>
  <c r="AR14" i="1"/>
  <c r="AT14" i="1"/>
  <c r="BB14" i="1"/>
  <c r="AK15" i="1"/>
  <c r="AL15" i="1"/>
  <c r="AM15" i="1"/>
  <c r="AN15" i="1"/>
  <c r="AO15" i="1"/>
  <c r="AQ15" i="1"/>
  <c r="AR15" i="1"/>
  <c r="AT15" i="1"/>
  <c r="BB15" i="1"/>
  <c r="AK16" i="1"/>
  <c r="AL16" i="1"/>
  <c r="AM16" i="1"/>
  <c r="AN16" i="1"/>
  <c r="AO16" i="1"/>
  <c r="AQ16" i="1"/>
  <c r="AR16" i="1"/>
  <c r="AT16" i="1"/>
  <c r="BB16" i="1"/>
  <c r="AK17" i="1"/>
  <c r="AL17" i="1"/>
  <c r="AM17" i="1"/>
  <c r="AN17" i="1"/>
  <c r="AO17" i="1"/>
  <c r="AQ17" i="1"/>
  <c r="AR17" i="1"/>
  <c r="AT17" i="1"/>
  <c r="BB17" i="1"/>
  <c r="AK18" i="1"/>
  <c r="AL18" i="1"/>
  <c r="AM18" i="1"/>
  <c r="AN18" i="1"/>
  <c r="AO18" i="1"/>
  <c r="AQ18" i="1"/>
  <c r="AR18" i="1"/>
  <c r="AT18" i="1"/>
  <c r="BB18" i="1"/>
  <c r="AK19" i="1"/>
  <c r="AL19" i="1"/>
  <c r="AM19" i="1"/>
  <c r="AN19" i="1"/>
  <c r="AO19" i="1"/>
  <c r="AQ19" i="1"/>
  <c r="AR19" i="1"/>
  <c r="AT19" i="1"/>
  <c r="BB19" i="1"/>
  <c r="AK20" i="1"/>
  <c r="AL20" i="1"/>
  <c r="AM20" i="1"/>
  <c r="AN20" i="1"/>
  <c r="AO20" i="1"/>
  <c r="AQ20" i="1"/>
  <c r="AR20" i="1"/>
  <c r="AT20" i="1"/>
  <c r="BB20" i="1"/>
  <c r="AK21" i="1"/>
  <c r="AL21" i="1"/>
  <c r="AM21" i="1"/>
  <c r="AN21" i="1"/>
  <c r="AO21" i="1"/>
  <c r="AQ21" i="1"/>
  <c r="AR21" i="1"/>
  <c r="AT21" i="1"/>
  <c r="BB21" i="1"/>
  <c r="AK22" i="1"/>
  <c r="AL22" i="1"/>
  <c r="AM22" i="1"/>
  <c r="AN22" i="1"/>
  <c r="AO22" i="1"/>
  <c r="AQ22" i="1"/>
  <c r="AR22" i="1"/>
  <c r="AT22" i="1"/>
  <c r="BB22" i="1"/>
  <c r="AK23" i="1"/>
  <c r="AL23" i="1"/>
  <c r="AM23" i="1"/>
  <c r="AN23" i="1"/>
  <c r="AO23" i="1"/>
  <c r="AQ23" i="1"/>
  <c r="AR23" i="1"/>
  <c r="AT23" i="1"/>
  <c r="BB23" i="1"/>
  <c r="AK24" i="1"/>
  <c r="AL24" i="1"/>
  <c r="AM24" i="1"/>
  <c r="AN24" i="1"/>
  <c r="AO24" i="1"/>
  <c r="AQ24" i="1"/>
  <c r="AR24" i="1"/>
  <c r="AT24" i="1"/>
  <c r="BB24" i="1"/>
  <c r="AK25" i="1"/>
  <c r="AL25" i="1"/>
  <c r="AM25" i="1"/>
  <c r="AN25" i="1"/>
  <c r="AO25" i="1"/>
  <c r="AQ25" i="1"/>
  <c r="AR25" i="1"/>
  <c r="AT25" i="1"/>
  <c r="BB25" i="1"/>
  <c r="AK26" i="1"/>
  <c r="AL26" i="1"/>
  <c r="AM26" i="1"/>
  <c r="AN26" i="1"/>
  <c r="AO26" i="1"/>
  <c r="AQ26" i="1"/>
  <c r="AR26" i="1"/>
  <c r="AT26" i="1"/>
  <c r="BB26" i="1"/>
  <c r="AK27" i="1"/>
  <c r="AL27" i="1"/>
  <c r="AM27" i="1"/>
  <c r="AN27" i="1"/>
  <c r="AO27" i="1"/>
  <c r="AQ27" i="1"/>
  <c r="AR27" i="1"/>
  <c r="AT27" i="1"/>
  <c r="BB27" i="1"/>
  <c r="AK28" i="1"/>
  <c r="AL28" i="1"/>
  <c r="AM28" i="1"/>
  <c r="AN28" i="1"/>
  <c r="AO28" i="1"/>
  <c r="AQ28" i="1"/>
  <c r="AR28" i="1"/>
  <c r="AT28" i="1"/>
  <c r="BB28" i="1"/>
  <c r="AK29" i="1"/>
  <c r="AL29" i="1"/>
  <c r="AM29" i="1"/>
  <c r="AN29" i="1"/>
  <c r="AO29" i="1"/>
  <c r="AQ29" i="1"/>
  <c r="AR29" i="1"/>
  <c r="AT29" i="1"/>
  <c r="BB29" i="1"/>
  <c r="AK30" i="1"/>
  <c r="AL30" i="1"/>
  <c r="AM30" i="1"/>
  <c r="AN30" i="1"/>
  <c r="AO30" i="1"/>
  <c r="AQ30" i="1"/>
  <c r="AR30" i="1"/>
  <c r="AT30" i="1"/>
  <c r="BB30" i="1"/>
  <c r="AK31" i="1"/>
  <c r="AL31" i="1"/>
  <c r="AM31" i="1"/>
  <c r="AN31" i="1"/>
  <c r="AO31" i="1"/>
  <c r="AQ31" i="1"/>
  <c r="AR31" i="1"/>
  <c r="AT31" i="1"/>
  <c r="BB31" i="1"/>
  <c r="AK32" i="1"/>
  <c r="AL32" i="1"/>
  <c r="AM32" i="1"/>
  <c r="AN32" i="1"/>
  <c r="AO32" i="1"/>
  <c r="AQ32" i="1"/>
  <c r="AR32" i="1"/>
  <c r="AT32" i="1"/>
  <c r="BB32" i="1"/>
  <c r="AK33" i="1"/>
  <c r="AL33" i="1"/>
  <c r="AM33" i="1"/>
  <c r="AN33" i="1"/>
  <c r="AO33" i="1"/>
  <c r="AQ33" i="1"/>
  <c r="AR33" i="1"/>
  <c r="AT33" i="1"/>
  <c r="BB33" i="1"/>
  <c r="AK34" i="1"/>
  <c r="AL34" i="1"/>
  <c r="AM34" i="1"/>
  <c r="AN34" i="1"/>
  <c r="AO34" i="1"/>
  <c r="AQ34" i="1"/>
  <c r="AR34" i="1"/>
  <c r="AT34" i="1"/>
  <c r="BB34" i="1"/>
  <c r="AK35" i="1"/>
  <c r="AL35" i="1"/>
  <c r="AM35" i="1"/>
  <c r="AN35" i="1"/>
  <c r="AO35" i="1"/>
  <c r="AQ35" i="1"/>
  <c r="AR35" i="1"/>
  <c r="AT35" i="1"/>
  <c r="BB35" i="1"/>
  <c r="AK36" i="1"/>
  <c r="AL36" i="1"/>
  <c r="AM36" i="1"/>
  <c r="AN36" i="1"/>
  <c r="AO36" i="1"/>
  <c r="AQ36" i="1"/>
  <c r="AR36" i="1"/>
  <c r="AT36" i="1"/>
  <c r="BB36" i="1"/>
  <c r="AK37" i="1"/>
  <c r="AL37" i="1"/>
  <c r="AM37" i="1"/>
  <c r="AN37" i="1"/>
  <c r="AO37" i="1"/>
  <c r="AQ37" i="1"/>
  <c r="AR37" i="1"/>
  <c r="AT37" i="1"/>
  <c r="BB37" i="1"/>
  <c r="AK38" i="1"/>
  <c r="AL38" i="1"/>
  <c r="AM38" i="1"/>
  <c r="AN38" i="1"/>
  <c r="AO38" i="1"/>
  <c r="AQ38" i="1"/>
  <c r="AR38" i="1"/>
  <c r="AT38" i="1"/>
  <c r="BB38" i="1"/>
  <c r="AK39" i="1"/>
  <c r="AL39" i="1"/>
  <c r="AM39" i="1"/>
  <c r="AN39" i="1"/>
  <c r="AO39" i="1"/>
  <c r="AQ39" i="1"/>
  <c r="AR39" i="1"/>
  <c r="AT39" i="1"/>
  <c r="BB39" i="1"/>
  <c r="AK40" i="1"/>
  <c r="AL40" i="1"/>
  <c r="AM40" i="1"/>
  <c r="AN40" i="1"/>
  <c r="AO40" i="1"/>
  <c r="AQ40" i="1"/>
  <c r="AR40" i="1"/>
  <c r="AT40" i="1"/>
  <c r="BB40" i="1"/>
  <c r="AK41" i="1"/>
  <c r="AL41" i="1"/>
  <c r="AM41" i="1"/>
  <c r="AN41" i="1"/>
  <c r="AO41" i="1"/>
  <c r="AQ41" i="1"/>
  <c r="AR41" i="1"/>
  <c r="AT41" i="1"/>
  <c r="BB41" i="1"/>
  <c r="AK42" i="1"/>
  <c r="AL42" i="1"/>
  <c r="AM42" i="1"/>
  <c r="AN42" i="1"/>
  <c r="AO42" i="1"/>
  <c r="AQ42" i="1"/>
  <c r="AR42" i="1"/>
  <c r="AT42" i="1"/>
  <c r="BB42" i="1"/>
  <c r="AK43" i="1"/>
  <c r="AL43" i="1"/>
  <c r="AM43" i="1"/>
  <c r="AN43" i="1"/>
  <c r="AO43" i="1"/>
  <c r="AQ43" i="1"/>
  <c r="AR43" i="1"/>
  <c r="AT43" i="1"/>
  <c r="BB43" i="1"/>
  <c r="AK44" i="1"/>
  <c r="AL44" i="1"/>
  <c r="AM44" i="1"/>
  <c r="AN44" i="1"/>
  <c r="AO44" i="1"/>
  <c r="AQ44" i="1"/>
  <c r="AR44" i="1"/>
  <c r="AT44" i="1"/>
  <c r="BB44" i="1"/>
  <c r="AK45" i="1"/>
  <c r="AL45" i="1"/>
  <c r="AM45" i="1"/>
  <c r="AN45" i="1"/>
  <c r="AO45" i="1"/>
  <c r="AQ45" i="1"/>
  <c r="AR45" i="1"/>
  <c r="AT45" i="1"/>
  <c r="AK46" i="1"/>
  <c r="AL46" i="1"/>
  <c r="AM46" i="1"/>
  <c r="AN46" i="1"/>
  <c r="AO46" i="1"/>
  <c r="AQ46" i="1"/>
  <c r="AR46" i="1"/>
  <c r="AT46" i="1"/>
  <c r="BB46" i="1"/>
  <c r="AK47" i="1"/>
  <c r="AL47" i="1"/>
  <c r="AM47" i="1"/>
  <c r="AN47" i="1"/>
  <c r="AO47" i="1"/>
  <c r="AQ47" i="1"/>
  <c r="AR47" i="1"/>
  <c r="AT47" i="1"/>
  <c r="BB47" i="1"/>
  <c r="AK48" i="1"/>
  <c r="AL48" i="1"/>
  <c r="AM48" i="1"/>
  <c r="AN48" i="1"/>
  <c r="AO48" i="1"/>
  <c r="AQ48" i="1"/>
  <c r="AR48" i="1"/>
  <c r="AT48" i="1"/>
  <c r="BB48" i="1"/>
  <c r="AK49" i="1"/>
  <c r="AL49" i="1"/>
  <c r="AM49" i="1"/>
  <c r="AN49" i="1"/>
  <c r="AO49" i="1"/>
  <c r="AQ49" i="1"/>
  <c r="AR49" i="1"/>
  <c r="AT49" i="1"/>
  <c r="BB49" i="1"/>
  <c r="AK50" i="1"/>
  <c r="AL50" i="1"/>
  <c r="AM50" i="1"/>
  <c r="AN50" i="1"/>
  <c r="AO50" i="1"/>
  <c r="AQ50" i="1"/>
  <c r="AR50" i="1"/>
  <c r="AT50" i="1"/>
  <c r="BB50" i="1"/>
  <c r="AK51" i="1"/>
  <c r="AK73" i="1" s="1"/>
  <c r="AL51" i="1"/>
  <c r="AM51" i="1"/>
  <c r="AN51" i="1"/>
  <c r="AO51" i="1"/>
  <c r="AQ51" i="1"/>
  <c r="AR51" i="1"/>
  <c r="AT51" i="1"/>
  <c r="BB51" i="1"/>
  <c r="AK52" i="1"/>
  <c r="AL52" i="1"/>
  <c r="AM52" i="1"/>
  <c r="AN52" i="1"/>
  <c r="AO52" i="1"/>
  <c r="AQ52" i="1"/>
  <c r="AR52" i="1"/>
  <c r="AT52" i="1"/>
  <c r="BB52" i="1"/>
  <c r="AK53" i="1"/>
  <c r="AL53" i="1"/>
  <c r="AM53" i="1"/>
  <c r="AN53" i="1"/>
  <c r="AO53" i="1"/>
  <c r="AQ53" i="1"/>
  <c r="AR53" i="1"/>
  <c r="AT53" i="1"/>
  <c r="BB53" i="1"/>
  <c r="AK54" i="1"/>
  <c r="AL54" i="1"/>
  <c r="AM54" i="1"/>
  <c r="AN54" i="1"/>
  <c r="AO54" i="1"/>
  <c r="AQ54" i="1"/>
  <c r="AR54" i="1"/>
  <c r="AT54" i="1"/>
  <c r="BB54" i="1"/>
  <c r="AK55" i="1"/>
  <c r="AL55" i="1"/>
  <c r="AM55" i="1"/>
  <c r="AN55" i="1"/>
  <c r="AO55" i="1"/>
  <c r="AQ55" i="1"/>
  <c r="AR55" i="1"/>
  <c r="AT55" i="1"/>
  <c r="BB55" i="1"/>
  <c r="AK56" i="1"/>
  <c r="AL56" i="1"/>
  <c r="AM56" i="1"/>
  <c r="AN56" i="1"/>
  <c r="AO56" i="1"/>
  <c r="AQ56" i="1"/>
  <c r="AR56" i="1"/>
  <c r="AT56" i="1"/>
  <c r="BB56" i="1"/>
  <c r="AK57" i="1"/>
  <c r="AL57" i="1"/>
  <c r="AM57" i="1"/>
  <c r="AN57" i="1"/>
  <c r="AO57" i="1"/>
  <c r="AQ57" i="1"/>
  <c r="AR57" i="1"/>
  <c r="AT57" i="1"/>
  <c r="BB57" i="1"/>
  <c r="AK58" i="1"/>
  <c r="AL58" i="1"/>
  <c r="AM58" i="1"/>
  <c r="AN58" i="1"/>
  <c r="AO58" i="1"/>
  <c r="AQ58" i="1"/>
  <c r="AR58" i="1"/>
  <c r="AT58" i="1"/>
  <c r="BB58" i="1"/>
  <c r="AK59" i="1"/>
  <c r="AL59" i="1"/>
  <c r="AM59" i="1"/>
  <c r="AN59" i="1"/>
  <c r="AO59" i="1"/>
  <c r="AQ59" i="1"/>
  <c r="AR59" i="1"/>
  <c r="AT59" i="1"/>
  <c r="BB59" i="1"/>
  <c r="AK60" i="1"/>
  <c r="AL60" i="1"/>
  <c r="AM60" i="1"/>
  <c r="AN60" i="1"/>
  <c r="AO60" i="1"/>
  <c r="AQ60" i="1"/>
  <c r="AR60" i="1"/>
  <c r="AT60" i="1"/>
  <c r="BB60" i="1"/>
  <c r="AK61" i="1"/>
  <c r="AL61" i="1"/>
  <c r="AM61" i="1"/>
  <c r="AN61" i="1"/>
  <c r="AO61" i="1"/>
  <c r="AQ61" i="1"/>
  <c r="AR61" i="1"/>
  <c r="AT61" i="1"/>
  <c r="BB61" i="1"/>
  <c r="AK62" i="1"/>
  <c r="AL62" i="1"/>
  <c r="AM62" i="1"/>
  <c r="AN62" i="1"/>
  <c r="AO62" i="1"/>
  <c r="AQ62" i="1"/>
  <c r="AR62" i="1"/>
  <c r="AT62" i="1"/>
  <c r="BB62" i="1"/>
  <c r="AK63" i="1"/>
  <c r="AL63" i="1"/>
  <c r="AM63" i="1"/>
  <c r="AN63" i="1"/>
  <c r="AO63" i="1"/>
  <c r="AQ63" i="1"/>
  <c r="AR63" i="1"/>
  <c r="AT63" i="1"/>
  <c r="BB63" i="1"/>
  <c r="AK64" i="1"/>
  <c r="AL64" i="1"/>
  <c r="AM64" i="1"/>
  <c r="AN64" i="1"/>
  <c r="AO64" i="1"/>
  <c r="AQ64" i="1"/>
  <c r="AR64" i="1"/>
  <c r="AT64" i="1"/>
  <c r="BB64" i="1"/>
  <c r="AK65" i="1"/>
  <c r="AL65" i="1"/>
  <c r="AM65" i="1"/>
  <c r="AN65" i="1"/>
  <c r="AO65" i="1"/>
  <c r="AQ65" i="1"/>
  <c r="AR65" i="1"/>
  <c r="AT65" i="1"/>
  <c r="BB65" i="1"/>
  <c r="AK66" i="1"/>
  <c r="AL66" i="1"/>
  <c r="AM66" i="1"/>
  <c r="AN66" i="1"/>
  <c r="AO66" i="1"/>
  <c r="AQ66" i="1"/>
  <c r="AR66" i="1"/>
  <c r="AT66" i="1"/>
  <c r="BB66" i="1"/>
  <c r="AK67" i="1"/>
  <c r="AL67" i="1"/>
  <c r="AM67" i="1"/>
  <c r="AN67" i="1"/>
  <c r="AO67" i="1"/>
  <c r="AO73" i="1" s="1"/>
  <c r="AQ67" i="1"/>
  <c r="AR67" i="1"/>
  <c r="AT67" i="1"/>
  <c r="BB67" i="1"/>
  <c r="AK68" i="1"/>
  <c r="AL68" i="1"/>
  <c r="AM68" i="1"/>
  <c r="AN68" i="1"/>
  <c r="AO68" i="1"/>
  <c r="AQ68" i="1"/>
  <c r="AR68" i="1"/>
  <c r="AT68" i="1"/>
  <c r="BB68" i="1"/>
  <c r="AK69" i="1"/>
  <c r="AL69" i="1"/>
  <c r="AM69" i="1"/>
  <c r="AN69" i="1"/>
  <c r="AO69" i="1"/>
  <c r="AQ69" i="1"/>
  <c r="AR69" i="1"/>
  <c r="AT69" i="1"/>
  <c r="BB69" i="1"/>
  <c r="AK70" i="1"/>
  <c r="AL70" i="1"/>
  <c r="AM70" i="1"/>
  <c r="AN70" i="1"/>
  <c r="AO70" i="1"/>
  <c r="AQ70" i="1"/>
  <c r="AR70" i="1"/>
  <c r="AT70" i="1"/>
  <c r="BB70" i="1"/>
  <c r="AK71" i="1"/>
  <c r="AL71" i="1"/>
  <c r="AM71" i="1"/>
  <c r="AN71" i="1"/>
  <c r="AO71" i="1"/>
  <c r="AQ71" i="1"/>
  <c r="AR71" i="1"/>
  <c r="AT71" i="1"/>
  <c r="BB71" i="1"/>
  <c r="AK72" i="1"/>
  <c r="AL72" i="1"/>
  <c r="AM72" i="1"/>
  <c r="AN72" i="1"/>
  <c r="AO72" i="1"/>
  <c r="AQ72" i="1"/>
  <c r="AR72" i="1"/>
  <c r="AT72" i="1"/>
  <c r="BB72" i="1"/>
  <c r="A73" i="1"/>
  <c r="D73" i="1"/>
  <c r="D76" i="7" s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L73" i="1"/>
  <c r="AM73" i="1"/>
  <c r="AN73" i="1"/>
  <c r="AQ73" i="1"/>
  <c r="AS73" i="1" s="1"/>
  <c r="AR73" i="1"/>
  <c r="AT73" i="1"/>
  <c r="AU73" i="1"/>
  <c r="AV73" i="1"/>
  <c r="AW73" i="1"/>
  <c r="AX73" i="1"/>
  <c r="AY73" i="1"/>
  <c r="AZ73" i="1"/>
  <c r="BA73" i="1"/>
  <c r="BD73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U74" i="1"/>
  <c r="AV74" i="1"/>
  <c r="AW74" i="1"/>
  <c r="AX74" i="1"/>
  <c r="AY74" i="1"/>
  <c r="AZ74" i="1"/>
  <c r="BA74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M75" i="1" s="1"/>
  <c r="AH75" i="1"/>
  <c r="AI75" i="1"/>
  <c r="AJ75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AM76" i="1" s="1"/>
  <c r="Z76" i="1"/>
  <c r="AA76" i="1"/>
  <c r="AB76" i="1"/>
  <c r="AC76" i="1"/>
  <c r="AD76" i="1"/>
  <c r="AE76" i="1"/>
  <c r="AF76" i="1"/>
  <c r="AG76" i="1"/>
  <c r="AH76" i="1"/>
  <c r="AI76" i="1"/>
  <c r="AJ76" i="1"/>
  <c r="E77" i="1"/>
  <c r="E75" i="6" s="1"/>
  <c r="F77" i="1"/>
  <c r="F75" i="6" s="1"/>
  <c r="F76" i="6" s="1"/>
  <c r="G77" i="1"/>
  <c r="G75" i="6" s="1"/>
  <c r="G76" i="6" s="1"/>
  <c r="H77" i="1"/>
  <c r="H75" i="6" s="1"/>
  <c r="H76" i="6" s="1"/>
  <c r="I77" i="1"/>
  <c r="I75" i="6" s="1"/>
  <c r="I76" i="6" s="1"/>
  <c r="J77" i="1"/>
  <c r="J75" i="6" s="1"/>
  <c r="J76" i="6" s="1"/>
  <c r="K77" i="1"/>
  <c r="K75" i="6" s="1"/>
  <c r="K76" i="6" s="1"/>
  <c r="L77" i="1"/>
  <c r="L75" i="6" s="1"/>
  <c r="L76" i="6" s="1"/>
  <c r="M77" i="1"/>
  <c r="M75" i="6" s="1"/>
  <c r="M76" i="6" s="1"/>
  <c r="N77" i="1"/>
  <c r="N75" i="6" s="1"/>
  <c r="N76" i="6" s="1"/>
  <c r="O77" i="1"/>
  <c r="O75" i="6" s="1"/>
  <c r="O76" i="6" s="1"/>
  <c r="P77" i="1"/>
  <c r="P75" i="6" s="1"/>
  <c r="P76" i="6" s="1"/>
  <c r="Q77" i="1"/>
  <c r="Q75" i="6" s="1"/>
  <c r="Q76" i="6" s="1"/>
  <c r="R77" i="1"/>
  <c r="R75" i="6" s="1"/>
  <c r="R76" i="6" s="1"/>
  <c r="S77" i="1"/>
  <c r="S75" i="6" s="1"/>
  <c r="S76" i="6" s="1"/>
  <c r="T77" i="1"/>
  <c r="T75" i="6" s="1"/>
  <c r="T76" i="6" s="1"/>
  <c r="U77" i="1"/>
  <c r="U75" i="6" s="1"/>
  <c r="U76" i="6" s="1"/>
  <c r="V77" i="1"/>
  <c r="V75" i="6" s="1"/>
  <c r="V76" i="6" s="1"/>
  <c r="W77" i="1"/>
  <c r="W75" i="6" s="1"/>
  <c r="W76" i="6" s="1"/>
  <c r="X77" i="1"/>
  <c r="X75" i="6" s="1"/>
  <c r="X76" i="6" s="1"/>
  <c r="Y77" i="1"/>
  <c r="Y75" i="6" s="1"/>
  <c r="Y76" i="6" s="1"/>
  <c r="Z77" i="1"/>
  <c r="Z75" i="6" s="1"/>
  <c r="Z76" i="6" s="1"/>
  <c r="AA77" i="1"/>
  <c r="AA75" i="6" s="1"/>
  <c r="AA76" i="6" s="1"/>
  <c r="AB77" i="1"/>
  <c r="AB75" i="6" s="1"/>
  <c r="AB76" i="6" s="1"/>
  <c r="AC77" i="1"/>
  <c r="AC75" i="6" s="1"/>
  <c r="AC76" i="6" s="1"/>
  <c r="AD77" i="1"/>
  <c r="AD75" i="6" s="1"/>
  <c r="AD76" i="6" s="1"/>
  <c r="AE77" i="1"/>
  <c r="AE75" i="6" s="1"/>
  <c r="AE76" i="6" s="1"/>
  <c r="AF77" i="1"/>
  <c r="AF75" i="6" s="1"/>
  <c r="AF76" i="6" s="1"/>
  <c r="AG77" i="1"/>
  <c r="AG75" i="6" s="1"/>
  <c r="AG76" i="6" s="1"/>
  <c r="AH77" i="1"/>
  <c r="AH75" i="6" s="1"/>
  <c r="AH76" i="6" s="1"/>
  <c r="AI77" i="1"/>
  <c r="AI75" i="6" s="1"/>
  <c r="AI76" i="6" s="1"/>
  <c r="AJ77" i="1"/>
  <c r="AJ75" i="6" s="1"/>
  <c r="AJ76" i="6" s="1"/>
  <c r="AM77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M78" i="1" s="1"/>
  <c r="AH78" i="1"/>
  <c r="AI78" i="1"/>
  <c r="AJ78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M79" i="1" s="1"/>
  <c r="AG79" i="1"/>
  <c r="AH79" i="1"/>
  <c r="AI79" i="1"/>
  <c r="AJ79" i="1"/>
  <c r="D81" i="1"/>
  <c r="D82" i="1"/>
  <c r="D87" i="1" s="1"/>
  <c r="D83" i="1"/>
  <c r="D84" i="1"/>
  <c r="D85" i="1"/>
  <c r="D86" i="1"/>
  <c r="AL74" i="6" l="1"/>
  <c r="AL74" i="5"/>
  <c r="AL5" i="2"/>
  <c r="AL5" i="4"/>
  <c r="AL5" i="3"/>
  <c r="AS4" i="1"/>
  <c r="AM5" i="5" s="1"/>
  <c r="AN5" i="5" s="1"/>
  <c r="AM5" i="6"/>
  <c r="AL6" i="4"/>
  <c r="AM6" i="4" s="1"/>
  <c r="AL6" i="2"/>
  <c r="AM6" i="2" s="1"/>
  <c r="AL6" i="3"/>
  <c r="AM6" i="3" s="1"/>
  <c r="AM6" i="6"/>
  <c r="AN6" i="6" s="1"/>
  <c r="AS5" i="1"/>
  <c r="AM6" i="5" s="1"/>
  <c r="AN6" i="5" s="1"/>
  <c r="AL7" i="4"/>
  <c r="AM7" i="4" s="1"/>
  <c r="AL7" i="3"/>
  <c r="AM7" i="3" s="1"/>
  <c r="AL7" i="2"/>
  <c r="AM7" i="2" s="1"/>
  <c r="AS6" i="1"/>
  <c r="AM7" i="5" s="1"/>
  <c r="AN7" i="5" s="1"/>
  <c r="AM7" i="6"/>
  <c r="AN7" i="6" s="1"/>
  <c r="AL8" i="4"/>
  <c r="AM8" i="4" s="1"/>
  <c r="AL8" i="2"/>
  <c r="AM8" i="2" s="1"/>
  <c r="AL8" i="3"/>
  <c r="AM8" i="3" s="1"/>
  <c r="AL9" i="4"/>
  <c r="AM9" i="4" s="1"/>
  <c r="AL9" i="2"/>
  <c r="AM9" i="2" s="1"/>
  <c r="AL9" i="3"/>
  <c r="AM9" i="3" s="1"/>
  <c r="AL10" i="4"/>
  <c r="AM10" i="4" s="1"/>
  <c r="AL10" i="3"/>
  <c r="AM10" i="3" s="1"/>
  <c r="AL10" i="2"/>
  <c r="AM10" i="2" s="1"/>
  <c r="AM10" i="6"/>
  <c r="AN10" i="6" s="1"/>
  <c r="AS9" i="1"/>
  <c r="AM10" i="5" s="1"/>
  <c r="AN10" i="5" s="1"/>
  <c r="AL11" i="3"/>
  <c r="AM11" i="3" s="1"/>
  <c r="AL11" i="2"/>
  <c r="AM11" i="2" s="1"/>
  <c r="AL11" i="4"/>
  <c r="AM11" i="4" s="1"/>
  <c r="AM11" i="6"/>
  <c r="AN11" i="6" s="1"/>
  <c r="AS10" i="1"/>
  <c r="AM11" i="5" s="1"/>
  <c r="AN11" i="5" s="1"/>
  <c r="AL12" i="2"/>
  <c r="AM12" i="2" s="1"/>
  <c r="AL12" i="3"/>
  <c r="AM12" i="3" s="1"/>
  <c r="AL12" i="4"/>
  <c r="AM12" i="4" s="1"/>
  <c r="AL13" i="4"/>
  <c r="AM13" i="4" s="1"/>
  <c r="AL13" i="2"/>
  <c r="AM13" i="2" s="1"/>
  <c r="AL13" i="3"/>
  <c r="AM13" i="3" s="1"/>
  <c r="AS12" i="1"/>
  <c r="AM13" i="5" s="1"/>
  <c r="AN13" i="5" s="1"/>
  <c r="AM13" i="6"/>
  <c r="AN13" i="6" s="1"/>
  <c r="AL14" i="3"/>
  <c r="AM14" i="3" s="1"/>
  <c r="AL14" i="4"/>
  <c r="AM14" i="4" s="1"/>
  <c r="AL14" i="2"/>
  <c r="AM14" i="2" s="1"/>
  <c r="AS13" i="1"/>
  <c r="AM14" i="5" s="1"/>
  <c r="AN14" i="5" s="1"/>
  <c r="AM14" i="6"/>
  <c r="AN14" i="6" s="1"/>
  <c r="AL15" i="2"/>
  <c r="AM15" i="2" s="1"/>
  <c r="AL15" i="4"/>
  <c r="AM15" i="4" s="1"/>
  <c r="AL15" i="3"/>
  <c r="AM15" i="3" s="1"/>
  <c r="AS14" i="1"/>
  <c r="AM15" i="5" s="1"/>
  <c r="AN15" i="5" s="1"/>
  <c r="AM15" i="6"/>
  <c r="AN15" i="6" s="1"/>
  <c r="AL16" i="4"/>
  <c r="AM16" i="4" s="1"/>
  <c r="AL16" i="3"/>
  <c r="AM16" i="3" s="1"/>
  <c r="AL16" i="2"/>
  <c r="AM16" i="2" s="1"/>
  <c r="AS15" i="1"/>
  <c r="AM16" i="5" s="1"/>
  <c r="AN16" i="5" s="1"/>
  <c r="AM16" i="6"/>
  <c r="AN16" i="6" s="1"/>
  <c r="AL17" i="4"/>
  <c r="AM17" i="4" s="1"/>
  <c r="AL17" i="3"/>
  <c r="AM17" i="3" s="1"/>
  <c r="AL17" i="2"/>
  <c r="AM17" i="2" s="1"/>
  <c r="AS16" i="1"/>
  <c r="AM17" i="5" s="1"/>
  <c r="AN17" i="5" s="1"/>
  <c r="AM17" i="6"/>
  <c r="AN17" i="6" s="1"/>
  <c r="AL18" i="4"/>
  <c r="AM18" i="4" s="1"/>
  <c r="AL18" i="3"/>
  <c r="AM18" i="3" s="1"/>
  <c r="AL18" i="2"/>
  <c r="AM18" i="2" s="1"/>
  <c r="AM18" i="6"/>
  <c r="AN18" i="6" s="1"/>
  <c r="AS17" i="1"/>
  <c r="AM18" i="5" s="1"/>
  <c r="AN18" i="5" s="1"/>
  <c r="AL19" i="3"/>
  <c r="AM19" i="3" s="1"/>
  <c r="AL19" i="4"/>
  <c r="AM19" i="4" s="1"/>
  <c r="AL19" i="2"/>
  <c r="AM19" i="2" s="1"/>
  <c r="AM19" i="6"/>
  <c r="AN19" i="6" s="1"/>
  <c r="AS18" i="1"/>
  <c r="AM19" i="5" s="1"/>
  <c r="AN19" i="5" s="1"/>
  <c r="AL20" i="2"/>
  <c r="AM20" i="2" s="1"/>
  <c r="AL20" i="4"/>
  <c r="AM20" i="4" s="1"/>
  <c r="AL20" i="3"/>
  <c r="AM20" i="3" s="1"/>
  <c r="AS19" i="1"/>
  <c r="AM20" i="5" s="1"/>
  <c r="AN20" i="5" s="1"/>
  <c r="AM20" i="6"/>
  <c r="AN20" i="6" s="1"/>
  <c r="AL21" i="2"/>
  <c r="AM21" i="2" s="1"/>
  <c r="AL21" i="3"/>
  <c r="AM21" i="3" s="1"/>
  <c r="AL21" i="4"/>
  <c r="AM21" i="4" s="1"/>
  <c r="AM21" i="6"/>
  <c r="AN21" i="6" s="1"/>
  <c r="AS20" i="1"/>
  <c r="AM21" i="5" s="1"/>
  <c r="AN21" i="5" s="1"/>
  <c r="AL22" i="3"/>
  <c r="AM22" i="3" s="1"/>
  <c r="AL22" i="4"/>
  <c r="AM22" i="4" s="1"/>
  <c r="AL22" i="2"/>
  <c r="AM22" i="2" s="1"/>
  <c r="AS21" i="1"/>
  <c r="AM22" i="5" s="1"/>
  <c r="AN22" i="5" s="1"/>
  <c r="AM22" i="6"/>
  <c r="AN22" i="6" s="1"/>
  <c r="AL23" i="3"/>
  <c r="AM23" i="3" s="1"/>
  <c r="AL23" i="4"/>
  <c r="AM23" i="4" s="1"/>
  <c r="AL23" i="2"/>
  <c r="AM23" i="2" s="1"/>
  <c r="AM23" i="6"/>
  <c r="AN23" i="6" s="1"/>
  <c r="AS22" i="1"/>
  <c r="AM23" i="5" s="1"/>
  <c r="AN23" i="5" s="1"/>
  <c r="AL24" i="4"/>
  <c r="AM24" i="4" s="1"/>
  <c r="AL24" i="2"/>
  <c r="AM24" i="2" s="1"/>
  <c r="AL24" i="3"/>
  <c r="AM24" i="3" s="1"/>
  <c r="AM24" i="6"/>
  <c r="AN24" i="6" s="1"/>
  <c r="AS23" i="1"/>
  <c r="AM24" i="5" s="1"/>
  <c r="AN24" i="5" s="1"/>
  <c r="AL25" i="3"/>
  <c r="AM25" i="3" s="1"/>
  <c r="AL25" i="2"/>
  <c r="AM25" i="2" s="1"/>
  <c r="AL25" i="4"/>
  <c r="AM25" i="4" s="1"/>
  <c r="AM25" i="6"/>
  <c r="AN25" i="6" s="1"/>
  <c r="AS24" i="1"/>
  <c r="AM25" i="5" s="1"/>
  <c r="AN25" i="5" s="1"/>
  <c r="AL26" i="4"/>
  <c r="AM26" i="4" s="1"/>
  <c r="AL26" i="3"/>
  <c r="AM26" i="3" s="1"/>
  <c r="AL26" i="2"/>
  <c r="AM26" i="2" s="1"/>
  <c r="AM26" i="6"/>
  <c r="AN26" i="6" s="1"/>
  <c r="AS25" i="1"/>
  <c r="AM26" i="5" s="1"/>
  <c r="AN26" i="5" s="1"/>
  <c r="AL27" i="3"/>
  <c r="AM27" i="3" s="1"/>
  <c r="AL27" i="2"/>
  <c r="AM27" i="2" s="1"/>
  <c r="AL27" i="4"/>
  <c r="AM27" i="4" s="1"/>
  <c r="AM27" i="6"/>
  <c r="AN27" i="6" s="1"/>
  <c r="AS26" i="1"/>
  <c r="AM27" i="5" s="1"/>
  <c r="AN27" i="5" s="1"/>
  <c r="AL28" i="4"/>
  <c r="AM28" i="4" s="1"/>
  <c r="AL28" i="3"/>
  <c r="AM28" i="3" s="1"/>
  <c r="AL28" i="2"/>
  <c r="AM28" i="2" s="1"/>
  <c r="AS27" i="1"/>
  <c r="AM28" i="5" s="1"/>
  <c r="AN28" i="5" s="1"/>
  <c r="AM28" i="6"/>
  <c r="AN28" i="6" s="1"/>
  <c r="AL29" i="4"/>
  <c r="AM29" i="4" s="1"/>
  <c r="AL29" i="2"/>
  <c r="AM29" i="2" s="1"/>
  <c r="AL29" i="3"/>
  <c r="AM29" i="3" s="1"/>
  <c r="AS28" i="1"/>
  <c r="AM29" i="5" s="1"/>
  <c r="AN29" i="5" s="1"/>
  <c r="AM29" i="6"/>
  <c r="AN29" i="6" s="1"/>
  <c r="AL30" i="2"/>
  <c r="AM30" i="2" s="1"/>
  <c r="AL30" i="3"/>
  <c r="AM30" i="3" s="1"/>
  <c r="AL30" i="4"/>
  <c r="AM30" i="4" s="1"/>
  <c r="AM30" i="6"/>
  <c r="AN30" i="6" s="1"/>
  <c r="AS29" i="1"/>
  <c r="AM30" i="5" s="1"/>
  <c r="AN30" i="5" s="1"/>
  <c r="AL31" i="2"/>
  <c r="AM31" i="2" s="1"/>
  <c r="AL31" i="4"/>
  <c r="AM31" i="4" s="1"/>
  <c r="AL31" i="3"/>
  <c r="AM31" i="3" s="1"/>
  <c r="AM31" i="6"/>
  <c r="AN31" i="6" s="1"/>
  <c r="AS30" i="1"/>
  <c r="AM31" i="5" s="1"/>
  <c r="AN31" i="5" s="1"/>
  <c r="AL32" i="2"/>
  <c r="AM32" i="2" s="1"/>
  <c r="AL32" i="3"/>
  <c r="AM32" i="3" s="1"/>
  <c r="AL32" i="4"/>
  <c r="AM32" i="4" s="1"/>
  <c r="AM32" i="6"/>
  <c r="AN32" i="6" s="1"/>
  <c r="AS31" i="1"/>
  <c r="AM32" i="5" s="1"/>
  <c r="AN32" i="5" s="1"/>
  <c r="AL33" i="4"/>
  <c r="AM33" i="4" s="1"/>
  <c r="AL33" i="3"/>
  <c r="AM33" i="3" s="1"/>
  <c r="AL33" i="2"/>
  <c r="AM33" i="2" s="1"/>
  <c r="AM33" i="6"/>
  <c r="AN33" i="6" s="1"/>
  <c r="AS32" i="1"/>
  <c r="AM33" i="5" s="1"/>
  <c r="AN33" i="5" s="1"/>
  <c r="AL34" i="3"/>
  <c r="AM34" i="3" s="1"/>
  <c r="AL34" i="4"/>
  <c r="AM34" i="4" s="1"/>
  <c r="AL34" i="2"/>
  <c r="AM34" i="2" s="1"/>
  <c r="AM34" i="6"/>
  <c r="AN34" i="6" s="1"/>
  <c r="AS33" i="1"/>
  <c r="AM34" i="5" s="1"/>
  <c r="AN34" i="5" s="1"/>
  <c r="AL35" i="3"/>
  <c r="AM35" i="3" s="1"/>
  <c r="AL35" i="2"/>
  <c r="AM35" i="2" s="1"/>
  <c r="AL35" i="4"/>
  <c r="AM35" i="4" s="1"/>
  <c r="AM35" i="6"/>
  <c r="AN35" i="6" s="1"/>
  <c r="AS34" i="1"/>
  <c r="AM35" i="5" s="1"/>
  <c r="AN35" i="5" s="1"/>
  <c r="AL36" i="4"/>
  <c r="AM36" i="4" s="1"/>
  <c r="AL36" i="2"/>
  <c r="AM36" i="2" s="1"/>
  <c r="AL36" i="3"/>
  <c r="AM36" i="3" s="1"/>
  <c r="AS35" i="1"/>
  <c r="AM36" i="5" s="1"/>
  <c r="AN36" i="5" s="1"/>
  <c r="AM36" i="6"/>
  <c r="AN36" i="6" s="1"/>
  <c r="AL37" i="2"/>
  <c r="AM37" i="2" s="1"/>
  <c r="AL37" i="3"/>
  <c r="AM37" i="3" s="1"/>
  <c r="AL37" i="4"/>
  <c r="AM37" i="4" s="1"/>
  <c r="AM37" i="6"/>
  <c r="AN37" i="6" s="1"/>
  <c r="AS36" i="1"/>
  <c r="AM37" i="5" s="1"/>
  <c r="AN37" i="5" s="1"/>
  <c r="AL38" i="2"/>
  <c r="AM38" i="2" s="1"/>
  <c r="AL38" i="3"/>
  <c r="AM38" i="3" s="1"/>
  <c r="AL38" i="4"/>
  <c r="AM38" i="4" s="1"/>
  <c r="AM38" i="6"/>
  <c r="AN38" i="6" s="1"/>
  <c r="AS37" i="1"/>
  <c r="AM38" i="5" s="1"/>
  <c r="AN38" i="5" s="1"/>
  <c r="AL39" i="4"/>
  <c r="AM39" i="4" s="1"/>
  <c r="AL39" i="2"/>
  <c r="AM39" i="2" s="1"/>
  <c r="AL39" i="3"/>
  <c r="AM39" i="3" s="1"/>
  <c r="AM39" i="6"/>
  <c r="AN39" i="6" s="1"/>
  <c r="AS38" i="1"/>
  <c r="AM39" i="5" s="1"/>
  <c r="AN39" i="5" s="1"/>
  <c r="AL40" i="4"/>
  <c r="AM40" i="4" s="1"/>
  <c r="AL40" i="3"/>
  <c r="AM40" i="3" s="1"/>
  <c r="AL40" i="2"/>
  <c r="AM40" i="2" s="1"/>
  <c r="AM40" i="6"/>
  <c r="AN40" i="6" s="1"/>
  <c r="AS39" i="1"/>
  <c r="AM40" i="5" s="1"/>
  <c r="AN40" i="5" s="1"/>
  <c r="AL41" i="3"/>
  <c r="AM41" i="3" s="1"/>
  <c r="AL41" i="4"/>
  <c r="AM41" i="4" s="1"/>
  <c r="AL41" i="2"/>
  <c r="AM41" i="2" s="1"/>
  <c r="AM41" i="6"/>
  <c r="AN41" i="6" s="1"/>
  <c r="AS40" i="1"/>
  <c r="AM41" i="5" s="1"/>
  <c r="AN41" i="5" s="1"/>
  <c r="AL42" i="3"/>
  <c r="AM42" i="3" s="1"/>
  <c r="AL42" i="2"/>
  <c r="AM42" i="2" s="1"/>
  <c r="AL42" i="4"/>
  <c r="AM42" i="4" s="1"/>
  <c r="AM42" i="6"/>
  <c r="AN42" i="6" s="1"/>
  <c r="AS41" i="1"/>
  <c r="AM42" i="5" s="1"/>
  <c r="AN42" i="5" s="1"/>
  <c r="AL43" i="4"/>
  <c r="AM43" i="4" s="1"/>
  <c r="AL43" i="3"/>
  <c r="AM43" i="3" s="1"/>
  <c r="AL43" i="2"/>
  <c r="AM43" i="2" s="1"/>
  <c r="AM43" i="6"/>
  <c r="AN43" i="6" s="1"/>
  <c r="AS42" i="1"/>
  <c r="AM43" i="5" s="1"/>
  <c r="AN43" i="5" s="1"/>
  <c r="AL44" i="3"/>
  <c r="AM44" i="3" s="1"/>
  <c r="AL44" i="2"/>
  <c r="AM44" i="2" s="1"/>
  <c r="AL44" i="4"/>
  <c r="AM44" i="4" s="1"/>
  <c r="AM44" i="6"/>
  <c r="AN44" i="6" s="1"/>
  <c r="AS43" i="1"/>
  <c r="AM44" i="5" s="1"/>
  <c r="AN44" i="5" s="1"/>
  <c r="AL45" i="3"/>
  <c r="AM45" i="3" s="1"/>
  <c r="AL45" i="2"/>
  <c r="AM45" i="2" s="1"/>
  <c r="AL45" i="4"/>
  <c r="AM45" i="4" s="1"/>
  <c r="AS44" i="1"/>
  <c r="AM45" i="5" s="1"/>
  <c r="AN45" i="5" s="1"/>
  <c r="AM45" i="6"/>
  <c r="AN45" i="6" s="1"/>
  <c r="AL46" i="3"/>
  <c r="AM46" i="3" s="1"/>
  <c r="AL46" i="4"/>
  <c r="AM46" i="4" s="1"/>
  <c r="AL46" i="2"/>
  <c r="AM46" i="2" s="1"/>
  <c r="AM46" i="6"/>
  <c r="AN46" i="6" s="1"/>
  <c r="AS45" i="1"/>
  <c r="AM46" i="5" s="1"/>
  <c r="AN46" i="5" s="1"/>
  <c r="AL47" i="3"/>
  <c r="AM47" i="3" s="1"/>
  <c r="AL47" i="2"/>
  <c r="AM47" i="2" s="1"/>
  <c r="AL47" i="4"/>
  <c r="AM47" i="4" s="1"/>
  <c r="AS46" i="1"/>
  <c r="AM47" i="5" s="1"/>
  <c r="AN47" i="5" s="1"/>
  <c r="AM47" i="6"/>
  <c r="AN47" i="6" s="1"/>
  <c r="AL48" i="2"/>
  <c r="AM48" i="2" s="1"/>
  <c r="AL48" i="4"/>
  <c r="AM48" i="4" s="1"/>
  <c r="AL48" i="3"/>
  <c r="AM48" i="3" s="1"/>
  <c r="AM48" i="6"/>
  <c r="AN48" i="6" s="1"/>
  <c r="AS47" i="1"/>
  <c r="AM48" i="5" s="1"/>
  <c r="AN48" i="5" s="1"/>
  <c r="AL49" i="4"/>
  <c r="AM49" i="4" s="1"/>
  <c r="AL49" i="2"/>
  <c r="AM49" i="2" s="1"/>
  <c r="AL49" i="3"/>
  <c r="AM49" i="3" s="1"/>
  <c r="AM49" i="6"/>
  <c r="AN49" i="6" s="1"/>
  <c r="AS48" i="1"/>
  <c r="AM49" i="5" s="1"/>
  <c r="AN49" i="5" s="1"/>
  <c r="AL50" i="2"/>
  <c r="AM50" i="2" s="1"/>
  <c r="AL50" i="3"/>
  <c r="AM50" i="3" s="1"/>
  <c r="AL50" i="4"/>
  <c r="AM50" i="4" s="1"/>
  <c r="AS49" i="1"/>
  <c r="AM50" i="5" s="1"/>
  <c r="AN50" i="5" s="1"/>
  <c r="AM50" i="6"/>
  <c r="AN50" i="6" s="1"/>
  <c r="AL51" i="2"/>
  <c r="AM51" i="2" s="1"/>
  <c r="AL51" i="3"/>
  <c r="AM51" i="3" s="1"/>
  <c r="AL51" i="4"/>
  <c r="AM51" i="4" s="1"/>
  <c r="AM51" i="6"/>
  <c r="AN51" i="6" s="1"/>
  <c r="AS50" i="1"/>
  <c r="AM51" i="5" s="1"/>
  <c r="AN51" i="5" s="1"/>
  <c r="AL52" i="2"/>
  <c r="AM52" i="2" s="1"/>
  <c r="AL52" i="4"/>
  <c r="AM52" i="4" s="1"/>
  <c r="AL52" i="3"/>
  <c r="AM52" i="3" s="1"/>
  <c r="AS51" i="1"/>
  <c r="AM52" i="5" s="1"/>
  <c r="AN52" i="5" s="1"/>
  <c r="AM52" i="6"/>
  <c r="AN52" i="6" s="1"/>
  <c r="AL53" i="2"/>
  <c r="AM53" i="2" s="1"/>
  <c r="AL53" i="3"/>
  <c r="AM53" i="3" s="1"/>
  <c r="AL53" i="4"/>
  <c r="AM53" i="4" s="1"/>
  <c r="AS52" i="1"/>
  <c r="AM53" i="5" s="1"/>
  <c r="AN53" i="5" s="1"/>
  <c r="AM53" i="6"/>
  <c r="AN53" i="6" s="1"/>
  <c r="AL54" i="3"/>
  <c r="AM54" i="3" s="1"/>
  <c r="AL54" i="4"/>
  <c r="AM54" i="4" s="1"/>
  <c r="AL54" i="2"/>
  <c r="AM54" i="2" s="1"/>
  <c r="AM54" i="6"/>
  <c r="AN54" i="6" s="1"/>
  <c r="AS53" i="1"/>
  <c r="AM54" i="5" s="1"/>
  <c r="AN54" i="5" s="1"/>
  <c r="AL55" i="4"/>
  <c r="AM55" i="4" s="1"/>
  <c r="AL55" i="2"/>
  <c r="AM55" i="2" s="1"/>
  <c r="AL55" i="3"/>
  <c r="AM55" i="3" s="1"/>
  <c r="AS54" i="1"/>
  <c r="AM55" i="5" s="1"/>
  <c r="AN55" i="5" s="1"/>
  <c r="AM55" i="6"/>
  <c r="AN55" i="6" s="1"/>
  <c r="AL56" i="4"/>
  <c r="AM56" i="4" s="1"/>
  <c r="AL56" i="2"/>
  <c r="AM56" i="2" s="1"/>
  <c r="AL56" i="3"/>
  <c r="AM56" i="3" s="1"/>
  <c r="AS55" i="1"/>
  <c r="AM56" i="5" s="1"/>
  <c r="AN56" i="5" s="1"/>
  <c r="AM56" i="6"/>
  <c r="AN56" i="6" s="1"/>
  <c r="AL57" i="2"/>
  <c r="AM57" i="2" s="1"/>
  <c r="AL57" i="3"/>
  <c r="AM57" i="3" s="1"/>
  <c r="AL57" i="4"/>
  <c r="AM57" i="4" s="1"/>
  <c r="AM57" i="6"/>
  <c r="AN57" i="6" s="1"/>
  <c r="AS56" i="1"/>
  <c r="AM57" i="5" s="1"/>
  <c r="AN57" i="5" s="1"/>
  <c r="AL58" i="4"/>
  <c r="AM58" i="4" s="1"/>
  <c r="AL58" i="3"/>
  <c r="AM58" i="3" s="1"/>
  <c r="AL58" i="2"/>
  <c r="AM58" i="2" s="1"/>
  <c r="AM58" i="6"/>
  <c r="AN58" i="6" s="1"/>
  <c r="AS57" i="1"/>
  <c r="AM58" i="5" s="1"/>
  <c r="AN58" i="5" s="1"/>
  <c r="AL59" i="2"/>
  <c r="AM59" i="2" s="1"/>
  <c r="AL59" i="4"/>
  <c r="AM59" i="4" s="1"/>
  <c r="AL59" i="3"/>
  <c r="AM59" i="3" s="1"/>
  <c r="AM59" i="6"/>
  <c r="AN59" i="6" s="1"/>
  <c r="AS58" i="1"/>
  <c r="AM59" i="5" s="1"/>
  <c r="AN59" i="5" s="1"/>
  <c r="AL60" i="2"/>
  <c r="AM60" i="2" s="1"/>
  <c r="AL60" i="4"/>
  <c r="AM60" i="4" s="1"/>
  <c r="AL60" i="3"/>
  <c r="AM60" i="3" s="1"/>
  <c r="AS59" i="1"/>
  <c r="AM60" i="5" s="1"/>
  <c r="AN60" i="5" s="1"/>
  <c r="AM60" i="6"/>
  <c r="AN60" i="6" s="1"/>
  <c r="AL61" i="4"/>
  <c r="AM61" i="4" s="1"/>
  <c r="AL61" i="3"/>
  <c r="AM61" i="3" s="1"/>
  <c r="AL61" i="2"/>
  <c r="AM61" i="2" s="1"/>
  <c r="AS60" i="1"/>
  <c r="AM61" i="5" s="1"/>
  <c r="AN61" i="5" s="1"/>
  <c r="AM61" i="6"/>
  <c r="AN61" i="6" s="1"/>
  <c r="AL62" i="4"/>
  <c r="AM62" i="4" s="1"/>
  <c r="AL62" i="2"/>
  <c r="AM62" i="2" s="1"/>
  <c r="AL62" i="3"/>
  <c r="AM62" i="3" s="1"/>
  <c r="AS61" i="1"/>
  <c r="AM62" i="5" s="1"/>
  <c r="AN62" i="5" s="1"/>
  <c r="AM62" i="6"/>
  <c r="AN62" i="6" s="1"/>
  <c r="AL63" i="4"/>
  <c r="AM63" i="4" s="1"/>
  <c r="AL63" i="2"/>
  <c r="AM63" i="2" s="1"/>
  <c r="AL63" i="3"/>
  <c r="AM63" i="3" s="1"/>
  <c r="AS62" i="1"/>
  <c r="AM63" i="5" s="1"/>
  <c r="AN63" i="5" s="1"/>
  <c r="AM63" i="6"/>
  <c r="AN63" i="6" s="1"/>
  <c r="AL64" i="4"/>
  <c r="AM64" i="4" s="1"/>
  <c r="AL64" i="3"/>
  <c r="AM64" i="3" s="1"/>
  <c r="AL64" i="2"/>
  <c r="AM64" i="2" s="1"/>
  <c r="AS63" i="1"/>
  <c r="AM64" i="5" s="1"/>
  <c r="AN64" i="5" s="1"/>
  <c r="AM64" i="6"/>
  <c r="AN64" i="6" s="1"/>
  <c r="AL65" i="3"/>
  <c r="AM65" i="3" s="1"/>
  <c r="AL65" i="4"/>
  <c r="AM65" i="4" s="1"/>
  <c r="AL65" i="2"/>
  <c r="AM65" i="2" s="1"/>
  <c r="AM65" i="6"/>
  <c r="AN65" i="6" s="1"/>
  <c r="AS64" i="1"/>
  <c r="AM65" i="5" s="1"/>
  <c r="AN65" i="5" s="1"/>
  <c r="AL66" i="4"/>
  <c r="AM66" i="4" s="1"/>
  <c r="AL66" i="3"/>
  <c r="AM66" i="3" s="1"/>
  <c r="AL66" i="2"/>
  <c r="AM66" i="2" s="1"/>
  <c r="AM66" i="6"/>
  <c r="AN66" i="6" s="1"/>
  <c r="AS65" i="1"/>
  <c r="AM66" i="5" s="1"/>
  <c r="AN66" i="5" s="1"/>
  <c r="AL67" i="2"/>
  <c r="AM67" i="2" s="1"/>
  <c r="AL67" i="4"/>
  <c r="AM67" i="4" s="1"/>
  <c r="AL67" i="3"/>
  <c r="AM67" i="3" s="1"/>
  <c r="AS66" i="1"/>
  <c r="AM67" i="5" s="1"/>
  <c r="AN67" i="5" s="1"/>
  <c r="AM67" i="6"/>
  <c r="AN67" i="6" s="1"/>
  <c r="AL68" i="3"/>
  <c r="AM68" i="3" s="1"/>
  <c r="AL68" i="4"/>
  <c r="AM68" i="4" s="1"/>
  <c r="AL68" i="2"/>
  <c r="AM68" i="2" s="1"/>
  <c r="AM68" i="6"/>
  <c r="AN68" i="6" s="1"/>
  <c r="AS67" i="1"/>
  <c r="AM68" i="5" s="1"/>
  <c r="AN68" i="5" s="1"/>
  <c r="AL69" i="2"/>
  <c r="AM69" i="2" s="1"/>
  <c r="AL69" i="4"/>
  <c r="AM69" i="4" s="1"/>
  <c r="AL69" i="3"/>
  <c r="AM69" i="3" s="1"/>
  <c r="AS68" i="1"/>
  <c r="AM69" i="5" s="1"/>
  <c r="AN69" i="5" s="1"/>
  <c r="AM69" i="6"/>
  <c r="AN69" i="6" s="1"/>
  <c r="AL70" i="2"/>
  <c r="AM70" i="2" s="1"/>
  <c r="AL70" i="4"/>
  <c r="AM70" i="4" s="1"/>
  <c r="AL70" i="3"/>
  <c r="AM70" i="3" s="1"/>
  <c r="AM70" i="6"/>
  <c r="AN70" i="6" s="1"/>
  <c r="AS69" i="1"/>
  <c r="AM70" i="5" s="1"/>
  <c r="AN70" i="5" s="1"/>
  <c r="AL71" i="3"/>
  <c r="AM71" i="3" s="1"/>
  <c r="AL71" i="2"/>
  <c r="AM71" i="2" s="1"/>
  <c r="AL71" i="4"/>
  <c r="AM71" i="4" s="1"/>
  <c r="AS70" i="1"/>
  <c r="AM71" i="5" s="1"/>
  <c r="AN71" i="5" s="1"/>
  <c r="AM71" i="6"/>
  <c r="AN71" i="6" s="1"/>
  <c r="AL72" i="4"/>
  <c r="AM72" i="4" s="1"/>
  <c r="AL72" i="2"/>
  <c r="AM72" i="2" s="1"/>
  <c r="AL72" i="3"/>
  <c r="AM72" i="3" s="1"/>
  <c r="AM72" i="6"/>
  <c r="AN72" i="6" s="1"/>
  <c r="AS71" i="1"/>
  <c r="AM72" i="5" s="1"/>
  <c r="AN72" i="5" s="1"/>
  <c r="AL73" i="2"/>
  <c r="AM73" i="2" s="1"/>
  <c r="AL73" i="3"/>
  <c r="AM73" i="3" s="1"/>
  <c r="AL73" i="4"/>
  <c r="AM73" i="4" s="1"/>
  <c r="AM73" i="6"/>
  <c r="AN73" i="6" s="1"/>
  <c r="AS72" i="1"/>
  <c r="AM73" i="5" s="1"/>
  <c r="AN73" i="5" s="1"/>
  <c r="D80" i="7"/>
  <c r="D78" i="7"/>
  <c r="D77" i="7"/>
  <c r="D75" i="4"/>
  <c r="D75" i="3"/>
  <c r="D76" i="3" s="1"/>
  <c r="D75" i="2"/>
  <c r="E75" i="4"/>
  <c r="E76" i="4" s="1"/>
  <c r="E75" i="2"/>
  <c r="E76" i="2" s="1"/>
  <c r="E75" i="3"/>
  <c r="E76" i="3" s="1"/>
  <c r="F75" i="2"/>
  <c r="F76" i="2" s="1"/>
  <c r="F75" i="4"/>
  <c r="F76" i="4" s="1"/>
  <c r="F75" i="3"/>
  <c r="F76" i="3" s="1"/>
  <c r="G75" i="3"/>
  <c r="G76" i="3" s="1"/>
  <c r="G75" i="2"/>
  <c r="G76" i="2" s="1"/>
  <c r="G75" i="4"/>
  <c r="G76" i="4" s="1"/>
  <c r="H75" i="4"/>
  <c r="H76" i="4" s="1"/>
  <c r="H75" i="3"/>
  <c r="H76" i="3" s="1"/>
  <c r="H75" i="2"/>
  <c r="H76" i="2" s="1"/>
  <c r="I75" i="3"/>
  <c r="I76" i="3" s="1"/>
  <c r="I75" i="2"/>
  <c r="I76" i="2" s="1"/>
  <c r="I75" i="4"/>
  <c r="I76" i="4" s="1"/>
  <c r="J75" i="3"/>
  <c r="J76" i="3" s="1"/>
  <c r="J75" i="4"/>
  <c r="J76" i="4" s="1"/>
  <c r="J75" i="2"/>
  <c r="J76" i="2" s="1"/>
  <c r="K75" i="4"/>
  <c r="K76" i="4" s="1"/>
  <c r="K75" i="3"/>
  <c r="K76" i="3" s="1"/>
  <c r="K75" i="2"/>
  <c r="K76" i="2" s="1"/>
  <c r="L75" i="3"/>
  <c r="L76" i="3" s="1"/>
  <c r="L75" i="2"/>
  <c r="L76" i="2" s="1"/>
  <c r="L75" i="4"/>
  <c r="L76" i="4" s="1"/>
  <c r="M75" i="3"/>
  <c r="M76" i="3" s="1"/>
  <c r="M75" i="2"/>
  <c r="M76" i="2" s="1"/>
  <c r="M75" i="4"/>
  <c r="M76" i="4" s="1"/>
  <c r="N75" i="4"/>
  <c r="N76" i="4" s="1"/>
  <c r="N75" i="2"/>
  <c r="N76" i="2" s="1"/>
  <c r="N75" i="3"/>
  <c r="N76" i="3" s="1"/>
  <c r="O75" i="2"/>
  <c r="O76" i="2" s="1"/>
  <c r="O75" i="3"/>
  <c r="O76" i="3" s="1"/>
  <c r="O75" i="4"/>
  <c r="O76" i="4" s="1"/>
  <c r="P75" i="3"/>
  <c r="P76" i="3" s="1"/>
  <c r="P75" i="2"/>
  <c r="P76" i="2" s="1"/>
  <c r="P75" i="4"/>
  <c r="P76" i="4" s="1"/>
  <c r="Q75" i="4"/>
  <c r="Q76" i="4" s="1"/>
  <c r="Q75" i="2"/>
  <c r="Q76" i="2" s="1"/>
  <c r="Q75" i="3"/>
  <c r="Q76" i="3" s="1"/>
  <c r="R75" i="3"/>
  <c r="R76" i="3" s="1"/>
  <c r="R75" i="2"/>
  <c r="R76" i="2" s="1"/>
  <c r="R75" i="4"/>
  <c r="R76" i="4" s="1"/>
  <c r="S75" i="3"/>
  <c r="S76" i="3" s="1"/>
  <c r="S75" i="2"/>
  <c r="S76" i="2" s="1"/>
  <c r="S75" i="4"/>
  <c r="S76" i="4" s="1"/>
  <c r="T75" i="3"/>
  <c r="T76" i="3" s="1"/>
  <c r="T75" i="2"/>
  <c r="T76" i="2" s="1"/>
  <c r="T75" i="4"/>
  <c r="T76" i="4" s="1"/>
  <c r="U75" i="2"/>
  <c r="U76" i="2" s="1"/>
  <c r="U75" i="3"/>
  <c r="U76" i="3" s="1"/>
  <c r="U75" i="4"/>
  <c r="U76" i="4" s="1"/>
  <c r="V75" i="2"/>
  <c r="V76" i="2" s="1"/>
  <c r="V75" i="4"/>
  <c r="V76" i="4" s="1"/>
  <c r="V75" i="3"/>
  <c r="V76" i="3" s="1"/>
  <c r="W75" i="3"/>
  <c r="W76" i="3" s="1"/>
  <c r="W75" i="4"/>
  <c r="W76" i="4" s="1"/>
  <c r="W75" i="2"/>
  <c r="W76" i="2" s="1"/>
  <c r="X75" i="2"/>
  <c r="X76" i="2" s="1"/>
  <c r="X75" i="3"/>
  <c r="X76" i="3" s="1"/>
  <c r="X75" i="4"/>
  <c r="X76" i="4" s="1"/>
  <c r="Y75" i="4"/>
  <c r="Y76" i="4" s="1"/>
  <c r="Y75" i="3"/>
  <c r="Y76" i="3" s="1"/>
  <c r="Y75" i="2"/>
  <c r="Y76" i="2" s="1"/>
  <c r="Z75" i="3"/>
  <c r="Z76" i="3" s="1"/>
  <c r="Z75" i="2"/>
  <c r="Z76" i="2" s="1"/>
  <c r="Z75" i="4"/>
  <c r="Z76" i="4" s="1"/>
  <c r="AA75" i="4"/>
  <c r="AA76" i="4" s="1"/>
  <c r="AA75" i="3"/>
  <c r="AA76" i="3" s="1"/>
  <c r="AA75" i="2"/>
  <c r="AA76" i="2" s="1"/>
  <c r="AB75" i="2"/>
  <c r="AB76" i="2" s="1"/>
  <c r="AB75" i="4"/>
  <c r="AB76" i="4" s="1"/>
  <c r="AB75" i="3"/>
  <c r="AB76" i="3" s="1"/>
  <c r="AC75" i="4"/>
  <c r="AC76" i="4" s="1"/>
  <c r="AC75" i="3"/>
  <c r="AC76" i="3" s="1"/>
  <c r="AC75" i="2"/>
  <c r="AC76" i="2" s="1"/>
  <c r="AD75" i="3"/>
  <c r="AD76" i="3" s="1"/>
  <c r="AD75" i="4"/>
  <c r="AD76" i="4" s="1"/>
  <c r="AD75" i="2"/>
  <c r="AD76" i="2" s="1"/>
  <c r="AE75" i="3"/>
  <c r="AE76" i="3" s="1"/>
  <c r="AE75" i="4"/>
  <c r="AE76" i="4" s="1"/>
  <c r="AE75" i="2"/>
  <c r="AE76" i="2" s="1"/>
  <c r="AF75" i="4"/>
  <c r="AF76" i="4" s="1"/>
  <c r="AF75" i="3"/>
  <c r="AF76" i="3" s="1"/>
  <c r="AF75" i="2"/>
  <c r="AF76" i="2" s="1"/>
  <c r="AM74" i="1"/>
  <c r="AG75" i="4"/>
  <c r="AG76" i="4" s="1"/>
  <c r="AG75" i="2"/>
  <c r="AG76" i="2" s="1"/>
  <c r="AG75" i="3"/>
  <c r="AG76" i="3" s="1"/>
  <c r="AH75" i="3"/>
  <c r="AH76" i="3" s="1"/>
  <c r="AH75" i="2"/>
  <c r="AH76" i="2" s="1"/>
  <c r="AH75" i="4"/>
  <c r="AH76" i="4" s="1"/>
  <c r="AI75" i="4"/>
  <c r="AI76" i="4" s="1"/>
  <c r="AI75" i="3"/>
  <c r="AI76" i="3" s="1"/>
  <c r="AI75" i="2"/>
  <c r="AI76" i="2" s="1"/>
  <c r="AK75" i="6"/>
  <c r="E76" i="6"/>
  <c r="AK76" i="6" l="1"/>
  <c r="AN74" i="6"/>
  <c r="AL74" i="2"/>
  <c r="AM74" i="2" s="1"/>
  <c r="AM5" i="2"/>
  <c r="AL74" i="4"/>
  <c r="AM74" i="4" s="1"/>
  <c r="AM5" i="4"/>
  <c r="AM5" i="3"/>
  <c r="AL74" i="3"/>
  <c r="AM74" i="3" s="1"/>
  <c r="AM74" i="6"/>
  <c r="AN5" i="6"/>
  <c r="AJ75" i="4"/>
  <c r="AJ76" i="4" s="1"/>
  <c r="D76" i="4"/>
  <c r="AJ75" i="2"/>
  <c r="D76" i="2"/>
  <c r="AM74" i="5"/>
  <c r="AN7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MariAnne</author>
  </authors>
  <commentList>
    <comment ref="D87" authorId="0" shapeId="0" xr:uid="{51F485CE-CBCF-495A-9284-4E526ABBC982}">
      <text>
        <r>
          <rPr>
            <b/>
            <sz val="9"/>
            <color indexed="81"/>
            <rFont val="Tahoma"/>
            <family val="2"/>
          </rPr>
          <t>MariAnne:</t>
        </r>
        <r>
          <rPr>
            <sz val="9"/>
            <color indexed="81"/>
            <rFont val="Tahoma"/>
            <family val="2"/>
          </rPr>
          <t xml:space="preserve">
Peab võrduma luustike arvuga</t>
        </r>
      </text>
    </comment>
  </commentList>
</comments>
</file>

<file path=xl/sharedStrings.xml><?xml version="1.0" encoding="utf-8"?>
<sst xmlns="http://schemas.openxmlformats.org/spreadsheetml/2006/main" count="853" uniqueCount="175">
  <si>
    <t>Ülalõug</t>
  </si>
  <si>
    <t>Alalõug</t>
  </si>
  <si>
    <t>Täida</t>
  </si>
  <si>
    <t>Parem</t>
  </si>
  <si>
    <t>Vasak</t>
  </si>
  <si>
    <t>Kontrollarv (automaatne)</t>
  </si>
  <si>
    <t>Kas esineb: tühi=ei; 1=jah</t>
  </si>
  <si>
    <t>0 kuni 6 (autom.)</t>
  </si>
  <si>
    <t>Nr</t>
  </si>
  <si>
    <t>Sugu</t>
  </si>
  <si>
    <t>Vanus</t>
  </si>
  <si>
    <t>Hambaid (1/0)</t>
  </si>
  <si>
    <t>M3</t>
  </si>
  <si>
    <t>M2</t>
  </si>
  <si>
    <t>M1</t>
  </si>
  <si>
    <t>PM2</t>
  </si>
  <si>
    <t>PM1</t>
  </si>
  <si>
    <t>C</t>
  </si>
  <si>
    <t>I2</t>
  </si>
  <si>
    <t>I1</t>
  </si>
  <si>
    <t>Säilinud</t>
  </si>
  <si>
    <t>AM</t>
  </si>
  <si>
    <t>PM</t>
  </si>
  <si>
    <t>Lõikunud</t>
  </si>
  <si>
    <t>Lõikumata</t>
  </si>
  <si>
    <t>KOKKU</t>
  </si>
  <si>
    <t>? = NA</t>
  </si>
  <si>
    <t>DC</t>
  </si>
  <si>
    <t>Kaaries</t>
  </si>
  <si>
    <t>DEH</t>
  </si>
  <si>
    <t>PA</t>
  </si>
  <si>
    <t>RED</t>
  </si>
  <si>
    <t>Mitu pat. esineb</t>
  </si>
  <si>
    <t>Muu hälve suus</t>
  </si>
  <si>
    <t>PH</t>
  </si>
  <si>
    <t>JH</t>
  </si>
  <si>
    <t>Kokku</t>
  </si>
  <si>
    <t>Hambakivi asukoht ja ulatus</t>
  </si>
  <si>
    <t>automaatne</t>
  </si>
  <si>
    <t>autom.</t>
  </si>
  <si>
    <t>Hambakivi aste</t>
  </si>
  <si>
    <t>Hambakivi asukoht</t>
  </si>
  <si>
    <t>Kas on hambakivi? Jah=1; ei=tühi</t>
  </si>
  <si>
    <t>DC hammaste arv</t>
  </si>
  <si>
    <t>Säil. hammaste arv</t>
  </si>
  <si>
    <t>DC hammaste osakaal</t>
  </si>
  <si>
    <t>m</t>
  </si>
  <si>
    <t>d</t>
  </si>
  <si>
    <t>b</t>
  </si>
  <si>
    <t>l</t>
  </si>
  <si>
    <t>o</t>
  </si>
  <si>
    <t>hambakiviga hammaste % kõigist säilinud hammastest (autom.)</t>
  </si>
  <si>
    <t>a</t>
  </si>
  <si>
    <t>Kaariese asukoht ja ulatus (täida käsitsi)</t>
  </si>
  <si>
    <t>Autom. üldlehe põhjal</t>
  </si>
  <si>
    <t>Kaariese aste</t>
  </si>
  <si>
    <t>Kaariese asukoht</t>
  </si>
  <si>
    <t>Kaariesega hammaste arv</t>
  </si>
  <si>
    <t>Kaariesega hammaste %</t>
  </si>
  <si>
    <t>Säil.</t>
  </si>
  <si>
    <t>%</t>
  </si>
  <si>
    <t>Stressijoonte arv (täida käsitsi)</t>
  </si>
  <si>
    <t>Autom.</t>
  </si>
  <si>
    <t>DEH hammaste arv</t>
  </si>
  <si>
    <t>DEH hammaste %</t>
  </si>
  <si>
    <t>joontega</t>
  </si>
  <si>
    <t>lohkudega</t>
  </si>
  <si>
    <t>vagudega</t>
  </si>
  <si>
    <t>j</t>
  </si>
  <si>
    <t>p</t>
  </si>
  <si>
    <t>g</t>
  </si>
  <si>
    <t>Haiguskolde esinemine (täida käsitsi)</t>
  </si>
  <si>
    <t>Hambad</t>
  </si>
  <si>
    <t>PA hammaste arv</t>
  </si>
  <si>
    <t>Kõigi hammaste arv (lõikunud+lõikumata)</t>
  </si>
  <si>
    <t>PA hammaste %</t>
  </si>
  <si>
    <t>Surmaeelselt kaotatud hambad (täida käsitsi)</t>
  </si>
  <si>
    <t>Automaatne</t>
  </si>
  <si>
    <t>AM hammaste arv</t>
  </si>
  <si>
    <t>Lõik. hammaste arv</t>
  </si>
  <si>
    <t>AM hammaste %</t>
  </si>
  <si>
    <t>kokku</t>
  </si>
  <si>
    <t>lõik.</t>
  </si>
  <si>
    <t>(1 kuni 3)</t>
  </si>
  <si>
    <t>Aste</t>
  </si>
  <si>
    <t>Hambad?</t>
  </si>
  <si>
    <t>Inimesi</t>
  </si>
  <si>
    <t>% "1"</t>
  </si>
  <si>
    <t>% "2"</t>
  </si>
  <si>
    <t>% "3"</t>
  </si>
  <si>
    <t>1a</t>
  </si>
  <si>
    <t>1b</t>
  </si>
  <si>
    <t>Mees</t>
  </si>
  <si>
    <t>Naine</t>
  </si>
  <si>
    <t>12-18 a</t>
  </si>
  <si>
    <t>X</t>
  </si>
  <si>
    <t>pm</t>
  </si>
  <si>
    <t>jjj</t>
  </si>
  <si>
    <t>jj</t>
  </si>
  <si>
    <t>Hammaste kulumus (täida käsitsi)</t>
  </si>
  <si>
    <t>25-35 a</t>
  </si>
  <si>
    <t>1m</t>
  </si>
  <si>
    <t>1b1m</t>
  </si>
  <si>
    <t>1d</t>
  </si>
  <si>
    <t>1m1b1d1l</t>
  </si>
  <si>
    <t>2b1m1d1l</t>
  </si>
  <si>
    <t>3b1m1d1l</t>
  </si>
  <si>
    <t>1b1d</t>
  </si>
  <si>
    <t>3o</t>
  </si>
  <si>
    <t>2o</t>
  </si>
  <si>
    <t>25-30 a</t>
  </si>
  <si>
    <t>2d1b</t>
  </si>
  <si>
    <t>1l</t>
  </si>
  <si>
    <t>1o</t>
  </si>
  <si>
    <t>20-25 a</t>
  </si>
  <si>
    <t>17-20 a</t>
  </si>
  <si>
    <t>Alaealine</t>
  </si>
  <si>
    <t>Täiskasvanu</t>
  </si>
  <si>
    <t>Mees ?</t>
  </si>
  <si>
    <t>Naine ?</t>
  </si>
  <si>
    <t>Säilinud (autom. esilehelt)</t>
  </si>
  <si>
    <t>autom. esilehelt</t>
  </si>
  <si>
    <t>10 a ± 30k</t>
  </si>
  <si>
    <t>39-44 a</t>
  </si>
  <si>
    <t>7-11 a</t>
  </si>
  <si>
    <t>KOKKU (lõikunud + lõikumata)</t>
  </si>
  <si>
    <t>26a</t>
  </si>
  <si>
    <t>26b</t>
  </si>
  <si>
    <t>40-50 a</t>
  </si>
  <si>
    <t>25-50 a</t>
  </si>
  <si>
    <t>1l1m</t>
  </si>
  <si>
    <t>1m1d</t>
  </si>
  <si>
    <t>1m1d1l</t>
  </si>
  <si>
    <t>2b2l1m1d</t>
  </si>
  <si>
    <t>2b2d2o2l</t>
  </si>
  <si>
    <t>1b1l</t>
  </si>
  <si>
    <t>1d1l</t>
  </si>
  <si>
    <t>1m1l</t>
  </si>
  <si>
    <t>3d1b</t>
  </si>
  <si>
    <t>2d</t>
  </si>
  <si>
    <t>3m3o</t>
  </si>
  <si>
    <t>25-30a</t>
  </si>
  <si>
    <t>Ülemistel p C1, v I1, I2, C1 emailist tükk väljas</t>
  </si>
  <si>
    <t>1m1b1d</t>
  </si>
  <si>
    <t>17-25 a</t>
  </si>
  <si>
    <t>am</t>
  </si>
  <si>
    <t>1m1b</t>
  </si>
  <si>
    <t>2o2l</t>
  </si>
  <si>
    <t>5+ a</t>
  </si>
  <si>
    <t>3-5 a</t>
  </si>
  <si>
    <t>1-2 a</t>
  </si>
  <si>
    <t>jjjj</t>
  </si>
  <si>
    <t>2m1b1d1l</t>
  </si>
  <si>
    <t>6-11 a</t>
  </si>
  <si>
    <t>40+ a</t>
  </si>
  <si>
    <t>12-15 a</t>
  </si>
  <si>
    <t>24-32 k</t>
  </si>
  <si>
    <t>18-19 a</t>
  </si>
  <si>
    <t>2-5 a</t>
  </si>
  <si>
    <t>NA</t>
  </si>
  <si>
    <t>Ülemise p ja v I2 emailist tükid väljas</t>
  </si>
  <si>
    <t>3m3b3d3l3o</t>
  </si>
  <si>
    <t>2b1l</t>
  </si>
  <si>
    <t>1l1d</t>
  </si>
  <si>
    <t>1 a ± 4 k</t>
  </si>
  <si>
    <t>Ülemisel p I1, I2, C, v I1, I2, alumisel p I1 emailist tükid väljas</t>
  </si>
  <si>
    <t>1l1b</t>
  </si>
  <si>
    <t>17-22 a</t>
  </si>
  <si>
    <t>50+ a</t>
  </si>
  <si>
    <t>2l1m1b1d</t>
  </si>
  <si>
    <t>3d</t>
  </si>
  <si>
    <t>25-40 a</t>
  </si>
  <si>
    <t>Ülemise p I2, C1 emailist tükid väljas</t>
  </si>
  <si>
    <t>Ülemise v I1 emailist tükid väljas</t>
  </si>
  <si>
    <t>Kas? (1/0)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</si>
</sst>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%"/>
    <numFmt numFmtId="181" formatCode="0.0"/>
  </numFmts>
  <fonts count="15" x14ac:knownFonts="1">
    <font>
      <sz val="10"/>
      <name val="Arial"/>
      <family val="2"/>
    </font>
    <font>
      <sz val="11"/>
      <name val="Calibri"/>
      <family val="2"/>
      <charset val="186"/>
    </font>
    <font>
      <sz val="11"/>
      <name val="Times New Roman"/>
      <family val="1"/>
      <charset val="186"/>
    </font>
    <font>
      <sz val="11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charset val="186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51"/>
        <bgColor indexed="13"/>
      </patternFill>
    </fill>
    <fill>
      <patternFill patternType="solid">
        <fgColor indexed="47"/>
        <bgColor indexed="22"/>
      </patternFill>
    </fill>
    <fill>
      <patternFill patternType="solid">
        <fgColor indexed="53"/>
        <bgColor indexed="52"/>
      </patternFill>
    </fill>
    <fill>
      <patternFill patternType="solid">
        <fgColor indexed="50"/>
        <bgColor indexed="51"/>
      </patternFill>
    </fill>
  </fills>
  <borders count="12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1" fillId="0" borderId="3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/>
    <xf numFmtId="0" fontId="4" fillId="0" borderId="4" xfId="0" applyFont="1" applyBorder="1"/>
    <xf numFmtId="0" fontId="4" fillId="0" borderId="5" xfId="0" applyFont="1" applyBorder="1"/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/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4" fillId="0" borderId="3" xfId="0" applyFont="1" applyBorder="1"/>
    <xf numFmtId="0" fontId="4" fillId="6" borderId="0" xfId="0" applyFont="1" applyFill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6" borderId="0" xfId="0" applyFont="1" applyFill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180" fontId="11" fillId="0" borderId="0" xfId="0" applyNumberFormat="1" applyFont="1"/>
    <xf numFmtId="0" fontId="11" fillId="6" borderId="0" xfId="0" applyFont="1" applyFill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0" xfId="0" applyFont="1" applyFill="1"/>
    <xf numFmtId="180" fontId="11" fillId="6" borderId="0" xfId="0" applyNumberFormat="1" applyFont="1" applyFill="1"/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/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/>
    <xf numFmtId="180" fontId="6" fillId="0" borderId="0" xfId="0" applyNumberFormat="1" applyFont="1"/>
    <xf numFmtId="0" fontId="6" fillId="2" borderId="0" xfId="0" applyFont="1" applyFill="1"/>
    <xf numFmtId="0" fontId="6" fillId="3" borderId="0" xfId="0" applyFont="1" applyFill="1"/>
    <xf numFmtId="0" fontId="6" fillId="5" borderId="0" xfId="0" applyFont="1" applyFill="1"/>
    <xf numFmtId="0" fontId="6" fillId="6" borderId="0" xfId="0" applyFont="1" applyFill="1" applyAlignment="1">
      <alignment horizontal="center"/>
    </xf>
    <xf numFmtId="180" fontId="6" fillId="6" borderId="0" xfId="0" applyNumberFormat="1" applyFont="1" applyFill="1"/>
    <xf numFmtId="181" fontId="6" fillId="0" borderId="0" xfId="0" applyNumberFormat="1" applyFont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81" fontId="6" fillId="6" borderId="0" xfId="0" applyNumberFormat="1" applyFont="1" applyFill="1" applyAlignment="1">
      <alignment horizontal="center"/>
    </xf>
    <xf numFmtId="0" fontId="13" fillId="0" borderId="0" xfId="0" applyFont="1"/>
    <xf numFmtId="0" fontId="11" fillId="6" borderId="0" xfId="0" applyFont="1" applyFill="1" applyAlignment="1">
      <alignment horizontal="center"/>
    </xf>
    <xf numFmtId="181" fontId="11" fillId="0" borderId="0" xfId="0" applyNumberFormat="1" applyFont="1"/>
    <xf numFmtId="9" fontId="11" fillId="0" borderId="0" xfId="0" applyNumberFormat="1" applyFont="1"/>
    <xf numFmtId="0" fontId="6" fillId="0" borderId="0" xfId="0" applyFont="1" applyAlignment="1">
      <alignment horizontal="right"/>
    </xf>
    <xf numFmtId="0" fontId="9" fillId="0" borderId="0" xfId="0" applyFont="1"/>
    <xf numFmtId="0" fontId="6" fillId="6" borderId="8" xfId="0" applyFont="1" applyFill="1" applyBorder="1"/>
    <xf numFmtId="0" fontId="6" fillId="0" borderId="8" xfId="0" applyFont="1" applyBorder="1"/>
    <xf numFmtId="16" fontId="14" fillId="0" borderId="0" xfId="0" applyNumberFormat="1" applyFont="1"/>
    <xf numFmtId="0" fontId="14" fillId="0" borderId="0" xfId="0" applyFont="1"/>
    <xf numFmtId="181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A754-A383-448C-8893-677F8BEC119B}">
  <dimension ref="A1:BE87"/>
  <sheetViews>
    <sheetView workbookViewId="0">
      <pane xSplit="1" ySplit="3" topLeftCell="B4" activePane="bottomRight" state="frozen"/>
      <selection pane="topRight" activeCell="AD1" sqref="AD1"/>
      <selection pane="bottomLeft" activeCell="A28" sqref="A28"/>
      <selection pane="bottomRight" activeCell="W50" sqref="W50"/>
    </sheetView>
  </sheetViews>
  <sheetFormatPr defaultColWidth="11.5703125" defaultRowHeight="15" x14ac:dyDescent="0.25"/>
  <cols>
    <col min="1" max="1" width="4.42578125" style="20" customWidth="1"/>
    <col min="2" max="3" width="11.5703125" style="20" bestFit="1" customWidth="1"/>
    <col min="4" max="4" width="13.7109375" style="20" bestFit="1" customWidth="1"/>
    <col min="5" max="7" width="3.85546875" style="28" customWidth="1"/>
    <col min="8" max="9" width="4.85546875" style="28" customWidth="1"/>
    <col min="10" max="15" width="3.85546875" style="28" customWidth="1"/>
    <col min="16" max="17" width="4.85546875" style="28" customWidth="1"/>
    <col min="18" max="23" width="3.85546875" style="28" customWidth="1"/>
    <col min="24" max="25" width="4.85546875" style="28" customWidth="1"/>
    <col min="26" max="31" width="3.85546875" style="28" customWidth="1"/>
    <col min="32" max="33" width="4.85546875" style="28" customWidth="1"/>
    <col min="34" max="36" width="3.85546875" style="28" customWidth="1"/>
    <col min="37" max="37" width="4" style="20" customWidth="1"/>
    <col min="38" max="38" width="5" style="20" customWidth="1"/>
    <col min="39" max="39" width="8.140625" style="20" customWidth="1"/>
    <col min="40" max="42" width="4" style="20" customWidth="1"/>
    <col min="43" max="43" width="9.140625" style="20" customWidth="1"/>
    <col min="44" max="44" width="10.140625" style="20" customWidth="1"/>
    <col min="45" max="45" width="7.140625" style="20" customWidth="1"/>
    <col min="46" max="46" width="6.5703125" style="20" customWidth="1"/>
    <col min="47" max="47" width="7.28515625" style="20" bestFit="1" customWidth="1"/>
    <col min="48" max="48" width="7.140625" style="20" bestFit="1" customWidth="1"/>
    <col min="49" max="49" width="9.7109375" style="20" bestFit="1" customWidth="1"/>
    <col min="50" max="53" width="7.140625" style="20" bestFit="1" customWidth="1"/>
    <col min="54" max="54" width="16" style="20" customWidth="1"/>
    <col min="55" max="55" width="5.42578125" style="20" customWidth="1"/>
    <col min="56" max="56" width="3.140625" style="20" customWidth="1"/>
    <col min="57" max="254" width="11.5703125" style="20" customWidth="1"/>
    <col min="255" max="16384" width="11.5703125" style="20"/>
  </cols>
  <sheetData>
    <row r="1" spans="1:57" x14ac:dyDescent="0.25">
      <c r="D1" s="21"/>
      <c r="E1" s="81" t="s">
        <v>0</v>
      </c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 t="s">
        <v>1</v>
      </c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57" x14ac:dyDescent="0.25">
      <c r="A2" s="80" t="s">
        <v>2</v>
      </c>
      <c r="B2" s="80"/>
      <c r="C2" s="80"/>
      <c r="D2" s="23"/>
      <c r="E2" s="83" t="s">
        <v>3</v>
      </c>
      <c r="F2" s="84"/>
      <c r="G2" s="84"/>
      <c r="H2" s="84"/>
      <c r="I2" s="84"/>
      <c r="J2" s="84"/>
      <c r="K2" s="84"/>
      <c r="L2" s="84"/>
      <c r="M2" s="80" t="s">
        <v>4</v>
      </c>
      <c r="N2" s="80"/>
      <c r="O2" s="80"/>
      <c r="P2" s="80"/>
      <c r="Q2" s="80"/>
      <c r="R2" s="80"/>
      <c r="S2" s="80"/>
      <c r="T2" s="80"/>
      <c r="U2" s="82" t="s">
        <v>3</v>
      </c>
      <c r="V2" s="82"/>
      <c r="W2" s="82"/>
      <c r="X2" s="82"/>
      <c r="Y2" s="82"/>
      <c r="Z2" s="82"/>
      <c r="AA2" s="82"/>
      <c r="AB2" s="82"/>
      <c r="AC2" s="82" t="s">
        <v>4</v>
      </c>
      <c r="AD2" s="82"/>
      <c r="AE2" s="82"/>
      <c r="AF2" s="82"/>
      <c r="AG2" s="82"/>
      <c r="AH2" s="82"/>
      <c r="AI2" s="82"/>
      <c r="AJ2" s="82"/>
      <c r="AM2" s="80" t="s">
        <v>5</v>
      </c>
      <c r="AN2" s="80"/>
      <c r="AO2" s="80"/>
      <c r="AP2" s="80"/>
      <c r="AQ2" s="80"/>
      <c r="AR2" s="80"/>
      <c r="AS2" s="22"/>
      <c r="AT2" s="22"/>
      <c r="AU2" s="80" t="s">
        <v>6</v>
      </c>
      <c r="AV2" s="80"/>
      <c r="AW2" s="80"/>
      <c r="AX2" s="80"/>
      <c r="AY2" s="80"/>
      <c r="AZ2" s="80"/>
      <c r="BA2" s="80"/>
      <c r="BB2" s="24" t="s">
        <v>7</v>
      </c>
    </row>
    <row r="3" spans="1:57" s="7" customFormat="1" x14ac:dyDescent="0.25">
      <c r="A3" s="7" t="s">
        <v>8</v>
      </c>
      <c r="B3" s="7" t="s">
        <v>9</v>
      </c>
      <c r="C3" s="7" t="s">
        <v>10</v>
      </c>
      <c r="D3" s="25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9" t="s">
        <v>19</v>
      </c>
      <c r="M3" s="8" t="s">
        <v>19</v>
      </c>
      <c r="N3" s="8" t="s">
        <v>18</v>
      </c>
      <c r="O3" s="8" t="s">
        <v>17</v>
      </c>
      <c r="P3" s="8" t="s">
        <v>16</v>
      </c>
      <c r="Q3" s="8" t="s">
        <v>15</v>
      </c>
      <c r="R3" s="8" t="s">
        <v>14</v>
      </c>
      <c r="S3" s="8" t="s">
        <v>13</v>
      </c>
      <c r="T3" s="8" t="s">
        <v>12</v>
      </c>
      <c r="U3" s="10" t="s">
        <v>12</v>
      </c>
      <c r="V3" s="8" t="s">
        <v>13</v>
      </c>
      <c r="W3" s="8" t="s">
        <v>14</v>
      </c>
      <c r="X3" s="8" t="s">
        <v>15</v>
      </c>
      <c r="Y3" s="8" t="s">
        <v>16</v>
      </c>
      <c r="Z3" s="8" t="s">
        <v>17</v>
      </c>
      <c r="AA3" s="8" t="s">
        <v>18</v>
      </c>
      <c r="AB3" s="9" t="s">
        <v>19</v>
      </c>
      <c r="AC3" s="10" t="s">
        <v>19</v>
      </c>
      <c r="AD3" s="8" t="s">
        <v>18</v>
      </c>
      <c r="AE3" s="8" t="s">
        <v>17</v>
      </c>
      <c r="AF3" s="8" t="s">
        <v>16</v>
      </c>
      <c r="AG3" s="8" t="s">
        <v>15</v>
      </c>
      <c r="AH3" s="8" t="s">
        <v>14</v>
      </c>
      <c r="AI3" s="8" t="s">
        <v>13</v>
      </c>
      <c r="AJ3" s="9" t="s">
        <v>12</v>
      </c>
      <c r="AK3" s="7" t="s">
        <v>34</v>
      </c>
      <c r="AL3" s="7" t="s">
        <v>35</v>
      </c>
      <c r="AM3" s="7" t="s">
        <v>20</v>
      </c>
      <c r="AN3" s="7" t="s">
        <v>21</v>
      </c>
      <c r="AO3" s="7" t="s">
        <v>22</v>
      </c>
      <c r="AQ3" s="7" t="s">
        <v>23</v>
      </c>
      <c r="AR3" s="7" t="s">
        <v>24</v>
      </c>
      <c r="AS3" s="26" t="s">
        <v>125</v>
      </c>
      <c r="AT3" s="7" t="s">
        <v>26</v>
      </c>
      <c r="AU3" s="7" t="s">
        <v>174</v>
      </c>
      <c r="AV3" s="7" t="s">
        <v>27</v>
      </c>
      <c r="AW3" s="7" t="s">
        <v>28</v>
      </c>
      <c r="AX3" s="7" t="s">
        <v>29</v>
      </c>
      <c r="AY3" s="7" t="s">
        <v>30</v>
      </c>
      <c r="AZ3" s="7" t="s">
        <v>21</v>
      </c>
      <c r="BA3" s="7" t="s">
        <v>31</v>
      </c>
      <c r="BB3" s="7" t="s">
        <v>32</v>
      </c>
      <c r="BD3" s="79" t="s">
        <v>33</v>
      </c>
      <c r="BE3" s="79"/>
    </row>
    <row r="4" spans="1:57" x14ac:dyDescent="0.25">
      <c r="A4" s="20" t="s">
        <v>90</v>
      </c>
      <c r="B4" s="27" t="s">
        <v>92</v>
      </c>
      <c r="C4" s="20" t="s">
        <v>117</v>
      </c>
      <c r="D4" s="21">
        <v>0</v>
      </c>
      <c r="L4" s="29"/>
      <c r="U4" s="30"/>
      <c r="AB4" s="29"/>
      <c r="AC4" s="30"/>
      <c r="AJ4" s="29"/>
      <c r="AK4" s="20">
        <f>COUNTIF(E4:AJ4,"PH")</f>
        <v>0</v>
      </c>
      <c r="AL4" s="20">
        <f>COUNTIF(E4:AJ4,"1")</f>
        <v>0</v>
      </c>
      <c r="AM4" s="20">
        <f t="shared" ref="AM4:AM24" si="0">SUM((COUNTIF(E4:AJ4,"1"))+(COUNTIF(E4:AJ4,"PH")))</f>
        <v>0</v>
      </c>
      <c r="AN4" s="20">
        <f t="shared" ref="AN4:AN35" si="1">COUNTIF(E4:AJ4,"am")</f>
        <v>0</v>
      </c>
      <c r="AO4" s="20">
        <f t="shared" ref="AO4:AO35" si="2">COUNTIF(E4:AJ4,"pm")</f>
        <v>0</v>
      </c>
      <c r="AQ4" s="20">
        <f t="shared" ref="AQ4:AQ24" si="3">SUM((COUNTIF(E4:AJ4,"1"))+(COUNTIF(E4:AJ4,"am"))+(COUNTIF(E4:AJ4,"pm")))</f>
        <v>0</v>
      </c>
      <c r="AR4" s="20">
        <f t="shared" ref="AR4:AR35" si="4">COUNTIF(E4:AJ4,"x")</f>
        <v>0</v>
      </c>
      <c r="AS4" s="31">
        <f t="shared" ref="AS4:AS44" si="5">SUM(AQ4:AR4)</f>
        <v>0</v>
      </c>
      <c r="AT4" s="20">
        <f t="shared" ref="AT4:AT35" si="6">COUNTIF(E4:AJ4,"NA")</f>
        <v>0</v>
      </c>
      <c r="BB4" s="20">
        <f t="shared" ref="BB4:BB44" si="7">SUM(AV4:BA4)</f>
        <v>0</v>
      </c>
    </row>
    <row r="5" spans="1:57" x14ac:dyDescent="0.25">
      <c r="A5" s="20" t="s">
        <v>91</v>
      </c>
      <c r="B5" s="27" t="s">
        <v>116</v>
      </c>
      <c r="C5" s="20" t="s">
        <v>116</v>
      </c>
      <c r="D5" s="21">
        <v>0</v>
      </c>
      <c r="L5" s="29"/>
      <c r="U5" s="30"/>
      <c r="AB5" s="29"/>
      <c r="AC5" s="30"/>
      <c r="AJ5" s="29"/>
      <c r="AK5" s="20">
        <f t="shared" ref="AK5:AK68" si="8">COUNTIF(E5:AJ5,"PH")</f>
        <v>0</v>
      </c>
      <c r="AL5" s="20">
        <f t="shared" ref="AL5:AL68" si="9">COUNTIF(E5:AJ5,"1")</f>
        <v>0</v>
      </c>
      <c r="AM5" s="20">
        <f t="shared" si="0"/>
        <v>0</v>
      </c>
      <c r="AN5" s="20">
        <f t="shared" si="1"/>
        <v>0</v>
      </c>
      <c r="AO5" s="20">
        <f t="shared" si="2"/>
        <v>0</v>
      </c>
      <c r="AQ5" s="20">
        <f t="shared" si="3"/>
        <v>0</v>
      </c>
      <c r="AR5" s="20">
        <f t="shared" si="4"/>
        <v>0</v>
      </c>
      <c r="AS5" s="31">
        <f>SUM(AQ5:AR5)</f>
        <v>0</v>
      </c>
      <c r="AT5" s="20">
        <f t="shared" si="6"/>
        <v>0</v>
      </c>
      <c r="BB5" s="20">
        <f>SUM(AV5:BA5)</f>
        <v>0</v>
      </c>
    </row>
    <row r="6" spans="1:57" x14ac:dyDescent="0.25">
      <c r="A6" s="20">
        <v>2</v>
      </c>
      <c r="B6" s="27" t="s">
        <v>93</v>
      </c>
      <c r="C6" s="20" t="s">
        <v>117</v>
      </c>
      <c r="D6" s="21">
        <v>0</v>
      </c>
      <c r="L6" s="29"/>
      <c r="U6" s="30"/>
      <c r="AB6" s="29"/>
      <c r="AC6" s="30"/>
      <c r="AJ6" s="29"/>
      <c r="AK6" s="20">
        <f t="shared" si="8"/>
        <v>0</v>
      </c>
      <c r="AL6" s="20">
        <f t="shared" si="9"/>
        <v>0</v>
      </c>
      <c r="AM6" s="20">
        <f t="shared" si="0"/>
        <v>0</v>
      </c>
      <c r="AN6" s="20">
        <f t="shared" si="1"/>
        <v>0</v>
      </c>
      <c r="AO6" s="20">
        <f t="shared" si="2"/>
        <v>0</v>
      </c>
      <c r="AQ6" s="20">
        <f t="shared" si="3"/>
        <v>0</v>
      </c>
      <c r="AR6" s="20">
        <f t="shared" si="4"/>
        <v>0</v>
      </c>
      <c r="AS6" s="31">
        <f t="shared" si="5"/>
        <v>0</v>
      </c>
      <c r="AT6" s="20">
        <f t="shared" si="6"/>
        <v>0</v>
      </c>
      <c r="BB6" s="20">
        <f t="shared" si="7"/>
        <v>0</v>
      </c>
    </row>
    <row r="7" spans="1:57" x14ac:dyDescent="0.25">
      <c r="A7" s="20">
        <v>3</v>
      </c>
      <c r="B7" s="27" t="s">
        <v>116</v>
      </c>
      <c r="C7" s="20" t="s">
        <v>94</v>
      </c>
      <c r="D7" s="21">
        <v>1</v>
      </c>
      <c r="E7" s="28" t="s">
        <v>95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9">
        <v>1</v>
      </c>
      <c r="M7" s="28">
        <v>1</v>
      </c>
      <c r="N7" s="28" t="s">
        <v>96</v>
      </c>
      <c r="O7" s="28" t="s">
        <v>96</v>
      </c>
      <c r="P7" s="28">
        <v>1</v>
      </c>
      <c r="Q7" s="28">
        <v>1</v>
      </c>
      <c r="R7" s="28">
        <v>1</v>
      </c>
      <c r="S7" s="28">
        <v>1</v>
      </c>
      <c r="T7" s="28" t="s">
        <v>95</v>
      </c>
      <c r="U7" s="30" t="s">
        <v>95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9">
        <v>1</v>
      </c>
      <c r="AC7" s="30">
        <v>1</v>
      </c>
      <c r="AD7" s="28">
        <v>1</v>
      </c>
      <c r="AE7" s="28">
        <v>1</v>
      </c>
      <c r="AF7" s="28">
        <v>1</v>
      </c>
      <c r="AG7" s="28">
        <v>1</v>
      </c>
      <c r="AH7" s="28">
        <v>1</v>
      </c>
      <c r="AI7" s="28">
        <v>1</v>
      </c>
      <c r="AJ7" s="29" t="s">
        <v>95</v>
      </c>
      <c r="AK7" s="20">
        <f t="shared" si="8"/>
        <v>0</v>
      </c>
      <c r="AL7" s="20">
        <f t="shared" si="9"/>
        <v>26</v>
      </c>
      <c r="AM7" s="20">
        <f t="shared" si="0"/>
        <v>26</v>
      </c>
      <c r="AN7" s="20">
        <f t="shared" si="1"/>
        <v>0</v>
      </c>
      <c r="AO7" s="20">
        <f t="shared" si="2"/>
        <v>2</v>
      </c>
      <c r="AQ7" s="20">
        <f t="shared" si="3"/>
        <v>28</v>
      </c>
      <c r="AR7" s="20">
        <f t="shared" si="4"/>
        <v>4</v>
      </c>
      <c r="AS7" s="31">
        <f t="shared" si="5"/>
        <v>32</v>
      </c>
      <c r="AT7" s="20">
        <f t="shared" si="6"/>
        <v>0</v>
      </c>
      <c r="AU7" s="20">
        <v>1</v>
      </c>
      <c r="AX7" s="20">
        <v>1</v>
      </c>
      <c r="BB7" s="20">
        <f t="shared" si="7"/>
        <v>1</v>
      </c>
    </row>
    <row r="8" spans="1:57" x14ac:dyDescent="0.25">
      <c r="A8" s="20">
        <v>4</v>
      </c>
      <c r="B8" s="27" t="s">
        <v>117</v>
      </c>
      <c r="C8" s="20" t="s">
        <v>117</v>
      </c>
      <c r="D8" s="21">
        <v>0</v>
      </c>
      <c r="L8" s="29"/>
      <c r="U8" s="30"/>
      <c r="AB8" s="29"/>
      <c r="AC8" s="30"/>
      <c r="AJ8" s="29"/>
      <c r="AK8" s="20">
        <f t="shared" si="8"/>
        <v>0</v>
      </c>
      <c r="AL8" s="20">
        <f t="shared" si="9"/>
        <v>0</v>
      </c>
      <c r="AM8" s="20">
        <f t="shared" si="0"/>
        <v>0</v>
      </c>
      <c r="AN8" s="20">
        <f t="shared" si="1"/>
        <v>0</v>
      </c>
      <c r="AO8" s="20">
        <f t="shared" si="2"/>
        <v>0</v>
      </c>
      <c r="AQ8" s="20">
        <f t="shared" si="3"/>
        <v>0</v>
      </c>
      <c r="AR8" s="20">
        <f t="shared" si="4"/>
        <v>0</v>
      </c>
      <c r="AS8" s="31">
        <f t="shared" si="5"/>
        <v>0</v>
      </c>
      <c r="AT8" s="20">
        <f t="shared" si="6"/>
        <v>0</v>
      </c>
      <c r="BB8" s="20">
        <f t="shared" si="7"/>
        <v>0</v>
      </c>
    </row>
    <row r="9" spans="1:57" x14ac:dyDescent="0.25">
      <c r="A9" s="20">
        <v>5</v>
      </c>
      <c r="B9" s="27" t="s">
        <v>117</v>
      </c>
      <c r="C9" s="20" t="s">
        <v>117</v>
      </c>
      <c r="D9" s="21">
        <v>0</v>
      </c>
      <c r="L9" s="29"/>
      <c r="U9" s="30"/>
      <c r="AB9" s="29"/>
      <c r="AC9" s="30"/>
      <c r="AJ9" s="29"/>
      <c r="AK9" s="20">
        <f t="shared" si="8"/>
        <v>0</v>
      </c>
      <c r="AL9" s="20">
        <f t="shared" si="9"/>
        <v>0</v>
      </c>
      <c r="AM9" s="20">
        <f t="shared" si="0"/>
        <v>0</v>
      </c>
      <c r="AN9" s="20">
        <f t="shared" si="1"/>
        <v>0</v>
      </c>
      <c r="AO9" s="20">
        <f t="shared" si="2"/>
        <v>0</v>
      </c>
      <c r="AQ9" s="20">
        <f t="shared" si="3"/>
        <v>0</v>
      </c>
      <c r="AR9" s="20">
        <f t="shared" si="4"/>
        <v>0</v>
      </c>
      <c r="AS9" s="31">
        <f t="shared" si="5"/>
        <v>0</v>
      </c>
      <c r="AT9" s="20">
        <f t="shared" si="6"/>
        <v>0</v>
      </c>
      <c r="BB9" s="20">
        <f t="shared" si="7"/>
        <v>0</v>
      </c>
    </row>
    <row r="10" spans="1:57" x14ac:dyDescent="0.25">
      <c r="A10" s="20">
        <v>6</v>
      </c>
      <c r="B10" s="27" t="s">
        <v>117</v>
      </c>
      <c r="C10" s="20" t="s">
        <v>117</v>
      </c>
      <c r="D10" s="21">
        <v>0</v>
      </c>
      <c r="L10" s="29"/>
      <c r="U10" s="30"/>
      <c r="AB10" s="29"/>
      <c r="AC10" s="30"/>
      <c r="AJ10" s="29"/>
      <c r="AK10" s="20">
        <f t="shared" si="8"/>
        <v>0</v>
      </c>
      <c r="AL10" s="20">
        <f t="shared" si="9"/>
        <v>0</v>
      </c>
      <c r="AM10" s="20">
        <f t="shared" si="0"/>
        <v>0</v>
      </c>
      <c r="AN10" s="20">
        <f t="shared" si="1"/>
        <v>0</v>
      </c>
      <c r="AO10" s="20">
        <f t="shared" si="2"/>
        <v>0</v>
      </c>
      <c r="AQ10" s="20">
        <f t="shared" si="3"/>
        <v>0</v>
      </c>
      <c r="AR10" s="20">
        <f t="shared" si="4"/>
        <v>0</v>
      </c>
      <c r="AS10" s="31">
        <f t="shared" si="5"/>
        <v>0</v>
      </c>
      <c r="AT10" s="20">
        <f t="shared" si="6"/>
        <v>0</v>
      </c>
      <c r="BB10" s="20">
        <f t="shared" si="7"/>
        <v>0</v>
      </c>
    </row>
    <row r="11" spans="1:57" x14ac:dyDescent="0.25">
      <c r="A11" s="20">
        <v>7</v>
      </c>
      <c r="B11" s="27" t="s">
        <v>92</v>
      </c>
      <c r="C11" s="20" t="s">
        <v>100</v>
      </c>
      <c r="D11" s="21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9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30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9">
        <v>1</v>
      </c>
      <c r="AC11" s="30">
        <v>1</v>
      </c>
      <c r="AD11" s="28">
        <v>1</v>
      </c>
      <c r="AE11" s="28">
        <v>1</v>
      </c>
      <c r="AF11" s="28">
        <v>1</v>
      </c>
      <c r="AG11" s="28">
        <v>1</v>
      </c>
      <c r="AH11" s="28">
        <v>1</v>
      </c>
      <c r="AI11" s="28">
        <v>1</v>
      </c>
      <c r="AJ11" s="29">
        <v>1</v>
      </c>
      <c r="AK11" s="20">
        <f t="shared" si="8"/>
        <v>0</v>
      </c>
      <c r="AL11" s="20">
        <f t="shared" si="9"/>
        <v>32</v>
      </c>
      <c r="AM11" s="20">
        <f t="shared" si="0"/>
        <v>32</v>
      </c>
      <c r="AN11" s="20">
        <f t="shared" si="1"/>
        <v>0</v>
      </c>
      <c r="AO11" s="20">
        <f t="shared" si="2"/>
        <v>0</v>
      </c>
      <c r="AQ11" s="20">
        <f t="shared" si="3"/>
        <v>32</v>
      </c>
      <c r="AR11" s="20">
        <f t="shared" si="4"/>
        <v>0</v>
      </c>
      <c r="AS11" s="31">
        <f t="shared" si="5"/>
        <v>32</v>
      </c>
      <c r="AT11" s="20">
        <f t="shared" si="6"/>
        <v>0</v>
      </c>
      <c r="AU11" s="20">
        <v>1</v>
      </c>
      <c r="AV11" s="20">
        <v>1</v>
      </c>
      <c r="AW11" s="20">
        <v>1</v>
      </c>
      <c r="AX11" s="20">
        <v>1</v>
      </c>
      <c r="BB11" s="20">
        <f t="shared" si="7"/>
        <v>3</v>
      </c>
    </row>
    <row r="12" spans="1:57" x14ac:dyDescent="0.25">
      <c r="A12" s="20">
        <v>8</v>
      </c>
      <c r="B12" s="27" t="s">
        <v>117</v>
      </c>
      <c r="C12" s="20" t="s">
        <v>117</v>
      </c>
      <c r="D12" s="21">
        <v>0</v>
      </c>
      <c r="L12" s="29"/>
      <c r="U12" s="30"/>
      <c r="AB12" s="29"/>
      <c r="AC12" s="30"/>
      <c r="AJ12" s="29"/>
      <c r="AK12" s="20">
        <f t="shared" si="8"/>
        <v>0</v>
      </c>
      <c r="AL12" s="20">
        <f t="shared" si="9"/>
        <v>0</v>
      </c>
      <c r="AM12" s="20">
        <f t="shared" si="0"/>
        <v>0</v>
      </c>
      <c r="AN12" s="20">
        <f t="shared" si="1"/>
        <v>0</v>
      </c>
      <c r="AO12" s="20">
        <f t="shared" si="2"/>
        <v>0</v>
      </c>
      <c r="AQ12" s="20">
        <f t="shared" si="3"/>
        <v>0</v>
      </c>
      <c r="AR12" s="20">
        <f t="shared" si="4"/>
        <v>0</v>
      </c>
      <c r="AS12" s="31">
        <f t="shared" si="5"/>
        <v>0</v>
      </c>
      <c r="AT12" s="20">
        <f t="shared" si="6"/>
        <v>0</v>
      </c>
      <c r="BB12" s="20">
        <f t="shared" si="7"/>
        <v>0</v>
      </c>
    </row>
    <row r="13" spans="1:57" x14ac:dyDescent="0.25">
      <c r="A13" s="20">
        <v>9</v>
      </c>
      <c r="B13" s="27" t="s">
        <v>93</v>
      </c>
      <c r="C13" s="20" t="s">
        <v>100</v>
      </c>
      <c r="D13" s="21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9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 t="s">
        <v>96</v>
      </c>
      <c r="U13" s="30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9">
        <v>1</v>
      </c>
      <c r="AC13" s="30">
        <v>1</v>
      </c>
      <c r="AD13" s="28">
        <v>1</v>
      </c>
      <c r="AE13" s="28">
        <v>1</v>
      </c>
      <c r="AF13" s="28">
        <v>1</v>
      </c>
      <c r="AG13" s="28">
        <v>1</v>
      </c>
      <c r="AH13" s="28">
        <v>1</v>
      </c>
      <c r="AI13" s="28">
        <v>1</v>
      </c>
      <c r="AJ13" s="29">
        <v>1</v>
      </c>
      <c r="AK13" s="20">
        <f t="shared" si="8"/>
        <v>0</v>
      </c>
      <c r="AL13" s="20">
        <f t="shared" si="9"/>
        <v>31</v>
      </c>
      <c r="AM13" s="20">
        <f t="shared" si="0"/>
        <v>31</v>
      </c>
      <c r="AN13" s="20">
        <f t="shared" si="1"/>
        <v>0</v>
      </c>
      <c r="AO13" s="20">
        <f t="shared" si="2"/>
        <v>1</v>
      </c>
      <c r="AQ13" s="20">
        <f t="shared" si="3"/>
        <v>32</v>
      </c>
      <c r="AR13" s="20">
        <f t="shared" si="4"/>
        <v>0</v>
      </c>
      <c r="AS13" s="31">
        <f t="shared" si="5"/>
        <v>32</v>
      </c>
      <c r="AT13" s="20">
        <f t="shared" si="6"/>
        <v>0</v>
      </c>
      <c r="AU13" s="20">
        <v>1</v>
      </c>
      <c r="AV13" s="20">
        <v>1</v>
      </c>
      <c r="AW13" s="20">
        <v>1</v>
      </c>
      <c r="AX13" s="20">
        <v>1</v>
      </c>
      <c r="AY13" s="20">
        <v>1</v>
      </c>
      <c r="BA13" s="20">
        <v>1</v>
      </c>
      <c r="BB13" s="20">
        <f t="shared" si="7"/>
        <v>5</v>
      </c>
    </row>
    <row r="14" spans="1:57" x14ac:dyDescent="0.25">
      <c r="A14" s="20">
        <v>10</v>
      </c>
      <c r="B14" s="32" t="s">
        <v>117</v>
      </c>
      <c r="C14" s="20" t="s">
        <v>117</v>
      </c>
      <c r="D14" s="21">
        <v>0</v>
      </c>
      <c r="L14" s="29"/>
      <c r="U14" s="30"/>
      <c r="AB14" s="29"/>
      <c r="AC14" s="30"/>
      <c r="AJ14" s="29"/>
      <c r="AK14" s="20">
        <f t="shared" si="8"/>
        <v>0</v>
      </c>
      <c r="AL14" s="20">
        <f t="shared" si="9"/>
        <v>0</v>
      </c>
      <c r="AM14" s="20">
        <f t="shared" si="0"/>
        <v>0</v>
      </c>
      <c r="AN14" s="20">
        <f t="shared" si="1"/>
        <v>0</v>
      </c>
      <c r="AO14" s="20">
        <f t="shared" si="2"/>
        <v>0</v>
      </c>
      <c r="AQ14" s="20">
        <f t="shared" si="3"/>
        <v>0</v>
      </c>
      <c r="AR14" s="20">
        <f t="shared" si="4"/>
        <v>0</v>
      </c>
      <c r="AS14" s="31">
        <f t="shared" si="5"/>
        <v>0</v>
      </c>
      <c r="AT14" s="20">
        <f t="shared" si="6"/>
        <v>0</v>
      </c>
      <c r="BB14" s="20">
        <f t="shared" si="7"/>
        <v>0</v>
      </c>
    </row>
    <row r="15" spans="1:57" x14ac:dyDescent="0.25">
      <c r="A15" s="20">
        <v>11</v>
      </c>
      <c r="B15" s="27" t="s">
        <v>117</v>
      </c>
      <c r="C15" s="20" t="s">
        <v>117</v>
      </c>
      <c r="D15" s="21">
        <v>0</v>
      </c>
      <c r="L15" s="29"/>
      <c r="U15" s="30"/>
      <c r="AB15" s="29"/>
      <c r="AC15" s="30"/>
      <c r="AJ15" s="29"/>
      <c r="AK15" s="20">
        <f t="shared" si="8"/>
        <v>0</v>
      </c>
      <c r="AL15" s="20">
        <f t="shared" si="9"/>
        <v>0</v>
      </c>
      <c r="AM15" s="20">
        <f t="shared" si="0"/>
        <v>0</v>
      </c>
      <c r="AN15" s="20">
        <f t="shared" si="1"/>
        <v>0</v>
      </c>
      <c r="AO15" s="20">
        <f t="shared" si="2"/>
        <v>0</v>
      </c>
      <c r="AQ15" s="20">
        <f t="shared" si="3"/>
        <v>0</v>
      </c>
      <c r="AR15" s="20">
        <f t="shared" si="4"/>
        <v>0</v>
      </c>
      <c r="AS15" s="31">
        <f t="shared" si="5"/>
        <v>0</v>
      </c>
      <c r="AT15" s="20">
        <f t="shared" si="6"/>
        <v>0</v>
      </c>
      <c r="BB15" s="20">
        <f t="shared" si="7"/>
        <v>0</v>
      </c>
    </row>
    <row r="16" spans="1:57" x14ac:dyDescent="0.25">
      <c r="A16" s="20">
        <v>12</v>
      </c>
      <c r="B16" s="27" t="s">
        <v>93</v>
      </c>
      <c r="C16" s="20" t="s">
        <v>110</v>
      </c>
      <c r="D16" s="21">
        <v>1</v>
      </c>
      <c r="J16" s="28">
        <v>1</v>
      </c>
      <c r="K16" s="28">
        <v>1</v>
      </c>
      <c r="L16" s="29"/>
      <c r="M16" s="28">
        <v>1</v>
      </c>
      <c r="N16" s="28">
        <v>1</v>
      </c>
      <c r="U16" s="30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9">
        <v>1</v>
      </c>
      <c r="AC16" s="30">
        <v>1</v>
      </c>
      <c r="AD16" s="28">
        <v>1</v>
      </c>
      <c r="AE16" s="28" t="s">
        <v>96</v>
      </c>
      <c r="AF16" s="28">
        <v>1</v>
      </c>
      <c r="AG16" s="28">
        <v>1</v>
      </c>
      <c r="AH16" s="28">
        <v>1</v>
      </c>
      <c r="AI16" s="28">
        <v>1</v>
      </c>
      <c r="AJ16" s="29">
        <v>1</v>
      </c>
      <c r="AK16" s="20">
        <f t="shared" si="8"/>
        <v>0</v>
      </c>
      <c r="AL16" s="20">
        <f t="shared" si="9"/>
        <v>19</v>
      </c>
      <c r="AM16" s="20">
        <f t="shared" si="0"/>
        <v>19</v>
      </c>
      <c r="AN16" s="20">
        <f t="shared" si="1"/>
        <v>0</v>
      </c>
      <c r="AO16" s="20">
        <f t="shared" si="2"/>
        <v>1</v>
      </c>
      <c r="AQ16" s="20">
        <f t="shared" si="3"/>
        <v>20</v>
      </c>
      <c r="AR16" s="20">
        <f t="shared" si="4"/>
        <v>0</v>
      </c>
      <c r="AS16" s="31">
        <f t="shared" si="5"/>
        <v>20</v>
      </c>
      <c r="AT16" s="20">
        <f t="shared" si="6"/>
        <v>0</v>
      </c>
      <c r="AU16" s="20">
        <v>1</v>
      </c>
      <c r="AV16" s="20">
        <v>1</v>
      </c>
      <c r="AW16" s="20">
        <v>1</v>
      </c>
      <c r="BA16" s="20">
        <v>1</v>
      </c>
      <c r="BB16" s="20">
        <f t="shared" si="7"/>
        <v>3</v>
      </c>
    </row>
    <row r="17" spans="1:57" x14ac:dyDescent="0.25">
      <c r="A17" s="20">
        <v>14</v>
      </c>
      <c r="B17" s="27" t="s">
        <v>116</v>
      </c>
      <c r="C17" s="20" t="s">
        <v>116</v>
      </c>
      <c r="D17" s="21">
        <v>0</v>
      </c>
      <c r="L17" s="29"/>
      <c r="U17" s="30"/>
      <c r="AB17" s="29"/>
      <c r="AC17" s="30"/>
      <c r="AJ17" s="29"/>
      <c r="AK17" s="20">
        <f t="shared" si="8"/>
        <v>0</v>
      </c>
      <c r="AL17" s="20">
        <f t="shared" si="9"/>
        <v>0</v>
      </c>
      <c r="AM17" s="20">
        <f t="shared" si="0"/>
        <v>0</v>
      </c>
      <c r="AN17" s="20">
        <f t="shared" si="1"/>
        <v>0</v>
      </c>
      <c r="AO17" s="20">
        <f t="shared" si="2"/>
        <v>0</v>
      </c>
      <c r="AQ17" s="20">
        <f t="shared" si="3"/>
        <v>0</v>
      </c>
      <c r="AR17" s="20">
        <f t="shared" si="4"/>
        <v>0</v>
      </c>
      <c r="AS17" s="31">
        <f t="shared" si="5"/>
        <v>0</v>
      </c>
      <c r="AT17" s="20">
        <f t="shared" si="6"/>
        <v>0</v>
      </c>
      <c r="BB17" s="20">
        <f t="shared" si="7"/>
        <v>0</v>
      </c>
    </row>
    <row r="18" spans="1:57" x14ac:dyDescent="0.25">
      <c r="A18" s="20">
        <v>15</v>
      </c>
      <c r="B18" s="27" t="s">
        <v>117</v>
      </c>
      <c r="C18" s="20" t="s">
        <v>117</v>
      </c>
      <c r="D18" s="21">
        <v>0</v>
      </c>
      <c r="L18" s="29"/>
      <c r="U18" s="30"/>
      <c r="AB18" s="29"/>
      <c r="AC18" s="30"/>
      <c r="AJ18" s="29"/>
      <c r="AK18" s="20">
        <f t="shared" si="8"/>
        <v>0</v>
      </c>
      <c r="AL18" s="20">
        <f t="shared" si="9"/>
        <v>0</v>
      </c>
      <c r="AM18" s="20">
        <f t="shared" si="0"/>
        <v>0</v>
      </c>
      <c r="AN18" s="20">
        <f t="shared" si="1"/>
        <v>0</v>
      </c>
      <c r="AO18" s="20">
        <f t="shared" si="2"/>
        <v>0</v>
      </c>
      <c r="AQ18" s="20">
        <f t="shared" si="3"/>
        <v>0</v>
      </c>
      <c r="AR18" s="20">
        <f t="shared" si="4"/>
        <v>0</v>
      </c>
      <c r="AS18" s="31">
        <f t="shared" si="5"/>
        <v>0</v>
      </c>
      <c r="AT18" s="20">
        <f t="shared" si="6"/>
        <v>0</v>
      </c>
      <c r="BB18" s="20">
        <f t="shared" si="7"/>
        <v>0</v>
      </c>
    </row>
    <row r="19" spans="1:57" x14ac:dyDescent="0.25">
      <c r="A19" s="20">
        <v>16</v>
      </c>
      <c r="B19" s="27" t="s">
        <v>117</v>
      </c>
      <c r="C19" s="20" t="s">
        <v>117</v>
      </c>
      <c r="D19" s="21">
        <v>0</v>
      </c>
      <c r="L19" s="29"/>
      <c r="U19" s="30"/>
      <c r="AB19" s="29"/>
      <c r="AC19" s="30"/>
      <c r="AJ19" s="29"/>
      <c r="AK19" s="20">
        <f t="shared" si="8"/>
        <v>0</v>
      </c>
      <c r="AL19" s="20">
        <f t="shared" si="9"/>
        <v>0</v>
      </c>
      <c r="AM19" s="20">
        <f t="shared" si="0"/>
        <v>0</v>
      </c>
      <c r="AN19" s="20">
        <f t="shared" si="1"/>
        <v>0</v>
      </c>
      <c r="AO19" s="20">
        <f t="shared" si="2"/>
        <v>0</v>
      </c>
      <c r="AQ19" s="20">
        <f t="shared" si="3"/>
        <v>0</v>
      </c>
      <c r="AR19" s="20">
        <f t="shared" si="4"/>
        <v>0</v>
      </c>
      <c r="AS19" s="31">
        <f t="shared" si="5"/>
        <v>0</v>
      </c>
      <c r="AT19" s="20">
        <f t="shared" si="6"/>
        <v>0</v>
      </c>
      <c r="BB19" s="20">
        <f t="shared" si="7"/>
        <v>0</v>
      </c>
    </row>
    <row r="20" spans="1:57" x14ac:dyDescent="0.25">
      <c r="A20" s="20">
        <v>17</v>
      </c>
      <c r="B20" s="27" t="s">
        <v>117</v>
      </c>
      <c r="C20" s="20" t="s">
        <v>117</v>
      </c>
      <c r="D20" s="21">
        <v>0</v>
      </c>
      <c r="L20" s="29"/>
      <c r="U20" s="30"/>
      <c r="AB20" s="29"/>
      <c r="AC20" s="30"/>
      <c r="AJ20" s="29"/>
      <c r="AK20" s="20">
        <f t="shared" si="8"/>
        <v>0</v>
      </c>
      <c r="AL20" s="20">
        <f t="shared" si="9"/>
        <v>0</v>
      </c>
      <c r="AM20" s="20">
        <f t="shared" si="0"/>
        <v>0</v>
      </c>
      <c r="AN20" s="20">
        <f t="shared" si="1"/>
        <v>0</v>
      </c>
      <c r="AO20" s="20">
        <f t="shared" si="2"/>
        <v>0</v>
      </c>
      <c r="AQ20" s="20">
        <f t="shared" si="3"/>
        <v>0</v>
      </c>
      <c r="AR20" s="20">
        <f t="shared" si="4"/>
        <v>0</v>
      </c>
      <c r="AS20" s="31">
        <f t="shared" si="5"/>
        <v>0</v>
      </c>
      <c r="AT20" s="20">
        <f t="shared" si="6"/>
        <v>0</v>
      </c>
      <c r="BB20" s="20">
        <f t="shared" si="7"/>
        <v>0</v>
      </c>
    </row>
    <row r="21" spans="1:57" x14ac:dyDescent="0.25">
      <c r="A21" s="20">
        <v>19</v>
      </c>
      <c r="B21" s="27" t="s">
        <v>92</v>
      </c>
      <c r="C21" s="20" t="s">
        <v>117</v>
      </c>
      <c r="D21" s="21">
        <v>1</v>
      </c>
      <c r="L21" s="29"/>
      <c r="R21" s="28">
        <v>1</v>
      </c>
      <c r="U21" s="30"/>
      <c r="AB21" s="29"/>
      <c r="AC21" s="30"/>
      <c r="AJ21" s="29"/>
      <c r="AK21" s="20">
        <f t="shared" si="8"/>
        <v>0</v>
      </c>
      <c r="AL21" s="20">
        <f t="shared" si="9"/>
        <v>1</v>
      </c>
      <c r="AM21" s="20">
        <f t="shared" si="0"/>
        <v>1</v>
      </c>
      <c r="AN21" s="20">
        <f t="shared" si="1"/>
        <v>0</v>
      </c>
      <c r="AO21" s="20">
        <f t="shared" si="2"/>
        <v>0</v>
      </c>
      <c r="AQ21" s="20">
        <f t="shared" si="3"/>
        <v>1</v>
      </c>
      <c r="AR21" s="20">
        <f t="shared" si="4"/>
        <v>0</v>
      </c>
      <c r="AS21" s="31">
        <f t="shared" si="5"/>
        <v>1</v>
      </c>
      <c r="AT21" s="20">
        <f t="shared" si="6"/>
        <v>0</v>
      </c>
      <c r="AU21" s="20">
        <v>0</v>
      </c>
      <c r="BB21" s="20">
        <f t="shared" si="7"/>
        <v>0</v>
      </c>
    </row>
    <row r="22" spans="1:57" x14ac:dyDescent="0.25">
      <c r="A22" s="20">
        <v>20</v>
      </c>
      <c r="B22" s="27" t="s">
        <v>92</v>
      </c>
      <c r="C22" s="20" t="s">
        <v>117</v>
      </c>
      <c r="D22" s="21">
        <v>1</v>
      </c>
      <c r="L22" s="29"/>
      <c r="T22" s="28">
        <v>1</v>
      </c>
      <c r="U22" s="30"/>
      <c r="AB22" s="29"/>
      <c r="AC22" s="30"/>
      <c r="AJ22" s="29"/>
      <c r="AK22" s="20">
        <f t="shared" si="8"/>
        <v>0</v>
      </c>
      <c r="AL22" s="20">
        <f t="shared" si="9"/>
        <v>1</v>
      </c>
      <c r="AM22" s="20">
        <f t="shared" si="0"/>
        <v>1</v>
      </c>
      <c r="AN22" s="20">
        <f t="shared" si="1"/>
        <v>0</v>
      </c>
      <c r="AO22" s="20">
        <f t="shared" si="2"/>
        <v>0</v>
      </c>
      <c r="AQ22" s="20">
        <f t="shared" si="3"/>
        <v>1</v>
      </c>
      <c r="AR22" s="20">
        <f t="shared" si="4"/>
        <v>0</v>
      </c>
      <c r="AS22" s="31">
        <f t="shared" si="5"/>
        <v>1</v>
      </c>
      <c r="AT22" s="20">
        <f t="shared" si="6"/>
        <v>0</v>
      </c>
      <c r="AU22" s="20">
        <v>0</v>
      </c>
      <c r="BB22" s="20">
        <f t="shared" si="7"/>
        <v>0</v>
      </c>
    </row>
    <row r="23" spans="1:57" x14ac:dyDescent="0.25">
      <c r="A23" s="20">
        <v>21</v>
      </c>
      <c r="B23" s="20" t="s">
        <v>93</v>
      </c>
      <c r="C23" s="20" t="s">
        <v>114</v>
      </c>
      <c r="D23" s="21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9" t="s">
        <v>96</v>
      </c>
      <c r="M23" s="28" t="s">
        <v>96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30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9">
        <v>1</v>
      </c>
      <c r="AC23" s="30">
        <v>1</v>
      </c>
      <c r="AD23" s="28">
        <v>1</v>
      </c>
      <c r="AE23" s="28">
        <v>1</v>
      </c>
      <c r="AF23" s="28">
        <v>1</v>
      </c>
      <c r="AG23" s="28">
        <v>1</v>
      </c>
      <c r="AH23" s="28">
        <v>1</v>
      </c>
      <c r="AI23" s="28">
        <v>1</v>
      </c>
      <c r="AJ23" s="29">
        <v>1</v>
      </c>
      <c r="AK23" s="20">
        <f t="shared" si="8"/>
        <v>0</v>
      </c>
      <c r="AL23" s="20">
        <f t="shared" si="9"/>
        <v>30</v>
      </c>
      <c r="AM23" s="20">
        <f t="shared" si="0"/>
        <v>30</v>
      </c>
      <c r="AN23" s="20">
        <f t="shared" si="1"/>
        <v>0</v>
      </c>
      <c r="AO23" s="20">
        <f t="shared" si="2"/>
        <v>2</v>
      </c>
      <c r="AQ23" s="20">
        <f t="shared" si="3"/>
        <v>32</v>
      </c>
      <c r="AR23" s="20">
        <f t="shared" si="4"/>
        <v>0</v>
      </c>
      <c r="AS23" s="31">
        <f t="shared" si="5"/>
        <v>32</v>
      </c>
      <c r="AT23" s="20">
        <f t="shared" si="6"/>
        <v>0</v>
      </c>
      <c r="AU23" s="20">
        <v>1</v>
      </c>
      <c r="AV23" s="20">
        <v>1</v>
      </c>
      <c r="AW23" s="20">
        <v>1</v>
      </c>
      <c r="AX23" s="20">
        <v>1</v>
      </c>
      <c r="BB23" s="20">
        <f t="shared" si="7"/>
        <v>3</v>
      </c>
    </row>
    <row r="24" spans="1:57" x14ac:dyDescent="0.25">
      <c r="A24" s="20">
        <v>22</v>
      </c>
      <c r="B24" s="27" t="s">
        <v>93</v>
      </c>
      <c r="C24" s="20" t="s">
        <v>115</v>
      </c>
      <c r="D24" s="21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9">
        <v>1</v>
      </c>
      <c r="M24" s="28" t="s">
        <v>96</v>
      </c>
      <c r="N24" s="28">
        <v>1</v>
      </c>
      <c r="O24" s="28" t="s">
        <v>96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30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9">
        <v>1</v>
      </c>
      <c r="AC24" s="30" t="s">
        <v>96</v>
      </c>
      <c r="AD24" s="28">
        <v>1</v>
      </c>
      <c r="AE24" s="28">
        <v>1</v>
      </c>
      <c r="AF24" s="28">
        <v>1</v>
      </c>
      <c r="AG24" s="28">
        <v>1</v>
      </c>
      <c r="AH24" s="28">
        <v>1</v>
      </c>
      <c r="AI24" s="28">
        <v>1</v>
      </c>
      <c r="AJ24" s="29">
        <v>1</v>
      </c>
      <c r="AK24" s="20">
        <f t="shared" si="8"/>
        <v>0</v>
      </c>
      <c r="AL24" s="20">
        <f t="shared" si="9"/>
        <v>29</v>
      </c>
      <c r="AM24" s="20">
        <f t="shared" si="0"/>
        <v>29</v>
      </c>
      <c r="AN24" s="20">
        <f t="shared" si="1"/>
        <v>0</v>
      </c>
      <c r="AO24" s="20">
        <f t="shared" si="2"/>
        <v>3</v>
      </c>
      <c r="AQ24" s="20">
        <f t="shared" si="3"/>
        <v>32</v>
      </c>
      <c r="AR24" s="20">
        <f t="shared" si="4"/>
        <v>0</v>
      </c>
      <c r="AS24" s="31">
        <f t="shared" si="5"/>
        <v>32</v>
      </c>
      <c r="AT24" s="20">
        <f t="shared" si="6"/>
        <v>0</v>
      </c>
      <c r="AU24" s="20">
        <v>1</v>
      </c>
      <c r="AV24" s="20">
        <v>1</v>
      </c>
      <c r="AW24" s="20">
        <v>1</v>
      </c>
      <c r="BB24" s="20">
        <f t="shared" si="7"/>
        <v>2</v>
      </c>
      <c r="BD24" s="20">
        <v>1</v>
      </c>
      <c r="BE24" s="20" t="s">
        <v>172</v>
      </c>
    </row>
    <row r="25" spans="1:57" x14ac:dyDescent="0.25">
      <c r="A25" s="72">
        <v>23</v>
      </c>
      <c r="B25" s="73" t="s">
        <v>116</v>
      </c>
      <c r="C25" s="1" t="s">
        <v>122</v>
      </c>
      <c r="D25" s="21">
        <v>1</v>
      </c>
      <c r="E25" s="28" t="s">
        <v>95</v>
      </c>
      <c r="F25" s="28" t="s">
        <v>95</v>
      </c>
      <c r="G25" s="28">
        <v>1</v>
      </c>
      <c r="H25" s="28" t="s">
        <v>34</v>
      </c>
      <c r="I25" s="28" t="s">
        <v>34</v>
      </c>
      <c r="J25" s="28" t="s">
        <v>34</v>
      </c>
      <c r="K25" s="28">
        <v>1</v>
      </c>
      <c r="L25" s="29">
        <v>1</v>
      </c>
      <c r="M25" s="28">
        <v>1</v>
      </c>
      <c r="N25" s="28" t="s">
        <v>96</v>
      </c>
      <c r="O25" s="28" t="s">
        <v>34</v>
      </c>
      <c r="P25" s="28" t="s">
        <v>96</v>
      </c>
      <c r="Q25" s="28" t="s">
        <v>34</v>
      </c>
      <c r="R25" s="28">
        <v>1</v>
      </c>
      <c r="S25" s="28" t="s">
        <v>95</v>
      </c>
      <c r="T25" s="28" t="s">
        <v>95</v>
      </c>
      <c r="U25" s="30" t="s">
        <v>95</v>
      </c>
      <c r="V25" s="28" t="s">
        <v>95</v>
      </c>
      <c r="W25" s="28">
        <v>1</v>
      </c>
      <c r="X25" s="28" t="s">
        <v>34</v>
      </c>
      <c r="Y25" s="28" t="s">
        <v>95</v>
      </c>
      <c r="Z25" s="28">
        <v>1</v>
      </c>
      <c r="AA25" s="28">
        <v>1</v>
      </c>
      <c r="AB25" s="29">
        <v>1</v>
      </c>
      <c r="AC25" s="30">
        <v>1</v>
      </c>
      <c r="AD25" s="28">
        <v>1</v>
      </c>
      <c r="AE25" s="28">
        <v>1</v>
      </c>
      <c r="AF25" s="28" t="s">
        <v>95</v>
      </c>
      <c r="AG25" s="28" t="s">
        <v>34</v>
      </c>
      <c r="AH25" s="28">
        <v>1</v>
      </c>
      <c r="AI25" s="28" t="s">
        <v>95</v>
      </c>
      <c r="AJ25" s="29" t="s">
        <v>95</v>
      </c>
      <c r="AK25" s="20">
        <f t="shared" si="8"/>
        <v>7</v>
      </c>
      <c r="AL25" s="20">
        <f t="shared" si="9"/>
        <v>13</v>
      </c>
      <c r="AM25" s="20">
        <f>SUM((COUNTIF(E25:AJ25,"1"))+(COUNTIF(E25:AJ25,"PH")))</f>
        <v>20</v>
      </c>
      <c r="AN25" s="20">
        <f t="shared" si="1"/>
        <v>0</v>
      </c>
      <c r="AO25" s="20">
        <f t="shared" si="2"/>
        <v>2</v>
      </c>
      <c r="AQ25" s="20">
        <f>SUM((COUNTIF(E25:AJ25,"1"))+(COUNTIF(E25:AJ25,"am"))+(COUNTIF(E25:AJ25,"pm"))+(COUNTIF(E25:AJ25,"PH")))</f>
        <v>22</v>
      </c>
      <c r="AR25" s="20">
        <f t="shared" si="4"/>
        <v>10</v>
      </c>
      <c r="AS25" s="31">
        <f t="shared" si="5"/>
        <v>32</v>
      </c>
      <c r="AT25" s="20">
        <f t="shared" si="6"/>
        <v>0</v>
      </c>
      <c r="AU25" s="20">
        <v>1</v>
      </c>
      <c r="AV25" s="20">
        <v>1</v>
      </c>
      <c r="AX25" s="20">
        <v>1</v>
      </c>
      <c r="BB25" s="20">
        <f t="shared" si="7"/>
        <v>2</v>
      </c>
      <c r="BD25" s="20">
        <v>1</v>
      </c>
      <c r="BE25" t="s">
        <v>173</v>
      </c>
    </row>
    <row r="26" spans="1:57" x14ac:dyDescent="0.25">
      <c r="A26" s="20">
        <v>24</v>
      </c>
      <c r="B26" s="32" t="s">
        <v>92</v>
      </c>
      <c r="C26" s="20" t="s">
        <v>123</v>
      </c>
      <c r="D26" s="21">
        <v>0</v>
      </c>
      <c r="L26" s="29"/>
      <c r="U26" s="30"/>
      <c r="AB26" s="29"/>
      <c r="AC26" s="30"/>
      <c r="AJ26" s="29"/>
      <c r="AK26" s="20">
        <f t="shared" si="8"/>
        <v>0</v>
      </c>
      <c r="AL26" s="20">
        <f t="shared" si="9"/>
        <v>0</v>
      </c>
      <c r="AM26" s="20">
        <f t="shared" ref="AM26:AM72" si="10">SUM((COUNTIF(E26:AJ26,"1"))+(COUNTIF(E26:AJ26,"PH")))</f>
        <v>0</v>
      </c>
      <c r="AN26" s="20">
        <f t="shared" si="1"/>
        <v>0</v>
      </c>
      <c r="AO26" s="20">
        <f t="shared" si="2"/>
        <v>0</v>
      </c>
      <c r="AQ26" s="20">
        <f t="shared" ref="AQ26:AQ57" si="11">SUM((COUNTIF(E26:AJ26,"1"))+(COUNTIF(E26:AJ26,"am"))+(COUNTIF(E26:AJ26,"pm")))</f>
        <v>0</v>
      </c>
      <c r="AR26" s="20">
        <f t="shared" si="4"/>
        <v>0</v>
      </c>
      <c r="AS26" s="31">
        <f t="shared" si="5"/>
        <v>0</v>
      </c>
      <c r="AT26" s="20">
        <f t="shared" si="6"/>
        <v>0</v>
      </c>
      <c r="BB26" s="20">
        <f t="shared" si="7"/>
        <v>0</v>
      </c>
    </row>
    <row r="27" spans="1:57" x14ac:dyDescent="0.25">
      <c r="A27" s="20">
        <v>25</v>
      </c>
      <c r="B27" s="73" t="s">
        <v>116</v>
      </c>
      <c r="C27" s="1" t="s">
        <v>124</v>
      </c>
      <c r="D27" s="21">
        <v>1</v>
      </c>
      <c r="E27" s="28" t="s">
        <v>95</v>
      </c>
      <c r="F27" s="28" t="s">
        <v>95</v>
      </c>
      <c r="G27" s="28">
        <v>1</v>
      </c>
      <c r="H27" s="28" t="s">
        <v>34</v>
      </c>
      <c r="I27" s="28" t="s">
        <v>34</v>
      </c>
      <c r="J27" s="28" t="s">
        <v>34</v>
      </c>
      <c r="K27" s="28">
        <v>1</v>
      </c>
      <c r="L27" s="29">
        <v>1</v>
      </c>
      <c r="M27" s="28">
        <v>1</v>
      </c>
      <c r="N27" s="28">
        <v>1</v>
      </c>
      <c r="O27" s="28" t="s">
        <v>34</v>
      </c>
      <c r="P27" s="28" t="s">
        <v>34</v>
      </c>
      <c r="Q27" s="28" t="s">
        <v>34</v>
      </c>
      <c r="R27" s="28">
        <v>1</v>
      </c>
      <c r="S27" s="28" t="s">
        <v>95</v>
      </c>
      <c r="T27" s="28" t="s">
        <v>95</v>
      </c>
      <c r="U27" s="30" t="s">
        <v>95</v>
      </c>
      <c r="V27" s="28" t="s">
        <v>95</v>
      </c>
      <c r="W27" s="28">
        <v>1</v>
      </c>
      <c r="X27" s="28" t="s">
        <v>34</v>
      </c>
      <c r="Y27" s="28" t="s">
        <v>34</v>
      </c>
      <c r="Z27" s="28" t="s">
        <v>34</v>
      </c>
      <c r="AA27" s="28">
        <v>1</v>
      </c>
      <c r="AB27" s="29">
        <v>1</v>
      </c>
      <c r="AC27" s="30">
        <v>1</v>
      </c>
      <c r="AD27" s="28">
        <v>1</v>
      </c>
      <c r="AE27" s="28" t="s">
        <v>34</v>
      </c>
      <c r="AF27" s="28" t="s">
        <v>34</v>
      </c>
      <c r="AG27" s="28" t="s">
        <v>34</v>
      </c>
      <c r="AH27" s="28">
        <v>1</v>
      </c>
      <c r="AI27" s="28" t="s">
        <v>95</v>
      </c>
      <c r="AJ27" s="29" t="s">
        <v>95</v>
      </c>
      <c r="AK27" s="20">
        <f t="shared" si="8"/>
        <v>12</v>
      </c>
      <c r="AL27" s="20">
        <f t="shared" si="9"/>
        <v>12</v>
      </c>
      <c r="AM27" s="20">
        <f t="shared" si="10"/>
        <v>24</v>
      </c>
      <c r="AN27" s="20">
        <f t="shared" si="1"/>
        <v>0</v>
      </c>
      <c r="AO27" s="20">
        <f t="shared" si="2"/>
        <v>0</v>
      </c>
      <c r="AQ27" s="20">
        <f t="shared" si="11"/>
        <v>12</v>
      </c>
      <c r="AR27" s="20">
        <f t="shared" si="4"/>
        <v>8</v>
      </c>
      <c r="AS27" s="31">
        <f t="shared" si="5"/>
        <v>20</v>
      </c>
      <c r="AT27" s="20">
        <f t="shared" si="6"/>
        <v>0</v>
      </c>
      <c r="AU27" s="20">
        <v>1</v>
      </c>
      <c r="AV27" s="20">
        <v>1</v>
      </c>
      <c r="AX27" s="20">
        <v>1</v>
      </c>
      <c r="BB27" s="20">
        <f t="shared" si="7"/>
        <v>2</v>
      </c>
    </row>
    <row r="28" spans="1:57" x14ac:dyDescent="0.25">
      <c r="A28" s="20" t="s">
        <v>126</v>
      </c>
      <c r="B28" s="32" t="s">
        <v>116</v>
      </c>
      <c r="C28" s="20" t="s">
        <v>94</v>
      </c>
      <c r="D28" s="21">
        <v>0</v>
      </c>
      <c r="L28" s="29"/>
      <c r="U28" s="30"/>
      <c r="AB28" s="29"/>
      <c r="AC28" s="30"/>
      <c r="AJ28" s="29"/>
      <c r="AK28" s="20">
        <f t="shared" si="8"/>
        <v>0</v>
      </c>
      <c r="AL28" s="20">
        <f t="shared" si="9"/>
        <v>0</v>
      </c>
      <c r="AM28" s="20">
        <f t="shared" si="10"/>
        <v>0</v>
      </c>
      <c r="AN28" s="20">
        <f t="shared" si="1"/>
        <v>0</v>
      </c>
      <c r="AO28" s="20">
        <f t="shared" si="2"/>
        <v>0</v>
      </c>
      <c r="AQ28" s="20">
        <f t="shared" si="11"/>
        <v>0</v>
      </c>
      <c r="AR28" s="20">
        <f t="shared" si="4"/>
        <v>0</v>
      </c>
      <c r="AS28" s="31">
        <f t="shared" si="5"/>
        <v>0</v>
      </c>
      <c r="AT28" s="20">
        <f t="shared" si="6"/>
        <v>0</v>
      </c>
      <c r="BB28" s="20">
        <f t="shared" si="7"/>
        <v>0</v>
      </c>
    </row>
    <row r="29" spans="1:57" x14ac:dyDescent="0.25">
      <c r="A29" s="20" t="s">
        <v>127</v>
      </c>
      <c r="B29" s="73" t="s">
        <v>117</v>
      </c>
      <c r="C29" s="1" t="s">
        <v>117</v>
      </c>
      <c r="D29" s="21">
        <v>0</v>
      </c>
      <c r="L29" s="29"/>
      <c r="U29" s="30"/>
      <c r="AB29" s="29"/>
      <c r="AC29" s="30"/>
      <c r="AJ29" s="29"/>
      <c r="AK29" s="20">
        <f t="shared" si="8"/>
        <v>0</v>
      </c>
      <c r="AL29" s="20">
        <f t="shared" si="9"/>
        <v>0</v>
      </c>
      <c r="AM29" s="20">
        <f t="shared" si="10"/>
        <v>0</v>
      </c>
      <c r="AN29" s="20">
        <f t="shared" si="1"/>
        <v>0</v>
      </c>
      <c r="AO29" s="20">
        <f t="shared" si="2"/>
        <v>0</v>
      </c>
      <c r="AQ29" s="20">
        <f t="shared" si="11"/>
        <v>0</v>
      </c>
      <c r="AR29" s="20">
        <f t="shared" si="4"/>
        <v>0</v>
      </c>
      <c r="AS29" s="31">
        <f t="shared" si="5"/>
        <v>0</v>
      </c>
      <c r="AT29" s="20">
        <f t="shared" si="6"/>
        <v>0</v>
      </c>
      <c r="BB29" s="20">
        <f t="shared" si="7"/>
        <v>0</v>
      </c>
    </row>
    <row r="30" spans="1:57" x14ac:dyDescent="0.25">
      <c r="A30" s="20">
        <v>27</v>
      </c>
      <c r="B30" s="32" t="s">
        <v>92</v>
      </c>
      <c r="C30" s="20" t="s">
        <v>128</v>
      </c>
      <c r="D30" s="21">
        <v>0</v>
      </c>
      <c r="L30" s="29"/>
      <c r="U30" s="30"/>
      <c r="AB30" s="29"/>
      <c r="AC30" s="30"/>
      <c r="AJ30" s="29"/>
      <c r="AK30" s="20">
        <f t="shared" si="8"/>
        <v>0</v>
      </c>
      <c r="AL30" s="20">
        <f t="shared" si="9"/>
        <v>0</v>
      </c>
      <c r="AM30" s="20">
        <f t="shared" si="10"/>
        <v>0</v>
      </c>
      <c r="AN30" s="20">
        <f t="shared" si="1"/>
        <v>0</v>
      </c>
      <c r="AO30" s="20">
        <f t="shared" si="2"/>
        <v>0</v>
      </c>
      <c r="AQ30" s="20">
        <f t="shared" si="11"/>
        <v>0</v>
      </c>
      <c r="AR30" s="20">
        <f t="shared" si="4"/>
        <v>0</v>
      </c>
      <c r="AS30" s="31">
        <f t="shared" si="5"/>
        <v>0</v>
      </c>
      <c r="AT30" s="20">
        <f t="shared" si="6"/>
        <v>0</v>
      </c>
      <c r="BB30" s="20">
        <f t="shared" si="7"/>
        <v>0</v>
      </c>
    </row>
    <row r="31" spans="1:57" x14ac:dyDescent="0.25">
      <c r="A31" s="20">
        <v>28</v>
      </c>
      <c r="B31" s="73" t="s">
        <v>93</v>
      </c>
      <c r="C31" s="1" t="s">
        <v>129</v>
      </c>
      <c r="D31" s="21">
        <v>1</v>
      </c>
      <c r="E31" s="28">
        <v>1</v>
      </c>
      <c r="F31" s="28">
        <v>1</v>
      </c>
      <c r="G31" s="28">
        <v>1</v>
      </c>
      <c r="H31" s="28">
        <v>1</v>
      </c>
      <c r="I31" s="28">
        <v>1</v>
      </c>
      <c r="J31" s="28">
        <v>1</v>
      </c>
      <c r="K31" s="28">
        <v>1</v>
      </c>
      <c r="L31" s="29">
        <v>1</v>
      </c>
      <c r="M31" s="28">
        <v>1</v>
      </c>
      <c r="N31" s="28">
        <v>1</v>
      </c>
      <c r="O31" s="28">
        <v>1</v>
      </c>
      <c r="P31" s="28">
        <v>1</v>
      </c>
      <c r="Q31" s="28">
        <v>1</v>
      </c>
      <c r="R31" s="28">
        <v>1</v>
      </c>
      <c r="S31" s="28">
        <v>1</v>
      </c>
      <c r="T31" s="28">
        <v>1</v>
      </c>
      <c r="U31" s="30"/>
      <c r="V31" s="28">
        <v>1</v>
      </c>
      <c r="W31" s="28">
        <v>1</v>
      </c>
      <c r="X31" s="28">
        <v>1</v>
      </c>
      <c r="Y31" s="28">
        <v>1</v>
      </c>
      <c r="Z31" s="28">
        <v>1</v>
      </c>
      <c r="AA31" s="28">
        <v>1</v>
      </c>
      <c r="AB31" s="29">
        <v>1</v>
      </c>
      <c r="AC31" s="30">
        <v>1</v>
      </c>
      <c r="AD31" s="28">
        <v>1</v>
      </c>
      <c r="AE31" s="28">
        <v>1</v>
      </c>
      <c r="AF31" s="28">
        <v>1</v>
      </c>
      <c r="AG31" s="28">
        <v>1</v>
      </c>
      <c r="AH31" s="28">
        <v>1</v>
      </c>
      <c r="AI31" s="28">
        <v>1</v>
      </c>
      <c r="AJ31" s="29"/>
      <c r="AK31" s="20">
        <f t="shared" si="8"/>
        <v>0</v>
      </c>
      <c r="AL31" s="20">
        <f t="shared" si="9"/>
        <v>30</v>
      </c>
      <c r="AM31" s="20">
        <f t="shared" si="10"/>
        <v>30</v>
      </c>
      <c r="AN31" s="20">
        <f t="shared" si="1"/>
        <v>0</v>
      </c>
      <c r="AO31" s="20">
        <f t="shared" si="2"/>
        <v>0</v>
      </c>
      <c r="AQ31" s="20">
        <f t="shared" si="11"/>
        <v>30</v>
      </c>
      <c r="AR31" s="20">
        <f t="shared" si="4"/>
        <v>0</v>
      </c>
      <c r="AS31" s="31">
        <f t="shared" si="5"/>
        <v>30</v>
      </c>
      <c r="AT31" s="20">
        <f t="shared" si="6"/>
        <v>0</v>
      </c>
      <c r="AU31" s="20">
        <v>1</v>
      </c>
      <c r="AV31" s="20">
        <v>1</v>
      </c>
      <c r="AW31" s="20">
        <v>1</v>
      </c>
      <c r="AX31" s="20">
        <v>1</v>
      </c>
      <c r="BB31" s="20">
        <f t="shared" si="7"/>
        <v>3</v>
      </c>
    </row>
    <row r="32" spans="1:57" x14ac:dyDescent="0.25">
      <c r="A32" s="20">
        <v>29</v>
      </c>
      <c r="B32" s="32" t="s">
        <v>92</v>
      </c>
      <c r="C32" s="20" t="s">
        <v>141</v>
      </c>
      <c r="D32" s="21">
        <v>1</v>
      </c>
      <c r="E32" s="28">
        <v>1</v>
      </c>
      <c r="F32" s="28">
        <v>1</v>
      </c>
      <c r="G32" s="28">
        <v>1</v>
      </c>
      <c r="H32" s="28">
        <v>1</v>
      </c>
      <c r="I32" s="28">
        <v>1</v>
      </c>
      <c r="J32" s="28">
        <v>1</v>
      </c>
      <c r="K32" s="28">
        <v>1</v>
      </c>
      <c r="L32" s="29">
        <v>1</v>
      </c>
      <c r="M32" s="28">
        <v>1</v>
      </c>
      <c r="N32" s="28">
        <v>1</v>
      </c>
      <c r="O32" s="28">
        <v>1</v>
      </c>
      <c r="P32" s="28">
        <v>1</v>
      </c>
      <c r="Q32" s="28">
        <v>1</v>
      </c>
      <c r="R32" s="28">
        <v>1</v>
      </c>
      <c r="S32" s="28">
        <v>1</v>
      </c>
      <c r="T32" s="28">
        <v>1</v>
      </c>
      <c r="U32" s="30">
        <v>1</v>
      </c>
      <c r="V32" s="28">
        <v>1</v>
      </c>
      <c r="W32" s="28">
        <v>1</v>
      </c>
      <c r="X32" s="28">
        <v>1</v>
      </c>
      <c r="Y32" s="28">
        <v>1</v>
      </c>
      <c r="Z32" s="28">
        <v>1</v>
      </c>
      <c r="AA32" s="28">
        <v>1</v>
      </c>
      <c r="AB32" s="29">
        <v>1</v>
      </c>
      <c r="AC32" s="30">
        <v>1</v>
      </c>
      <c r="AD32" s="28">
        <v>1</v>
      </c>
      <c r="AE32" s="28">
        <v>1</v>
      </c>
      <c r="AF32" s="28">
        <v>1</v>
      </c>
      <c r="AG32" s="28">
        <v>1</v>
      </c>
      <c r="AH32" s="28">
        <v>1</v>
      </c>
      <c r="AI32" s="28">
        <v>1</v>
      </c>
      <c r="AJ32" s="29">
        <v>1</v>
      </c>
      <c r="AK32" s="20">
        <f t="shared" si="8"/>
        <v>0</v>
      </c>
      <c r="AL32" s="20">
        <f t="shared" si="9"/>
        <v>32</v>
      </c>
      <c r="AM32" s="20">
        <f t="shared" si="10"/>
        <v>32</v>
      </c>
      <c r="AN32" s="20">
        <f t="shared" si="1"/>
        <v>0</v>
      </c>
      <c r="AO32" s="20">
        <f t="shared" si="2"/>
        <v>0</v>
      </c>
      <c r="AQ32" s="20">
        <f t="shared" si="11"/>
        <v>32</v>
      </c>
      <c r="AR32" s="20">
        <f t="shared" si="4"/>
        <v>0</v>
      </c>
      <c r="AS32" s="31">
        <f t="shared" si="5"/>
        <v>32</v>
      </c>
      <c r="AT32" s="20">
        <f t="shared" si="6"/>
        <v>0</v>
      </c>
      <c r="AU32" s="20">
        <v>1</v>
      </c>
      <c r="AV32" s="20">
        <v>1</v>
      </c>
      <c r="AX32" s="20">
        <v>1</v>
      </c>
      <c r="BB32" s="20">
        <f t="shared" si="7"/>
        <v>2</v>
      </c>
      <c r="BD32" s="20">
        <v>1</v>
      </c>
      <c r="BE32" t="s">
        <v>142</v>
      </c>
    </row>
    <row r="33" spans="1:54" x14ac:dyDescent="0.25">
      <c r="A33" s="20">
        <v>30</v>
      </c>
      <c r="B33" s="73" t="s">
        <v>93</v>
      </c>
      <c r="C33" s="1" t="s">
        <v>144</v>
      </c>
      <c r="D33" s="21">
        <v>1</v>
      </c>
      <c r="J33" s="28">
        <v>1</v>
      </c>
      <c r="L33" s="29"/>
      <c r="M33" s="28" t="s">
        <v>96</v>
      </c>
      <c r="N33" s="28">
        <v>1</v>
      </c>
      <c r="O33" s="28">
        <v>1</v>
      </c>
      <c r="P33" s="28">
        <v>1</v>
      </c>
      <c r="Q33" s="28" t="s">
        <v>96</v>
      </c>
      <c r="R33" s="28" t="s">
        <v>96</v>
      </c>
      <c r="S33" s="28" t="s">
        <v>96</v>
      </c>
      <c r="T33" s="28" t="s">
        <v>96</v>
      </c>
      <c r="U33" s="30">
        <v>1</v>
      </c>
      <c r="V33" s="28">
        <v>1</v>
      </c>
      <c r="W33" s="28">
        <v>1</v>
      </c>
      <c r="X33" s="28">
        <v>1</v>
      </c>
      <c r="Y33" s="28">
        <v>1</v>
      </c>
      <c r="Z33" s="28">
        <v>1</v>
      </c>
      <c r="AA33" s="28">
        <v>1</v>
      </c>
      <c r="AB33" s="29">
        <v>1</v>
      </c>
      <c r="AC33" s="30">
        <v>1</v>
      </c>
      <c r="AD33" s="28">
        <v>1</v>
      </c>
      <c r="AE33" s="28" t="s">
        <v>96</v>
      </c>
      <c r="AF33" s="28" t="s">
        <v>96</v>
      </c>
      <c r="AG33" s="28">
        <v>1</v>
      </c>
      <c r="AH33" s="28">
        <v>1</v>
      </c>
      <c r="AI33" s="28" t="s">
        <v>145</v>
      </c>
      <c r="AJ33" s="29">
        <v>1</v>
      </c>
      <c r="AK33" s="20">
        <f t="shared" si="8"/>
        <v>0</v>
      </c>
      <c r="AL33" s="20">
        <f t="shared" si="9"/>
        <v>17</v>
      </c>
      <c r="AM33" s="20">
        <f t="shared" si="10"/>
        <v>17</v>
      </c>
      <c r="AN33" s="20">
        <f t="shared" si="1"/>
        <v>1</v>
      </c>
      <c r="AO33" s="20">
        <f t="shared" si="2"/>
        <v>7</v>
      </c>
      <c r="AQ33" s="20">
        <f t="shared" si="11"/>
        <v>25</v>
      </c>
      <c r="AR33" s="20">
        <f t="shared" si="4"/>
        <v>0</v>
      </c>
      <c r="AS33" s="31">
        <f t="shared" si="5"/>
        <v>25</v>
      </c>
      <c r="AT33" s="20">
        <f t="shared" si="6"/>
        <v>0</v>
      </c>
      <c r="AU33" s="20">
        <v>1</v>
      </c>
      <c r="AV33" s="20">
        <v>1</v>
      </c>
      <c r="AW33" s="20">
        <v>1</v>
      </c>
      <c r="AX33" s="20">
        <v>1</v>
      </c>
      <c r="AY33" s="20">
        <v>1</v>
      </c>
      <c r="AZ33" s="20">
        <v>1</v>
      </c>
      <c r="BB33" s="20">
        <f t="shared" si="7"/>
        <v>5</v>
      </c>
    </row>
    <row r="34" spans="1:54" x14ac:dyDescent="0.25">
      <c r="A34" s="20">
        <v>31</v>
      </c>
      <c r="B34" s="32" t="s">
        <v>116</v>
      </c>
      <c r="C34" s="20" t="s">
        <v>148</v>
      </c>
      <c r="D34" s="21">
        <v>0</v>
      </c>
      <c r="L34" s="29"/>
      <c r="U34" s="30"/>
      <c r="AB34" s="29"/>
      <c r="AC34" s="30"/>
      <c r="AJ34" s="29"/>
      <c r="AK34" s="20">
        <f t="shared" si="8"/>
        <v>0</v>
      </c>
      <c r="AL34" s="20">
        <f t="shared" si="9"/>
        <v>0</v>
      </c>
      <c r="AM34" s="20">
        <f t="shared" si="10"/>
        <v>0</v>
      </c>
      <c r="AN34" s="20">
        <f t="shared" si="1"/>
        <v>0</v>
      </c>
      <c r="AO34" s="20">
        <f t="shared" si="2"/>
        <v>0</v>
      </c>
      <c r="AQ34" s="20">
        <f t="shared" si="11"/>
        <v>0</v>
      </c>
      <c r="AR34" s="20">
        <f t="shared" si="4"/>
        <v>0</v>
      </c>
      <c r="AS34" s="31">
        <f t="shared" si="5"/>
        <v>0</v>
      </c>
      <c r="AT34" s="20">
        <f t="shared" si="6"/>
        <v>0</v>
      </c>
      <c r="BB34" s="20">
        <f t="shared" si="7"/>
        <v>0</v>
      </c>
    </row>
    <row r="35" spans="1:54" x14ac:dyDescent="0.25">
      <c r="A35" s="20">
        <v>32</v>
      </c>
      <c r="B35" s="73" t="s">
        <v>116</v>
      </c>
      <c r="C35" s="1" t="s">
        <v>149</v>
      </c>
      <c r="D35" s="21">
        <v>0</v>
      </c>
      <c r="L35" s="29"/>
      <c r="U35" s="30"/>
      <c r="AB35" s="29"/>
      <c r="AC35" s="30"/>
      <c r="AJ35" s="29"/>
      <c r="AK35" s="20">
        <f t="shared" si="8"/>
        <v>0</v>
      </c>
      <c r="AL35" s="20">
        <f t="shared" si="9"/>
        <v>0</v>
      </c>
      <c r="AM35" s="20">
        <f t="shared" si="10"/>
        <v>0</v>
      </c>
      <c r="AN35" s="20">
        <f t="shared" si="1"/>
        <v>0</v>
      </c>
      <c r="AO35" s="20">
        <f t="shared" si="2"/>
        <v>0</v>
      </c>
      <c r="AQ35" s="20">
        <f t="shared" si="11"/>
        <v>0</v>
      </c>
      <c r="AR35" s="20">
        <f t="shared" si="4"/>
        <v>0</v>
      </c>
      <c r="AS35" s="31">
        <f t="shared" si="5"/>
        <v>0</v>
      </c>
      <c r="AT35" s="20">
        <f t="shared" si="6"/>
        <v>0</v>
      </c>
      <c r="BB35" s="20">
        <f t="shared" si="7"/>
        <v>0</v>
      </c>
    </row>
    <row r="36" spans="1:54" x14ac:dyDescent="0.25">
      <c r="A36" s="20">
        <v>33</v>
      </c>
      <c r="B36" s="32" t="s">
        <v>116</v>
      </c>
      <c r="C36" s="20" t="s">
        <v>150</v>
      </c>
      <c r="D36" s="21">
        <v>1</v>
      </c>
      <c r="L36" s="29"/>
      <c r="O36" s="28" t="s">
        <v>34</v>
      </c>
      <c r="U36" s="30"/>
      <c r="AB36" s="29"/>
      <c r="AC36" s="30"/>
      <c r="AJ36" s="29"/>
      <c r="AK36" s="20">
        <f t="shared" si="8"/>
        <v>1</v>
      </c>
      <c r="AL36" s="20">
        <f t="shared" si="9"/>
        <v>0</v>
      </c>
      <c r="AM36" s="20">
        <f t="shared" si="10"/>
        <v>1</v>
      </c>
      <c r="AN36" s="20">
        <f t="shared" ref="AN36:AN67" si="12">COUNTIF(E36:AJ36,"am")</f>
        <v>0</v>
      </c>
      <c r="AO36" s="20">
        <f t="shared" ref="AO36:AO67" si="13">COUNTIF(E36:AJ36,"pm")</f>
        <v>0</v>
      </c>
      <c r="AQ36" s="20">
        <f t="shared" si="11"/>
        <v>0</v>
      </c>
      <c r="AR36" s="20">
        <f t="shared" ref="AR36:AR67" si="14">COUNTIF(E36:AJ36,"x")</f>
        <v>0</v>
      </c>
      <c r="AS36" s="31">
        <f t="shared" si="5"/>
        <v>0</v>
      </c>
      <c r="AT36" s="20">
        <f t="shared" ref="AT36:AT67" si="15">COUNTIF(E36:AJ36,"NA")</f>
        <v>0</v>
      </c>
      <c r="AU36" s="20">
        <v>0</v>
      </c>
      <c r="BB36" s="20">
        <f t="shared" si="7"/>
        <v>0</v>
      </c>
    </row>
    <row r="37" spans="1:54" x14ac:dyDescent="0.25">
      <c r="A37" s="20">
        <v>34</v>
      </c>
      <c r="B37" s="73" t="s">
        <v>118</v>
      </c>
      <c r="C37" s="1" t="s">
        <v>117</v>
      </c>
      <c r="D37" s="21">
        <v>0</v>
      </c>
      <c r="L37" s="29"/>
      <c r="U37" s="30"/>
      <c r="AB37" s="29"/>
      <c r="AC37" s="30"/>
      <c r="AJ37" s="29"/>
      <c r="AK37" s="20">
        <f t="shared" si="8"/>
        <v>0</v>
      </c>
      <c r="AL37" s="20">
        <f t="shared" si="9"/>
        <v>0</v>
      </c>
      <c r="AM37" s="20">
        <f t="shared" si="10"/>
        <v>0</v>
      </c>
      <c r="AN37" s="20">
        <f t="shared" si="12"/>
        <v>0</v>
      </c>
      <c r="AO37" s="20">
        <f t="shared" si="13"/>
        <v>0</v>
      </c>
      <c r="AQ37" s="20">
        <f t="shared" si="11"/>
        <v>0</v>
      </c>
      <c r="AR37" s="20">
        <f t="shared" si="14"/>
        <v>0</v>
      </c>
      <c r="AS37" s="31">
        <f t="shared" si="5"/>
        <v>0</v>
      </c>
      <c r="AT37" s="20">
        <f t="shared" si="15"/>
        <v>0</v>
      </c>
      <c r="BB37" s="20">
        <f t="shared" si="7"/>
        <v>0</v>
      </c>
    </row>
    <row r="38" spans="1:54" x14ac:dyDescent="0.25">
      <c r="A38" s="20">
        <v>35</v>
      </c>
      <c r="B38" s="32" t="s">
        <v>93</v>
      </c>
      <c r="C38" s="20" t="s">
        <v>117</v>
      </c>
      <c r="D38" s="21">
        <v>0</v>
      </c>
      <c r="L38" s="29"/>
      <c r="U38" s="30"/>
      <c r="AB38" s="29"/>
      <c r="AC38" s="30"/>
      <c r="AJ38" s="29"/>
      <c r="AK38" s="20">
        <f t="shared" si="8"/>
        <v>0</v>
      </c>
      <c r="AL38" s="20">
        <f t="shared" si="9"/>
        <v>0</v>
      </c>
      <c r="AM38" s="20">
        <f t="shared" si="10"/>
        <v>0</v>
      </c>
      <c r="AN38" s="20">
        <f t="shared" si="12"/>
        <v>0</v>
      </c>
      <c r="AO38" s="20">
        <f t="shared" si="13"/>
        <v>0</v>
      </c>
      <c r="AQ38" s="20">
        <f t="shared" si="11"/>
        <v>0</v>
      </c>
      <c r="AR38" s="20">
        <f t="shared" si="14"/>
        <v>0</v>
      </c>
      <c r="AS38" s="31">
        <f t="shared" si="5"/>
        <v>0</v>
      </c>
      <c r="AT38" s="20">
        <f t="shared" si="15"/>
        <v>0</v>
      </c>
      <c r="BB38" s="20">
        <f t="shared" si="7"/>
        <v>0</v>
      </c>
    </row>
    <row r="39" spans="1:54" x14ac:dyDescent="0.25">
      <c r="A39" s="20">
        <v>36</v>
      </c>
      <c r="B39" s="73" t="s">
        <v>118</v>
      </c>
      <c r="C39" s="1" t="s">
        <v>128</v>
      </c>
      <c r="D39" s="21">
        <v>0</v>
      </c>
      <c r="L39" s="29"/>
      <c r="U39" s="30"/>
      <c r="AB39" s="29"/>
      <c r="AC39" s="30"/>
      <c r="AJ39" s="29"/>
      <c r="AK39" s="20">
        <f t="shared" si="8"/>
        <v>0</v>
      </c>
      <c r="AL39" s="20">
        <f t="shared" si="9"/>
        <v>0</v>
      </c>
      <c r="AM39" s="20">
        <f t="shared" si="10"/>
        <v>0</v>
      </c>
      <c r="AN39" s="20">
        <f t="shared" si="12"/>
        <v>0</v>
      </c>
      <c r="AO39" s="20">
        <f t="shared" si="13"/>
        <v>0</v>
      </c>
      <c r="AQ39" s="20">
        <f t="shared" si="11"/>
        <v>0</v>
      </c>
      <c r="AR39" s="20">
        <f t="shared" si="14"/>
        <v>0</v>
      </c>
      <c r="AS39" s="31">
        <f t="shared" si="5"/>
        <v>0</v>
      </c>
      <c r="AT39" s="20">
        <f t="shared" si="15"/>
        <v>0</v>
      </c>
      <c r="BB39" s="20">
        <f t="shared" si="7"/>
        <v>0</v>
      </c>
    </row>
    <row r="40" spans="1:54" x14ac:dyDescent="0.25">
      <c r="A40" s="20">
        <v>37</v>
      </c>
      <c r="B40" s="32" t="s">
        <v>116</v>
      </c>
      <c r="C40" s="20" t="s">
        <v>94</v>
      </c>
      <c r="D40" s="21">
        <v>1</v>
      </c>
      <c r="L40" s="29"/>
      <c r="M40" s="28">
        <v>1</v>
      </c>
      <c r="N40" s="28">
        <v>1</v>
      </c>
      <c r="O40" s="28">
        <v>1</v>
      </c>
      <c r="P40" s="28" t="s">
        <v>96</v>
      </c>
      <c r="Q40" s="28" t="s">
        <v>96</v>
      </c>
      <c r="R40" s="28">
        <v>1</v>
      </c>
      <c r="S40" s="28" t="s">
        <v>96</v>
      </c>
      <c r="T40" s="28">
        <v>1</v>
      </c>
      <c r="U40" s="30"/>
      <c r="AB40" s="29">
        <v>1</v>
      </c>
      <c r="AC40" s="30">
        <v>1</v>
      </c>
      <c r="AD40" s="28">
        <v>1</v>
      </c>
      <c r="AE40" s="28">
        <v>1</v>
      </c>
      <c r="AF40" s="28" t="s">
        <v>95</v>
      </c>
      <c r="AG40" s="28" t="s">
        <v>34</v>
      </c>
      <c r="AH40" s="28">
        <v>1</v>
      </c>
      <c r="AI40" s="28">
        <v>1</v>
      </c>
      <c r="AJ40" s="29"/>
      <c r="AK40" s="20">
        <f t="shared" si="8"/>
        <v>1</v>
      </c>
      <c r="AL40" s="20">
        <f t="shared" si="9"/>
        <v>11</v>
      </c>
      <c r="AM40" s="20">
        <f t="shared" si="10"/>
        <v>12</v>
      </c>
      <c r="AN40" s="20">
        <f t="shared" si="12"/>
        <v>0</v>
      </c>
      <c r="AO40" s="20">
        <f t="shared" si="13"/>
        <v>3</v>
      </c>
      <c r="AQ40" s="20">
        <f t="shared" si="11"/>
        <v>14</v>
      </c>
      <c r="AR40" s="20">
        <f t="shared" si="14"/>
        <v>1</v>
      </c>
      <c r="AS40" s="31">
        <f t="shared" si="5"/>
        <v>15</v>
      </c>
      <c r="AT40" s="20">
        <f t="shared" si="15"/>
        <v>0</v>
      </c>
      <c r="AU40" s="20">
        <v>1</v>
      </c>
      <c r="AV40" s="20">
        <v>1</v>
      </c>
      <c r="AX40" s="20">
        <v>1</v>
      </c>
      <c r="BB40" s="20">
        <f t="shared" si="7"/>
        <v>2</v>
      </c>
    </row>
    <row r="41" spans="1:54" x14ac:dyDescent="0.25">
      <c r="A41" s="20">
        <v>38</v>
      </c>
      <c r="B41" s="73" t="s">
        <v>93</v>
      </c>
      <c r="C41" s="1" t="s">
        <v>128</v>
      </c>
      <c r="D41" s="21">
        <v>1</v>
      </c>
      <c r="E41" s="28">
        <v>1</v>
      </c>
      <c r="F41" s="28">
        <v>1</v>
      </c>
      <c r="G41" s="28">
        <v>1</v>
      </c>
      <c r="H41" s="28">
        <v>1</v>
      </c>
      <c r="I41" s="28">
        <v>1</v>
      </c>
      <c r="J41" s="28" t="s">
        <v>96</v>
      </c>
      <c r="K41" s="28" t="s">
        <v>96</v>
      </c>
      <c r="L41" s="29" t="s">
        <v>96</v>
      </c>
      <c r="M41" s="28">
        <v>1</v>
      </c>
      <c r="N41" s="28">
        <v>1</v>
      </c>
      <c r="O41" s="28">
        <v>1</v>
      </c>
      <c r="P41" s="28">
        <v>1</v>
      </c>
      <c r="Q41" s="28">
        <v>1</v>
      </c>
      <c r="R41" s="28">
        <v>1</v>
      </c>
      <c r="S41" s="28" t="s">
        <v>145</v>
      </c>
      <c r="T41" s="28" t="s">
        <v>145</v>
      </c>
      <c r="U41" s="30">
        <v>1</v>
      </c>
      <c r="V41" s="28">
        <v>1</v>
      </c>
      <c r="W41" s="28">
        <v>1</v>
      </c>
      <c r="X41" s="28">
        <v>1</v>
      </c>
      <c r="Y41" s="28">
        <v>1</v>
      </c>
      <c r="Z41" s="28">
        <v>1</v>
      </c>
      <c r="AA41" s="28">
        <v>1</v>
      </c>
      <c r="AB41" s="29">
        <v>1</v>
      </c>
      <c r="AC41" s="30">
        <v>1</v>
      </c>
      <c r="AD41" s="28">
        <v>1</v>
      </c>
      <c r="AE41" s="28">
        <v>1</v>
      </c>
      <c r="AF41" s="28">
        <v>1</v>
      </c>
      <c r="AG41" s="28">
        <v>1</v>
      </c>
      <c r="AH41" s="28">
        <v>1</v>
      </c>
      <c r="AI41" s="28">
        <v>1</v>
      </c>
      <c r="AJ41" s="29">
        <v>1</v>
      </c>
      <c r="AK41" s="20">
        <f t="shared" si="8"/>
        <v>0</v>
      </c>
      <c r="AL41" s="20">
        <f t="shared" si="9"/>
        <v>27</v>
      </c>
      <c r="AM41" s="20">
        <f t="shared" si="10"/>
        <v>27</v>
      </c>
      <c r="AN41" s="20">
        <f t="shared" si="12"/>
        <v>2</v>
      </c>
      <c r="AO41" s="20">
        <f t="shared" si="13"/>
        <v>3</v>
      </c>
      <c r="AQ41" s="20">
        <f t="shared" si="11"/>
        <v>32</v>
      </c>
      <c r="AR41" s="20">
        <f t="shared" si="14"/>
        <v>0</v>
      </c>
      <c r="AS41" s="31">
        <f t="shared" si="5"/>
        <v>32</v>
      </c>
      <c r="AT41" s="20">
        <f t="shared" si="15"/>
        <v>0</v>
      </c>
      <c r="AU41" s="20">
        <v>1</v>
      </c>
      <c r="AV41" s="20">
        <v>1</v>
      </c>
      <c r="AW41" s="20">
        <v>1</v>
      </c>
      <c r="AX41" s="20">
        <v>1</v>
      </c>
      <c r="AY41" s="20">
        <v>1</v>
      </c>
      <c r="AZ41" s="20">
        <v>1</v>
      </c>
      <c r="BA41" s="20">
        <v>1</v>
      </c>
      <c r="BB41" s="20">
        <f t="shared" si="7"/>
        <v>6</v>
      </c>
    </row>
    <row r="42" spans="1:54" x14ac:dyDescent="0.25">
      <c r="A42" s="20">
        <v>39</v>
      </c>
      <c r="B42" s="32" t="s">
        <v>116</v>
      </c>
      <c r="C42" s="76" t="s">
        <v>153</v>
      </c>
      <c r="D42" s="21">
        <v>0</v>
      </c>
      <c r="L42" s="29"/>
      <c r="U42" s="30"/>
      <c r="AB42" s="29"/>
      <c r="AC42" s="30"/>
      <c r="AJ42" s="29"/>
      <c r="AK42" s="20">
        <f t="shared" si="8"/>
        <v>0</v>
      </c>
      <c r="AL42" s="20">
        <f t="shared" si="9"/>
        <v>0</v>
      </c>
      <c r="AM42" s="20">
        <f t="shared" si="10"/>
        <v>0</v>
      </c>
      <c r="AN42" s="20">
        <f t="shared" si="12"/>
        <v>0</v>
      </c>
      <c r="AO42" s="20">
        <f t="shared" si="13"/>
        <v>0</v>
      </c>
      <c r="AQ42" s="20">
        <f t="shared" si="11"/>
        <v>0</v>
      </c>
      <c r="AR42" s="20">
        <f t="shared" si="14"/>
        <v>0</v>
      </c>
      <c r="AS42" s="31">
        <f t="shared" si="5"/>
        <v>0</v>
      </c>
      <c r="AT42" s="20">
        <f t="shared" si="15"/>
        <v>0</v>
      </c>
      <c r="BB42" s="20">
        <f t="shared" si="7"/>
        <v>0</v>
      </c>
    </row>
    <row r="43" spans="1:54" x14ac:dyDescent="0.25">
      <c r="A43" s="20">
        <v>40</v>
      </c>
      <c r="B43" s="73" t="s">
        <v>92</v>
      </c>
      <c r="C43" s="77" t="s">
        <v>154</v>
      </c>
      <c r="D43" s="21">
        <v>0</v>
      </c>
      <c r="L43" s="29"/>
      <c r="U43" s="30"/>
      <c r="AB43" s="29"/>
      <c r="AC43" s="30"/>
      <c r="AJ43" s="29"/>
      <c r="AK43" s="20">
        <f t="shared" si="8"/>
        <v>0</v>
      </c>
      <c r="AL43" s="20">
        <f t="shared" si="9"/>
        <v>0</v>
      </c>
      <c r="AM43" s="20">
        <f t="shared" si="10"/>
        <v>0</v>
      </c>
      <c r="AN43" s="20">
        <f t="shared" si="12"/>
        <v>0</v>
      </c>
      <c r="AO43" s="20">
        <f t="shared" si="13"/>
        <v>0</v>
      </c>
      <c r="AQ43" s="20">
        <f t="shared" si="11"/>
        <v>0</v>
      </c>
      <c r="AR43" s="20">
        <f t="shared" si="14"/>
        <v>0</v>
      </c>
      <c r="AS43" s="31">
        <f t="shared" si="5"/>
        <v>0</v>
      </c>
      <c r="AT43" s="20">
        <f t="shared" si="15"/>
        <v>0</v>
      </c>
      <c r="BB43" s="20">
        <f t="shared" si="7"/>
        <v>0</v>
      </c>
    </row>
    <row r="44" spans="1:54" x14ac:dyDescent="0.25">
      <c r="A44" s="20">
        <v>41</v>
      </c>
      <c r="B44" s="32" t="s">
        <v>116</v>
      </c>
      <c r="C44" s="77" t="s">
        <v>155</v>
      </c>
      <c r="D44" s="21">
        <v>0</v>
      </c>
      <c r="L44" s="29"/>
      <c r="U44" s="30"/>
      <c r="AB44" s="29"/>
      <c r="AC44" s="30"/>
      <c r="AJ44" s="29"/>
      <c r="AK44" s="20">
        <f t="shared" si="8"/>
        <v>0</v>
      </c>
      <c r="AL44" s="20">
        <f t="shared" si="9"/>
        <v>0</v>
      </c>
      <c r="AM44" s="20">
        <f t="shared" si="10"/>
        <v>0</v>
      </c>
      <c r="AN44" s="20">
        <f t="shared" si="12"/>
        <v>0</v>
      </c>
      <c r="AO44" s="20">
        <f t="shared" si="13"/>
        <v>0</v>
      </c>
      <c r="AQ44" s="20">
        <f t="shared" si="11"/>
        <v>0</v>
      </c>
      <c r="AR44" s="20">
        <f t="shared" si="14"/>
        <v>0</v>
      </c>
      <c r="AS44" s="31">
        <f t="shared" si="5"/>
        <v>0</v>
      </c>
      <c r="AT44" s="20">
        <f t="shared" si="15"/>
        <v>0</v>
      </c>
      <c r="BB44" s="20">
        <f t="shared" si="7"/>
        <v>0</v>
      </c>
    </row>
    <row r="45" spans="1:54" x14ac:dyDescent="0.25">
      <c r="A45" s="20">
        <v>42</v>
      </c>
      <c r="B45" s="73" t="s">
        <v>116</v>
      </c>
      <c r="C45" s="77" t="s">
        <v>156</v>
      </c>
      <c r="D45" s="21">
        <v>1</v>
      </c>
      <c r="H45" s="28" t="s">
        <v>95</v>
      </c>
      <c r="I45" s="28" t="s">
        <v>96</v>
      </c>
      <c r="J45" s="28" t="s">
        <v>96</v>
      </c>
      <c r="K45" s="28" t="s">
        <v>96</v>
      </c>
      <c r="L45" s="29" t="s">
        <v>96</v>
      </c>
      <c r="M45" s="28" t="s">
        <v>96</v>
      </c>
      <c r="N45" s="28" t="s">
        <v>96</v>
      </c>
      <c r="O45" s="28" t="s">
        <v>96</v>
      </c>
      <c r="P45" s="28" t="s">
        <v>34</v>
      </c>
      <c r="Q45" s="28" t="s">
        <v>95</v>
      </c>
      <c r="R45" s="28" t="s">
        <v>95</v>
      </c>
      <c r="U45" s="30"/>
      <c r="W45" s="28" t="s">
        <v>95</v>
      </c>
      <c r="X45" s="28" t="s">
        <v>95</v>
      </c>
      <c r="Y45" s="28" t="s">
        <v>34</v>
      </c>
      <c r="Z45" s="28" t="s">
        <v>96</v>
      </c>
      <c r="AA45" s="28" t="s">
        <v>34</v>
      </c>
      <c r="AB45" s="29" t="s">
        <v>34</v>
      </c>
      <c r="AC45" s="30" t="s">
        <v>96</v>
      </c>
      <c r="AD45" s="28" t="s">
        <v>34</v>
      </c>
      <c r="AE45" s="28" t="s">
        <v>34</v>
      </c>
      <c r="AF45" s="28" t="s">
        <v>34</v>
      </c>
      <c r="AG45" s="28" t="s">
        <v>95</v>
      </c>
      <c r="AH45" s="28" t="s">
        <v>95</v>
      </c>
      <c r="AJ45" s="29"/>
      <c r="AK45" s="20">
        <f t="shared" si="8"/>
        <v>7</v>
      </c>
      <c r="AL45" s="20">
        <f t="shared" si="9"/>
        <v>0</v>
      </c>
      <c r="AM45" s="20">
        <f t="shared" si="10"/>
        <v>7</v>
      </c>
      <c r="AN45" s="20">
        <f t="shared" si="12"/>
        <v>0</v>
      </c>
      <c r="AO45" s="20">
        <f t="shared" si="13"/>
        <v>9</v>
      </c>
      <c r="AQ45" s="20">
        <f t="shared" si="11"/>
        <v>9</v>
      </c>
      <c r="AR45" s="20">
        <f t="shared" si="14"/>
        <v>7</v>
      </c>
      <c r="AS45" s="31">
        <f>SUM(AQ45:AR45)</f>
        <v>16</v>
      </c>
      <c r="AT45" s="20">
        <f t="shared" si="15"/>
        <v>0</v>
      </c>
      <c r="AU45" s="20">
        <v>0</v>
      </c>
    </row>
    <row r="46" spans="1:54" x14ac:dyDescent="0.25">
      <c r="A46" s="20">
        <v>43</v>
      </c>
      <c r="B46" s="32" t="s">
        <v>119</v>
      </c>
      <c r="C46" s="77" t="s">
        <v>157</v>
      </c>
      <c r="D46" s="21">
        <v>0</v>
      </c>
      <c r="L46" s="29"/>
      <c r="U46" s="30"/>
      <c r="AB46" s="29"/>
      <c r="AC46" s="30"/>
      <c r="AJ46" s="29"/>
      <c r="AK46" s="20">
        <f t="shared" si="8"/>
        <v>0</v>
      </c>
      <c r="AL46" s="20">
        <f t="shared" si="9"/>
        <v>0</v>
      </c>
      <c r="AM46" s="20">
        <f t="shared" si="10"/>
        <v>0</v>
      </c>
      <c r="AN46" s="20">
        <f t="shared" si="12"/>
        <v>0</v>
      </c>
      <c r="AO46" s="20">
        <f t="shared" si="13"/>
        <v>0</v>
      </c>
      <c r="AQ46" s="20">
        <f t="shared" si="11"/>
        <v>0</v>
      </c>
      <c r="AR46" s="20">
        <f t="shared" si="14"/>
        <v>0</v>
      </c>
      <c r="AS46" s="31">
        <f t="shared" ref="AS46:AS73" si="16">SUM(AQ46:AR46)</f>
        <v>0</v>
      </c>
      <c r="AT46" s="20">
        <f t="shared" si="15"/>
        <v>0</v>
      </c>
      <c r="BB46" s="20">
        <f t="shared" ref="BB46:BB72" si="17">SUM(AV46:BA46)</f>
        <v>0</v>
      </c>
    </row>
    <row r="47" spans="1:54" x14ac:dyDescent="0.25">
      <c r="A47" s="20">
        <v>44</v>
      </c>
      <c r="B47" s="73" t="s">
        <v>92</v>
      </c>
      <c r="C47" s="77" t="s">
        <v>154</v>
      </c>
      <c r="D47" s="21">
        <v>0</v>
      </c>
      <c r="L47" s="29"/>
      <c r="U47" s="30"/>
      <c r="AB47" s="29"/>
      <c r="AC47" s="30"/>
      <c r="AJ47" s="29"/>
      <c r="AK47" s="20">
        <f t="shared" si="8"/>
        <v>0</v>
      </c>
      <c r="AL47" s="20">
        <f t="shared" si="9"/>
        <v>0</v>
      </c>
      <c r="AM47" s="20">
        <f t="shared" si="10"/>
        <v>0</v>
      </c>
      <c r="AN47" s="20">
        <f t="shared" si="12"/>
        <v>0</v>
      </c>
      <c r="AO47" s="20">
        <f t="shared" si="13"/>
        <v>0</v>
      </c>
      <c r="AQ47" s="20">
        <f t="shared" si="11"/>
        <v>0</v>
      </c>
      <c r="AR47" s="20">
        <f t="shared" si="14"/>
        <v>0</v>
      </c>
      <c r="AS47" s="31">
        <f t="shared" si="16"/>
        <v>0</v>
      </c>
      <c r="AT47" s="20">
        <f t="shared" si="15"/>
        <v>0</v>
      </c>
      <c r="BB47" s="20">
        <f t="shared" si="17"/>
        <v>0</v>
      </c>
    </row>
    <row r="48" spans="1:54" x14ac:dyDescent="0.25">
      <c r="A48" s="20">
        <v>45</v>
      </c>
      <c r="B48" s="32" t="s">
        <v>92</v>
      </c>
      <c r="C48" s="77" t="s">
        <v>154</v>
      </c>
      <c r="D48" s="21">
        <v>0</v>
      </c>
      <c r="L48" s="29"/>
      <c r="U48" s="30"/>
      <c r="AB48" s="29"/>
      <c r="AC48" s="30"/>
      <c r="AJ48" s="29"/>
      <c r="AK48" s="20">
        <f t="shared" si="8"/>
        <v>0</v>
      </c>
      <c r="AL48" s="20">
        <f t="shared" si="9"/>
        <v>0</v>
      </c>
      <c r="AM48" s="20">
        <f t="shared" si="10"/>
        <v>0</v>
      </c>
      <c r="AN48" s="20">
        <f t="shared" si="12"/>
        <v>0</v>
      </c>
      <c r="AO48" s="20">
        <f t="shared" si="13"/>
        <v>0</v>
      </c>
      <c r="AQ48" s="20">
        <f t="shared" si="11"/>
        <v>0</v>
      </c>
      <c r="AR48" s="20">
        <f t="shared" si="14"/>
        <v>0</v>
      </c>
      <c r="AS48" s="31">
        <f t="shared" si="16"/>
        <v>0</v>
      </c>
      <c r="AT48" s="20">
        <f t="shared" si="15"/>
        <v>0</v>
      </c>
      <c r="BB48" s="20">
        <f t="shared" si="17"/>
        <v>0</v>
      </c>
    </row>
    <row r="49" spans="1:57" x14ac:dyDescent="0.25">
      <c r="A49" s="20">
        <v>46</v>
      </c>
      <c r="B49" s="73" t="s">
        <v>117</v>
      </c>
      <c r="C49" s="77" t="s">
        <v>117</v>
      </c>
      <c r="D49" s="21">
        <v>0</v>
      </c>
      <c r="L49" s="29"/>
      <c r="U49" s="30"/>
      <c r="AB49" s="29"/>
      <c r="AC49" s="30"/>
      <c r="AJ49" s="29"/>
      <c r="AK49" s="20">
        <f t="shared" si="8"/>
        <v>0</v>
      </c>
      <c r="AL49" s="20">
        <f t="shared" si="9"/>
        <v>0</v>
      </c>
      <c r="AM49" s="20">
        <f t="shared" si="10"/>
        <v>0</v>
      </c>
      <c r="AN49" s="20">
        <f t="shared" si="12"/>
        <v>0</v>
      </c>
      <c r="AO49" s="20">
        <f t="shared" si="13"/>
        <v>0</v>
      </c>
      <c r="AQ49" s="20">
        <f t="shared" si="11"/>
        <v>0</v>
      </c>
      <c r="AR49" s="20">
        <f t="shared" si="14"/>
        <v>0</v>
      </c>
      <c r="AS49" s="31">
        <f t="shared" si="16"/>
        <v>0</v>
      </c>
      <c r="AT49" s="20">
        <f t="shared" si="15"/>
        <v>0</v>
      </c>
      <c r="BB49" s="20">
        <f t="shared" si="17"/>
        <v>0</v>
      </c>
    </row>
    <row r="50" spans="1:57" x14ac:dyDescent="0.25">
      <c r="A50" s="20">
        <v>47</v>
      </c>
      <c r="B50" s="32" t="s">
        <v>92</v>
      </c>
      <c r="C50" s="77" t="s">
        <v>154</v>
      </c>
      <c r="D50" s="21">
        <v>0</v>
      </c>
      <c r="L50" s="29"/>
      <c r="U50" s="30"/>
      <c r="AB50" s="29"/>
      <c r="AC50" s="30"/>
      <c r="AJ50" s="29"/>
      <c r="AK50" s="20">
        <f t="shared" si="8"/>
        <v>0</v>
      </c>
      <c r="AL50" s="20">
        <f t="shared" si="9"/>
        <v>0</v>
      </c>
      <c r="AM50" s="20">
        <f t="shared" si="10"/>
        <v>0</v>
      </c>
      <c r="AN50" s="20">
        <f t="shared" si="12"/>
        <v>0</v>
      </c>
      <c r="AO50" s="20">
        <f t="shared" si="13"/>
        <v>0</v>
      </c>
      <c r="AQ50" s="20">
        <f t="shared" si="11"/>
        <v>0</v>
      </c>
      <c r="AR50" s="20">
        <f t="shared" si="14"/>
        <v>0</v>
      </c>
      <c r="AS50" s="31">
        <f t="shared" si="16"/>
        <v>0</v>
      </c>
      <c r="AT50" s="20">
        <f t="shared" si="15"/>
        <v>0</v>
      </c>
      <c r="BB50" s="20">
        <f t="shared" si="17"/>
        <v>0</v>
      </c>
    </row>
    <row r="51" spans="1:57" x14ac:dyDescent="0.25">
      <c r="A51" s="20">
        <v>48</v>
      </c>
      <c r="B51" s="73" t="s">
        <v>116</v>
      </c>
      <c r="C51" s="77" t="s">
        <v>158</v>
      </c>
      <c r="D51" s="21">
        <v>0</v>
      </c>
      <c r="L51" s="29"/>
      <c r="U51" s="30"/>
      <c r="AB51" s="29"/>
      <c r="AC51" s="30"/>
      <c r="AJ51" s="29"/>
      <c r="AK51" s="20">
        <f t="shared" si="8"/>
        <v>0</v>
      </c>
      <c r="AL51" s="20">
        <f t="shared" si="9"/>
        <v>0</v>
      </c>
      <c r="AM51" s="20">
        <f t="shared" si="10"/>
        <v>0</v>
      </c>
      <c r="AN51" s="20">
        <f t="shared" si="12"/>
        <v>0</v>
      </c>
      <c r="AO51" s="20">
        <f t="shared" si="13"/>
        <v>0</v>
      </c>
      <c r="AQ51" s="20">
        <f t="shared" si="11"/>
        <v>0</v>
      </c>
      <c r="AR51" s="20">
        <f t="shared" si="14"/>
        <v>0</v>
      </c>
      <c r="AS51" s="31">
        <f t="shared" si="16"/>
        <v>0</v>
      </c>
      <c r="AT51" s="20">
        <f t="shared" si="15"/>
        <v>0</v>
      </c>
      <c r="BB51" s="20">
        <f t="shared" si="17"/>
        <v>0</v>
      </c>
    </row>
    <row r="52" spans="1:57" x14ac:dyDescent="0.25">
      <c r="A52" s="20">
        <v>49</v>
      </c>
      <c r="B52" s="32" t="s">
        <v>116</v>
      </c>
      <c r="C52" s="77" t="s">
        <v>155</v>
      </c>
      <c r="D52" s="21">
        <v>1</v>
      </c>
      <c r="L52" s="29"/>
      <c r="U52" s="30"/>
      <c r="AB52" s="29"/>
      <c r="AC52" s="30" t="s">
        <v>96</v>
      </c>
      <c r="AD52" s="28" t="s">
        <v>96</v>
      </c>
      <c r="AE52" s="28" t="s">
        <v>96</v>
      </c>
      <c r="AF52" s="28">
        <v>1</v>
      </c>
      <c r="AG52" s="28">
        <v>1</v>
      </c>
      <c r="AH52" s="28">
        <v>1</v>
      </c>
      <c r="AI52" s="28">
        <v>1</v>
      </c>
      <c r="AJ52" s="29" t="s">
        <v>95</v>
      </c>
      <c r="AK52" s="20">
        <f t="shared" si="8"/>
        <v>0</v>
      </c>
      <c r="AL52" s="20">
        <f t="shared" si="9"/>
        <v>4</v>
      </c>
      <c r="AM52" s="20">
        <f t="shared" si="10"/>
        <v>4</v>
      </c>
      <c r="AN52" s="20">
        <f t="shared" si="12"/>
        <v>0</v>
      </c>
      <c r="AO52" s="20">
        <f t="shared" si="13"/>
        <v>3</v>
      </c>
      <c r="AQ52" s="20">
        <f t="shared" si="11"/>
        <v>7</v>
      </c>
      <c r="AR52" s="20">
        <f t="shared" si="14"/>
        <v>1</v>
      </c>
      <c r="AS52" s="31">
        <f t="shared" si="16"/>
        <v>8</v>
      </c>
      <c r="AT52" s="20">
        <f t="shared" si="15"/>
        <v>0</v>
      </c>
      <c r="AU52" s="20">
        <v>0</v>
      </c>
      <c r="BB52" s="20">
        <f t="shared" si="17"/>
        <v>0</v>
      </c>
    </row>
    <row r="53" spans="1:57" x14ac:dyDescent="0.25">
      <c r="A53" s="20">
        <v>50</v>
      </c>
      <c r="B53" s="73" t="s">
        <v>92</v>
      </c>
      <c r="C53" s="77" t="s">
        <v>154</v>
      </c>
      <c r="D53" s="21">
        <v>1</v>
      </c>
      <c r="E53" s="28" t="s">
        <v>159</v>
      </c>
      <c r="F53" s="28" t="s">
        <v>159</v>
      </c>
      <c r="G53" s="28" t="s">
        <v>145</v>
      </c>
      <c r="H53" s="28" t="s">
        <v>145</v>
      </c>
      <c r="I53" s="28" t="s">
        <v>145</v>
      </c>
      <c r="J53" s="28" t="s">
        <v>96</v>
      </c>
      <c r="K53" s="28">
        <v>1</v>
      </c>
      <c r="L53" s="29">
        <v>1</v>
      </c>
      <c r="M53" s="28" t="s">
        <v>96</v>
      </c>
      <c r="N53" s="28">
        <v>1</v>
      </c>
      <c r="O53" s="28" t="s">
        <v>96</v>
      </c>
      <c r="P53" s="28" t="s">
        <v>145</v>
      </c>
      <c r="Q53" s="28" t="s">
        <v>145</v>
      </c>
      <c r="R53" s="28" t="s">
        <v>145</v>
      </c>
      <c r="S53" s="28" t="s">
        <v>159</v>
      </c>
      <c r="T53" s="28" t="s">
        <v>159</v>
      </c>
      <c r="U53" s="30">
        <v>1</v>
      </c>
      <c r="V53" s="28">
        <v>1</v>
      </c>
      <c r="W53" s="28" t="s">
        <v>145</v>
      </c>
      <c r="X53" s="28">
        <v>1</v>
      </c>
      <c r="Y53" s="28">
        <v>1</v>
      </c>
      <c r="Z53" s="28">
        <v>1</v>
      </c>
      <c r="AA53" s="28" t="s">
        <v>96</v>
      </c>
      <c r="AB53" s="29">
        <v>1</v>
      </c>
      <c r="AC53" s="30" t="s">
        <v>145</v>
      </c>
      <c r="AD53" s="28">
        <v>1</v>
      </c>
      <c r="AE53" s="28">
        <v>1</v>
      </c>
      <c r="AF53" s="28">
        <v>1</v>
      </c>
      <c r="AG53" s="28">
        <v>1</v>
      </c>
      <c r="AH53" s="28" t="s">
        <v>96</v>
      </c>
      <c r="AI53" s="28" t="s">
        <v>96</v>
      </c>
      <c r="AJ53" s="29" t="s">
        <v>96</v>
      </c>
      <c r="AK53" s="20">
        <f t="shared" si="8"/>
        <v>0</v>
      </c>
      <c r="AL53" s="20">
        <f t="shared" si="9"/>
        <v>13</v>
      </c>
      <c r="AM53" s="20">
        <f t="shared" si="10"/>
        <v>13</v>
      </c>
      <c r="AN53" s="20">
        <f t="shared" si="12"/>
        <v>8</v>
      </c>
      <c r="AO53" s="20">
        <f t="shared" si="13"/>
        <v>7</v>
      </c>
      <c r="AQ53" s="20">
        <f t="shared" si="11"/>
        <v>28</v>
      </c>
      <c r="AR53" s="20">
        <f t="shared" si="14"/>
        <v>0</v>
      </c>
      <c r="AS53" s="31">
        <f t="shared" si="16"/>
        <v>28</v>
      </c>
      <c r="AT53" s="20">
        <f t="shared" si="15"/>
        <v>4</v>
      </c>
      <c r="AU53" s="20">
        <v>1</v>
      </c>
      <c r="AV53" s="20">
        <v>1</v>
      </c>
      <c r="AW53" s="20">
        <v>1</v>
      </c>
      <c r="AX53" s="20">
        <v>1</v>
      </c>
      <c r="AY53" s="20">
        <v>1</v>
      </c>
      <c r="AZ53" s="20">
        <v>1</v>
      </c>
      <c r="BA53" s="20">
        <v>1</v>
      </c>
      <c r="BB53" s="20">
        <f t="shared" si="17"/>
        <v>6</v>
      </c>
      <c r="BD53" s="20">
        <v>1</v>
      </c>
      <c r="BE53" s="33" t="s">
        <v>160</v>
      </c>
    </row>
    <row r="54" spans="1:57" x14ac:dyDescent="0.25">
      <c r="A54" s="20">
        <v>51</v>
      </c>
      <c r="B54" s="32" t="s">
        <v>93</v>
      </c>
      <c r="C54" s="77" t="s">
        <v>154</v>
      </c>
      <c r="D54" s="21">
        <v>0</v>
      </c>
      <c r="L54" s="29"/>
      <c r="U54" s="30"/>
      <c r="AB54" s="29"/>
      <c r="AC54" s="30"/>
      <c r="AJ54" s="29"/>
      <c r="AK54" s="20">
        <f t="shared" si="8"/>
        <v>0</v>
      </c>
      <c r="AL54" s="20">
        <f t="shared" si="9"/>
        <v>0</v>
      </c>
      <c r="AM54" s="20">
        <f t="shared" si="10"/>
        <v>0</v>
      </c>
      <c r="AN54" s="20">
        <f t="shared" si="12"/>
        <v>0</v>
      </c>
      <c r="AO54" s="20">
        <f t="shared" si="13"/>
        <v>0</v>
      </c>
      <c r="AQ54" s="20">
        <f t="shared" si="11"/>
        <v>0</v>
      </c>
      <c r="AR54" s="20">
        <f t="shared" si="14"/>
        <v>0</v>
      </c>
      <c r="AS54" s="31">
        <f t="shared" si="16"/>
        <v>0</v>
      </c>
      <c r="AT54" s="20">
        <f t="shared" si="15"/>
        <v>0</v>
      </c>
      <c r="BB54" s="20">
        <f t="shared" si="17"/>
        <v>0</v>
      </c>
    </row>
    <row r="55" spans="1:57" x14ac:dyDescent="0.25">
      <c r="A55" s="20">
        <v>52</v>
      </c>
      <c r="B55" s="73" t="s">
        <v>93</v>
      </c>
      <c r="C55" s="77" t="s">
        <v>144</v>
      </c>
      <c r="D55" s="21">
        <v>1</v>
      </c>
      <c r="E55" s="28" t="s">
        <v>159</v>
      </c>
      <c r="F55" s="28" t="s">
        <v>96</v>
      </c>
      <c r="G55" s="28" t="s">
        <v>96</v>
      </c>
      <c r="H55" s="28" t="s">
        <v>96</v>
      </c>
      <c r="I55" s="28" t="s">
        <v>96</v>
      </c>
      <c r="J55" s="28">
        <v>1</v>
      </c>
      <c r="K55" s="28" t="s">
        <v>96</v>
      </c>
      <c r="L55" s="29" t="s">
        <v>96</v>
      </c>
      <c r="M55" s="28" t="s">
        <v>96</v>
      </c>
      <c r="N55" s="28" t="s">
        <v>96</v>
      </c>
      <c r="O55" s="28">
        <v>1</v>
      </c>
      <c r="P55" s="28">
        <v>1</v>
      </c>
      <c r="Q55" s="28">
        <v>1</v>
      </c>
      <c r="R55" s="28">
        <v>1</v>
      </c>
      <c r="S55" s="28">
        <v>1</v>
      </c>
      <c r="U55" s="30"/>
      <c r="V55" s="28">
        <v>1</v>
      </c>
      <c r="W55" s="28">
        <v>1</v>
      </c>
      <c r="X55" s="28">
        <v>1</v>
      </c>
      <c r="Y55" s="28">
        <v>1</v>
      </c>
      <c r="Z55" s="28">
        <v>1</v>
      </c>
      <c r="AA55" s="28">
        <v>1</v>
      </c>
      <c r="AB55" s="29">
        <v>1</v>
      </c>
      <c r="AC55" s="30" t="s">
        <v>96</v>
      </c>
      <c r="AD55" s="28" t="s">
        <v>96</v>
      </c>
      <c r="AE55" s="28" t="s">
        <v>96</v>
      </c>
      <c r="AF55" s="28">
        <v>1</v>
      </c>
      <c r="AG55" s="28">
        <v>1</v>
      </c>
      <c r="AH55" s="28">
        <v>1</v>
      </c>
      <c r="AI55" s="28">
        <v>1</v>
      </c>
      <c r="AJ55" s="29"/>
      <c r="AK55" s="20">
        <f t="shared" si="8"/>
        <v>0</v>
      </c>
      <c r="AL55" s="20">
        <f t="shared" si="9"/>
        <v>17</v>
      </c>
      <c r="AM55" s="20">
        <f t="shared" si="10"/>
        <v>17</v>
      </c>
      <c r="AN55" s="20">
        <f t="shared" si="12"/>
        <v>0</v>
      </c>
      <c r="AO55" s="20">
        <f t="shared" si="13"/>
        <v>11</v>
      </c>
      <c r="AQ55" s="20">
        <f t="shared" si="11"/>
        <v>28</v>
      </c>
      <c r="AR55" s="20">
        <f t="shared" si="14"/>
        <v>0</v>
      </c>
      <c r="AS55" s="31">
        <f t="shared" si="16"/>
        <v>28</v>
      </c>
      <c r="AT55" s="20">
        <f t="shared" si="15"/>
        <v>1</v>
      </c>
      <c r="AU55" s="20">
        <v>1</v>
      </c>
      <c r="AV55" s="20">
        <v>1</v>
      </c>
      <c r="AX55" s="20">
        <v>1</v>
      </c>
      <c r="BB55" s="20">
        <f t="shared" si="17"/>
        <v>2</v>
      </c>
    </row>
    <row r="56" spans="1:57" x14ac:dyDescent="0.25">
      <c r="A56" s="20">
        <v>53</v>
      </c>
      <c r="B56" s="32" t="s">
        <v>117</v>
      </c>
      <c r="C56" s="77" t="s">
        <v>117</v>
      </c>
      <c r="D56" s="21">
        <v>0</v>
      </c>
      <c r="L56" s="29"/>
      <c r="U56" s="30"/>
      <c r="AB56" s="29"/>
      <c r="AC56" s="30"/>
      <c r="AJ56" s="29"/>
      <c r="AK56" s="20">
        <f t="shared" si="8"/>
        <v>0</v>
      </c>
      <c r="AL56" s="20">
        <f t="shared" si="9"/>
        <v>0</v>
      </c>
      <c r="AM56" s="20">
        <f t="shared" si="10"/>
        <v>0</v>
      </c>
      <c r="AN56" s="20">
        <f t="shared" si="12"/>
        <v>0</v>
      </c>
      <c r="AO56" s="20">
        <f t="shared" si="13"/>
        <v>0</v>
      </c>
      <c r="AQ56" s="20">
        <f t="shared" si="11"/>
        <v>0</v>
      </c>
      <c r="AR56" s="20">
        <f t="shared" si="14"/>
        <v>0</v>
      </c>
      <c r="AS56" s="31">
        <f t="shared" si="16"/>
        <v>0</v>
      </c>
      <c r="AT56" s="20">
        <f t="shared" si="15"/>
        <v>0</v>
      </c>
      <c r="BB56" s="20">
        <f t="shared" si="17"/>
        <v>0</v>
      </c>
    </row>
    <row r="57" spans="1:57" x14ac:dyDescent="0.25">
      <c r="A57" s="20">
        <v>54</v>
      </c>
      <c r="B57" s="73" t="s">
        <v>117</v>
      </c>
      <c r="C57" s="77" t="s">
        <v>117</v>
      </c>
      <c r="D57" s="21">
        <v>0</v>
      </c>
      <c r="L57" s="29"/>
      <c r="U57" s="30"/>
      <c r="AB57" s="29"/>
      <c r="AC57" s="30"/>
      <c r="AJ57" s="29"/>
      <c r="AK57" s="20">
        <f t="shared" si="8"/>
        <v>0</v>
      </c>
      <c r="AL57" s="20">
        <f t="shared" si="9"/>
        <v>0</v>
      </c>
      <c r="AM57" s="20">
        <f t="shared" si="10"/>
        <v>0</v>
      </c>
      <c r="AN57" s="20">
        <f t="shared" si="12"/>
        <v>0</v>
      </c>
      <c r="AO57" s="20">
        <f t="shared" si="13"/>
        <v>0</v>
      </c>
      <c r="AQ57" s="20">
        <f t="shared" si="11"/>
        <v>0</v>
      </c>
      <c r="AR57" s="20">
        <f t="shared" si="14"/>
        <v>0</v>
      </c>
      <c r="AS57" s="31">
        <f t="shared" si="16"/>
        <v>0</v>
      </c>
      <c r="AT57" s="20">
        <f t="shared" si="15"/>
        <v>0</v>
      </c>
      <c r="BB57" s="20">
        <f t="shared" si="17"/>
        <v>0</v>
      </c>
    </row>
    <row r="58" spans="1:57" x14ac:dyDescent="0.25">
      <c r="A58" s="20">
        <v>55</v>
      </c>
      <c r="B58" s="32" t="s">
        <v>93</v>
      </c>
      <c r="C58" s="77" t="s">
        <v>157</v>
      </c>
      <c r="D58" s="21">
        <v>1</v>
      </c>
      <c r="L58" s="29"/>
      <c r="U58" s="30"/>
      <c r="AB58" s="29"/>
      <c r="AC58" s="30">
        <v>1</v>
      </c>
      <c r="AD58" s="28">
        <v>1</v>
      </c>
      <c r="AE58" s="28">
        <v>1</v>
      </c>
      <c r="AF58" s="28">
        <v>1</v>
      </c>
      <c r="AG58" s="28">
        <v>1</v>
      </c>
      <c r="AH58" s="28">
        <v>1</v>
      </c>
      <c r="AI58" s="28">
        <v>1</v>
      </c>
      <c r="AJ58" s="29" t="s">
        <v>96</v>
      </c>
      <c r="AK58" s="20">
        <f t="shared" si="8"/>
        <v>0</v>
      </c>
      <c r="AL58" s="20">
        <f t="shared" si="9"/>
        <v>7</v>
      </c>
      <c r="AM58" s="20">
        <f t="shared" si="10"/>
        <v>7</v>
      </c>
      <c r="AN58" s="20">
        <f t="shared" si="12"/>
        <v>0</v>
      </c>
      <c r="AO58" s="20">
        <f t="shared" si="13"/>
        <v>1</v>
      </c>
      <c r="AQ58" s="20">
        <f t="shared" ref="AQ58:AQ72" si="18">SUM((COUNTIF(E58:AJ58,"1"))+(COUNTIF(E58:AJ58,"am"))+(COUNTIF(E58:AJ58,"pm")))</f>
        <v>8</v>
      </c>
      <c r="AR58" s="20">
        <f t="shared" si="14"/>
        <v>0</v>
      </c>
      <c r="AS58" s="31">
        <f t="shared" si="16"/>
        <v>8</v>
      </c>
      <c r="AT58" s="20">
        <f t="shared" si="15"/>
        <v>0</v>
      </c>
      <c r="AU58" s="20">
        <v>1</v>
      </c>
      <c r="AV58" s="20">
        <v>1</v>
      </c>
      <c r="AX58" s="20">
        <v>1</v>
      </c>
      <c r="BB58" s="20">
        <f t="shared" si="17"/>
        <v>2</v>
      </c>
    </row>
    <row r="59" spans="1:57" x14ac:dyDescent="0.25">
      <c r="A59" s="20">
        <v>56</v>
      </c>
      <c r="B59" s="73" t="s">
        <v>93</v>
      </c>
      <c r="C59" s="77" t="s">
        <v>154</v>
      </c>
      <c r="D59" s="21">
        <v>0</v>
      </c>
      <c r="L59" s="29"/>
      <c r="U59" s="30"/>
      <c r="AB59" s="29"/>
      <c r="AC59" s="30"/>
      <c r="AJ59" s="29"/>
      <c r="AK59" s="20">
        <f t="shared" si="8"/>
        <v>0</v>
      </c>
      <c r="AL59" s="20">
        <f t="shared" si="9"/>
        <v>0</v>
      </c>
      <c r="AM59" s="20">
        <f t="shared" si="10"/>
        <v>0</v>
      </c>
      <c r="AN59" s="20">
        <f t="shared" si="12"/>
        <v>0</v>
      </c>
      <c r="AO59" s="20">
        <f t="shared" si="13"/>
        <v>0</v>
      </c>
      <c r="AQ59" s="20">
        <f t="shared" si="18"/>
        <v>0</v>
      </c>
      <c r="AR59" s="20">
        <f t="shared" si="14"/>
        <v>0</v>
      </c>
      <c r="AS59" s="31">
        <f t="shared" si="16"/>
        <v>0</v>
      </c>
      <c r="AT59" s="20">
        <f t="shared" si="15"/>
        <v>0</v>
      </c>
      <c r="BB59" s="20">
        <f t="shared" si="17"/>
        <v>0</v>
      </c>
    </row>
    <row r="60" spans="1:57" x14ac:dyDescent="0.25">
      <c r="A60" s="20">
        <v>57</v>
      </c>
      <c r="B60" s="20" t="s">
        <v>116</v>
      </c>
      <c r="C60" s="20" t="s">
        <v>124</v>
      </c>
      <c r="D60" s="21">
        <v>1</v>
      </c>
      <c r="E60" s="28" t="s">
        <v>95</v>
      </c>
      <c r="F60" s="28" t="s">
        <v>95</v>
      </c>
      <c r="G60" s="28">
        <v>1</v>
      </c>
      <c r="H60" s="28" t="s">
        <v>34</v>
      </c>
      <c r="I60" s="28" t="s">
        <v>34</v>
      </c>
      <c r="J60" s="28" t="s">
        <v>34</v>
      </c>
      <c r="K60" s="28">
        <v>1</v>
      </c>
      <c r="L60" s="29">
        <v>1</v>
      </c>
      <c r="M60" s="28">
        <v>1</v>
      </c>
      <c r="N60" s="28" t="s">
        <v>96</v>
      </c>
      <c r="O60" s="28" t="s">
        <v>34</v>
      </c>
      <c r="P60" s="28" t="s">
        <v>34</v>
      </c>
      <c r="Q60" s="28" t="s">
        <v>34</v>
      </c>
      <c r="R60" s="28">
        <v>1</v>
      </c>
      <c r="S60" s="28" t="s">
        <v>95</v>
      </c>
      <c r="T60" s="28" t="s">
        <v>95</v>
      </c>
      <c r="U60" s="30" t="s">
        <v>95</v>
      </c>
      <c r="V60" s="28" t="s">
        <v>95</v>
      </c>
      <c r="W60" s="28">
        <v>1</v>
      </c>
      <c r="X60" s="28" t="s">
        <v>34</v>
      </c>
      <c r="Y60" s="28" t="s">
        <v>34</v>
      </c>
      <c r="Z60" s="28" t="s">
        <v>96</v>
      </c>
      <c r="AA60" s="28">
        <v>1</v>
      </c>
      <c r="AB60" s="29">
        <v>1</v>
      </c>
      <c r="AC60" s="30">
        <v>1</v>
      </c>
      <c r="AD60" s="28">
        <v>1</v>
      </c>
      <c r="AE60" s="28" t="s">
        <v>34</v>
      </c>
      <c r="AF60" s="28" t="s">
        <v>34</v>
      </c>
      <c r="AG60" s="28" t="s">
        <v>34</v>
      </c>
      <c r="AH60" s="28">
        <v>1</v>
      </c>
      <c r="AI60" s="28" t="s">
        <v>95</v>
      </c>
      <c r="AJ60" s="29" t="s">
        <v>95</v>
      </c>
      <c r="AK60" s="20">
        <f t="shared" si="8"/>
        <v>11</v>
      </c>
      <c r="AL60" s="20">
        <f t="shared" si="9"/>
        <v>11</v>
      </c>
      <c r="AM60" s="20">
        <f t="shared" si="10"/>
        <v>22</v>
      </c>
      <c r="AN60" s="20">
        <f t="shared" si="12"/>
        <v>0</v>
      </c>
      <c r="AO60" s="20">
        <f t="shared" si="13"/>
        <v>2</v>
      </c>
      <c r="AQ60" s="20">
        <f t="shared" si="18"/>
        <v>13</v>
      </c>
      <c r="AR60" s="20">
        <f t="shared" si="14"/>
        <v>8</v>
      </c>
      <c r="AS60" s="31">
        <f t="shared" si="16"/>
        <v>21</v>
      </c>
      <c r="AT60" s="20">
        <f t="shared" si="15"/>
        <v>0</v>
      </c>
      <c r="AU60" s="20">
        <v>1</v>
      </c>
      <c r="AV60" s="20">
        <v>1</v>
      </c>
      <c r="AW60" s="20">
        <v>1</v>
      </c>
      <c r="AX60" s="20">
        <v>1</v>
      </c>
      <c r="BB60" s="20">
        <f t="shared" si="17"/>
        <v>3</v>
      </c>
    </row>
    <row r="61" spans="1:57" x14ac:dyDescent="0.25">
      <c r="A61" s="20">
        <v>58</v>
      </c>
      <c r="B61" s="20" t="s">
        <v>116</v>
      </c>
      <c r="C61" s="20" t="s">
        <v>164</v>
      </c>
      <c r="D61" s="21">
        <v>1</v>
      </c>
      <c r="I61" s="28" t="s">
        <v>95</v>
      </c>
      <c r="K61" s="28" t="s">
        <v>34</v>
      </c>
      <c r="L61" s="29"/>
      <c r="P61" s="28" t="s">
        <v>95</v>
      </c>
      <c r="Q61" s="28" t="s">
        <v>95</v>
      </c>
      <c r="U61" s="30"/>
      <c r="Z61" s="28" t="s">
        <v>95</v>
      </c>
      <c r="AB61" s="29"/>
      <c r="AC61" s="30"/>
      <c r="AD61" s="28" t="s">
        <v>95</v>
      </c>
      <c r="AE61" s="28" t="s">
        <v>95</v>
      </c>
      <c r="AF61" s="28" t="s">
        <v>95</v>
      </c>
      <c r="AG61" s="28" t="s">
        <v>95</v>
      </c>
      <c r="AH61" s="28" t="s">
        <v>95</v>
      </c>
      <c r="AJ61" s="29"/>
      <c r="AK61" s="20">
        <f t="shared" si="8"/>
        <v>1</v>
      </c>
      <c r="AL61" s="20">
        <f t="shared" si="9"/>
        <v>0</v>
      </c>
      <c r="AM61" s="20">
        <f t="shared" si="10"/>
        <v>1</v>
      </c>
      <c r="AN61" s="20">
        <f t="shared" si="12"/>
        <v>0</v>
      </c>
      <c r="AO61" s="20">
        <f t="shared" si="13"/>
        <v>0</v>
      </c>
      <c r="AQ61" s="20">
        <f t="shared" si="18"/>
        <v>0</v>
      </c>
      <c r="AR61" s="20">
        <f t="shared" si="14"/>
        <v>9</v>
      </c>
      <c r="AS61" s="31">
        <f t="shared" si="16"/>
        <v>9</v>
      </c>
      <c r="AT61" s="20">
        <f t="shared" si="15"/>
        <v>0</v>
      </c>
      <c r="AU61" s="20">
        <v>0</v>
      </c>
      <c r="BB61" s="20">
        <f t="shared" si="17"/>
        <v>0</v>
      </c>
    </row>
    <row r="62" spans="1:57" x14ac:dyDescent="0.25">
      <c r="A62" s="20">
        <v>59</v>
      </c>
      <c r="B62" s="20" t="s">
        <v>92</v>
      </c>
      <c r="C62" s="20" t="s">
        <v>167</v>
      </c>
      <c r="D62" s="21">
        <v>1</v>
      </c>
      <c r="E62" s="28">
        <v>1</v>
      </c>
      <c r="F62" s="28">
        <v>1</v>
      </c>
      <c r="G62" s="28">
        <v>1</v>
      </c>
      <c r="H62" s="28">
        <v>1</v>
      </c>
      <c r="I62" s="28">
        <v>1</v>
      </c>
      <c r="J62" s="28">
        <v>1</v>
      </c>
      <c r="K62" s="28">
        <v>1</v>
      </c>
      <c r="L62" s="29">
        <v>1</v>
      </c>
      <c r="M62" s="28">
        <v>1</v>
      </c>
      <c r="N62" s="28">
        <v>1</v>
      </c>
      <c r="O62" s="28">
        <v>1</v>
      </c>
      <c r="P62" s="28">
        <v>1</v>
      </c>
      <c r="Q62" s="28">
        <v>1</v>
      </c>
      <c r="R62" s="28">
        <v>1</v>
      </c>
      <c r="S62" s="28">
        <v>1</v>
      </c>
      <c r="T62" s="28">
        <v>1</v>
      </c>
      <c r="U62" s="30">
        <v>1</v>
      </c>
      <c r="V62" s="28">
        <v>1</v>
      </c>
      <c r="W62" s="28">
        <v>1</v>
      </c>
      <c r="X62" s="28">
        <v>1</v>
      </c>
      <c r="Y62" s="28">
        <v>1</v>
      </c>
      <c r="Z62" s="28">
        <v>1</v>
      </c>
      <c r="AA62" s="28">
        <v>1</v>
      </c>
      <c r="AB62" s="29">
        <v>1</v>
      </c>
      <c r="AC62" s="30">
        <v>1</v>
      </c>
      <c r="AD62" s="28">
        <v>1</v>
      </c>
      <c r="AE62" s="28">
        <v>1</v>
      </c>
      <c r="AF62" s="28">
        <v>1</v>
      </c>
      <c r="AG62" s="28">
        <v>1</v>
      </c>
      <c r="AH62" s="28">
        <v>1</v>
      </c>
      <c r="AI62" s="28">
        <v>1</v>
      </c>
      <c r="AJ62" s="29">
        <v>1</v>
      </c>
      <c r="AK62" s="20">
        <f t="shared" si="8"/>
        <v>0</v>
      </c>
      <c r="AL62" s="20">
        <f t="shared" si="9"/>
        <v>32</v>
      </c>
      <c r="AM62" s="20">
        <f t="shared" si="10"/>
        <v>32</v>
      </c>
      <c r="AN62" s="20">
        <f t="shared" si="12"/>
        <v>0</v>
      </c>
      <c r="AO62" s="20">
        <f t="shared" si="13"/>
        <v>0</v>
      </c>
      <c r="AQ62" s="20">
        <f t="shared" si="18"/>
        <v>32</v>
      </c>
      <c r="AR62" s="20">
        <f t="shared" si="14"/>
        <v>0</v>
      </c>
      <c r="AS62" s="31">
        <f t="shared" si="16"/>
        <v>32</v>
      </c>
      <c r="AT62" s="20">
        <f t="shared" si="15"/>
        <v>0</v>
      </c>
      <c r="AU62" s="20">
        <v>1</v>
      </c>
      <c r="AV62" s="20">
        <v>1</v>
      </c>
      <c r="AX62" s="20">
        <v>1</v>
      </c>
      <c r="BB62" s="20">
        <f t="shared" si="17"/>
        <v>2</v>
      </c>
      <c r="BD62" s="20">
        <v>1</v>
      </c>
      <c r="BE62" s="33" t="s">
        <v>165</v>
      </c>
    </row>
    <row r="63" spans="1:57" x14ac:dyDescent="0.25">
      <c r="A63" s="20">
        <v>60</v>
      </c>
      <c r="B63" s="1" t="s">
        <v>117</v>
      </c>
      <c r="C63" s="1" t="s">
        <v>117</v>
      </c>
      <c r="D63" s="21">
        <v>0</v>
      </c>
      <c r="L63" s="29"/>
      <c r="U63" s="30"/>
      <c r="AB63" s="29"/>
      <c r="AC63" s="30"/>
      <c r="AJ63" s="29"/>
      <c r="AK63" s="20">
        <f t="shared" si="8"/>
        <v>0</v>
      </c>
      <c r="AL63" s="20">
        <f t="shared" si="9"/>
        <v>0</v>
      </c>
      <c r="AM63" s="20">
        <f t="shared" si="10"/>
        <v>0</v>
      </c>
      <c r="AN63" s="20">
        <f t="shared" si="12"/>
        <v>0</v>
      </c>
      <c r="AO63" s="20">
        <f t="shared" si="13"/>
        <v>0</v>
      </c>
      <c r="AQ63" s="20">
        <f t="shared" si="18"/>
        <v>0</v>
      </c>
      <c r="AR63" s="20">
        <f t="shared" si="14"/>
        <v>0</v>
      </c>
      <c r="AS63" s="31">
        <f t="shared" si="16"/>
        <v>0</v>
      </c>
      <c r="AT63" s="20">
        <f t="shared" si="15"/>
        <v>0</v>
      </c>
      <c r="BB63" s="20">
        <f t="shared" si="17"/>
        <v>0</v>
      </c>
    </row>
    <row r="64" spans="1:57" x14ac:dyDescent="0.25">
      <c r="A64" s="20">
        <v>61</v>
      </c>
      <c r="B64" t="s">
        <v>92</v>
      </c>
      <c r="C64" s="77" t="s">
        <v>168</v>
      </c>
      <c r="D64" s="21">
        <v>1</v>
      </c>
      <c r="L64" s="29"/>
      <c r="U64" s="30" t="s">
        <v>159</v>
      </c>
      <c r="V64" s="28" t="s">
        <v>145</v>
      </c>
      <c r="W64" s="28" t="s">
        <v>145</v>
      </c>
      <c r="X64" s="28">
        <v>1</v>
      </c>
      <c r="Y64" s="28">
        <v>1</v>
      </c>
      <c r="Z64" s="28">
        <v>1</v>
      </c>
      <c r="AA64" s="28">
        <v>1</v>
      </c>
      <c r="AB64" s="29">
        <v>1</v>
      </c>
      <c r="AC64" s="30" t="s">
        <v>145</v>
      </c>
      <c r="AD64" s="28">
        <v>1</v>
      </c>
      <c r="AE64" s="28">
        <v>1</v>
      </c>
      <c r="AF64" s="28">
        <v>1</v>
      </c>
      <c r="AG64" s="28">
        <v>1</v>
      </c>
      <c r="AH64" s="28" t="s">
        <v>145</v>
      </c>
      <c r="AI64" s="28" t="s">
        <v>145</v>
      </c>
      <c r="AJ64" s="29">
        <v>1</v>
      </c>
      <c r="AK64" s="20">
        <f t="shared" si="8"/>
        <v>0</v>
      </c>
      <c r="AL64" s="20">
        <f t="shared" si="9"/>
        <v>10</v>
      </c>
      <c r="AM64" s="20">
        <f t="shared" si="10"/>
        <v>10</v>
      </c>
      <c r="AN64" s="20">
        <f t="shared" si="12"/>
        <v>5</v>
      </c>
      <c r="AO64" s="20">
        <f t="shared" si="13"/>
        <v>0</v>
      </c>
      <c r="AQ64" s="20">
        <f t="shared" si="18"/>
        <v>15</v>
      </c>
      <c r="AR64" s="20">
        <f t="shared" si="14"/>
        <v>0</v>
      </c>
      <c r="AS64" s="31">
        <f t="shared" si="16"/>
        <v>15</v>
      </c>
      <c r="AT64" s="20">
        <f t="shared" si="15"/>
        <v>1</v>
      </c>
      <c r="AU64" s="20">
        <v>1</v>
      </c>
      <c r="AV64" s="20">
        <v>1</v>
      </c>
      <c r="AW64" s="20">
        <v>1</v>
      </c>
      <c r="AY64" s="20">
        <v>1</v>
      </c>
      <c r="AZ64" s="20">
        <v>1</v>
      </c>
      <c r="BA64" s="20">
        <v>1</v>
      </c>
      <c r="BB64" s="20">
        <f t="shared" si="17"/>
        <v>5</v>
      </c>
    </row>
    <row r="65" spans="1:56" x14ac:dyDescent="0.25">
      <c r="A65" s="1">
        <v>62</v>
      </c>
      <c r="B65" t="s">
        <v>92</v>
      </c>
      <c r="C65" s="77" t="s">
        <v>117</v>
      </c>
      <c r="D65" s="21">
        <v>0</v>
      </c>
      <c r="L65" s="29"/>
      <c r="U65" s="30"/>
      <c r="AB65" s="29"/>
      <c r="AC65" s="30"/>
      <c r="AJ65" s="29"/>
      <c r="AK65" s="20">
        <f t="shared" si="8"/>
        <v>0</v>
      </c>
      <c r="AL65" s="20">
        <f t="shared" si="9"/>
        <v>0</v>
      </c>
      <c r="AM65" s="20">
        <f t="shared" si="10"/>
        <v>0</v>
      </c>
      <c r="AN65" s="20">
        <f t="shared" si="12"/>
        <v>0</v>
      </c>
      <c r="AO65" s="20">
        <f t="shared" si="13"/>
        <v>0</v>
      </c>
      <c r="AQ65" s="20">
        <f t="shared" si="18"/>
        <v>0</v>
      </c>
      <c r="AR65" s="20">
        <f t="shared" si="14"/>
        <v>0</v>
      </c>
      <c r="AS65" s="31">
        <f t="shared" si="16"/>
        <v>0</v>
      </c>
      <c r="AT65" s="20">
        <f t="shared" si="15"/>
        <v>0</v>
      </c>
      <c r="BB65" s="20">
        <f t="shared" si="17"/>
        <v>0</v>
      </c>
    </row>
    <row r="66" spans="1:56" x14ac:dyDescent="0.25">
      <c r="A66" s="20">
        <v>63</v>
      </c>
      <c r="B66" s="20" t="s">
        <v>92</v>
      </c>
      <c r="C66" s="20" t="s">
        <v>117</v>
      </c>
      <c r="D66" s="21">
        <v>0</v>
      </c>
      <c r="L66" s="29"/>
      <c r="U66" s="30"/>
      <c r="AB66" s="29"/>
      <c r="AC66" s="30"/>
      <c r="AJ66" s="29"/>
      <c r="AK66" s="20">
        <f t="shared" si="8"/>
        <v>0</v>
      </c>
      <c r="AL66" s="20">
        <f t="shared" si="9"/>
        <v>0</v>
      </c>
      <c r="AM66" s="20">
        <f t="shared" si="10"/>
        <v>0</v>
      </c>
      <c r="AN66" s="20">
        <f t="shared" si="12"/>
        <v>0</v>
      </c>
      <c r="AO66" s="20">
        <f t="shared" si="13"/>
        <v>0</v>
      </c>
      <c r="AQ66" s="20">
        <f t="shared" si="18"/>
        <v>0</v>
      </c>
      <c r="AR66" s="20">
        <f t="shared" si="14"/>
        <v>0</v>
      </c>
      <c r="AS66" s="31">
        <f t="shared" si="16"/>
        <v>0</v>
      </c>
      <c r="AT66" s="20">
        <f t="shared" si="15"/>
        <v>0</v>
      </c>
      <c r="BB66" s="20">
        <f t="shared" si="17"/>
        <v>0</v>
      </c>
    </row>
    <row r="67" spans="1:56" x14ac:dyDescent="0.25">
      <c r="A67" s="20">
        <v>64</v>
      </c>
      <c r="B67" s="20" t="s">
        <v>92</v>
      </c>
      <c r="C67" s="20" t="s">
        <v>117</v>
      </c>
      <c r="D67" s="21">
        <v>0</v>
      </c>
      <c r="L67" s="29"/>
      <c r="U67" s="30"/>
      <c r="AB67" s="29"/>
      <c r="AC67" s="30"/>
      <c r="AJ67" s="29"/>
      <c r="AK67" s="20">
        <f t="shared" si="8"/>
        <v>0</v>
      </c>
      <c r="AL67" s="20">
        <f t="shared" si="9"/>
        <v>0</v>
      </c>
      <c r="AM67" s="20">
        <f t="shared" si="10"/>
        <v>0</v>
      </c>
      <c r="AN67" s="20">
        <f t="shared" si="12"/>
        <v>0</v>
      </c>
      <c r="AO67" s="20">
        <f t="shared" si="13"/>
        <v>0</v>
      </c>
      <c r="AQ67" s="20">
        <f t="shared" si="18"/>
        <v>0</v>
      </c>
      <c r="AR67" s="20">
        <f t="shared" si="14"/>
        <v>0</v>
      </c>
      <c r="AS67" s="31">
        <f t="shared" si="16"/>
        <v>0</v>
      </c>
      <c r="AT67" s="20">
        <f t="shared" si="15"/>
        <v>0</v>
      </c>
      <c r="BB67" s="20">
        <f t="shared" si="17"/>
        <v>0</v>
      </c>
    </row>
    <row r="68" spans="1:56" x14ac:dyDescent="0.25">
      <c r="A68" s="20">
        <v>65</v>
      </c>
      <c r="B68" s="20" t="s">
        <v>92</v>
      </c>
      <c r="C68" s="20" t="s">
        <v>123</v>
      </c>
      <c r="D68" s="21">
        <v>0</v>
      </c>
      <c r="L68" s="29"/>
      <c r="U68" s="30"/>
      <c r="AB68" s="29"/>
      <c r="AC68" s="30"/>
      <c r="AJ68" s="29"/>
      <c r="AK68" s="20">
        <f t="shared" si="8"/>
        <v>0</v>
      </c>
      <c r="AL68" s="20">
        <f t="shared" si="9"/>
        <v>0</v>
      </c>
      <c r="AM68" s="20">
        <f t="shared" si="10"/>
        <v>0</v>
      </c>
      <c r="AN68" s="20">
        <f>COUNTIF(E68:AJ68,"am")</f>
        <v>0</v>
      </c>
      <c r="AO68" s="20">
        <f>COUNTIF(E68:AJ68,"pm")</f>
        <v>0</v>
      </c>
      <c r="AQ68" s="20">
        <f t="shared" si="18"/>
        <v>0</v>
      </c>
      <c r="AR68" s="20">
        <f>COUNTIF(E68:AJ68,"x")</f>
        <v>0</v>
      </c>
      <c r="AS68" s="31">
        <f t="shared" si="16"/>
        <v>0</v>
      </c>
      <c r="AT68" s="20">
        <f>COUNTIF(E68:AJ68,"NA")</f>
        <v>0</v>
      </c>
      <c r="BB68" s="20">
        <f t="shared" si="17"/>
        <v>0</v>
      </c>
    </row>
    <row r="69" spans="1:56" x14ac:dyDescent="0.25">
      <c r="A69" s="20">
        <v>66</v>
      </c>
      <c r="B69" s="20" t="s">
        <v>117</v>
      </c>
      <c r="C69" s="20" t="s">
        <v>117</v>
      </c>
      <c r="D69" s="21">
        <v>0</v>
      </c>
      <c r="L69" s="29"/>
      <c r="U69" s="30"/>
      <c r="AB69" s="29"/>
      <c r="AC69" s="30"/>
      <c r="AJ69" s="29"/>
      <c r="AK69" s="20">
        <f>COUNTIF(E69:AJ69,"PH")</f>
        <v>0</v>
      </c>
      <c r="AL69" s="20">
        <f>COUNTIF(E69:AJ69,"1")</f>
        <v>0</v>
      </c>
      <c r="AM69" s="20">
        <f t="shared" si="10"/>
        <v>0</v>
      </c>
      <c r="AN69" s="20">
        <f>COUNTIF(E69:AJ69,"am")</f>
        <v>0</v>
      </c>
      <c r="AO69" s="20">
        <f>COUNTIF(E69:AJ69,"pm")</f>
        <v>0</v>
      </c>
      <c r="AQ69" s="20">
        <f t="shared" si="18"/>
        <v>0</v>
      </c>
      <c r="AR69" s="20">
        <f>COUNTIF(E69:AJ69,"x")</f>
        <v>0</v>
      </c>
      <c r="AS69" s="31">
        <f t="shared" si="16"/>
        <v>0</v>
      </c>
      <c r="AT69" s="20">
        <f>COUNTIF(E69:AJ69,"NA")</f>
        <v>0</v>
      </c>
      <c r="BB69" s="20">
        <f t="shared" si="17"/>
        <v>0</v>
      </c>
    </row>
    <row r="70" spans="1:56" x14ac:dyDescent="0.25">
      <c r="A70" s="20">
        <v>67</v>
      </c>
      <c r="B70" s="20" t="s">
        <v>116</v>
      </c>
      <c r="C70" s="20" t="s">
        <v>124</v>
      </c>
      <c r="D70" s="21">
        <v>1</v>
      </c>
      <c r="L70" s="29"/>
      <c r="N70" s="28" t="s">
        <v>34</v>
      </c>
      <c r="O70" s="28" t="s">
        <v>34</v>
      </c>
      <c r="U70" s="30"/>
      <c r="V70" s="28" t="s">
        <v>95</v>
      </c>
      <c r="W70" s="28">
        <v>1</v>
      </c>
      <c r="X70" s="28" t="s">
        <v>34</v>
      </c>
      <c r="Y70" s="28" t="s">
        <v>34</v>
      </c>
      <c r="Z70" s="28" t="s">
        <v>34</v>
      </c>
      <c r="AA70" s="28" t="s">
        <v>34</v>
      </c>
      <c r="AB70" s="29">
        <v>1</v>
      </c>
      <c r="AC70" s="30">
        <v>1</v>
      </c>
      <c r="AD70" s="28" t="s">
        <v>96</v>
      </c>
      <c r="AE70" s="28" t="s">
        <v>34</v>
      </c>
      <c r="AF70" s="28" t="s">
        <v>34</v>
      </c>
      <c r="AG70" s="28" t="s">
        <v>34</v>
      </c>
      <c r="AH70" s="28">
        <v>1</v>
      </c>
      <c r="AI70" s="28" t="s">
        <v>95</v>
      </c>
      <c r="AJ70" s="29"/>
      <c r="AK70" s="20">
        <f>COUNTIF(E70:AJ70,"PH")</f>
        <v>9</v>
      </c>
      <c r="AL70" s="20">
        <f>COUNTIF(E70:AJ70,"1")</f>
        <v>4</v>
      </c>
      <c r="AM70" s="20">
        <f t="shared" si="10"/>
        <v>13</v>
      </c>
      <c r="AN70" s="20">
        <f>COUNTIF(E70:AJ70,"am")</f>
        <v>0</v>
      </c>
      <c r="AO70" s="20">
        <f>COUNTIF(E70:AJ70,"pm")</f>
        <v>1</v>
      </c>
      <c r="AQ70" s="20">
        <f t="shared" si="18"/>
        <v>5</v>
      </c>
      <c r="AR70" s="20">
        <f>COUNTIF(E70:AJ70,"x")</f>
        <v>2</v>
      </c>
      <c r="AS70" s="31">
        <f t="shared" si="16"/>
        <v>7</v>
      </c>
      <c r="AT70" s="20">
        <f>COUNTIF(E70:AJ70,"NA")</f>
        <v>0</v>
      </c>
      <c r="AU70" s="20">
        <v>1</v>
      </c>
      <c r="AV70" s="20">
        <v>1</v>
      </c>
      <c r="BB70" s="20">
        <f t="shared" si="17"/>
        <v>1</v>
      </c>
    </row>
    <row r="71" spans="1:56" x14ac:dyDescent="0.25">
      <c r="A71" s="20">
        <v>68</v>
      </c>
      <c r="B71" s="20" t="s">
        <v>93</v>
      </c>
      <c r="C71" s="20" t="s">
        <v>154</v>
      </c>
      <c r="D71" s="21">
        <v>0</v>
      </c>
      <c r="L71" s="29"/>
      <c r="U71" s="30"/>
      <c r="AB71" s="29"/>
      <c r="AC71" s="30"/>
      <c r="AJ71" s="29"/>
      <c r="AK71" s="20">
        <f>COUNTIF(E71:AJ71,"PH")</f>
        <v>0</v>
      </c>
      <c r="AL71" s="20">
        <f>COUNTIF(E71:AJ71,"1")</f>
        <v>0</v>
      </c>
      <c r="AM71" s="20">
        <f t="shared" si="10"/>
        <v>0</v>
      </c>
      <c r="AN71" s="20">
        <f>COUNTIF(E71:AJ71,"am")</f>
        <v>0</v>
      </c>
      <c r="AO71" s="20">
        <f>COUNTIF(E71:AJ71,"pm")</f>
        <v>0</v>
      </c>
      <c r="AQ71" s="20">
        <f t="shared" si="18"/>
        <v>0</v>
      </c>
      <c r="AR71" s="20">
        <f>COUNTIF(E71:AJ71,"x")</f>
        <v>0</v>
      </c>
      <c r="AS71" s="31">
        <f t="shared" si="16"/>
        <v>0</v>
      </c>
      <c r="AT71" s="20">
        <f>COUNTIF(E71:AJ71,"NA")</f>
        <v>0</v>
      </c>
      <c r="BB71" s="20">
        <f t="shared" si="17"/>
        <v>0</v>
      </c>
    </row>
    <row r="72" spans="1:56" x14ac:dyDescent="0.25">
      <c r="A72" s="20">
        <v>69</v>
      </c>
      <c r="B72" s="20" t="s">
        <v>92</v>
      </c>
      <c r="C72" s="20" t="s">
        <v>171</v>
      </c>
      <c r="D72" s="21">
        <v>0</v>
      </c>
      <c r="L72" s="29"/>
      <c r="U72" s="30"/>
      <c r="AB72" s="29"/>
      <c r="AC72" s="30"/>
      <c r="AJ72" s="29"/>
      <c r="AK72" s="20">
        <f>COUNTIF(E72:AJ72,"PH")</f>
        <v>0</v>
      </c>
      <c r="AL72" s="20">
        <f>COUNTIF(E72:AJ72,"1")</f>
        <v>0</v>
      </c>
      <c r="AM72" s="20">
        <f t="shared" si="10"/>
        <v>0</v>
      </c>
      <c r="AN72" s="20">
        <f>COUNTIF(E72:AJ72,"am")</f>
        <v>0</v>
      </c>
      <c r="AO72" s="20">
        <f>COUNTIF(E72:AJ72,"pm")</f>
        <v>0</v>
      </c>
      <c r="AQ72" s="20">
        <f t="shared" si="18"/>
        <v>0</v>
      </c>
      <c r="AR72" s="20">
        <f>COUNTIF(E72:AJ72,"x")</f>
        <v>0</v>
      </c>
      <c r="AS72" s="31">
        <f t="shared" si="16"/>
        <v>0</v>
      </c>
      <c r="AT72" s="20">
        <f>COUNTIF(E72:AJ72,"NA")</f>
        <v>0</v>
      </c>
      <c r="BB72" s="20">
        <f t="shared" si="17"/>
        <v>0</v>
      </c>
    </row>
    <row r="73" spans="1:56" x14ac:dyDescent="0.25">
      <c r="A73" s="31">
        <f>COUNTA(A$4:A$72)</f>
        <v>69</v>
      </c>
      <c r="C73" s="31" t="s">
        <v>36</v>
      </c>
      <c r="D73" s="31">
        <f>COUNTIF(D$4:D$72,"1")</f>
        <v>26</v>
      </c>
      <c r="E73" s="74">
        <f t="shared" ref="E73:AJ73" si="19">COUNTA(E$4:E$72)</f>
        <v>14</v>
      </c>
      <c r="F73" s="31">
        <f t="shared" si="19"/>
        <v>14</v>
      </c>
      <c r="G73" s="31">
        <f t="shared" si="19"/>
        <v>14</v>
      </c>
      <c r="H73" s="31">
        <f t="shared" si="19"/>
        <v>15</v>
      </c>
      <c r="I73" s="31">
        <f t="shared" si="19"/>
        <v>16</v>
      </c>
      <c r="J73" s="31">
        <f t="shared" si="19"/>
        <v>17</v>
      </c>
      <c r="K73" s="31">
        <f t="shared" si="19"/>
        <v>17</v>
      </c>
      <c r="L73" s="31">
        <f t="shared" si="19"/>
        <v>15</v>
      </c>
      <c r="M73" s="74">
        <f t="shared" si="19"/>
        <v>18</v>
      </c>
      <c r="N73" s="31">
        <f t="shared" si="19"/>
        <v>19</v>
      </c>
      <c r="O73" s="31">
        <f t="shared" si="19"/>
        <v>19</v>
      </c>
      <c r="P73" s="31">
        <f t="shared" si="19"/>
        <v>18</v>
      </c>
      <c r="Q73" s="31">
        <f t="shared" si="19"/>
        <v>18</v>
      </c>
      <c r="R73" s="31">
        <f t="shared" si="19"/>
        <v>18</v>
      </c>
      <c r="S73" s="31">
        <f t="shared" si="19"/>
        <v>16</v>
      </c>
      <c r="T73" s="31">
        <f t="shared" si="19"/>
        <v>16</v>
      </c>
      <c r="U73" s="74">
        <f t="shared" si="19"/>
        <v>15</v>
      </c>
      <c r="V73" s="31">
        <f t="shared" si="19"/>
        <v>18</v>
      </c>
      <c r="W73" s="31">
        <f t="shared" si="19"/>
        <v>19</v>
      </c>
      <c r="X73" s="31">
        <f t="shared" si="19"/>
        <v>19</v>
      </c>
      <c r="Y73" s="31">
        <f t="shared" si="19"/>
        <v>19</v>
      </c>
      <c r="Z73" s="31">
        <f t="shared" si="19"/>
        <v>20</v>
      </c>
      <c r="AA73" s="31">
        <f t="shared" si="19"/>
        <v>19</v>
      </c>
      <c r="AB73" s="31">
        <f t="shared" si="19"/>
        <v>20</v>
      </c>
      <c r="AC73" s="74">
        <f t="shared" si="19"/>
        <v>22</v>
      </c>
      <c r="AD73" s="31">
        <f t="shared" si="19"/>
        <v>23</v>
      </c>
      <c r="AE73" s="31">
        <f t="shared" si="19"/>
        <v>23</v>
      </c>
      <c r="AF73" s="31">
        <f t="shared" si="19"/>
        <v>23</v>
      </c>
      <c r="AG73" s="31">
        <f t="shared" si="19"/>
        <v>23</v>
      </c>
      <c r="AH73" s="31">
        <f t="shared" si="19"/>
        <v>23</v>
      </c>
      <c r="AI73" s="31">
        <f t="shared" si="19"/>
        <v>21</v>
      </c>
      <c r="AJ73" s="31">
        <f t="shared" si="19"/>
        <v>17</v>
      </c>
      <c r="AK73" s="74">
        <f>SUM(AK4:AK72)</f>
        <v>49</v>
      </c>
      <c r="AL73" s="31">
        <f>SUM(AL4:AL72)</f>
        <v>409</v>
      </c>
      <c r="AM73" s="31">
        <f>SUM(AM4:AM72)</f>
        <v>458</v>
      </c>
      <c r="AN73" s="31">
        <f>SUM(AN4:AN72)</f>
        <v>16</v>
      </c>
      <c r="AO73" s="31">
        <f>SUM(AO4:AO72)</f>
        <v>58</v>
      </c>
      <c r="AP73" s="31"/>
      <c r="AQ73" s="31">
        <f>SUM(AQ4:AQ72)</f>
        <v>490</v>
      </c>
      <c r="AR73" s="31">
        <f>SUM(AR4:AR72)</f>
        <v>50</v>
      </c>
      <c r="AS73" s="31">
        <f t="shared" si="16"/>
        <v>540</v>
      </c>
      <c r="AT73" s="31">
        <f t="shared" ref="AT73:BA73" si="20">SUM(AT4:AT72)</f>
        <v>6</v>
      </c>
      <c r="AU73" s="31">
        <f t="shared" si="20"/>
        <v>20</v>
      </c>
      <c r="AV73" s="31">
        <f t="shared" si="20"/>
        <v>19</v>
      </c>
      <c r="AW73" s="31">
        <f t="shared" si="20"/>
        <v>11</v>
      </c>
      <c r="AX73" s="31">
        <f t="shared" si="20"/>
        <v>16</v>
      </c>
      <c r="AY73" s="31">
        <f t="shared" si="20"/>
        <v>5</v>
      </c>
      <c r="AZ73" s="31">
        <f t="shared" si="20"/>
        <v>4</v>
      </c>
      <c r="BA73" s="31">
        <f t="shared" si="20"/>
        <v>5</v>
      </c>
      <c r="BD73" s="31">
        <f>SUM(BD4:BD72)</f>
        <v>5</v>
      </c>
    </row>
    <row r="74" spans="1:56" x14ac:dyDescent="0.25">
      <c r="C74" s="20" t="s">
        <v>20</v>
      </c>
      <c r="E74" s="75">
        <f t="shared" ref="E74:AJ74" si="21">SUM((COUNTIF(E$4:E$72,"1"))+(COUNTIF(E$4:E$72,"PH")))</f>
        <v>8</v>
      </c>
      <c r="F74" s="20">
        <f t="shared" si="21"/>
        <v>9</v>
      </c>
      <c r="G74" s="20">
        <f t="shared" si="21"/>
        <v>12</v>
      </c>
      <c r="H74" s="20">
        <f t="shared" si="21"/>
        <v>12</v>
      </c>
      <c r="I74" s="20">
        <f t="shared" si="21"/>
        <v>12</v>
      </c>
      <c r="J74" s="20">
        <f t="shared" si="21"/>
        <v>14</v>
      </c>
      <c r="K74" s="20">
        <f t="shared" si="21"/>
        <v>14</v>
      </c>
      <c r="L74" s="20">
        <f t="shared" si="21"/>
        <v>11</v>
      </c>
      <c r="M74" s="75">
        <f t="shared" si="21"/>
        <v>12</v>
      </c>
      <c r="N74" s="20">
        <f t="shared" si="21"/>
        <v>14</v>
      </c>
      <c r="O74" s="20">
        <f t="shared" si="21"/>
        <v>15</v>
      </c>
      <c r="P74" s="20">
        <f t="shared" si="21"/>
        <v>14</v>
      </c>
      <c r="Q74" s="20">
        <f t="shared" si="21"/>
        <v>13</v>
      </c>
      <c r="R74" s="20">
        <f t="shared" si="21"/>
        <v>15</v>
      </c>
      <c r="S74" s="20">
        <f t="shared" si="21"/>
        <v>9</v>
      </c>
      <c r="T74" s="20">
        <f t="shared" si="21"/>
        <v>8</v>
      </c>
      <c r="U74" s="75">
        <f t="shared" si="21"/>
        <v>10</v>
      </c>
      <c r="V74" s="20">
        <f t="shared" si="21"/>
        <v>13</v>
      </c>
      <c r="W74" s="20">
        <f t="shared" si="21"/>
        <v>16</v>
      </c>
      <c r="X74" s="20">
        <f t="shared" si="21"/>
        <v>18</v>
      </c>
      <c r="Y74" s="20">
        <f t="shared" si="21"/>
        <v>18</v>
      </c>
      <c r="Z74" s="20">
        <f t="shared" si="21"/>
        <v>17</v>
      </c>
      <c r="AA74" s="20">
        <f t="shared" si="21"/>
        <v>18</v>
      </c>
      <c r="AB74" s="20">
        <f t="shared" si="21"/>
        <v>20</v>
      </c>
      <c r="AC74" s="75">
        <f t="shared" si="21"/>
        <v>16</v>
      </c>
      <c r="AD74" s="20">
        <f t="shared" si="21"/>
        <v>19</v>
      </c>
      <c r="AE74" s="20">
        <f t="shared" si="21"/>
        <v>18</v>
      </c>
      <c r="AF74" s="20">
        <f t="shared" si="21"/>
        <v>19</v>
      </c>
      <c r="AG74" s="20">
        <f t="shared" si="21"/>
        <v>21</v>
      </c>
      <c r="AH74" s="20">
        <f t="shared" si="21"/>
        <v>19</v>
      </c>
      <c r="AI74" s="20">
        <f t="shared" si="21"/>
        <v>14</v>
      </c>
      <c r="AJ74" s="20">
        <f t="shared" si="21"/>
        <v>10</v>
      </c>
      <c r="AK74" s="75"/>
      <c r="AM74" s="20">
        <f t="shared" ref="AM74:AM79" si="22">SUM(E74:AJ74)</f>
        <v>458</v>
      </c>
      <c r="AU74" s="58">
        <f t="shared" ref="AU74:BA74" si="23">AU73/$D$73</f>
        <v>0.76923076923076927</v>
      </c>
      <c r="AV74" s="58">
        <f t="shared" si="23"/>
        <v>0.73076923076923073</v>
      </c>
      <c r="AW74" s="58">
        <f t="shared" si="23"/>
        <v>0.42307692307692307</v>
      </c>
      <c r="AX74" s="58">
        <f t="shared" si="23"/>
        <v>0.61538461538461542</v>
      </c>
      <c r="AY74" s="58">
        <f t="shared" si="23"/>
        <v>0.19230769230769232</v>
      </c>
      <c r="AZ74" s="58">
        <f t="shared" si="23"/>
        <v>0.15384615384615385</v>
      </c>
      <c r="BA74" s="58">
        <f t="shared" si="23"/>
        <v>0.19230769230769232</v>
      </c>
    </row>
    <row r="75" spans="1:56" x14ac:dyDescent="0.25">
      <c r="C75" s="20" t="s">
        <v>21</v>
      </c>
      <c r="E75" s="75">
        <f t="shared" ref="E75:AJ75" si="24">COUNTIF(E$4:E$72,"am")</f>
        <v>0</v>
      </c>
      <c r="F75" s="20">
        <f t="shared" si="24"/>
        <v>0</v>
      </c>
      <c r="G75" s="20">
        <f t="shared" si="24"/>
        <v>1</v>
      </c>
      <c r="H75" s="20">
        <f t="shared" si="24"/>
        <v>1</v>
      </c>
      <c r="I75" s="20">
        <f t="shared" si="24"/>
        <v>1</v>
      </c>
      <c r="J75" s="20">
        <f t="shared" si="24"/>
        <v>0</v>
      </c>
      <c r="K75" s="20">
        <f t="shared" si="24"/>
        <v>0</v>
      </c>
      <c r="L75" s="20">
        <f t="shared" si="24"/>
        <v>0</v>
      </c>
      <c r="M75" s="75">
        <f t="shared" si="24"/>
        <v>0</v>
      </c>
      <c r="N75" s="20">
        <f t="shared" si="24"/>
        <v>0</v>
      </c>
      <c r="O75" s="20">
        <f t="shared" si="24"/>
        <v>0</v>
      </c>
      <c r="P75" s="20">
        <f t="shared" si="24"/>
        <v>1</v>
      </c>
      <c r="Q75" s="20">
        <f t="shared" si="24"/>
        <v>1</v>
      </c>
      <c r="R75" s="20">
        <f t="shared" si="24"/>
        <v>1</v>
      </c>
      <c r="S75" s="20">
        <f t="shared" si="24"/>
        <v>1</v>
      </c>
      <c r="T75" s="20">
        <f t="shared" si="24"/>
        <v>1</v>
      </c>
      <c r="U75" s="75">
        <f t="shared" si="24"/>
        <v>0</v>
      </c>
      <c r="V75" s="20">
        <f t="shared" si="24"/>
        <v>1</v>
      </c>
      <c r="W75" s="20">
        <f t="shared" si="24"/>
        <v>2</v>
      </c>
      <c r="X75" s="20">
        <f t="shared" si="24"/>
        <v>0</v>
      </c>
      <c r="Y75" s="20">
        <f t="shared" si="24"/>
        <v>0</v>
      </c>
      <c r="Z75" s="20">
        <f t="shared" si="24"/>
        <v>0</v>
      </c>
      <c r="AA75" s="20">
        <f t="shared" si="24"/>
        <v>0</v>
      </c>
      <c r="AB75" s="20">
        <f t="shared" si="24"/>
        <v>0</v>
      </c>
      <c r="AC75" s="75">
        <f t="shared" si="24"/>
        <v>2</v>
      </c>
      <c r="AD75" s="20">
        <f t="shared" si="24"/>
        <v>0</v>
      </c>
      <c r="AE75" s="20">
        <f t="shared" si="24"/>
        <v>0</v>
      </c>
      <c r="AF75" s="20">
        <f t="shared" si="24"/>
        <v>0</v>
      </c>
      <c r="AG75" s="20">
        <f t="shared" si="24"/>
        <v>0</v>
      </c>
      <c r="AH75" s="20">
        <f t="shared" si="24"/>
        <v>1</v>
      </c>
      <c r="AI75" s="20">
        <f t="shared" si="24"/>
        <v>2</v>
      </c>
      <c r="AJ75" s="20">
        <f t="shared" si="24"/>
        <v>0</v>
      </c>
      <c r="AK75" s="75"/>
      <c r="AM75" s="20">
        <f t="shared" si="22"/>
        <v>16</v>
      </c>
    </row>
    <row r="76" spans="1:56" x14ac:dyDescent="0.25">
      <c r="C76" s="20" t="s">
        <v>22</v>
      </c>
      <c r="E76" s="75">
        <f t="shared" ref="E76:AJ76" si="25">COUNTIF(E$4:E$72,"pm")</f>
        <v>0</v>
      </c>
      <c r="F76" s="20">
        <f t="shared" si="25"/>
        <v>1</v>
      </c>
      <c r="G76" s="20">
        <f t="shared" si="25"/>
        <v>1</v>
      </c>
      <c r="H76" s="20">
        <f t="shared" si="25"/>
        <v>1</v>
      </c>
      <c r="I76" s="20">
        <f t="shared" si="25"/>
        <v>2</v>
      </c>
      <c r="J76" s="20">
        <f t="shared" si="25"/>
        <v>3</v>
      </c>
      <c r="K76" s="20">
        <f t="shared" si="25"/>
        <v>3</v>
      </c>
      <c r="L76" s="20">
        <f t="shared" si="25"/>
        <v>4</v>
      </c>
      <c r="M76" s="75">
        <f t="shared" si="25"/>
        <v>6</v>
      </c>
      <c r="N76" s="20">
        <f t="shared" si="25"/>
        <v>5</v>
      </c>
      <c r="O76" s="20">
        <f t="shared" si="25"/>
        <v>4</v>
      </c>
      <c r="P76" s="20">
        <f t="shared" si="25"/>
        <v>2</v>
      </c>
      <c r="Q76" s="20">
        <f t="shared" si="25"/>
        <v>2</v>
      </c>
      <c r="R76" s="20">
        <f t="shared" si="25"/>
        <v>1</v>
      </c>
      <c r="S76" s="20">
        <f t="shared" si="25"/>
        <v>2</v>
      </c>
      <c r="T76" s="20">
        <f t="shared" si="25"/>
        <v>2</v>
      </c>
      <c r="U76" s="75">
        <f t="shared" si="25"/>
        <v>0</v>
      </c>
      <c r="V76" s="20">
        <f t="shared" si="25"/>
        <v>0</v>
      </c>
      <c r="W76" s="20">
        <f t="shared" si="25"/>
        <v>0</v>
      </c>
      <c r="X76" s="20">
        <f t="shared" si="25"/>
        <v>0</v>
      </c>
      <c r="Y76" s="20">
        <f t="shared" si="25"/>
        <v>0</v>
      </c>
      <c r="Z76" s="20">
        <f t="shared" si="25"/>
        <v>2</v>
      </c>
      <c r="AA76" s="20">
        <f t="shared" si="25"/>
        <v>1</v>
      </c>
      <c r="AB76" s="20">
        <f t="shared" si="25"/>
        <v>0</v>
      </c>
      <c r="AC76" s="75">
        <f t="shared" si="25"/>
        <v>4</v>
      </c>
      <c r="AD76" s="20">
        <f t="shared" si="25"/>
        <v>3</v>
      </c>
      <c r="AE76" s="20">
        <f t="shared" si="25"/>
        <v>4</v>
      </c>
      <c r="AF76" s="20">
        <f t="shared" si="25"/>
        <v>1</v>
      </c>
      <c r="AG76" s="20">
        <f t="shared" si="25"/>
        <v>0</v>
      </c>
      <c r="AH76" s="20">
        <f t="shared" si="25"/>
        <v>1</v>
      </c>
      <c r="AI76" s="20">
        <f t="shared" si="25"/>
        <v>1</v>
      </c>
      <c r="AJ76" s="20">
        <f t="shared" si="25"/>
        <v>2</v>
      </c>
      <c r="AK76" s="75"/>
      <c r="AM76" s="20">
        <f t="shared" si="22"/>
        <v>58</v>
      </c>
    </row>
    <row r="77" spans="1:56" x14ac:dyDescent="0.25">
      <c r="C77" s="20" t="s">
        <v>23</v>
      </c>
      <c r="E77" s="75">
        <f t="shared" ref="E77:AJ77" si="26">SUM(E$74:E$76)</f>
        <v>8</v>
      </c>
      <c r="F77" s="20">
        <f t="shared" si="26"/>
        <v>10</v>
      </c>
      <c r="G77" s="20">
        <f t="shared" si="26"/>
        <v>14</v>
      </c>
      <c r="H77" s="20">
        <f t="shared" si="26"/>
        <v>14</v>
      </c>
      <c r="I77" s="20">
        <f t="shared" si="26"/>
        <v>15</v>
      </c>
      <c r="J77" s="20">
        <f t="shared" si="26"/>
        <v>17</v>
      </c>
      <c r="K77" s="20">
        <f t="shared" si="26"/>
        <v>17</v>
      </c>
      <c r="L77" s="20">
        <f t="shared" si="26"/>
        <v>15</v>
      </c>
      <c r="M77" s="75">
        <f t="shared" si="26"/>
        <v>18</v>
      </c>
      <c r="N77" s="20">
        <f t="shared" si="26"/>
        <v>19</v>
      </c>
      <c r="O77" s="20">
        <f t="shared" si="26"/>
        <v>19</v>
      </c>
      <c r="P77" s="20">
        <f t="shared" si="26"/>
        <v>17</v>
      </c>
      <c r="Q77" s="20">
        <f t="shared" si="26"/>
        <v>16</v>
      </c>
      <c r="R77" s="20">
        <f t="shared" si="26"/>
        <v>17</v>
      </c>
      <c r="S77" s="20">
        <f t="shared" si="26"/>
        <v>12</v>
      </c>
      <c r="T77" s="20">
        <f t="shared" si="26"/>
        <v>11</v>
      </c>
      <c r="U77" s="75">
        <f t="shared" si="26"/>
        <v>10</v>
      </c>
      <c r="V77" s="20">
        <f t="shared" si="26"/>
        <v>14</v>
      </c>
      <c r="W77" s="20">
        <f t="shared" si="26"/>
        <v>18</v>
      </c>
      <c r="X77" s="20">
        <f t="shared" si="26"/>
        <v>18</v>
      </c>
      <c r="Y77" s="20">
        <f t="shared" si="26"/>
        <v>18</v>
      </c>
      <c r="Z77" s="20">
        <f t="shared" si="26"/>
        <v>19</v>
      </c>
      <c r="AA77" s="20">
        <f t="shared" si="26"/>
        <v>19</v>
      </c>
      <c r="AB77" s="20">
        <f t="shared" si="26"/>
        <v>20</v>
      </c>
      <c r="AC77" s="75">
        <f t="shared" si="26"/>
        <v>22</v>
      </c>
      <c r="AD77" s="20">
        <f t="shared" si="26"/>
        <v>22</v>
      </c>
      <c r="AE77" s="20">
        <f t="shared" si="26"/>
        <v>22</v>
      </c>
      <c r="AF77" s="20">
        <f t="shared" si="26"/>
        <v>20</v>
      </c>
      <c r="AG77" s="20">
        <f t="shared" si="26"/>
        <v>21</v>
      </c>
      <c r="AH77" s="20">
        <f t="shared" si="26"/>
        <v>21</v>
      </c>
      <c r="AI77" s="20">
        <f t="shared" si="26"/>
        <v>17</v>
      </c>
      <c r="AJ77" s="20">
        <f t="shared" si="26"/>
        <v>12</v>
      </c>
      <c r="AK77" s="75"/>
      <c r="AM77" s="20">
        <f t="shared" si="22"/>
        <v>532</v>
      </c>
    </row>
    <row r="78" spans="1:56" x14ac:dyDescent="0.25">
      <c r="C78" s="20" t="s">
        <v>24</v>
      </c>
      <c r="E78" s="75">
        <f t="shared" ref="E78:AJ78" si="27">COUNTIF(E$4:E$72,"X")</f>
        <v>4</v>
      </c>
      <c r="F78" s="20">
        <f t="shared" si="27"/>
        <v>3</v>
      </c>
      <c r="G78" s="20">
        <f t="shared" si="27"/>
        <v>0</v>
      </c>
      <c r="H78" s="20">
        <f t="shared" si="27"/>
        <v>1</v>
      </c>
      <c r="I78" s="20">
        <f t="shared" si="27"/>
        <v>1</v>
      </c>
      <c r="J78" s="20">
        <f t="shared" si="27"/>
        <v>0</v>
      </c>
      <c r="K78" s="20">
        <f t="shared" si="27"/>
        <v>0</v>
      </c>
      <c r="L78" s="20">
        <f t="shared" si="27"/>
        <v>0</v>
      </c>
      <c r="M78" s="75">
        <f t="shared" si="27"/>
        <v>0</v>
      </c>
      <c r="N78" s="20">
        <f t="shared" si="27"/>
        <v>0</v>
      </c>
      <c r="O78" s="20">
        <f t="shared" si="27"/>
        <v>0</v>
      </c>
      <c r="P78" s="20">
        <f t="shared" si="27"/>
        <v>1</v>
      </c>
      <c r="Q78" s="20">
        <f t="shared" si="27"/>
        <v>2</v>
      </c>
      <c r="R78" s="20">
        <f t="shared" si="27"/>
        <v>1</v>
      </c>
      <c r="S78" s="20">
        <f t="shared" si="27"/>
        <v>3</v>
      </c>
      <c r="T78" s="20">
        <f t="shared" si="27"/>
        <v>4</v>
      </c>
      <c r="U78" s="75">
        <f t="shared" si="27"/>
        <v>4</v>
      </c>
      <c r="V78" s="20">
        <f t="shared" si="27"/>
        <v>4</v>
      </c>
      <c r="W78" s="20">
        <f t="shared" si="27"/>
        <v>1</v>
      </c>
      <c r="X78" s="20">
        <f t="shared" si="27"/>
        <v>1</v>
      </c>
      <c r="Y78" s="20">
        <f t="shared" si="27"/>
        <v>1</v>
      </c>
      <c r="Z78" s="20">
        <f t="shared" si="27"/>
        <v>1</v>
      </c>
      <c r="AA78" s="20">
        <f t="shared" si="27"/>
        <v>0</v>
      </c>
      <c r="AB78" s="20">
        <f t="shared" si="27"/>
        <v>0</v>
      </c>
      <c r="AC78" s="75">
        <f t="shared" si="27"/>
        <v>0</v>
      </c>
      <c r="AD78" s="20">
        <f t="shared" si="27"/>
        <v>1</v>
      </c>
      <c r="AE78" s="20">
        <f t="shared" si="27"/>
        <v>1</v>
      </c>
      <c r="AF78" s="20">
        <f t="shared" si="27"/>
        <v>3</v>
      </c>
      <c r="AG78" s="20">
        <f t="shared" si="27"/>
        <v>2</v>
      </c>
      <c r="AH78" s="20">
        <f t="shared" si="27"/>
        <v>2</v>
      </c>
      <c r="AI78" s="20">
        <f t="shared" si="27"/>
        <v>4</v>
      </c>
      <c r="AJ78" s="20">
        <f t="shared" si="27"/>
        <v>5</v>
      </c>
      <c r="AK78" s="75"/>
      <c r="AM78" s="20">
        <f t="shared" si="22"/>
        <v>50</v>
      </c>
    </row>
    <row r="79" spans="1:56" x14ac:dyDescent="0.25">
      <c r="C79" s="20" t="s">
        <v>26</v>
      </c>
      <c r="E79" s="75">
        <f t="shared" ref="E79:AJ79" si="28">COUNTIF(E$4:E$72,"NA")</f>
        <v>2</v>
      </c>
      <c r="F79" s="20">
        <f t="shared" si="28"/>
        <v>1</v>
      </c>
      <c r="G79" s="20">
        <f t="shared" si="28"/>
        <v>0</v>
      </c>
      <c r="H79" s="20">
        <f t="shared" si="28"/>
        <v>0</v>
      </c>
      <c r="I79" s="20">
        <f t="shared" si="28"/>
        <v>0</v>
      </c>
      <c r="J79" s="20">
        <f t="shared" si="28"/>
        <v>0</v>
      </c>
      <c r="K79" s="20">
        <f t="shared" si="28"/>
        <v>0</v>
      </c>
      <c r="L79" s="20">
        <f t="shared" si="28"/>
        <v>0</v>
      </c>
      <c r="M79" s="75">
        <f t="shared" si="28"/>
        <v>0</v>
      </c>
      <c r="N79" s="20">
        <f t="shared" si="28"/>
        <v>0</v>
      </c>
      <c r="O79" s="20">
        <f t="shared" si="28"/>
        <v>0</v>
      </c>
      <c r="P79" s="20">
        <f t="shared" si="28"/>
        <v>0</v>
      </c>
      <c r="Q79" s="20">
        <f t="shared" si="28"/>
        <v>0</v>
      </c>
      <c r="R79" s="20">
        <f t="shared" si="28"/>
        <v>0</v>
      </c>
      <c r="S79" s="20">
        <f t="shared" si="28"/>
        <v>1</v>
      </c>
      <c r="T79" s="20">
        <f t="shared" si="28"/>
        <v>1</v>
      </c>
      <c r="U79" s="75">
        <f t="shared" si="28"/>
        <v>1</v>
      </c>
      <c r="V79" s="20">
        <f t="shared" si="28"/>
        <v>0</v>
      </c>
      <c r="W79" s="20">
        <f t="shared" si="28"/>
        <v>0</v>
      </c>
      <c r="X79" s="20">
        <f t="shared" si="28"/>
        <v>0</v>
      </c>
      <c r="Y79" s="20">
        <f t="shared" si="28"/>
        <v>0</v>
      </c>
      <c r="Z79" s="20">
        <f t="shared" si="28"/>
        <v>0</v>
      </c>
      <c r="AA79" s="20">
        <f t="shared" si="28"/>
        <v>0</v>
      </c>
      <c r="AB79" s="20">
        <f t="shared" si="28"/>
        <v>0</v>
      </c>
      <c r="AC79" s="75">
        <f t="shared" si="28"/>
        <v>0</v>
      </c>
      <c r="AD79" s="20">
        <f t="shared" si="28"/>
        <v>0</v>
      </c>
      <c r="AE79" s="20">
        <f t="shared" si="28"/>
        <v>0</v>
      </c>
      <c r="AF79" s="20">
        <f t="shared" si="28"/>
        <v>0</v>
      </c>
      <c r="AG79" s="20">
        <f t="shared" si="28"/>
        <v>0</v>
      </c>
      <c r="AH79" s="20">
        <f t="shared" si="28"/>
        <v>0</v>
      </c>
      <c r="AI79" s="20">
        <f t="shared" si="28"/>
        <v>0</v>
      </c>
      <c r="AJ79" s="20">
        <f t="shared" si="28"/>
        <v>0</v>
      </c>
      <c r="AK79" s="75"/>
      <c r="AM79" s="20">
        <f t="shared" si="22"/>
        <v>6</v>
      </c>
    </row>
    <row r="81" spans="3:4" x14ac:dyDescent="0.25">
      <c r="C81" s="20" t="s">
        <v>92</v>
      </c>
      <c r="D81" s="20">
        <f>COUNTIF(B$4:B$72,"Mees")</f>
        <v>19</v>
      </c>
    </row>
    <row r="82" spans="3:4" x14ac:dyDescent="0.25">
      <c r="C82" s="20" t="s">
        <v>118</v>
      </c>
      <c r="D82" s="20">
        <f>COUNTIF(B$4:B$72,"Mees ?")</f>
        <v>2</v>
      </c>
    </row>
    <row r="83" spans="3:4" x14ac:dyDescent="0.25">
      <c r="C83" s="20" t="s">
        <v>93</v>
      </c>
      <c r="D83" s="20">
        <f>COUNTIF(B$4:B$72,"Naine")</f>
        <v>14</v>
      </c>
    </row>
    <row r="84" spans="3:4" x14ac:dyDescent="0.25">
      <c r="C84" s="20" t="s">
        <v>119</v>
      </c>
      <c r="D84" s="20">
        <f>COUNTIF(B$4:B$72,"Naine ?")</f>
        <v>1</v>
      </c>
    </row>
    <row r="85" spans="3:4" x14ac:dyDescent="0.25">
      <c r="C85" s="20" t="s">
        <v>117</v>
      </c>
      <c r="D85" s="20">
        <f>COUNTIF(B$4:B$72,"Täiskasvanu")</f>
        <v>15</v>
      </c>
    </row>
    <row r="86" spans="3:4" x14ac:dyDescent="0.25">
      <c r="C86" s="20" t="s">
        <v>116</v>
      </c>
      <c r="D86" s="20">
        <f>COUNTIF(B$4:B$72,"Alaealine")</f>
        <v>18</v>
      </c>
    </row>
    <row r="87" spans="3:4" x14ac:dyDescent="0.25">
      <c r="C87" s="20" t="s">
        <v>25</v>
      </c>
      <c r="D87" s="20">
        <f>SUM(D81:D86)</f>
        <v>69</v>
      </c>
    </row>
  </sheetData>
  <sheetProtection selectLockedCells="1" selectUnlockedCells="1"/>
  <autoFilter ref="A3:IT79" xr:uid="{32F01DD7-2088-4C5E-9AFF-D991466081BB}">
    <filterColumn colId="55" showButton="0"/>
  </autoFilter>
  <mergeCells count="10">
    <mergeCell ref="BD3:BE3"/>
    <mergeCell ref="AM2:AR2"/>
    <mergeCell ref="AU2:BA2"/>
    <mergeCell ref="E1:T1"/>
    <mergeCell ref="U1:AJ1"/>
    <mergeCell ref="A2:C2"/>
    <mergeCell ref="E2:L2"/>
    <mergeCell ref="M2:T2"/>
    <mergeCell ref="U2:AB2"/>
    <mergeCell ref="AC2:AJ2"/>
  </mergeCell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ignoredErrors>
    <ignoredError sqref="AQ4:AR22 AK4:AL22 AM4:AM25 AN4:AO22 BB53:BB70 BB23:BB41 BB7:BB16 AM26:AM72 AK26:AL72 AN26:AS72 AT14:AT72 AT4:AT12" formulaRange="1"/>
    <ignoredError sqref="AQ25 AN25:AO2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C2D7-3488-4B39-8FEC-2BD5D1D406BD}">
  <dimension ref="A1:AY103"/>
  <sheetViews>
    <sheetView workbookViewId="0">
      <pane xSplit="3" ySplit="4" topLeftCell="L5" activePane="bottomRight" state="frozen"/>
      <selection pane="topRight" activeCell="X1" sqref="X1"/>
      <selection pane="bottomLeft" activeCell="A138" sqref="A138"/>
      <selection pane="bottomRight" activeCell="P94" sqref="P94"/>
    </sheetView>
  </sheetViews>
  <sheetFormatPr defaultColWidth="11.5703125" defaultRowHeight="15" x14ac:dyDescent="0.25"/>
  <cols>
    <col min="1" max="1" width="4" style="20" customWidth="1"/>
    <col min="2" max="2" width="11.5703125" style="20" bestFit="1" customWidth="1"/>
    <col min="3" max="3" width="12.42578125" style="20" customWidth="1"/>
    <col min="4" max="4" width="6.140625" style="28" customWidth="1"/>
    <col min="5" max="5" width="5.85546875" style="28" customWidth="1"/>
    <col min="6" max="6" width="5.5703125" style="28" customWidth="1"/>
    <col min="7" max="9" width="5.140625" style="28" customWidth="1"/>
    <col min="10" max="10" width="4.85546875" style="28" customWidth="1"/>
    <col min="11" max="11" width="4.42578125" style="28" customWidth="1"/>
    <col min="12" max="12" width="5.28515625" style="28" customWidth="1"/>
    <col min="13" max="13" width="4.5703125" style="28" customWidth="1"/>
    <col min="14" max="14" width="5.28515625" style="28" customWidth="1"/>
    <col min="15" max="16" width="5.140625" style="28" customWidth="1"/>
    <col min="17" max="17" width="5.7109375" style="28" customWidth="1"/>
    <col min="18" max="18" width="5.5703125" style="28" customWidth="1"/>
    <col min="19" max="19" width="5.28515625" style="28" customWidth="1"/>
    <col min="20" max="20" width="5.85546875" style="28" customWidth="1"/>
    <col min="21" max="22" width="4.7109375" style="28" customWidth="1"/>
    <col min="23" max="25" width="5.140625" style="28" customWidth="1"/>
    <col min="26" max="26" width="5" style="28" customWidth="1"/>
    <col min="27" max="27" width="4.7109375" style="28" customWidth="1"/>
    <col min="28" max="29" width="4.42578125" style="28" customWidth="1"/>
    <col min="30" max="30" width="4.7109375" style="28" customWidth="1"/>
    <col min="31" max="32" width="5.140625" style="28" customWidth="1"/>
    <col min="33" max="33" width="5.28515625" style="28" customWidth="1"/>
    <col min="34" max="34" width="5" style="28" customWidth="1"/>
    <col min="35" max="35" width="5.42578125" style="28" customWidth="1"/>
    <col min="36" max="36" width="6.42578125" style="20" customWidth="1"/>
    <col min="37" max="37" width="10.28515625" style="28" customWidth="1"/>
    <col min="38" max="38" width="17.85546875" style="20" customWidth="1"/>
    <col min="39" max="40" width="11.5703125" style="20"/>
    <col min="41" max="41" width="8.42578125" style="28" customWidth="1"/>
    <col min="42" max="42" width="4.28515625" style="28" customWidth="1"/>
    <col min="43" max="43" width="5.42578125" style="28" customWidth="1"/>
    <col min="44" max="44" width="6.42578125" style="28" customWidth="1"/>
    <col min="45" max="45" width="3.42578125" style="28" customWidth="1"/>
    <col min="46" max="50" width="4.28515625" style="28" customWidth="1"/>
    <col min="51" max="51" width="6.42578125" style="20" customWidth="1"/>
    <col min="52" max="16384" width="11.5703125" style="20"/>
  </cols>
  <sheetData>
    <row r="1" spans="1:51" x14ac:dyDescent="0.25">
      <c r="D1" s="80" t="s">
        <v>37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K1" s="22"/>
      <c r="AL1" s="54"/>
      <c r="AO1" s="55"/>
      <c r="AP1" s="55"/>
      <c r="AQ1" s="55"/>
      <c r="AR1" s="55"/>
      <c r="AT1" s="56"/>
      <c r="AU1" s="56"/>
      <c r="AV1" s="56"/>
      <c r="AW1" s="56"/>
      <c r="AX1" s="56"/>
      <c r="AY1" s="57"/>
    </row>
    <row r="2" spans="1:51" x14ac:dyDescent="0.25">
      <c r="D2" s="80" t="s">
        <v>0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 t="s">
        <v>1</v>
      </c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K2" s="22"/>
      <c r="AO2" s="85" t="s">
        <v>38</v>
      </c>
      <c r="AP2" s="85"/>
      <c r="AQ2" s="85"/>
      <c r="AR2" s="85"/>
      <c r="AT2" s="87" t="s">
        <v>38</v>
      </c>
      <c r="AU2" s="87"/>
      <c r="AV2" s="87"/>
      <c r="AW2" s="87"/>
      <c r="AX2" s="87"/>
      <c r="AY2" s="87"/>
    </row>
    <row r="3" spans="1:51" x14ac:dyDescent="0.25">
      <c r="D3" s="86" t="s">
        <v>3</v>
      </c>
      <c r="E3" s="86"/>
      <c r="F3" s="86"/>
      <c r="G3" s="86"/>
      <c r="H3" s="86"/>
      <c r="I3" s="86"/>
      <c r="J3" s="86"/>
      <c r="K3" s="86"/>
      <c r="L3" s="86" t="s">
        <v>4</v>
      </c>
      <c r="M3" s="86"/>
      <c r="N3" s="86"/>
      <c r="O3" s="86"/>
      <c r="P3" s="86"/>
      <c r="Q3" s="86"/>
      <c r="R3" s="86"/>
      <c r="S3" s="86"/>
      <c r="T3" s="86" t="s">
        <v>3</v>
      </c>
      <c r="U3" s="86"/>
      <c r="V3" s="86"/>
      <c r="W3" s="86"/>
      <c r="X3" s="86"/>
      <c r="Y3" s="86"/>
      <c r="Z3" s="86"/>
      <c r="AA3" s="86"/>
      <c r="AB3" s="82" t="s">
        <v>4</v>
      </c>
      <c r="AC3" s="82"/>
      <c r="AD3" s="82"/>
      <c r="AE3" s="82"/>
      <c r="AF3" s="82"/>
      <c r="AG3" s="82"/>
      <c r="AH3" s="82"/>
      <c r="AI3" s="82"/>
      <c r="AK3" s="22" t="s">
        <v>39</v>
      </c>
      <c r="AL3" s="20" t="s">
        <v>121</v>
      </c>
      <c r="AM3" s="20" t="s">
        <v>39</v>
      </c>
      <c r="AO3" s="85" t="s">
        <v>40</v>
      </c>
      <c r="AP3" s="85"/>
      <c r="AQ3" s="85"/>
      <c r="AR3" s="85"/>
      <c r="AS3" s="22"/>
      <c r="AT3" s="87" t="s">
        <v>41</v>
      </c>
      <c r="AU3" s="87"/>
      <c r="AV3" s="87"/>
      <c r="AW3" s="87"/>
      <c r="AX3" s="87"/>
      <c r="AY3" s="87"/>
    </row>
    <row r="4" spans="1:51" s="7" customFormat="1" x14ac:dyDescent="0.25">
      <c r="A4" s="7" t="s">
        <v>8</v>
      </c>
      <c r="B4" s="7" t="s">
        <v>9</v>
      </c>
      <c r="C4" s="7" t="s">
        <v>10</v>
      </c>
      <c r="D4" s="10">
        <v>8</v>
      </c>
      <c r="E4" s="8">
        <v>7</v>
      </c>
      <c r="F4" s="8">
        <v>6</v>
      </c>
      <c r="G4" s="8">
        <v>5</v>
      </c>
      <c r="H4" s="8">
        <v>4</v>
      </c>
      <c r="I4" s="8">
        <v>3</v>
      </c>
      <c r="J4" s="8">
        <v>2</v>
      </c>
      <c r="K4" s="8">
        <v>1</v>
      </c>
      <c r="L4" s="10">
        <v>1</v>
      </c>
      <c r="M4" s="8">
        <v>2</v>
      </c>
      <c r="N4" s="8">
        <v>3</v>
      </c>
      <c r="O4" s="8">
        <v>4</v>
      </c>
      <c r="P4" s="8">
        <v>5</v>
      </c>
      <c r="Q4" s="8">
        <v>6</v>
      </c>
      <c r="R4" s="8">
        <v>7</v>
      </c>
      <c r="S4" s="8">
        <v>8</v>
      </c>
      <c r="T4" s="10">
        <v>8</v>
      </c>
      <c r="U4" s="8">
        <v>7</v>
      </c>
      <c r="V4" s="8">
        <v>6</v>
      </c>
      <c r="W4" s="8">
        <v>5</v>
      </c>
      <c r="X4" s="8">
        <v>4</v>
      </c>
      <c r="Y4" s="8">
        <v>3</v>
      </c>
      <c r="Z4" s="8">
        <v>2</v>
      </c>
      <c r="AA4" s="8">
        <v>1</v>
      </c>
      <c r="AB4" s="10">
        <v>1</v>
      </c>
      <c r="AC4" s="8">
        <v>2</v>
      </c>
      <c r="AD4" s="8">
        <v>3</v>
      </c>
      <c r="AE4" s="8">
        <v>4</v>
      </c>
      <c r="AF4" s="8">
        <v>5</v>
      </c>
      <c r="AG4" s="8">
        <v>6</v>
      </c>
      <c r="AH4" s="8">
        <v>7</v>
      </c>
      <c r="AI4" s="9">
        <v>8</v>
      </c>
      <c r="AJ4" s="7" t="s">
        <v>42</v>
      </c>
      <c r="AK4" s="8" t="s">
        <v>43</v>
      </c>
      <c r="AL4" s="7" t="s">
        <v>44</v>
      </c>
      <c r="AM4" s="7" t="s">
        <v>45</v>
      </c>
      <c r="AO4" s="11">
        <v>1</v>
      </c>
      <c r="AP4" s="11">
        <v>2</v>
      </c>
      <c r="AQ4" s="11">
        <v>3</v>
      </c>
      <c r="AR4" s="12" t="s">
        <v>36</v>
      </c>
      <c r="AS4" s="8"/>
      <c r="AT4" s="13" t="s">
        <v>46</v>
      </c>
      <c r="AU4" s="13" t="s">
        <v>47</v>
      </c>
      <c r="AV4" s="13" t="s">
        <v>48</v>
      </c>
      <c r="AW4" s="13" t="s">
        <v>49</v>
      </c>
      <c r="AX4" s="13" t="s">
        <v>50</v>
      </c>
      <c r="AY4" s="14" t="s">
        <v>36</v>
      </c>
    </row>
    <row r="5" spans="1:51" x14ac:dyDescent="0.25">
      <c r="A5" s="20" t="str">
        <f>Üldinfo!A4</f>
        <v>1a</v>
      </c>
      <c r="B5" s="20" t="str">
        <f>Üldinfo!B4</f>
        <v>Mees</v>
      </c>
      <c r="C5" s="20" t="str">
        <f>Üldinfo!C4</f>
        <v>Täiskasvanu</v>
      </c>
      <c r="D5" s="30"/>
      <c r="L5" s="30"/>
      <c r="T5" s="30"/>
      <c r="AB5" s="30"/>
      <c r="AI5" s="29"/>
      <c r="AK5" s="28">
        <f t="shared" ref="AK5:AK73" si="0">COUNTA(D5:AI5)</f>
        <v>0</v>
      </c>
      <c r="AL5" s="20">
        <f>Üldinfo!AM4</f>
        <v>0</v>
      </c>
      <c r="AM5" s="58" t="e">
        <f t="shared" ref="AM5:AM74" si="1">AK5/AL5</f>
        <v>#DIV/0!</v>
      </c>
      <c r="AO5" s="59">
        <f t="shared" ref="AO5:AO73" si="2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1",""))</f>
        <v>0</v>
      </c>
      <c r="AP5" s="59">
        <f t="shared" ref="AP5:AP73" si="3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2",""))</f>
        <v>0</v>
      </c>
      <c r="AQ5" s="59">
        <f t="shared" ref="AQ5:AQ73" si="4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3",""))</f>
        <v>0</v>
      </c>
      <c r="AR5" s="60">
        <f t="shared" ref="AR5:AR73" si="5">SUM(AO5:AQ5)</f>
        <v>0</v>
      </c>
      <c r="AS5" s="20"/>
      <c r="AT5" s="57">
        <f t="shared" ref="AT5:AT73" si="6">COUNTIF(D5:AI5,"*m*")</f>
        <v>0</v>
      </c>
      <c r="AU5" s="57">
        <f t="shared" ref="AU5:AU73" si="7">COUNTIF(D5:AI5,"*d*")</f>
        <v>0</v>
      </c>
      <c r="AV5" s="57">
        <f t="shared" ref="AV5:AV73" si="8">COUNTIF(D5:AI5,"*b*")</f>
        <v>0</v>
      </c>
      <c r="AW5" s="57">
        <f t="shared" ref="AW5:AW73" si="9">COUNTIF(D5:AI5,"*l*")</f>
        <v>0</v>
      </c>
      <c r="AX5" s="57">
        <f t="shared" ref="AX5:AX73" si="10">COUNTIF(D5:AI5,"*o*")</f>
        <v>0</v>
      </c>
      <c r="AY5" s="61">
        <f t="shared" ref="AY5:AY73" si="11">SUM(AT5:AX5)</f>
        <v>0</v>
      </c>
    </row>
    <row r="6" spans="1:51" x14ac:dyDescent="0.25">
      <c r="A6" s="20" t="str">
        <f>Üldinfo!A5</f>
        <v>1b</v>
      </c>
      <c r="B6" s="20" t="str">
        <f>Üldinfo!B5</f>
        <v>Alaealine</v>
      </c>
      <c r="C6" s="20" t="str">
        <f>Üldinfo!C5</f>
        <v>Alaealine</v>
      </c>
      <c r="D6" s="30"/>
      <c r="L6" s="30"/>
      <c r="T6" s="30"/>
      <c r="AB6" s="30"/>
      <c r="AI6" s="29"/>
      <c r="AK6" s="28">
        <f>COUNTA(D6:AI6)</f>
        <v>0</v>
      </c>
      <c r="AL6" s="20">
        <f>Üldinfo!AM5</f>
        <v>0</v>
      </c>
      <c r="AM6" s="58" t="e">
        <f>AK6/AL6</f>
        <v>#DIV/0!</v>
      </c>
      <c r="AO6" s="59">
        <f>LEN(D6&amp;E6&amp;F6&amp;G6&amp;H6&amp;I6&amp;J6&amp;K6&amp;L6&amp;M6&amp;N6&amp;O6&amp;P6&amp;Q6&amp;R6&amp;S6&amp;T6&amp;U6&amp;V6&amp;W6&amp;X6&amp;Y6&amp;Z6&amp;AA6&amp;AB6&amp;AC6&amp;AD6&amp;AE6&amp;AF6&amp;AG6&amp;AH6&amp;AI6)-LEN(SUBSTITUTE(D6&amp;E6&amp;F6&amp;G6&amp;H6&amp;I6&amp;J6&amp;K6&amp;L6&amp;M6&amp;N6&amp;O6&amp;P6&amp;Q6&amp;R6&amp;S6&amp;T6&amp;U6&amp;V6&amp;W6&amp;X6&amp;Y6&amp;Z6&amp;AA6&amp;AB6&amp;AC6&amp;AD6&amp;AE6&amp;AF6&amp;AG6&amp;AH6&amp;AI6,"1",""))</f>
        <v>0</v>
      </c>
      <c r="AP6" s="59">
        <f>LEN(D6&amp;E6&amp;F6&amp;G6&amp;H6&amp;I6&amp;J6&amp;K6&amp;L6&amp;M6&amp;N6&amp;O6&amp;P6&amp;Q6&amp;R6&amp;S6&amp;T6&amp;U6&amp;V6&amp;W6&amp;X6&amp;Y6&amp;Z6&amp;AA6&amp;AB6&amp;AC6&amp;AD6&amp;AE6&amp;AF6&amp;AG6&amp;AH6&amp;AI6)-LEN(SUBSTITUTE(D6&amp;E6&amp;F6&amp;G6&amp;H6&amp;I6&amp;J6&amp;K6&amp;L6&amp;M6&amp;N6&amp;O6&amp;P6&amp;Q6&amp;R6&amp;S6&amp;T6&amp;U6&amp;V6&amp;W6&amp;X6&amp;Y6&amp;Z6&amp;AA6&amp;AB6&amp;AC6&amp;AD6&amp;AE6&amp;AF6&amp;AG6&amp;AH6&amp;AI6,"2",""))</f>
        <v>0</v>
      </c>
      <c r="AQ6" s="59">
        <f>LEN(D6&amp;E6&amp;F6&amp;G6&amp;H6&amp;I6&amp;J6&amp;K6&amp;L6&amp;M6&amp;N6&amp;O6&amp;P6&amp;Q6&amp;R6&amp;S6&amp;T6&amp;U6&amp;V6&amp;W6&amp;X6&amp;Y6&amp;Z6&amp;AA6&amp;AB6&amp;AC6&amp;AD6&amp;AE6&amp;AF6&amp;AG6&amp;AH6&amp;AI6)-LEN(SUBSTITUTE(D6&amp;E6&amp;F6&amp;G6&amp;H6&amp;I6&amp;J6&amp;K6&amp;L6&amp;M6&amp;N6&amp;O6&amp;P6&amp;Q6&amp;R6&amp;S6&amp;T6&amp;U6&amp;V6&amp;W6&amp;X6&amp;Y6&amp;Z6&amp;AA6&amp;AB6&amp;AC6&amp;AD6&amp;AE6&amp;AF6&amp;AG6&amp;AH6&amp;AI6,"3",""))</f>
        <v>0</v>
      </c>
      <c r="AR6" s="60">
        <f>SUM(AO6:AQ6)</f>
        <v>0</v>
      </c>
      <c r="AS6" s="20"/>
      <c r="AT6" s="57">
        <f>COUNTIF(D6:AI6,"*m*")</f>
        <v>0</v>
      </c>
      <c r="AU6" s="57">
        <f>COUNTIF(D6:AI6,"*d*")</f>
        <v>0</v>
      </c>
      <c r="AV6" s="57">
        <f>COUNTIF(D6:AI6,"*b*")</f>
        <v>0</v>
      </c>
      <c r="AW6" s="57">
        <f>COUNTIF(D6:AI6,"*l*")</f>
        <v>0</v>
      </c>
      <c r="AX6" s="57">
        <f>COUNTIF(D6:AI6,"*o*")</f>
        <v>0</v>
      </c>
      <c r="AY6" s="61">
        <f>SUM(AT6:AX6)</f>
        <v>0</v>
      </c>
    </row>
    <row r="7" spans="1:51" x14ac:dyDescent="0.25">
      <c r="A7" s="20">
        <f>Üldinfo!A6</f>
        <v>2</v>
      </c>
      <c r="B7" s="20" t="str">
        <f>Üldinfo!B6</f>
        <v>Naine</v>
      </c>
      <c r="C7" s="20" t="str">
        <f>Üldinfo!C6</f>
        <v>Täiskasvanu</v>
      </c>
      <c r="D7" s="30"/>
      <c r="L7" s="30"/>
      <c r="T7" s="30"/>
      <c r="AB7" s="30"/>
      <c r="AI7" s="29"/>
      <c r="AK7" s="28">
        <f t="shared" si="0"/>
        <v>0</v>
      </c>
      <c r="AL7" s="20">
        <f>Üldinfo!AM6</f>
        <v>0</v>
      </c>
      <c r="AM7" s="58" t="e">
        <f t="shared" si="1"/>
        <v>#DIV/0!</v>
      </c>
      <c r="AO7" s="59">
        <f t="shared" si="2"/>
        <v>0</v>
      </c>
      <c r="AP7" s="59">
        <f t="shared" si="3"/>
        <v>0</v>
      </c>
      <c r="AQ7" s="59">
        <f t="shared" si="4"/>
        <v>0</v>
      </c>
      <c r="AR7" s="60">
        <f t="shared" si="5"/>
        <v>0</v>
      </c>
      <c r="AS7" s="20"/>
      <c r="AT7" s="57">
        <f t="shared" si="6"/>
        <v>0</v>
      </c>
      <c r="AU7" s="57">
        <f t="shared" si="7"/>
        <v>0</v>
      </c>
      <c r="AV7" s="57">
        <f t="shared" si="8"/>
        <v>0</v>
      </c>
      <c r="AW7" s="57">
        <f t="shared" si="9"/>
        <v>0</v>
      </c>
      <c r="AX7" s="57">
        <f t="shared" si="10"/>
        <v>0</v>
      </c>
      <c r="AY7" s="61">
        <f t="shared" si="11"/>
        <v>0</v>
      </c>
    </row>
    <row r="8" spans="1:51" x14ac:dyDescent="0.25">
      <c r="A8" s="20">
        <f>Üldinfo!A7</f>
        <v>3</v>
      </c>
      <c r="B8" s="20" t="str">
        <f>Üldinfo!B7</f>
        <v>Alaealine</v>
      </c>
      <c r="C8" s="20" t="str">
        <f>Üldinfo!C7</f>
        <v>12-18 a</v>
      </c>
      <c r="D8" s="30"/>
      <c r="L8" s="30"/>
      <c r="T8" s="30"/>
      <c r="AB8" s="30"/>
      <c r="AI8" s="29"/>
      <c r="AK8" s="28">
        <f t="shared" si="0"/>
        <v>0</v>
      </c>
      <c r="AL8" s="20">
        <f>Üldinfo!AM7</f>
        <v>26</v>
      </c>
      <c r="AM8" s="58">
        <f t="shared" si="1"/>
        <v>0</v>
      </c>
      <c r="AO8" s="59">
        <f t="shared" si="2"/>
        <v>0</v>
      </c>
      <c r="AP8" s="59">
        <f t="shared" si="3"/>
        <v>0</v>
      </c>
      <c r="AQ8" s="59">
        <f t="shared" si="4"/>
        <v>0</v>
      </c>
      <c r="AR8" s="60">
        <f t="shared" si="5"/>
        <v>0</v>
      </c>
      <c r="AS8" s="20"/>
      <c r="AT8" s="57">
        <f t="shared" si="6"/>
        <v>0</v>
      </c>
      <c r="AU8" s="57">
        <f t="shared" si="7"/>
        <v>0</v>
      </c>
      <c r="AV8" s="57">
        <f t="shared" si="8"/>
        <v>0</v>
      </c>
      <c r="AW8" s="57">
        <f t="shared" si="9"/>
        <v>0</v>
      </c>
      <c r="AX8" s="57">
        <f t="shared" si="10"/>
        <v>0</v>
      </c>
      <c r="AY8" s="61">
        <f t="shared" si="11"/>
        <v>0</v>
      </c>
    </row>
    <row r="9" spans="1:51" x14ac:dyDescent="0.25">
      <c r="A9" s="20">
        <f>Üldinfo!A8</f>
        <v>4</v>
      </c>
      <c r="B9" s="20" t="str">
        <f>Üldinfo!B8</f>
        <v>Täiskasvanu</v>
      </c>
      <c r="C9" s="20" t="str">
        <f>Üldinfo!C8</f>
        <v>Täiskasvanu</v>
      </c>
      <c r="D9" s="30"/>
      <c r="L9" s="30"/>
      <c r="T9" s="30"/>
      <c r="AB9" s="30"/>
      <c r="AI9" s="29"/>
      <c r="AK9" s="28">
        <f t="shared" si="0"/>
        <v>0</v>
      </c>
      <c r="AL9" s="20">
        <f>Üldinfo!AM8</f>
        <v>0</v>
      </c>
      <c r="AM9" s="58" t="e">
        <f t="shared" si="1"/>
        <v>#DIV/0!</v>
      </c>
      <c r="AO9" s="59">
        <f t="shared" si="2"/>
        <v>0</v>
      </c>
      <c r="AP9" s="59">
        <f t="shared" si="3"/>
        <v>0</v>
      </c>
      <c r="AQ9" s="59">
        <f t="shared" si="4"/>
        <v>0</v>
      </c>
      <c r="AR9" s="60">
        <f t="shared" si="5"/>
        <v>0</v>
      </c>
      <c r="AS9" s="20"/>
      <c r="AT9" s="57">
        <f t="shared" si="6"/>
        <v>0</v>
      </c>
      <c r="AU9" s="57">
        <f t="shared" si="7"/>
        <v>0</v>
      </c>
      <c r="AV9" s="57">
        <f t="shared" si="8"/>
        <v>0</v>
      </c>
      <c r="AW9" s="57">
        <f t="shared" si="9"/>
        <v>0</v>
      </c>
      <c r="AX9" s="57">
        <f t="shared" si="10"/>
        <v>0</v>
      </c>
      <c r="AY9" s="61">
        <f t="shared" si="11"/>
        <v>0</v>
      </c>
    </row>
    <row r="10" spans="1:51" x14ac:dyDescent="0.25">
      <c r="A10" s="20">
        <f>Üldinfo!A9</f>
        <v>5</v>
      </c>
      <c r="B10" s="20" t="str">
        <f>Üldinfo!B9</f>
        <v>Täiskasvanu</v>
      </c>
      <c r="C10" s="20" t="str">
        <f>Üldinfo!C9</f>
        <v>Täiskasvanu</v>
      </c>
      <c r="D10" s="30"/>
      <c r="L10" s="30"/>
      <c r="T10" s="30"/>
      <c r="AB10" s="30"/>
      <c r="AI10" s="29"/>
      <c r="AK10" s="28">
        <f t="shared" si="0"/>
        <v>0</v>
      </c>
      <c r="AL10" s="20">
        <f>Üldinfo!AM9</f>
        <v>0</v>
      </c>
      <c r="AM10" s="58" t="e">
        <f t="shared" si="1"/>
        <v>#DIV/0!</v>
      </c>
      <c r="AO10" s="59">
        <f t="shared" si="2"/>
        <v>0</v>
      </c>
      <c r="AP10" s="59">
        <f t="shared" si="3"/>
        <v>0</v>
      </c>
      <c r="AQ10" s="59">
        <f t="shared" si="4"/>
        <v>0</v>
      </c>
      <c r="AR10" s="60">
        <f t="shared" si="5"/>
        <v>0</v>
      </c>
      <c r="AS10" s="20"/>
      <c r="AT10" s="57">
        <f t="shared" si="6"/>
        <v>0</v>
      </c>
      <c r="AU10" s="57">
        <f t="shared" si="7"/>
        <v>0</v>
      </c>
      <c r="AV10" s="57">
        <f t="shared" si="8"/>
        <v>0</v>
      </c>
      <c r="AW10" s="57">
        <f t="shared" si="9"/>
        <v>0</v>
      </c>
      <c r="AX10" s="57">
        <f t="shared" si="10"/>
        <v>0</v>
      </c>
      <c r="AY10" s="61">
        <f t="shared" si="11"/>
        <v>0</v>
      </c>
    </row>
    <row r="11" spans="1:51" x14ac:dyDescent="0.25">
      <c r="A11" s="20">
        <f>Üldinfo!A10</f>
        <v>6</v>
      </c>
      <c r="B11" s="20" t="str">
        <f>Üldinfo!B10</f>
        <v>Täiskasvanu</v>
      </c>
      <c r="C11" s="20" t="str">
        <f>Üldinfo!C10</f>
        <v>Täiskasvanu</v>
      </c>
      <c r="D11" s="30"/>
      <c r="L11" s="30"/>
      <c r="T11" s="30"/>
      <c r="AB11" s="30"/>
      <c r="AI11" s="29"/>
      <c r="AK11" s="28">
        <f t="shared" si="0"/>
        <v>0</v>
      </c>
      <c r="AL11" s="20">
        <f>Üldinfo!AM10</f>
        <v>0</v>
      </c>
      <c r="AM11" s="58" t="e">
        <f t="shared" si="1"/>
        <v>#DIV/0!</v>
      </c>
      <c r="AO11" s="59">
        <f t="shared" si="2"/>
        <v>0</v>
      </c>
      <c r="AP11" s="59">
        <f t="shared" si="3"/>
        <v>0</v>
      </c>
      <c r="AQ11" s="59">
        <f t="shared" si="4"/>
        <v>0</v>
      </c>
      <c r="AR11" s="60">
        <f t="shared" si="5"/>
        <v>0</v>
      </c>
      <c r="AS11" s="20"/>
      <c r="AT11" s="57">
        <f t="shared" si="6"/>
        <v>0</v>
      </c>
      <c r="AU11" s="57">
        <f t="shared" si="7"/>
        <v>0</v>
      </c>
      <c r="AV11" s="57">
        <f t="shared" si="8"/>
        <v>0</v>
      </c>
      <c r="AW11" s="57">
        <f t="shared" si="9"/>
        <v>0</v>
      </c>
      <c r="AX11" s="57">
        <f t="shared" si="10"/>
        <v>0</v>
      </c>
      <c r="AY11" s="61">
        <f t="shared" si="11"/>
        <v>0</v>
      </c>
    </row>
    <row r="12" spans="1:51" x14ac:dyDescent="0.25">
      <c r="A12" s="20">
        <f>Üldinfo!A11</f>
        <v>7</v>
      </c>
      <c r="B12" s="20" t="str">
        <f>Üldinfo!B11</f>
        <v>Mees</v>
      </c>
      <c r="C12" s="20" t="str">
        <f>Üldinfo!C11</f>
        <v>25-35 a</v>
      </c>
      <c r="D12" s="30"/>
      <c r="E12" s="28" t="s">
        <v>101</v>
      </c>
      <c r="F12" s="28" t="s">
        <v>91</v>
      </c>
      <c r="H12" s="28" t="s">
        <v>91</v>
      </c>
      <c r="I12" s="28" t="s">
        <v>102</v>
      </c>
      <c r="J12" s="28" t="s">
        <v>91</v>
      </c>
      <c r="K12" s="28" t="s">
        <v>91</v>
      </c>
      <c r="L12" s="30" t="s">
        <v>91</v>
      </c>
      <c r="M12" s="28" t="s">
        <v>91</v>
      </c>
      <c r="O12" s="28" t="s">
        <v>91</v>
      </c>
      <c r="P12" s="28" t="s">
        <v>103</v>
      </c>
      <c r="R12" s="28" t="s">
        <v>91</v>
      </c>
      <c r="T12" s="30"/>
      <c r="W12" s="28" t="s">
        <v>104</v>
      </c>
      <c r="X12" s="28" t="s">
        <v>104</v>
      </c>
      <c r="Y12" s="28" t="s">
        <v>105</v>
      </c>
      <c r="Z12" s="28" t="s">
        <v>105</v>
      </c>
      <c r="AA12" s="28" t="s">
        <v>105</v>
      </c>
      <c r="AB12" s="28" t="s">
        <v>105</v>
      </c>
      <c r="AC12" s="28" t="s">
        <v>106</v>
      </c>
      <c r="AD12" s="28" t="s">
        <v>104</v>
      </c>
      <c r="AE12" s="28" t="s">
        <v>104</v>
      </c>
      <c r="AF12" s="28" t="s">
        <v>91</v>
      </c>
      <c r="AI12" s="29"/>
      <c r="AK12" s="28">
        <f t="shared" si="0"/>
        <v>21</v>
      </c>
      <c r="AL12" s="20">
        <f>Üldinfo!AM11</f>
        <v>32</v>
      </c>
      <c r="AM12" s="58">
        <f t="shared" si="1"/>
        <v>0.65625</v>
      </c>
      <c r="AO12" s="59">
        <f t="shared" si="2"/>
        <v>44</v>
      </c>
      <c r="AP12" s="59">
        <f t="shared" si="3"/>
        <v>4</v>
      </c>
      <c r="AQ12" s="59">
        <f t="shared" si="4"/>
        <v>1</v>
      </c>
      <c r="AR12" s="60">
        <f t="shared" si="5"/>
        <v>49</v>
      </c>
      <c r="AS12" s="20"/>
      <c r="AT12" s="57">
        <f t="shared" si="6"/>
        <v>11</v>
      </c>
      <c r="AU12" s="57">
        <f t="shared" si="7"/>
        <v>10</v>
      </c>
      <c r="AV12" s="57">
        <f t="shared" si="8"/>
        <v>19</v>
      </c>
      <c r="AW12" s="57">
        <f t="shared" si="9"/>
        <v>9</v>
      </c>
      <c r="AX12" s="57">
        <f t="shared" si="10"/>
        <v>0</v>
      </c>
      <c r="AY12" s="61">
        <f t="shared" si="11"/>
        <v>49</v>
      </c>
    </row>
    <row r="13" spans="1:51" x14ac:dyDescent="0.25">
      <c r="A13" s="20">
        <f>Üldinfo!A12</f>
        <v>8</v>
      </c>
      <c r="B13" s="20" t="str">
        <f>Üldinfo!B12</f>
        <v>Täiskasvanu</v>
      </c>
      <c r="C13" s="20" t="str">
        <f>Üldinfo!C12</f>
        <v>Täiskasvanu</v>
      </c>
      <c r="D13" s="30"/>
      <c r="L13" s="30"/>
      <c r="T13" s="30"/>
      <c r="AB13" s="30"/>
      <c r="AI13" s="29"/>
      <c r="AK13" s="28">
        <f t="shared" si="0"/>
        <v>0</v>
      </c>
      <c r="AL13" s="20">
        <f>Üldinfo!AM12</f>
        <v>0</v>
      </c>
      <c r="AM13" s="58" t="e">
        <f t="shared" si="1"/>
        <v>#DIV/0!</v>
      </c>
      <c r="AO13" s="59">
        <f t="shared" si="2"/>
        <v>0</v>
      </c>
      <c r="AP13" s="59">
        <f t="shared" si="3"/>
        <v>0</v>
      </c>
      <c r="AQ13" s="59">
        <f t="shared" si="4"/>
        <v>0</v>
      </c>
      <c r="AR13" s="60">
        <f t="shared" si="5"/>
        <v>0</v>
      </c>
      <c r="AS13" s="20"/>
      <c r="AT13" s="57">
        <f t="shared" si="6"/>
        <v>0</v>
      </c>
      <c r="AU13" s="57">
        <f t="shared" si="7"/>
        <v>0</v>
      </c>
      <c r="AV13" s="57">
        <f t="shared" si="8"/>
        <v>0</v>
      </c>
      <c r="AW13" s="57">
        <f t="shared" si="9"/>
        <v>0</v>
      </c>
      <c r="AX13" s="57">
        <f t="shared" si="10"/>
        <v>0</v>
      </c>
      <c r="AY13" s="61">
        <f t="shared" si="11"/>
        <v>0</v>
      </c>
    </row>
    <row r="14" spans="1:51" x14ac:dyDescent="0.25">
      <c r="A14" s="20">
        <f>Üldinfo!A13</f>
        <v>9</v>
      </c>
      <c r="B14" s="20" t="str">
        <f>Üldinfo!B13</f>
        <v>Naine</v>
      </c>
      <c r="C14" s="20" t="str">
        <f>Üldinfo!C13</f>
        <v>25-35 a</v>
      </c>
      <c r="D14" s="30" t="s">
        <v>101</v>
      </c>
      <c r="E14" s="28" t="s">
        <v>103</v>
      </c>
      <c r="K14" s="28" t="s">
        <v>107</v>
      </c>
      <c r="L14" s="30"/>
      <c r="R14" s="28" t="s">
        <v>103</v>
      </c>
      <c r="T14" s="30"/>
      <c r="Y14" s="28" t="s">
        <v>104</v>
      </c>
      <c r="Z14" s="28" t="s">
        <v>104</v>
      </c>
      <c r="AA14" s="28" t="s">
        <v>91</v>
      </c>
      <c r="AB14" s="30"/>
      <c r="AD14" s="28" t="s">
        <v>91</v>
      </c>
      <c r="AG14" s="28" t="s">
        <v>91</v>
      </c>
      <c r="AI14" s="29"/>
      <c r="AK14" s="28">
        <f t="shared" si="0"/>
        <v>9</v>
      </c>
      <c r="AL14" s="20">
        <f>Üldinfo!AM13</f>
        <v>31</v>
      </c>
      <c r="AM14" s="58">
        <f t="shared" si="1"/>
        <v>0.29032258064516131</v>
      </c>
      <c r="AO14" s="59">
        <f t="shared" si="2"/>
        <v>16</v>
      </c>
      <c r="AP14" s="59">
        <f t="shared" si="3"/>
        <v>0</v>
      </c>
      <c r="AQ14" s="59">
        <f t="shared" si="4"/>
        <v>0</v>
      </c>
      <c r="AR14" s="60">
        <f t="shared" si="5"/>
        <v>16</v>
      </c>
      <c r="AS14" s="20"/>
      <c r="AT14" s="57">
        <f t="shared" si="6"/>
        <v>3</v>
      </c>
      <c r="AU14" s="57">
        <f t="shared" si="7"/>
        <v>5</v>
      </c>
      <c r="AV14" s="57">
        <f t="shared" si="8"/>
        <v>6</v>
      </c>
      <c r="AW14" s="57">
        <f t="shared" si="9"/>
        <v>2</v>
      </c>
      <c r="AX14" s="57">
        <f t="shared" si="10"/>
        <v>0</v>
      </c>
      <c r="AY14" s="61">
        <f t="shared" si="11"/>
        <v>16</v>
      </c>
    </row>
    <row r="15" spans="1:51" x14ac:dyDescent="0.25">
      <c r="A15" s="20">
        <f>Üldinfo!A14</f>
        <v>10</v>
      </c>
      <c r="B15" s="20" t="str">
        <f>Üldinfo!B14</f>
        <v>Täiskasvanu</v>
      </c>
      <c r="C15" s="20" t="str">
        <f>Üldinfo!C14</f>
        <v>Täiskasvanu</v>
      </c>
      <c r="D15" s="30"/>
      <c r="L15" s="30"/>
      <c r="T15" s="30"/>
      <c r="AB15" s="30"/>
      <c r="AI15" s="29"/>
      <c r="AK15" s="28">
        <f t="shared" si="0"/>
        <v>0</v>
      </c>
      <c r="AL15" s="20">
        <f>Üldinfo!AM14</f>
        <v>0</v>
      </c>
      <c r="AM15" s="58" t="e">
        <f t="shared" si="1"/>
        <v>#DIV/0!</v>
      </c>
      <c r="AO15" s="59">
        <f t="shared" si="2"/>
        <v>0</v>
      </c>
      <c r="AP15" s="59">
        <f t="shared" si="3"/>
        <v>0</v>
      </c>
      <c r="AQ15" s="59">
        <f t="shared" si="4"/>
        <v>0</v>
      </c>
      <c r="AR15" s="60">
        <f t="shared" si="5"/>
        <v>0</v>
      </c>
      <c r="AS15" s="20"/>
      <c r="AT15" s="57">
        <f t="shared" si="6"/>
        <v>0</v>
      </c>
      <c r="AU15" s="57">
        <f t="shared" si="7"/>
        <v>0</v>
      </c>
      <c r="AV15" s="57">
        <f t="shared" si="8"/>
        <v>0</v>
      </c>
      <c r="AW15" s="57">
        <f t="shared" si="9"/>
        <v>0</v>
      </c>
      <c r="AX15" s="57">
        <f t="shared" si="10"/>
        <v>0</v>
      </c>
      <c r="AY15" s="61">
        <f t="shared" si="11"/>
        <v>0</v>
      </c>
    </row>
    <row r="16" spans="1:51" x14ac:dyDescent="0.25">
      <c r="A16" s="20">
        <f>Üldinfo!A15</f>
        <v>11</v>
      </c>
      <c r="B16" s="20" t="str">
        <f>Üldinfo!B15</f>
        <v>Täiskasvanu</v>
      </c>
      <c r="C16" s="20" t="str">
        <f>Üldinfo!C15</f>
        <v>Täiskasvanu</v>
      </c>
      <c r="D16" s="30"/>
      <c r="L16" s="30"/>
      <c r="T16" s="30"/>
      <c r="AB16" s="30"/>
      <c r="AI16" s="29"/>
      <c r="AK16" s="28">
        <f t="shared" si="0"/>
        <v>0</v>
      </c>
      <c r="AL16" s="20">
        <f>Üldinfo!AM15</f>
        <v>0</v>
      </c>
      <c r="AM16" s="58" t="e">
        <f t="shared" si="1"/>
        <v>#DIV/0!</v>
      </c>
      <c r="AO16" s="59">
        <f t="shared" si="2"/>
        <v>0</v>
      </c>
      <c r="AP16" s="59">
        <f t="shared" si="3"/>
        <v>0</v>
      </c>
      <c r="AQ16" s="59">
        <f t="shared" si="4"/>
        <v>0</v>
      </c>
      <c r="AR16" s="60">
        <f t="shared" si="5"/>
        <v>0</v>
      </c>
      <c r="AS16" s="20"/>
      <c r="AT16" s="57">
        <f t="shared" si="6"/>
        <v>0</v>
      </c>
      <c r="AU16" s="57">
        <f t="shared" si="7"/>
        <v>0</v>
      </c>
      <c r="AV16" s="57">
        <f t="shared" si="8"/>
        <v>0</v>
      </c>
      <c r="AW16" s="57">
        <f t="shared" si="9"/>
        <v>0</v>
      </c>
      <c r="AX16" s="57">
        <f t="shared" si="10"/>
        <v>0</v>
      </c>
      <c r="AY16" s="61">
        <f t="shared" si="11"/>
        <v>0</v>
      </c>
    </row>
    <row r="17" spans="1:51" x14ac:dyDescent="0.25">
      <c r="A17" s="20">
        <f>Üldinfo!A16</f>
        <v>12</v>
      </c>
      <c r="B17" s="20" t="str">
        <f>Üldinfo!B16</f>
        <v>Naine</v>
      </c>
      <c r="C17" s="20" t="str">
        <f>Üldinfo!C16</f>
        <v>25-30 a</v>
      </c>
      <c r="D17" s="30"/>
      <c r="I17" s="28" t="s">
        <v>91</v>
      </c>
      <c r="L17" s="30"/>
      <c r="T17" s="30"/>
      <c r="Z17" s="28" t="s">
        <v>91</v>
      </c>
      <c r="AA17" s="28" t="s">
        <v>91</v>
      </c>
      <c r="AB17" s="30" t="s">
        <v>91</v>
      </c>
      <c r="AC17" s="28" t="s">
        <v>91</v>
      </c>
      <c r="AI17" s="29"/>
      <c r="AK17" s="28">
        <f t="shared" si="0"/>
        <v>5</v>
      </c>
      <c r="AL17" s="20">
        <f>Üldinfo!AM16</f>
        <v>19</v>
      </c>
      <c r="AM17" s="58">
        <f t="shared" si="1"/>
        <v>0.26315789473684209</v>
      </c>
      <c r="AO17" s="59">
        <f t="shared" si="2"/>
        <v>5</v>
      </c>
      <c r="AP17" s="59">
        <f t="shared" si="3"/>
        <v>0</v>
      </c>
      <c r="AQ17" s="59">
        <f t="shared" si="4"/>
        <v>0</v>
      </c>
      <c r="AR17" s="60">
        <f t="shared" si="5"/>
        <v>5</v>
      </c>
      <c r="AS17" s="20"/>
      <c r="AT17" s="57">
        <f t="shared" si="6"/>
        <v>0</v>
      </c>
      <c r="AU17" s="57">
        <f t="shared" si="7"/>
        <v>0</v>
      </c>
      <c r="AV17" s="57">
        <f t="shared" si="8"/>
        <v>5</v>
      </c>
      <c r="AW17" s="57">
        <f t="shared" si="9"/>
        <v>0</v>
      </c>
      <c r="AX17" s="57">
        <f t="shared" si="10"/>
        <v>0</v>
      </c>
      <c r="AY17" s="61">
        <f t="shared" si="11"/>
        <v>5</v>
      </c>
    </row>
    <row r="18" spans="1:51" x14ac:dyDescent="0.25">
      <c r="A18" s="20">
        <f>Üldinfo!A17</f>
        <v>14</v>
      </c>
      <c r="B18" s="20" t="str">
        <f>Üldinfo!B17</f>
        <v>Alaealine</v>
      </c>
      <c r="C18" s="20" t="str">
        <f>Üldinfo!C17</f>
        <v>Alaealine</v>
      </c>
      <c r="D18" s="30"/>
      <c r="L18" s="30"/>
      <c r="T18" s="30"/>
      <c r="AB18" s="30"/>
      <c r="AI18" s="29"/>
      <c r="AK18" s="28">
        <f t="shared" si="0"/>
        <v>0</v>
      </c>
      <c r="AL18" s="20">
        <f>Üldinfo!AM17</f>
        <v>0</v>
      </c>
      <c r="AM18" s="58" t="e">
        <f t="shared" si="1"/>
        <v>#DIV/0!</v>
      </c>
      <c r="AO18" s="59">
        <f t="shared" si="2"/>
        <v>0</v>
      </c>
      <c r="AP18" s="59">
        <f t="shared" si="3"/>
        <v>0</v>
      </c>
      <c r="AQ18" s="59">
        <f t="shared" si="4"/>
        <v>0</v>
      </c>
      <c r="AR18" s="60">
        <f t="shared" si="5"/>
        <v>0</v>
      </c>
      <c r="AS18" s="20"/>
      <c r="AT18" s="57">
        <f t="shared" si="6"/>
        <v>0</v>
      </c>
      <c r="AU18" s="57">
        <f t="shared" si="7"/>
        <v>0</v>
      </c>
      <c r="AV18" s="57">
        <f t="shared" si="8"/>
        <v>0</v>
      </c>
      <c r="AW18" s="57">
        <f t="shared" si="9"/>
        <v>0</v>
      </c>
      <c r="AX18" s="57">
        <f t="shared" si="10"/>
        <v>0</v>
      </c>
      <c r="AY18" s="61">
        <f t="shared" si="11"/>
        <v>0</v>
      </c>
    </row>
    <row r="19" spans="1:51" x14ac:dyDescent="0.25">
      <c r="A19" s="20">
        <f>Üldinfo!A18</f>
        <v>15</v>
      </c>
      <c r="B19" s="20" t="str">
        <f>Üldinfo!B18</f>
        <v>Täiskasvanu</v>
      </c>
      <c r="C19" s="20" t="str">
        <f>Üldinfo!C18</f>
        <v>Täiskasvanu</v>
      </c>
      <c r="D19" s="30"/>
      <c r="L19" s="30"/>
      <c r="T19" s="30"/>
      <c r="AB19" s="30"/>
      <c r="AI19" s="29"/>
      <c r="AK19" s="28">
        <f t="shared" si="0"/>
        <v>0</v>
      </c>
      <c r="AL19" s="20">
        <f>Üldinfo!AM18</f>
        <v>0</v>
      </c>
      <c r="AM19" s="58" t="e">
        <f t="shared" si="1"/>
        <v>#DIV/0!</v>
      </c>
      <c r="AO19" s="59">
        <f t="shared" si="2"/>
        <v>0</v>
      </c>
      <c r="AP19" s="59">
        <f t="shared" si="3"/>
        <v>0</v>
      </c>
      <c r="AQ19" s="59">
        <f t="shared" si="4"/>
        <v>0</v>
      </c>
      <c r="AR19" s="60">
        <f t="shared" si="5"/>
        <v>0</v>
      </c>
      <c r="AS19" s="20"/>
      <c r="AT19" s="57">
        <f t="shared" si="6"/>
        <v>0</v>
      </c>
      <c r="AU19" s="57">
        <f t="shared" si="7"/>
        <v>0</v>
      </c>
      <c r="AV19" s="57">
        <f t="shared" si="8"/>
        <v>0</v>
      </c>
      <c r="AW19" s="57">
        <f t="shared" si="9"/>
        <v>0</v>
      </c>
      <c r="AX19" s="57">
        <f t="shared" si="10"/>
        <v>0</v>
      </c>
      <c r="AY19" s="61">
        <f t="shared" si="11"/>
        <v>0</v>
      </c>
    </row>
    <row r="20" spans="1:51" x14ac:dyDescent="0.25">
      <c r="A20" s="20">
        <f>Üldinfo!A19</f>
        <v>16</v>
      </c>
      <c r="B20" s="20" t="str">
        <f>Üldinfo!B19</f>
        <v>Täiskasvanu</v>
      </c>
      <c r="C20" s="20" t="str">
        <f>Üldinfo!C19</f>
        <v>Täiskasvanu</v>
      </c>
      <c r="D20" s="30"/>
      <c r="L20" s="30"/>
      <c r="T20" s="30"/>
      <c r="AB20" s="30"/>
      <c r="AI20" s="29"/>
      <c r="AK20" s="28">
        <f t="shared" si="0"/>
        <v>0</v>
      </c>
      <c r="AL20" s="20">
        <f>Üldinfo!AM19</f>
        <v>0</v>
      </c>
      <c r="AM20" s="58" t="e">
        <f t="shared" si="1"/>
        <v>#DIV/0!</v>
      </c>
      <c r="AO20" s="59">
        <f t="shared" si="2"/>
        <v>0</v>
      </c>
      <c r="AP20" s="59">
        <f t="shared" si="3"/>
        <v>0</v>
      </c>
      <c r="AQ20" s="59">
        <f t="shared" si="4"/>
        <v>0</v>
      </c>
      <c r="AR20" s="60">
        <f t="shared" si="5"/>
        <v>0</v>
      </c>
      <c r="AS20" s="20"/>
      <c r="AT20" s="57">
        <f t="shared" si="6"/>
        <v>0</v>
      </c>
      <c r="AU20" s="57">
        <f t="shared" si="7"/>
        <v>0</v>
      </c>
      <c r="AV20" s="57">
        <f t="shared" si="8"/>
        <v>0</v>
      </c>
      <c r="AW20" s="57">
        <f t="shared" si="9"/>
        <v>0</v>
      </c>
      <c r="AX20" s="57">
        <f t="shared" si="10"/>
        <v>0</v>
      </c>
      <c r="AY20" s="61">
        <f t="shared" si="11"/>
        <v>0</v>
      </c>
    </row>
    <row r="21" spans="1:51" x14ac:dyDescent="0.25">
      <c r="A21" s="20">
        <f>Üldinfo!A20</f>
        <v>17</v>
      </c>
      <c r="B21" s="20" t="str">
        <f>Üldinfo!B20</f>
        <v>Täiskasvanu</v>
      </c>
      <c r="C21" s="20" t="str">
        <f>Üldinfo!C20</f>
        <v>Täiskasvanu</v>
      </c>
      <c r="D21" s="30"/>
      <c r="L21" s="30"/>
      <c r="T21" s="30"/>
      <c r="AB21" s="30"/>
      <c r="AI21" s="29"/>
      <c r="AK21" s="28">
        <f t="shared" si="0"/>
        <v>0</v>
      </c>
      <c r="AL21" s="20">
        <f>Üldinfo!AM20</f>
        <v>0</v>
      </c>
      <c r="AM21" s="58" t="e">
        <f t="shared" si="1"/>
        <v>#DIV/0!</v>
      </c>
      <c r="AO21" s="59">
        <f t="shared" si="2"/>
        <v>0</v>
      </c>
      <c r="AP21" s="59">
        <f t="shared" si="3"/>
        <v>0</v>
      </c>
      <c r="AQ21" s="59">
        <f t="shared" si="4"/>
        <v>0</v>
      </c>
      <c r="AR21" s="60">
        <f t="shared" si="5"/>
        <v>0</v>
      </c>
      <c r="AS21" s="20"/>
      <c r="AT21" s="57">
        <f t="shared" si="6"/>
        <v>0</v>
      </c>
      <c r="AU21" s="57">
        <f t="shared" si="7"/>
        <v>0</v>
      </c>
      <c r="AV21" s="57">
        <f t="shared" si="8"/>
        <v>0</v>
      </c>
      <c r="AW21" s="57">
        <f t="shared" si="9"/>
        <v>0</v>
      </c>
      <c r="AX21" s="57">
        <f t="shared" si="10"/>
        <v>0</v>
      </c>
      <c r="AY21" s="61">
        <f t="shared" si="11"/>
        <v>0</v>
      </c>
    </row>
    <row r="22" spans="1:51" x14ac:dyDescent="0.25">
      <c r="A22" s="20">
        <f>Üldinfo!A21</f>
        <v>19</v>
      </c>
      <c r="B22" s="20" t="str">
        <f>Üldinfo!B21</f>
        <v>Mees</v>
      </c>
      <c r="C22" s="20" t="str">
        <f>Üldinfo!C21</f>
        <v>Täiskasvanu</v>
      </c>
      <c r="D22" s="30"/>
      <c r="L22" s="30"/>
      <c r="T22" s="30"/>
      <c r="AB22" s="30"/>
      <c r="AI22" s="29"/>
      <c r="AK22" s="28">
        <f t="shared" si="0"/>
        <v>0</v>
      </c>
      <c r="AL22" s="20">
        <f>Üldinfo!AM21</f>
        <v>1</v>
      </c>
      <c r="AM22" s="58">
        <f t="shared" si="1"/>
        <v>0</v>
      </c>
      <c r="AO22" s="59">
        <f t="shared" si="2"/>
        <v>0</v>
      </c>
      <c r="AP22" s="59">
        <f t="shared" si="3"/>
        <v>0</v>
      </c>
      <c r="AQ22" s="59">
        <f t="shared" si="4"/>
        <v>0</v>
      </c>
      <c r="AR22" s="60">
        <f t="shared" si="5"/>
        <v>0</v>
      </c>
      <c r="AS22" s="20"/>
      <c r="AT22" s="57">
        <f t="shared" si="6"/>
        <v>0</v>
      </c>
      <c r="AU22" s="57">
        <f t="shared" si="7"/>
        <v>0</v>
      </c>
      <c r="AV22" s="57">
        <f t="shared" si="8"/>
        <v>0</v>
      </c>
      <c r="AW22" s="57">
        <f t="shared" si="9"/>
        <v>0</v>
      </c>
      <c r="AX22" s="57">
        <f t="shared" si="10"/>
        <v>0</v>
      </c>
      <c r="AY22" s="61">
        <f t="shared" si="11"/>
        <v>0</v>
      </c>
    </row>
    <row r="23" spans="1:51" x14ac:dyDescent="0.25">
      <c r="A23" s="20">
        <f>Üldinfo!A22</f>
        <v>20</v>
      </c>
      <c r="B23" s="20" t="str">
        <f>Üldinfo!B22</f>
        <v>Mees</v>
      </c>
      <c r="C23" s="20" t="str">
        <f>Üldinfo!C22</f>
        <v>Täiskasvanu</v>
      </c>
      <c r="D23" s="30"/>
      <c r="L23" s="30"/>
      <c r="T23" s="30"/>
      <c r="AB23" s="30"/>
      <c r="AI23" s="29"/>
      <c r="AK23" s="28">
        <f t="shared" si="0"/>
        <v>0</v>
      </c>
      <c r="AL23" s="20">
        <f>Üldinfo!AM22</f>
        <v>1</v>
      </c>
      <c r="AM23" s="58">
        <f t="shared" si="1"/>
        <v>0</v>
      </c>
      <c r="AO23" s="59">
        <f t="shared" si="2"/>
        <v>0</v>
      </c>
      <c r="AP23" s="59">
        <f t="shared" si="3"/>
        <v>0</v>
      </c>
      <c r="AQ23" s="59">
        <f t="shared" si="4"/>
        <v>0</v>
      </c>
      <c r="AR23" s="60">
        <f t="shared" si="5"/>
        <v>0</v>
      </c>
      <c r="AS23" s="20"/>
      <c r="AT23" s="57">
        <f t="shared" si="6"/>
        <v>0</v>
      </c>
      <c r="AU23" s="57">
        <f t="shared" si="7"/>
        <v>0</v>
      </c>
      <c r="AV23" s="57">
        <f t="shared" si="8"/>
        <v>0</v>
      </c>
      <c r="AW23" s="57">
        <f t="shared" si="9"/>
        <v>0</v>
      </c>
      <c r="AX23" s="57">
        <f t="shared" si="10"/>
        <v>0</v>
      </c>
      <c r="AY23" s="61">
        <f t="shared" si="11"/>
        <v>0</v>
      </c>
    </row>
    <row r="24" spans="1:51" x14ac:dyDescent="0.25">
      <c r="A24" s="20">
        <f>Üldinfo!A23</f>
        <v>21</v>
      </c>
      <c r="B24" s="20" t="str">
        <f>Üldinfo!B23</f>
        <v>Naine</v>
      </c>
      <c r="C24" s="20" t="str">
        <f>Üldinfo!C23</f>
        <v>20-25 a</v>
      </c>
      <c r="D24" s="30"/>
      <c r="I24" s="28" t="s">
        <v>91</v>
      </c>
      <c r="L24" s="30"/>
      <c r="T24" s="30" t="s">
        <v>112</v>
      </c>
      <c r="U24" s="28" t="s">
        <v>112</v>
      </c>
      <c r="Y24" s="28" t="s">
        <v>91</v>
      </c>
      <c r="Z24" s="28" t="s">
        <v>91</v>
      </c>
      <c r="AA24" s="28" t="s">
        <v>91</v>
      </c>
      <c r="AB24" s="30" t="s">
        <v>91</v>
      </c>
      <c r="AC24" s="28" t="s">
        <v>91</v>
      </c>
      <c r="AD24" s="28" t="s">
        <v>91</v>
      </c>
      <c r="AG24" s="28" t="s">
        <v>112</v>
      </c>
      <c r="AI24" s="29"/>
      <c r="AK24" s="28">
        <f t="shared" si="0"/>
        <v>10</v>
      </c>
      <c r="AL24" s="20">
        <f>Üldinfo!AM23</f>
        <v>30</v>
      </c>
      <c r="AM24" s="58">
        <f t="shared" si="1"/>
        <v>0.33333333333333331</v>
      </c>
      <c r="AO24" s="59">
        <f t="shared" si="2"/>
        <v>10</v>
      </c>
      <c r="AP24" s="59">
        <f t="shared" si="3"/>
        <v>0</v>
      </c>
      <c r="AQ24" s="59">
        <f t="shared" si="4"/>
        <v>0</v>
      </c>
      <c r="AR24" s="60">
        <f t="shared" si="5"/>
        <v>10</v>
      </c>
      <c r="AS24" s="20"/>
      <c r="AT24" s="57">
        <f t="shared" si="6"/>
        <v>0</v>
      </c>
      <c r="AU24" s="57">
        <f t="shared" si="7"/>
        <v>0</v>
      </c>
      <c r="AV24" s="57">
        <f t="shared" si="8"/>
        <v>7</v>
      </c>
      <c r="AW24" s="57">
        <f t="shared" si="9"/>
        <v>3</v>
      </c>
      <c r="AX24" s="57">
        <f t="shared" si="10"/>
        <v>0</v>
      </c>
      <c r="AY24" s="61">
        <f t="shared" si="11"/>
        <v>10</v>
      </c>
    </row>
    <row r="25" spans="1:51" x14ac:dyDescent="0.25">
      <c r="A25" s="20">
        <f>Üldinfo!A24</f>
        <v>22</v>
      </c>
      <c r="B25" s="20" t="str">
        <f>Üldinfo!B24</f>
        <v>Naine</v>
      </c>
      <c r="C25" s="20" t="str">
        <f>Üldinfo!C24</f>
        <v>17-20 a</v>
      </c>
      <c r="D25" s="30"/>
      <c r="L25" s="30"/>
      <c r="T25" s="30"/>
      <c r="AB25" s="30"/>
      <c r="AI25" s="29"/>
      <c r="AK25" s="28">
        <f t="shared" si="0"/>
        <v>0</v>
      </c>
      <c r="AL25" s="20">
        <f>Üldinfo!AM24</f>
        <v>29</v>
      </c>
      <c r="AM25" s="58">
        <f t="shared" si="1"/>
        <v>0</v>
      </c>
      <c r="AO25" s="59">
        <f t="shared" si="2"/>
        <v>0</v>
      </c>
      <c r="AP25" s="59">
        <f t="shared" si="3"/>
        <v>0</v>
      </c>
      <c r="AQ25" s="59">
        <f t="shared" si="4"/>
        <v>0</v>
      </c>
      <c r="AR25" s="60">
        <f t="shared" si="5"/>
        <v>0</v>
      </c>
      <c r="AS25" s="20"/>
      <c r="AT25" s="57">
        <f t="shared" si="6"/>
        <v>0</v>
      </c>
      <c r="AU25" s="57">
        <f t="shared" si="7"/>
        <v>0</v>
      </c>
      <c r="AV25" s="57">
        <f t="shared" si="8"/>
        <v>0</v>
      </c>
      <c r="AW25" s="57">
        <f t="shared" si="9"/>
        <v>0</v>
      </c>
      <c r="AX25" s="57">
        <f t="shared" si="10"/>
        <v>0</v>
      </c>
      <c r="AY25" s="61">
        <f t="shared" si="11"/>
        <v>0</v>
      </c>
    </row>
    <row r="26" spans="1:51" x14ac:dyDescent="0.25">
      <c r="A26" s="20">
        <f>Üldinfo!A25</f>
        <v>23</v>
      </c>
      <c r="B26" s="20" t="str">
        <f>Üldinfo!B25</f>
        <v>Alaealine</v>
      </c>
      <c r="C26" s="20" t="str">
        <f>Üldinfo!C25</f>
        <v>10 a ± 30k</v>
      </c>
      <c r="D26" s="30"/>
      <c r="L26" s="30"/>
      <c r="Q26" s="28" t="s">
        <v>112</v>
      </c>
      <c r="T26" s="30"/>
      <c r="AB26" s="30"/>
      <c r="AI26" s="29"/>
      <c r="AK26" s="28">
        <f t="shared" si="0"/>
        <v>1</v>
      </c>
      <c r="AL26" s="20">
        <f>Üldinfo!AM25</f>
        <v>20</v>
      </c>
      <c r="AM26" s="58">
        <f t="shared" si="1"/>
        <v>0.05</v>
      </c>
      <c r="AO26" s="59">
        <f t="shared" si="2"/>
        <v>1</v>
      </c>
      <c r="AP26" s="59">
        <f t="shared" si="3"/>
        <v>0</v>
      </c>
      <c r="AQ26" s="59">
        <f t="shared" si="4"/>
        <v>0</v>
      </c>
      <c r="AR26" s="60">
        <f t="shared" si="5"/>
        <v>1</v>
      </c>
      <c r="AS26" s="20"/>
      <c r="AT26" s="57">
        <f t="shared" si="6"/>
        <v>0</v>
      </c>
      <c r="AU26" s="57">
        <f t="shared" si="7"/>
        <v>0</v>
      </c>
      <c r="AV26" s="57">
        <f t="shared" si="8"/>
        <v>0</v>
      </c>
      <c r="AW26" s="57">
        <f t="shared" si="9"/>
        <v>1</v>
      </c>
      <c r="AX26" s="57">
        <f t="shared" si="10"/>
        <v>0</v>
      </c>
      <c r="AY26" s="61">
        <f t="shared" si="11"/>
        <v>1</v>
      </c>
    </row>
    <row r="27" spans="1:51" x14ac:dyDescent="0.25">
      <c r="A27" s="20">
        <f>Üldinfo!A26</f>
        <v>24</v>
      </c>
      <c r="B27" s="20" t="str">
        <f>Üldinfo!B26</f>
        <v>Mees</v>
      </c>
      <c r="C27" s="20" t="str">
        <f>Üldinfo!C26</f>
        <v>39-44 a</v>
      </c>
      <c r="D27" s="30"/>
      <c r="L27" s="30"/>
      <c r="T27" s="30"/>
      <c r="AB27" s="30"/>
      <c r="AI27" s="29"/>
      <c r="AK27" s="28">
        <f t="shared" si="0"/>
        <v>0</v>
      </c>
      <c r="AL27" s="20">
        <f>Üldinfo!AM26</f>
        <v>0</v>
      </c>
      <c r="AM27" s="58" t="e">
        <f t="shared" si="1"/>
        <v>#DIV/0!</v>
      </c>
      <c r="AO27" s="59">
        <f t="shared" si="2"/>
        <v>0</v>
      </c>
      <c r="AP27" s="59">
        <f t="shared" si="3"/>
        <v>0</v>
      </c>
      <c r="AQ27" s="59">
        <f t="shared" si="4"/>
        <v>0</v>
      </c>
      <c r="AR27" s="60">
        <f t="shared" si="5"/>
        <v>0</v>
      </c>
      <c r="AS27" s="20"/>
      <c r="AT27" s="57">
        <f t="shared" si="6"/>
        <v>0</v>
      </c>
      <c r="AU27" s="57">
        <f t="shared" si="7"/>
        <v>0</v>
      </c>
      <c r="AV27" s="57">
        <f t="shared" si="8"/>
        <v>0</v>
      </c>
      <c r="AW27" s="57">
        <f t="shared" si="9"/>
        <v>0</v>
      </c>
      <c r="AX27" s="57">
        <f t="shared" si="10"/>
        <v>0</v>
      </c>
      <c r="AY27" s="61">
        <f t="shared" si="11"/>
        <v>0</v>
      </c>
    </row>
    <row r="28" spans="1:51" x14ac:dyDescent="0.25">
      <c r="A28" s="20">
        <f>Üldinfo!A27</f>
        <v>25</v>
      </c>
      <c r="B28" s="20" t="str">
        <f>Üldinfo!B27</f>
        <v>Alaealine</v>
      </c>
      <c r="C28" s="20" t="str">
        <f>Üldinfo!C27</f>
        <v>7-11 a</v>
      </c>
      <c r="D28" s="30"/>
      <c r="L28" s="30"/>
      <c r="T28" s="30"/>
      <c r="V28" s="28" t="s">
        <v>113</v>
      </c>
      <c r="AB28" s="30"/>
      <c r="AI28" s="29"/>
      <c r="AK28" s="28">
        <f t="shared" si="0"/>
        <v>1</v>
      </c>
      <c r="AL28" s="20">
        <f>Üldinfo!AM27</f>
        <v>24</v>
      </c>
      <c r="AM28" s="58">
        <f t="shared" si="1"/>
        <v>4.1666666666666664E-2</v>
      </c>
      <c r="AO28" s="59">
        <f t="shared" si="2"/>
        <v>1</v>
      </c>
      <c r="AP28" s="59">
        <f t="shared" si="3"/>
        <v>0</v>
      </c>
      <c r="AQ28" s="59">
        <f t="shared" si="4"/>
        <v>0</v>
      </c>
      <c r="AR28" s="60">
        <f t="shared" si="5"/>
        <v>1</v>
      </c>
      <c r="AS28" s="20"/>
      <c r="AT28" s="57">
        <f t="shared" si="6"/>
        <v>0</v>
      </c>
      <c r="AU28" s="57">
        <f t="shared" si="7"/>
        <v>0</v>
      </c>
      <c r="AV28" s="57">
        <f t="shared" si="8"/>
        <v>0</v>
      </c>
      <c r="AW28" s="57">
        <f t="shared" si="9"/>
        <v>0</v>
      </c>
      <c r="AX28" s="57">
        <f t="shared" si="10"/>
        <v>1</v>
      </c>
      <c r="AY28" s="61">
        <f t="shared" si="11"/>
        <v>1</v>
      </c>
    </row>
    <row r="29" spans="1:51" x14ac:dyDescent="0.25">
      <c r="A29" s="20" t="str">
        <f>Üldinfo!A28</f>
        <v>26a</v>
      </c>
      <c r="B29" s="20" t="str">
        <f>Üldinfo!B28</f>
        <v>Alaealine</v>
      </c>
      <c r="C29" s="20" t="str">
        <f>Üldinfo!C28</f>
        <v>12-18 a</v>
      </c>
      <c r="D29" s="30"/>
      <c r="L29" s="30"/>
      <c r="T29" s="30"/>
      <c r="AB29" s="30"/>
      <c r="AI29" s="29"/>
      <c r="AK29" s="28">
        <f t="shared" si="0"/>
        <v>0</v>
      </c>
      <c r="AL29" s="20">
        <f>Üldinfo!AM28</f>
        <v>0</v>
      </c>
      <c r="AM29" s="58" t="e">
        <f t="shared" si="1"/>
        <v>#DIV/0!</v>
      </c>
      <c r="AO29" s="59">
        <f t="shared" si="2"/>
        <v>0</v>
      </c>
      <c r="AP29" s="59">
        <f t="shared" si="3"/>
        <v>0</v>
      </c>
      <c r="AQ29" s="59">
        <f t="shared" si="4"/>
        <v>0</v>
      </c>
      <c r="AR29" s="60">
        <f t="shared" si="5"/>
        <v>0</v>
      </c>
      <c r="AS29" s="20"/>
      <c r="AT29" s="57">
        <f t="shared" si="6"/>
        <v>0</v>
      </c>
      <c r="AU29" s="57">
        <f t="shared" si="7"/>
        <v>0</v>
      </c>
      <c r="AV29" s="57">
        <f t="shared" si="8"/>
        <v>0</v>
      </c>
      <c r="AW29" s="57">
        <f t="shared" si="9"/>
        <v>0</v>
      </c>
      <c r="AX29" s="57">
        <f t="shared" si="10"/>
        <v>0</v>
      </c>
      <c r="AY29" s="61">
        <f t="shared" si="11"/>
        <v>0</v>
      </c>
    </row>
    <row r="30" spans="1:51" x14ac:dyDescent="0.25">
      <c r="A30" s="20" t="str">
        <f>Üldinfo!A29</f>
        <v>26b</v>
      </c>
      <c r="B30" s="20" t="str">
        <f>Üldinfo!B29</f>
        <v>Täiskasvanu</v>
      </c>
      <c r="C30" s="20" t="str">
        <f>Üldinfo!C29</f>
        <v>Täiskasvanu</v>
      </c>
      <c r="D30" s="30"/>
      <c r="L30" s="30"/>
      <c r="T30" s="30"/>
      <c r="AB30" s="30"/>
      <c r="AI30" s="29"/>
      <c r="AK30" s="28">
        <f t="shared" si="0"/>
        <v>0</v>
      </c>
      <c r="AL30" s="20">
        <f>Üldinfo!AM29</f>
        <v>0</v>
      </c>
      <c r="AM30" s="58" t="e">
        <f t="shared" si="1"/>
        <v>#DIV/0!</v>
      </c>
      <c r="AO30" s="59">
        <f t="shared" si="2"/>
        <v>0</v>
      </c>
      <c r="AP30" s="59">
        <f t="shared" si="3"/>
        <v>0</v>
      </c>
      <c r="AQ30" s="59">
        <f t="shared" si="4"/>
        <v>0</v>
      </c>
      <c r="AR30" s="60">
        <f t="shared" si="5"/>
        <v>0</v>
      </c>
      <c r="AS30" s="20"/>
      <c r="AT30" s="57">
        <f t="shared" si="6"/>
        <v>0</v>
      </c>
      <c r="AU30" s="57">
        <f t="shared" si="7"/>
        <v>0</v>
      </c>
      <c r="AV30" s="57">
        <f t="shared" si="8"/>
        <v>0</v>
      </c>
      <c r="AW30" s="57">
        <f t="shared" si="9"/>
        <v>0</v>
      </c>
      <c r="AX30" s="57">
        <f t="shared" si="10"/>
        <v>0</v>
      </c>
      <c r="AY30" s="61">
        <f t="shared" si="11"/>
        <v>0</v>
      </c>
    </row>
    <row r="31" spans="1:51" x14ac:dyDescent="0.25">
      <c r="A31" s="20">
        <f>Üldinfo!A30</f>
        <v>27</v>
      </c>
      <c r="B31" s="20" t="str">
        <f>Üldinfo!B30</f>
        <v>Mees</v>
      </c>
      <c r="C31" s="20" t="str">
        <f>Üldinfo!C30</f>
        <v>40-50 a</v>
      </c>
      <c r="D31" s="30"/>
      <c r="L31" s="30"/>
      <c r="T31" s="30"/>
      <c r="AB31" s="30"/>
      <c r="AI31" s="29"/>
      <c r="AK31" s="28">
        <f t="shared" si="0"/>
        <v>0</v>
      </c>
      <c r="AL31" s="20">
        <f>Üldinfo!AM30</f>
        <v>0</v>
      </c>
      <c r="AM31" s="58" t="e">
        <f t="shared" si="1"/>
        <v>#DIV/0!</v>
      </c>
      <c r="AO31" s="59">
        <f t="shared" si="2"/>
        <v>0</v>
      </c>
      <c r="AP31" s="59">
        <f t="shared" si="3"/>
        <v>0</v>
      </c>
      <c r="AQ31" s="59">
        <f t="shared" si="4"/>
        <v>0</v>
      </c>
      <c r="AR31" s="60">
        <f t="shared" si="5"/>
        <v>0</v>
      </c>
      <c r="AS31" s="20"/>
      <c r="AT31" s="57">
        <f t="shared" si="6"/>
        <v>0</v>
      </c>
      <c r="AU31" s="57">
        <f t="shared" si="7"/>
        <v>0</v>
      </c>
      <c r="AV31" s="57">
        <f t="shared" si="8"/>
        <v>0</v>
      </c>
      <c r="AW31" s="57">
        <f t="shared" si="9"/>
        <v>0</v>
      </c>
      <c r="AX31" s="57">
        <f t="shared" si="10"/>
        <v>0</v>
      </c>
      <c r="AY31" s="61">
        <f t="shared" si="11"/>
        <v>0</v>
      </c>
    </row>
    <row r="32" spans="1:51" x14ac:dyDescent="0.25">
      <c r="A32" s="20">
        <f>Üldinfo!A31</f>
        <v>28</v>
      </c>
      <c r="B32" s="20" t="str">
        <f>Üldinfo!B31</f>
        <v>Naine</v>
      </c>
      <c r="C32" s="20" t="str">
        <f>Üldinfo!C31</f>
        <v>25-50 a</v>
      </c>
      <c r="D32" s="30"/>
      <c r="E32" s="28" t="s">
        <v>130</v>
      </c>
      <c r="F32" s="28" t="s">
        <v>101</v>
      </c>
      <c r="H32" s="28" t="s">
        <v>91</v>
      </c>
      <c r="I32" s="28" t="s">
        <v>101</v>
      </c>
      <c r="J32" s="28" t="s">
        <v>131</v>
      </c>
      <c r="K32" s="28" t="s">
        <v>132</v>
      </c>
      <c r="L32" s="30"/>
      <c r="M32" s="28" t="s">
        <v>91</v>
      </c>
      <c r="O32" s="28" t="s">
        <v>101</v>
      </c>
      <c r="P32" s="28" t="s">
        <v>91</v>
      </c>
      <c r="Q32" s="28" t="s">
        <v>133</v>
      </c>
      <c r="R32" s="28" t="s">
        <v>105</v>
      </c>
      <c r="S32" s="28" t="s">
        <v>134</v>
      </c>
      <c r="T32" s="30"/>
      <c r="W32" s="28" t="s">
        <v>112</v>
      </c>
      <c r="X32" s="28" t="s">
        <v>112</v>
      </c>
      <c r="Y32" s="28" t="s">
        <v>112</v>
      </c>
      <c r="Z32" s="28" t="s">
        <v>135</v>
      </c>
      <c r="AA32" s="28" t="s">
        <v>107</v>
      </c>
      <c r="AB32" s="30" t="s">
        <v>131</v>
      </c>
      <c r="AC32" s="28" t="s">
        <v>135</v>
      </c>
      <c r="AD32" s="28" t="s">
        <v>104</v>
      </c>
      <c r="AE32" s="28" t="s">
        <v>104</v>
      </c>
      <c r="AF32" s="28" t="s">
        <v>136</v>
      </c>
      <c r="AG32" s="28" t="s">
        <v>137</v>
      </c>
      <c r="AH32" s="28" t="s">
        <v>138</v>
      </c>
      <c r="AI32" s="29"/>
      <c r="AK32" s="28">
        <f t="shared" si="0"/>
        <v>24</v>
      </c>
      <c r="AL32" s="20">
        <f>Üldinfo!AM31</f>
        <v>30</v>
      </c>
      <c r="AM32" s="58">
        <f t="shared" si="1"/>
        <v>0.8</v>
      </c>
      <c r="AO32" s="59">
        <f t="shared" si="2"/>
        <v>42</v>
      </c>
      <c r="AP32" s="59">
        <f t="shared" si="3"/>
        <v>7</v>
      </c>
      <c r="AQ32" s="59">
        <f t="shared" si="4"/>
        <v>1</v>
      </c>
      <c r="AR32" s="60">
        <f t="shared" si="5"/>
        <v>50</v>
      </c>
      <c r="AS32" s="20"/>
      <c r="AT32" s="57">
        <f t="shared" si="6"/>
        <v>12</v>
      </c>
      <c r="AU32" s="57">
        <f t="shared" si="7"/>
        <v>11</v>
      </c>
      <c r="AV32" s="57">
        <f t="shared" si="8"/>
        <v>12</v>
      </c>
      <c r="AW32" s="57">
        <f t="shared" si="9"/>
        <v>14</v>
      </c>
      <c r="AX32" s="57">
        <f t="shared" si="10"/>
        <v>1</v>
      </c>
      <c r="AY32" s="61">
        <f t="shared" si="11"/>
        <v>50</v>
      </c>
    </row>
    <row r="33" spans="1:51" x14ac:dyDescent="0.25">
      <c r="A33" s="20">
        <f>Üldinfo!A32</f>
        <v>29</v>
      </c>
      <c r="B33" s="20" t="str">
        <f>Üldinfo!B32</f>
        <v>Mees</v>
      </c>
      <c r="C33" s="20" t="str">
        <f>Üldinfo!C32</f>
        <v>25-30a</v>
      </c>
      <c r="D33" s="30"/>
      <c r="E33" s="28" t="s">
        <v>101</v>
      </c>
      <c r="F33" s="28" t="s">
        <v>143</v>
      </c>
      <c r="G33" s="28" t="s">
        <v>103</v>
      </c>
      <c r="L33" s="30"/>
      <c r="Q33" s="28" t="s">
        <v>91</v>
      </c>
      <c r="T33" s="30"/>
      <c r="U33" s="28" t="s">
        <v>112</v>
      </c>
      <c r="V33" s="28" t="s">
        <v>112</v>
      </c>
      <c r="X33" s="28" t="s">
        <v>112</v>
      </c>
      <c r="Y33" s="28" t="s">
        <v>135</v>
      </c>
      <c r="Z33" s="28" t="s">
        <v>135</v>
      </c>
      <c r="AA33" s="28" t="s">
        <v>135</v>
      </c>
      <c r="AB33" s="30" t="s">
        <v>135</v>
      </c>
      <c r="AC33" s="28" t="s">
        <v>135</v>
      </c>
      <c r="AD33" s="28" t="s">
        <v>135</v>
      </c>
      <c r="AE33" s="28" t="s">
        <v>112</v>
      </c>
      <c r="AF33" s="28" t="s">
        <v>112</v>
      </c>
      <c r="AI33" s="29"/>
      <c r="AK33" s="28">
        <f t="shared" si="0"/>
        <v>15</v>
      </c>
      <c r="AL33" s="20">
        <f>Üldinfo!AM32</f>
        <v>32</v>
      </c>
      <c r="AM33" s="58">
        <f t="shared" si="1"/>
        <v>0.46875</v>
      </c>
      <c r="AO33" s="59">
        <f t="shared" si="2"/>
        <v>23</v>
      </c>
      <c r="AP33" s="59">
        <f t="shared" si="3"/>
        <v>0</v>
      </c>
      <c r="AQ33" s="59">
        <f t="shared" si="4"/>
        <v>0</v>
      </c>
      <c r="AR33" s="60">
        <f t="shared" si="5"/>
        <v>23</v>
      </c>
      <c r="AS33" s="20"/>
      <c r="AT33" s="57">
        <f t="shared" si="6"/>
        <v>2</v>
      </c>
      <c r="AU33" s="57">
        <f t="shared" si="7"/>
        <v>2</v>
      </c>
      <c r="AV33" s="57">
        <f t="shared" si="8"/>
        <v>8</v>
      </c>
      <c r="AW33" s="57">
        <f t="shared" si="9"/>
        <v>11</v>
      </c>
      <c r="AX33" s="57">
        <f t="shared" si="10"/>
        <v>0</v>
      </c>
      <c r="AY33" s="61">
        <f t="shared" si="11"/>
        <v>23</v>
      </c>
    </row>
    <row r="34" spans="1:51" x14ac:dyDescent="0.25">
      <c r="A34" s="20">
        <f>Üldinfo!A33</f>
        <v>30</v>
      </c>
      <c r="B34" s="20" t="str">
        <f>Üldinfo!B33</f>
        <v>Naine</v>
      </c>
      <c r="C34" s="20" t="str">
        <f>Üldinfo!C33</f>
        <v>17-25 a</v>
      </c>
      <c r="D34" s="30"/>
      <c r="I34" s="28" t="s">
        <v>146</v>
      </c>
      <c r="L34" s="30"/>
      <c r="M34" s="28" t="s">
        <v>101</v>
      </c>
      <c r="O34" s="28" t="s">
        <v>91</v>
      </c>
      <c r="T34" s="30" t="s">
        <v>143</v>
      </c>
      <c r="U34" s="28" t="s">
        <v>91</v>
      </c>
      <c r="V34" s="28" t="s">
        <v>91</v>
      </c>
      <c r="W34" s="28" t="s">
        <v>91</v>
      </c>
      <c r="X34" s="28" t="s">
        <v>143</v>
      </c>
      <c r="Y34" s="28" t="s">
        <v>143</v>
      </c>
      <c r="Z34" s="28" t="s">
        <v>135</v>
      </c>
      <c r="AA34" s="28" t="s">
        <v>135</v>
      </c>
      <c r="AB34" s="30" t="s">
        <v>91</v>
      </c>
      <c r="AC34" s="28" t="s">
        <v>112</v>
      </c>
      <c r="AI34" s="29" t="s">
        <v>101</v>
      </c>
      <c r="AK34" s="28">
        <f t="shared" si="0"/>
        <v>14</v>
      </c>
      <c r="AL34" s="20">
        <f>Üldinfo!AM33</f>
        <v>17</v>
      </c>
      <c r="AM34" s="58">
        <f t="shared" si="1"/>
        <v>0.82352941176470584</v>
      </c>
      <c r="AO34" s="59">
        <f t="shared" si="2"/>
        <v>23</v>
      </c>
      <c r="AP34" s="59">
        <f t="shared" si="3"/>
        <v>0</v>
      </c>
      <c r="AQ34" s="59">
        <f t="shared" si="4"/>
        <v>0</v>
      </c>
      <c r="AR34" s="60">
        <f t="shared" si="5"/>
        <v>23</v>
      </c>
      <c r="AS34" s="20"/>
      <c r="AT34" s="57">
        <f t="shared" si="6"/>
        <v>6</v>
      </c>
      <c r="AU34" s="57">
        <f t="shared" si="7"/>
        <v>3</v>
      </c>
      <c r="AV34" s="57">
        <f t="shared" si="8"/>
        <v>11</v>
      </c>
      <c r="AW34" s="57">
        <f t="shared" si="9"/>
        <v>3</v>
      </c>
      <c r="AX34" s="57">
        <f t="shared" si="10"/>
        <v>0</v>
      </c>
      <c r="AY34" s="61">
        <f t="shared" si="11"/>
        <v>23</v>
      </c>
    </row>
    <row r="35" spans="1:51" x14ac:dyDescent="0.25">
      <c r="A35" s="20">
        <f>Üldinfo!A34</f>
        <v>31</v>
      </c>
      <c r="B35" s="20" t="str">
        <f>Üldinfo!B34</f>
        <v>Alaealine</v>
      </c>
      <c r="C35" s="20" t="str">
        <f>Üldinfo!C34</f>
        <v>5+ a</v>
      </c>
      <c r="D35" s="30"/>
      <c r="L35" s="30"/>
      <c r="T35" s="30"/>
      <c r="AB35" s="30"/>
      <c r="AI35" s="29"/>
      <c r="AK35" s="28">
        <f t="shared" si="0"/>
        <v>0</v>
      </c>
      <c r="AL35" s="20">
        <f>Üldinfo!AM34</f>
        <v>0</v>
      </c>
      <c r="AM35" s="58" t="e">
        <f t="shared" si="1"/>
        <v>#DIV/0!</v>
      </c>
      <c r="AO35" s="59">
        <f t="shared" si="2"/>
        <v>0</v>
      </c>
      <c r="AP35" s="59">
        <f t="shared" si="3"/>
        <v>0</v>
      </c>
      <c r="AQ35" s="59">
        <f t="shared" si="4"/>
        <v>0</v>
      </c>
      <c r="AR35" s="60">
        <f t="shared" si="5"/>
        <v>0</v>
      </c>
      <c r="AS35" s="20"/>
      <c r="AT35" s="57">
        <f t="shared" si="6"/>
        <v>0</v>
      </c>
      <c r="AU35" s="57">
        <f t="shared" si="7"/>
        <v>0</v>
      </c>
      <c r="AV35" s="57">
        <f t="shared" si="8"/>
        <v>0</v>
      </c>
      <c r="AW35" s="57">
        <f t="shared" si="9"/>
        <v>0</v>
      </c>
      <c r="AX35" s="57">
        <f t="shared" si="10"/>
        <v>0</v>
      </c>
      <c r="AY35" s="61">
        <f t="shared" si="11"/>
        <v>0</v>
      </c>
    </row>
    <row r="36" spans="1:51" x14ac:dyDescent="0.25">
      <c r="A36" s="20">
        <f>Üldinfo!A35</f>
        <v>32</v>
      </c>
      <c r="B36" s="20" t="str">
        <f>Üldinfo!B35</f>
        <v>Alaealine</v>
      </c>
      <c r="C36" s="20" t="str">
        <f>Üldinfo!C35</f>
        <v>3-5 a</v>
      </c>
      <c r="D36" s="30"/>
      <c r="L36" s="30"/>
      <c r="T36" s="30"/>
      <c r="AB36" s="30"/>
      <c r="AI36" s="29"/>
      <c r="AK36" s="28">
        <f t="shared" si="0"/>
        <v>0</v>
      </c>
      <c r="AL36" s="20">
        <f>Üldinfo!AM35</f>
        <v>0</v>
      </c>
      <c r="AM36" s="58" t="e">
        <f t="shared" si="1"/>
        <v>#DIV/0!</v>
      </c>
      <c r="AO36" s="59">
        <f t="shared" si="2"/>
        <v>0</v>
      </c>
      <c r="AP36" s="59">
        <f t="shared" si="3"/>
        <v>0</v>
      </c>
      <c r="AQ36" s="59">
        <f t="shared" si="4"/>
        <v>0</v>
      </c>
      <c r="AR36" s="60">
        <f t="shared" si="5"/>
        <v>0</v>
      </c>
      <c r="AS36" s="20"/>
      <c r="AT36" s="57">
        <f t="shared" si="6"/>
        <v>0</v>
      </c>
      <c r="AU36" s="57">
        <f t="shared" si="7"/>
        <v>0</v>
      </c>
      <c r="AV36" s="57">
        <f t="shared" si="8"/>
        <v>0</v>
      </c>
      <c r="AW36" s="57">
        <f t="shared" si="9"/>
        <v>0</v>
      </c>
      <c r="AX36" s="57">
        <f t="shared" si="10"/>
        <v>0</v>
      </c>
      <c r="AY36" s="61">
        <f t="shared" si="11"/>
        <v>0</v>
      </c>
    </row>
    <row r="37" spans="1:51" x14ac:dyDescent="0.25">
      <c r="A37" s="20">
        <f>Üldinfo!A36</f>
        <v>33</v>
      </c>
      <c r="B37" s="20" t="str">
        <f>Üldinfo!B36</f>
        <v>Alaealine</v>
      </c>
      <c r="C37" s="20" t="str">
        <f>Üldinfo!C36</f>
        <v>1-2 a</v>
      </c>
      <c r="D37" s="30"/>
      <c r="L37" s="30"/>
      <c r="T37" s="30"/>
      <c r="AB37" s="30"/>
      <c r="AI37" s="29"/>
      <c r="AK37" s="28">
        <f t="shared" si="0"/>
        <v>0</v>
      </c>
      <c r="AL37" s="20">
        <f>Üldinfo!AM36</f>
        <v>1</v>
      </c>
      <c r="AM37" s="58">
        <f t="shared" si="1"/>
        <v>0</v>
      </c>
      <c r="AO37" s="59">
        <f t="shared" si="2"/>
        <v>0</v>
      </c>
      <c r="AP37" s="59">
        <f t="shared" si="3"/>
        <v>0</v>
      </c>
      <c r="AQ37" s="59">
        <f t="shared" si="4"/>
        <v>0</v>
      </c>
      <c r="AR37" s="60">
        <f t="shared" si="5"/>
        <v>0</v>
      </c>
      <c r="AS37" s="20"/>
      <c r="AT37" s="57">
        <f t="shared" si="6"/>
        <v>0</v>
      </c>
      <c r="AU37" s="57">
        <f t="shared" si="7"/>
        <v>0</v>
      </c>
      <c r="AV37" s="57">
        <f t="shared" si="8"/>
        <v>0</v>
      </c>
      <c r="AW37" s="57">
        <f t="shared" si="9"/>
        <v>0</v>
      </c>
      <c r="AX37" s="57">
        <f t="shared" si="10"/>
        <v>0</v>
      </c>
      <c r="AY37" s="61">
        <f t="shared" si="11"/>
        <v>0</v>
      </c>
    </row>
    <row r="38" spans="1:51" x14ac:dyDescent="0.25">
      <c r="A38" s="20">
        <f>Üldinfo!A37</f>
        <v>34</v>
      </c>
      <c r="B38" s="20" t="str">
        <f>Üldinfo!B37</f>
        <v>Mees ?</v>
      </c>
      <c r="C38" s="20" t="str">
        <f>Üldinfo!C37</f>
        <v>Täiskasvanu</v>
      </c>
      <c r="D38" s="30"/>
      <c r="L38" s="30"/>
      <c r="T38" s="30"/>
      <c r="AB38" s="30"/>
      <c r="AI38" s="29"/>
      <c r="AK38" s="28">
        <f t="shared" si="0"/>
        <v>0</v>
      </c>
      <c r="AL38" s="20">
        <f>Üldinfo!AM37</f>
        <v>0</v>
      </c>
      <c r="AM38" s="58" t="e">
        <f t="shared" si="1"/>
        <v>#DIV/0!</v>
      </c>
      <c r="AO38" s="59">
        <f t="shared" si="2"/>
        <v>0</v>
      </c>
      <c r="AP38" s="59">
        <f t="shared" si="3"/>
        <v>0</v>
      </c>
      <c r="AQ38" s="59">
        <f t="shared" si="4"/>
        <v>0</v>
      </c>
      <c r="AR38" s="60">
        <f t="shared" si="5"/>
        <v>0</v>
      </c>
      <c r="AS38" s="20"/>
      <c r="AT38" s="57">
        <f t="shared" si="6"/>
        <v>0</v>
      </c>
      <c r="AU38" s="57">
        <f t="shared" si="7"/>
        <v>0</v>
      </c>
      <c r="AV38" s="57">
        <f t="shared" si="8"/>
        <v>0</v>
      </c>
      <c r="AW38" s="57">
        <f t="shared" si="9"/>
        <v>0</v>
      </c>
      <c r="AX38" s="57">
        <f t="shared" si="10"/>
        <v>0</v>
      </c>
      <c r="AY38" s="61">
        <f t="shared" si="11"/>
        <v>0</v>
      </c>
    </row>
    <row r="39" spans="1:51" x14ac:dyDescent="0.25">
      <c r="A39" s="20">
        <f>Üldinfo!A38</f>
        <v>35</v>
      </c>
      <c r="B39" s="20" t="str">
        <f>Üldinfo!B38</f>
        <v>Naine</v>
      </c>
      <c r="C39" s="20" t="str">
        <f>Üldinfo!C38</f>
        <v>Täiskasvanu</v>
      </c>
      <c r="D39" s="30"/>
      <c r="L39" s="30"/>
      <c r="T39" s="30"/>
      <c r="AB39" s="30"/>
      <c r="AI39" s="29"/>
      <c r="AK39" s="28">
        <f t="shared" si="0"/>
        <v>0</v>
      </c>
      <c r="AL39" s="20">
        <f>Üldinfo!AM38</f>
        <v>0</v>
      </c>
      <c r="AM39" s="58" t="e">
        <f t="shared" si="1"/>
        <v>#DIV/0!</v>
      </c>
      <c r="AO39" s="59">
        <f t="shared" si="2"/>
        <v>0</v>
      </c>
      <c r="AP39" s="59">
        <f t="shared" si="3"/>
        <v>0</v>
      </c>
      <c r="AQ39" s="59">
        <f t="shared" si="4"/>
        <v>0</v>
      </c>
      <c r="AR39" s="60">
        <f t="shared" si="5"/>
        <v>0</v>
      </c>
      <c r="AS39" s="20"/>
      <c r="AT39" s="57">
        <f t="shared" si="6"/>
        <v>0</v>
      </c>
      <c r="AU39" s="57">
        <f t="shared" si="7"/>
        <v>0</v>
      </c>
      <c r="AV39" s="57">
        <f t="shared" si="8"/>
        <v>0</v>
      </c>
      <c r="AW39" s="57">
        <f t="shared" si="9"/>
        <v>0</v>
      </c>
      <c r="AX39" s="57">
        <f t="shared" si="10"/>
        <v>0</v>
      </c>
      <c r="AY39" s="61">
        <f t="shared" si="11"/>
        <v>0</v>
      </c>
    </row>
    <row r="40" spans="1:51" x14ac:dyDescent="0.25">
      <c r="A40" s="20">
        <f>Üldinfo!A39</f>
        <v>36</v>
      </c>
      <c r="B40" s="20" t="str">
        <f>Üldinfo!B39</f>
        <v>Mees ?</v>
      </c>
      <c r="C40" s="20" t="str">
        <f>Üldinfo!C39</f>
        <v>40-50 a</v>
      </c>
      <c r="D40" s="30"/>
      <c r="L40" s="30"/>
      <c r="T40" s="30"/>
      <c r="AB40" s="30"/>
      <c r="AI40" s="29"/>
      <c r="AK40" s="28">
        <f t="shared" si="0"/>
        <v>0</v>
      </c>
      <c r="AL40" s="20">
        <f>Üldinfo!AM39</f>
        <v>0</v>
      </c>
      <c r="AM40" s="58" t="e">
        <f t="shared" si="1"/>
        <v>#DIV/0!</v>
      </c>
      <c r="AO40" s="59">
        <f t="shared" si="2"/>
        <v>0</v>
      </c>
      <c r="AP40" s="59">
        <f t="shared" si="3"/>
        <v>0</v>
      </c>
      <c r="AQ40" s="59">
        <f t="shared" si="4"/>
        <v>0</v>
      </c>
      <c r="AR40" s="60">
        <f t="shared" si="5"/>
        <v>0</v>
      </c>
      <c r="AS40" s="20"/>
      <c r="AT40" s="57">
        <f t="shared" si="6"/>
        <v>0</v>
      </c>
      <c r="AU40" s="57">
        <f t="shared" si="7"/>
        <v>0</v>
      </c>
      <c r="AV40" s="57">
        <f t="shared" si="8"/>
        <v>0</v>
      </c>
      <c r="AW40" s="57">
        <f t="shared" si="9"/>
        <v>0</v>
      </c>
      <c r="AX40" s="57">
        <f t="shared" si="10"/>
        <v>0</v>
      </c>
      <c r="AY40" s="61">
        <f t="shared" si="11"/>
        <v>0</v>
      </c>
    </row>
    <row r="41" spans="1:51" x14ac:dyDescent="0.25">
      <c r="A41" s="20">
        <f>Üldinfo!A40</f>
        <v>37</v>
      </c>
      <c r="B41" s="20" t="str">
        <f>Üldinfo!B40</f>
        <v>Alaealine</v>
      </c>
      <c r="C41" s="20" t="str">
        <f>Üldinfo!C40</f>
        <v>12-18 a</v>
      </c>
      <c r="D41" s="30"/>
      <c r="L41" s="30"/>
      <c r="Q41" s="28" t="s">
        <v>101</v>
      </c>
      <c r="T41" s="30"/>
      <c r="AB41" s="30"/>
      <c r="AC41" s="28" t="s">
        <v>91</v>
      </c>
      <c r="AG41" s="28" t="s">
        <v>137</v>
      </c>
      <c r="AI41" s="29"/>
      <c r="AK41" s="28">
        <f t="shared" si="0"/>
        <v>3</v>
      </c>
      <c r="AL41" s="20">
        <f>Üldinfo!AM40</f>
        <v>12</v>
      </c>
      <c r="AM41" s="58">
        <f t="shared" si="1"/>
        <v>0.25</v>
      </c>
      <c r="AO41" s="59">
        <f t="shared" si="2"/>
        <v>4</v>
      </c>
      <c r="AP41" s="59">
        <f t="shared" si="3"/>
        <v>0</v>
      </c>
      <c r="AQ41" s="59">
        <f t="shared" si="4"/>
        <v>0</v>
      </c>
      <c r="AR41" s="60">
        <f t="shared" si="5"/>
        <v>4</v>
      </c>
      <c r="AS41" s="20"/>
      <c r="AT41" s="57">
        <f t="shared" si="6"/>
        <v>2</v>
      </c>
      <c r="AU41" s="57">
        <f t="shared" si="7"/>
        <v>0</v>
      </c>
      <c r="AV41" s="57">
        <f t="shared" si="8"/>
        <v>1</v>
      </c>
      <c r="AW41" s="57">
        <f t="shared" si="9"/>
        <v>1</v>
      </c>
      <c r="AX41" s="57">
        <f t="shared" si="10"/>
        <v>0</v>
      </c>
      <c r="AY41" s="61">
        <f t="shared" si="11"/>
        <v>4</v>
      </c>
    </row>
    <row r="42" spans="1:51" x14ac:dyDescent="0.25">
      <c r="A42" s="20">
        <f>Üldinfo!A41</f>
        <v>38</v>
      </c>
      <c r="B42" s="20" t="str">
        <f>Üldinfo!B41</f>
        <v>Naine</v>
      </c>
      <c r="C42" s="20" t="str">
        <f>Üldinfo!C41</f>
        <v>40-50 a</v>
      </c>
      <c r="D42" s="30" t="s">
        <v>103</v>
      </c>
      <c r="E42" s="28" t="s">
        <v>91</v>
      </c>
      <c r="F42" s="28" t="s">
        <v>91</v>
      </c>
      <c r="G42" s="28" t="s">
        <v>91</v>
      </c>
      <c r="H42" s="28" t="s">
        <v>143</v>
      </c>
      <c r="L42" s="30" t="s">
        <v>132</v>
      </c>
      <c r="M42" s="28" t="s">
        <v>135</v>
      </c>
      <c r="N42" s="28" t="s">
        <v>104</v>
      </c>
      <c r="O42" s="28" t="s">
        <v>91</v>
      </c>
      <c r="P42" s="28" t="s">
        <v>91</v>
      </c>
      <c r="Q42" s="28" t="s">
        <v>104</v>
      </c>
      <c r="T42" s="30" t="s">
        <v>131</v>
      </c>
      <c r="U42" s="28" t="s">
        <v>143</v>
      </c>
      <c r="V42" s="28" t="s">
        <v>91</v>
      </c>
      <c r="W42" s="28" t="s">
        <v>135</v>
      </c>
      <c r="X42" s="28" t="s">
        <v>135</v>
      </c>
      <c r="Y42" s="28" t="s">
        <v>152</v>
      </c>
      <c r="Z42" s="28" t="s">
        <v>104</v>
      </c>
      <c r="AA42" s="28" t="s">
        <v>104</v>
      </c>
      <c r="AB42" s="30" t="s">
        <v>104</v>
      </c>
      <c r="AC42" s="28" t="s">
        <v>104</v>
      </c>
      <c r="AD42" s="28" t="s">
        <v>104</v>
      </c>
      <c r="AE42" s="28" t="s">
        <v>112</v>
      </c>
      <c r="AF42" s="28" t="s">
        <v>91</v>
      </c>
      <c r="AG42" s="28" t="s">
        <v>91</v>
      </c>
      <c r="AH42" s="28" t="s">
        <v>101</v>
      </c>
      <c r="AI42" s="29"/>
      <c r="AK42" s="28">
        <f t="shared" si="0"/>
        <v>26</v>
      </c>
      <c r="AL42" s="20">
        <f>Üldinfo!AM41</f>
        <v>27</v>
      </c>
      <c r="AM42" s="58">
        <f t="shared" si="1"/>
        <v>0.96296296296296291</v>
      </c>
      <c r="AO42" s="59">
        <f t="shared" si="2"/>
        <v>59</v>
      </c>
      <c r="AP42" s="59">
        <f t="shared" si="3"/>
        <v>1</v>
      </c>
      <c r="AQ42" s="59">
        <f t="shared" si="4"/>
        <v>0</v>
      </c>
      <c r="AR42" s="60">
        <f t="shared" si="5"/>
        <v>60</v>
      </c>
      <c r="AS42" s="20"/>
      <c r="AT42" s="57">
        <f t="shared" si="6"/>
        <v>13</v>
      </c>
      <c r="AU42" s="57">
        <f t="shared" si="7"/>
        <v>13</v>
      </c>
      <c r="AV42" s="57">
        <f t="shared" si="8"/>
        <v>21</v>
      </c>
      <c r="AW42" s="57">
        <f t="shared" si="9"/>
        <v>13</v>
      </c>
      <c r="AX42" s="57">
        <f t="shared" si="10"/>
        <v>0</v>
      </c>
      <c r="AY42" s="61">
        <f t="shared" si="11"/>
        <v>60</v>
      </c>
    </row>
    <row r="43" spans="1:51" x14ac:dyDescent="0.25">
      <c r="A43" s="20">
        <f>Üldinfo!A42</f>
        <v>39</v>
      </c>
      <c r="B43" s="20" t="str">
        <f>Üldinfo!B42</f>
        <v>Alaealine</v>
      </c>
      <c r="C43" s="20" t="str">
        <f>Üldinfo!C42</f>
        <v>6-11 a</v>
      </c>
      <c r="D43" s="30"/>
      <c r="L43" s="30"/>
      <c r="T43" s="30"/>
      <c r="AB43" s="30"/>
      <c r="AI43" s="29"/>
      <c r="AK43" s="28">
        <f t="shared" si="0"/>
        <v>0</v>
      </c>
      <c r="AL43" s="20">
        <f>Üldinfo!AM42</f>
        <v>0</v>
      </c>
      <c r="AM43" s="58" t="e">
        <f t="shared" si="1"/>
        <v>#DIV/0!</v>
      </c>
      <c r="AO43" s="59">
        <f t="shared" si="2"/>
        <v>0</v>
      </c>
      <c r="AP43" s="59">
        <f t="shared" si="3"/>
        <v>0</v>
      </c>
      <c r="AQ43" s="59">
        <f t="shared" si="4"/>
        <v>0</v>
      </c>
      <c r="AR43" s="60">
        <f t="shared" si="5"/>
        <v>0</v>
      </c>
      <c r="AS43" s="20"/>
      <c r="AT43" s="57">
        <f t="shared" si="6"/>
        <v>0</v>
      </c>
      <c r="AU43" s="57">
        <f t="shared" si="7"/>
        <v>0</v>
      </c>
      <c r="AV43" s="57">
        <f t="shared" si="8"/>
        <v>0</v>
      </c>
      <c r="AW43" s="57">
        <f t="shared" si="9"/>
        <v>0</v>
      </c>
      <c r="AX43" s="57">
        <f t="shared" si="10"/>
        <v>0</v>
      </c>
      <c r="AY43" s="61">
        <f t="shared" si="11"/>
        <v>0</v>
      </c>
    </row>
    <row r="44" spans="1:51" x14ac:dyDescent="0.25">
      <c r="A44" s="20">
        <f>Üldinfo!A43</f>
        <v>40</v>
      </c>
      <c r="B44" s="20" t="str">
        <f>Üldinfo!B43</f>
        <v>Mees</v>
      </c>
      <c r="C44" s="20" t="str">
        <f>Üldinfo!C43</f>
        <v>40+ a</v>
      </c>
      <c r="D44" s="30"/>
      <c r="L44" s="30"/>
      <c r="T44" s="30"/>
      <c r="AB44" s="30"/>
      <c r="AI44" s="29"/>
      <c r="AK44" s="28">
        <f t="shared" si="0"/>
        <v>0</v>
      </c>
      <c r="AL44" s="20">
        <f>Üldinfo!AM43</f>
        <v>0</v>
      </c>
      <c r="AM44" s="58" t="e">
        <f t="shared" si="1"/>
        <v>#DIV/0!</v>
      </c>
      <c r="AO44" s="59">
        <f t="shared" si="2"/>
        <v>0</v>
      </c>
      <c r="AP44" s="59">
        <f t="shared" si="3"/>
        <v>0</v>
      </c>
      <c r="AQ44" s="59">
        <f t="shared" si="4"/>
        <v>0</v>
      </c>
      <c r="AR44" s="60">
        <f t="shared" si="5"/>
        <v>0</v>
      </c>
      <c r="AS44" s="20"/>
      <c r="AT44" s="57">
        <f t="shared" si="6"/>
        <v>0</v>
      </c>
      <c r="AU44" s="57">
        <f t="shared" si="7"/>
        <v>0</v>
      </c>
      <c r="AV44" s="57">
        <f t="shared" si="8"/>
        <v>0</v>
      </c>
      <c r="AW44" s="57">
        <f t="shared" si="9"/>
        <v>0</v>
      </c>
      <c r="AX44" s="57">
        <f t="shared" si="10"/>
        <v>0</v>
      </c>
      <c r="AY44" s="61">
        <f t="shared" si="11"/>
        <v>0</v>
      </c>
    </row>
    <row r="45" spans="1:51" x14ac:dyDescent="0.25">
      <c r="A45" s="20">
        <f>Üldinfo!A44</f>
        <v>41</v>
      </c>
      <c r="B45" s="20" t="str">
        <f>Üldinfo!B44</f>
        <v>Alaealine</v>
      </c>
      <c r="C45" s="20" t="str">
        <f>Üldinfo!C44</f>
        <v>12-15 a</v>
      </c>
      <c r="D45" s="30"/>
      <c r="K45" s="29"/>
      <c r="T45" s="30"/>
      <c r="AA45" s="29"/>
      <c r="AB45" s="30"/>
      <c r="AI45" s="29"/>
      <c r="AK45" s="28">
        <f t="shared" si="0"/>
        <v>0</v>
      </c>
      <c r="AL45" s="20">
        <f>Üldinfo!AM44</f>
        <v>0</v>
      </c>
      <c r="AM45" s="58" t="e">
        <f t="shared" si="1"/>
        <v>#DIV/0!</v>
      </c>
      <c r="AO45" s="59">
        <f t="shared" si="2"/>
        <v>0</v>
      </c>
      <c r="AP45" s="59">
        <f t="shared" si="3"/>
        <v>0</v>
      </c>
      <c r="AQ45" s="59">
        <f t="shared" si="4"/>
        <v>0</v>
      </c>
      <c r="AR45" s="60">
        <f t="shared" si="5"/>
        <v>0</v>
      </c>
      <c r="AS45" s="20"/>
      <c r="AT45" s="57">
        <f t="shared" si="6"/>
        <v>0</v>
      </c>
      <c r="AU45" s="57">
        <f t="shared" si="7"/>
        <v>0</v>
      </c>
      <c r="AV45" s="57">
        <f t="shared" si="8"/>
        <v>0</v>
      </c>
      <c r="AW45" s="57">
        <f t="shared" si="9"/>
        <v>0</v>
      </c>
      <c r="AX45" s="57">
        <f t="shared" si="10"/>
        <v>0</v>
      </c>
      <c r="AY45" s="61">
        <f t="shared" si="11"/>
        <v>0</v>
      </c>
    </row>
    <row r="46" spans="1:51" x14ac:dyDescent="0.25">
      <c r="A46" s="20">
        <f>Üldinfo!A45</f>
        <v>42</v>
      </c>
      <c r="B46" s="20" t="str">
        <f>Üldinfo!B45</f>
        <v>Alaealine</v>
      </c>
      <c r="C46" s="20" t="str">
        <f>Üldinfo!C45</f>
        <v>24-32 k</v>
      </c>
      <c r="D46" s="30"/>
      <c r="K46" s="29"/>
      <c r="T46" s="30"/>
      <c r="AA46" s="29"/>
      <c r="AB46" s="30"/>
      <c r="AI46" s="29"/>
      <c r="AK46" s="28">
        <f t="shared" si="0"/>
        <v>0</v>
      </c>
      <c r="AL46" s="20">
        <f>Üldinfo!AM45</f>
        <v>7</v>
      </c>
      <c r="AM46" s="58">
        <f t="shared" si="1"/>
        <v>0</v>
      </c>
      <c r="AO46" s="59">
        <f t="shared" si="2"/>
        <v>0</v>
      </c>
      <c r="AP46" s="59">
        <f t="shared" si="3"/>
        <v>0</v>
      </c>
      <c r="AQ46" s="59">
        <f t="shared" si="4"/>
        <v>0</v>
      </c>
      <c r="AR46" s="60">
        <f t="shared" si="5"/>
        <v>0</v>
      </c>
      <c r="AS46" s="20"/>
      <c r="AT46" s="57">
        <f t="shared" si="6"/>
        <v>0</v>
      </c>
      <c r="AU46" s="57">
        <f t="shared" si="7"/>
        <v>0</v>
      </c>
      <c r="AV46" s="57">
        <f t="shared" si="8"/>
        <v>0</v>
      </c>
      <c r="AW46" s="57">
        <f t="shared" si="9"/>
        <v>0</v>
      </c>
      <c r="AX46" s="57">
        <f t="shared" si="10"/>
        <v>0</v>
      </c>
      <c r="AY46" s="61">
        <f t="shared" si="11"/>
        <v>0</v>
      </c>
    </row>
    <row r="47" spans="1:51" x14ac:dyDescent="0.25">
      <c r="A47" s="20">
        <f>Üldinfo!A46</f>
        <v>43</v>
      </c>
      <c r="B47" s="20" t="str">
        <f>Üldinfo!B46</f>
        <v>Naine ?</v>
      </c>
      <c r="C47" s="20" t="str">
        <f>Üldinfo!C46</f>
        <v>18-19 a</v>
      </c>
      <c r="D47" s="30"/>
      <c r="K47" s="29"/>
      <c r="T47" s="30"/>
      <c r="AA47" s="29"/>
      <c r="AB47" s="30"/>
      <c r="AI47" s="29"/>
      <c r="AK47" s="28">
        <f t="shared" si="0"/>
        <v>0</v>
      </c>
      <c r="AL47" s="20">
        <f>Üldinfo!AM46</f>
        <v>0</v>
      </c>
      <c r="AM47" s="58" t="e">
        <f t="shared" si="1"/>
        <v>#DIV/0!</v>
      </c>
      <c r="AO47" s="59">
        <f t="shared" si="2"/>
        <v>0</v>
      </c>
      <c r="AP47" s="59">
        <f t="shared" si="3"/>
        <v>0</v>
      </c>
      <c r="AQ47" s="59">
        <f t="shared" si="4"/>
        <v>0</v>
      </c>
      <c r="AR47" s="60">
        <f t="shared" si="5"/>
        <v>0</v>
      </c>
      <c r="AS47" s="20"/>
      <c r="AT47" s="57">
        <f t="shared" si="6"/>
        <v>0</v>
      </c>
      <c r="AU47" s="57">
        <f t="shared" si="7"/>
        <v>0</v>
      </c>
      <c r="AV47" s="57">
        <f t="shared" si="8"/>
        <v>0</v>
      </c>
      <c r="AW47" s="57">
        <f t="shared" si="9"/>
        <v>0</v>
      </c>
      <c r="AX47" s="57">
        <f t="shared" si="10"/>
        <v>0</v>
      </c>
      <c r="AY47" s="61">
        <f t="shared" si="11"/>
        <v>0</v>
      </c>
    </row>
    <row r="48" spans="1:51" x14ac:dyDescent="0.25">
      <c r="A48" s="20">
        <f>Üldinfo!A47</f>
        <v>44</v>
      </c>
      <c r="B48" s="20" t="str">
        <f>Üldinfo!B47</f>
        <v>Mees</v>
      </c>
      <c r="C48" s="20" t="str">
        <f>Üldinfo!C47</f>
        <v>40+ a</v>
      </c>
      <c r="D48" s="30"/>
      <c r="K48" s="29"/>
      <c r="T48" s="30"/>
      <c r="AA48" s="29"/>
      <c r="AB48" s="30"/>
      <c r="AI48" s="29"/>
      <c r="AK48" s="28">
        <f t="shared" si="0"/>
        <v>0</v>
      </c>
      <c r="AL48" s="20">
        <f>Üldinfo!AM47</f>
        <v>0</v>
      </c>
      <c r="AM48" s="58" t="e">
        <f t="shared" si="1"/>
        <v>#DIV/0!</v>
      </c>
      <c r="AO48" s="59">
        <f t="shared" si="2"/>
        <v>0</v>
      </c>
      <c r="AP48" s="59">
        <f t="shared" si="3"/>
        <v>0</v>
      </c>
      <c r="AQ48" s="59">
        <f t="shared" si="4"/>
        <v>0</v>
      </c>
      <c r="AR48" s="60">
        <f t="shared" si="5"/>
        <v>0</v>
      </c>
      <c r="AS48" s="20"/>
      <c r="AT48" s="57">
        <f t="shared" si="6"/>
        <v>0</v>
      </c>
      <c r="AU48" s="57">
        <f t="shared" si="7"/>
        <v>0</v>
      </c>
      <c r="AV48" s="57">
        <f t="shared" si="8"/>
        <v>0</v>
      </c>
      <c r="AW48" s="57">
        <f t="shared" si="9"/>
        <v>0</v>
      </c>
      <c r="AX48" s="57">
        <f t="shared" si="10"/>
        <v>0</v>
      </c>
      <c r="AY48" s="61">
        <f t="shared" si="11"/>
        <v>0</v>
      </c>
    </row>
    <row r="49" spans="1:51" x14ac:dyDescent="0.25">
      <c r="A49" s="20">
        <f>Üldinfo!A48</f>
        <v>45</v>
      </c>
      <c r="B49" s="20" t="str">
        <f>Üldinfo!B48</f>
        <v>Mees</v>
      </c>
      <c r="C49" s="20" t="str">
        <f>Üldinfo!C48</f>
        <v>40+ a</v>
      </c>
      <c r="D49" s="30"/>
      <c r="K49" s="29"/>
      <c r="T49" s="30"/>
      <c r="AA49" s="29"/>
      <c r="AB49" s="30"/>
      <c r="AI49" s="29"/>
      <c r="AK49" s="28">
        <f t="shared" si="0"/>
        <v>0</v>
      </c>
      <c r="AL49" s="20">
        <f>Üldinfo!AM48</f>
        <v>0</v>
      </c>
      <c r="AM49" s="58" t="e">
        <f t="shared" si="1"/>
        <v>#DIV/0!</v>
      </c>
      <c r="AO49" s="59">
        <f t="shared" si="2"/>
        <v>0</v>
      </c>
      <c r="AP49" s="59">
        <f t="shared" si="3"/>
        <v>0</v>
      </c>
      <c r="AQ49" s="59">
        <f t="shared" si="4"/>
        <v>0</v>
      </c>
      <c r="AR49" s="60">
        <f t="shared" si="5"/>
        <v>0</v>
      </c>
      <c r="AS49" s="20"/>
      <c r="AT49" s="57">
        <f t="shared" si="6"/>
        <v>0</v>
      </c>
      <c r="AU49" s="57">
        <f t="shared" si="7"/>
        <v>0</v>
      </c>
      <c r="AV49" s="57">
        <f t="shared" si="8"/>
        <v>0</v>
      </c>
      <c r="AW49" s="57">
        <f t="shared" si="9"/>
        <v>0</v>
      </c>
      <c r="AX49" s="57">
        <f t="shared" si="10"/>
        <v>0</v>
      </c>
      <c r="AY49" s="61">
        <f t="shared" si="11"/>
        <v>0</v>
      </c>
    </row>
    <row r="50" spans="1:51" x14ac:dyDescent="0.25">
      <c r="A50" s="20">
        <f>Üldinfo!A49</f>
        <v>46</v>
      </c>
      <c r="B50" s="20" t="str">
        <f>Üldinfo!B49</f>
        <v>Täiskasvanu</v>
      </c>
      <c r="C50" s="20" t="str">
        <f>Üldinfo!C49</f>
        <v>Täiskasvanu</v>
      </c>
      <c r="D50" s="30"/>
      <c r="K50" s="29"/>
      <c r="T50" s="30"/>
      <c r="AA50" s="29"/>
      <c r="AB50" s="30"/>
      <c r="AI50" s="29"/>
      <c r="AK50" s="28">
        <f t="shared" si="0"/>
        <v>0</v>
      </c>
      <c r="AL50" s="20">
        <f>Üldinfo!AM49</f>
        <v>0</v>
      </c>
      <c r="AM50" s="58" t="e">
        <f t="shared" si="1"/>
        <v>#DIV/0!</v>
      </c>
      <c r="AO50" s="59">
        <f t="shared" si="2"/>
        <v>0</v>
      </c>
      <c r="AP50" s="59">
        <f t="shared" si="3"/>
        <v>0</v>
      </c>
      <c r="AQ50" s="59">
        <f t="shared" si="4"/>
        <v>0</v>
      </c>
      <c r="AR50" s="60">
        <f t="shared" si="5"/>
        <v>0</v>
      </c>
      <c r="AS50" s="20"/>
      <c r="AT50" s="57">
        <f t="shared" si="6"/>
        <v>0</v>
      </c>
      <c r="AU50" s="57">
        <f t="shared" si="7"/>
        <v>0</v>
      </c>
      <c r="AV50" s="57">
        <f t="shared" si="8"/>
        <v>0</v>
      </c>
      <c r="AW50" s="57">
        <f t="shared" si="9"/>
        <v>0</v>
      </c>
      <c r="AX50" s="57">
        <f t="shared" si="10"/>
        <v>0</v>
      </c>
      <c r="AY50" s="61">
        <f t="shared" si="11"/>
        <v>0</v>
      </c>
    </row>
    <row r="51" spans="1:51" x14ac:dyDescent="0.25">
      <c r="A51" s="20">
        <f>Üldinfo!A50</f>
        <v>47</v>
      </c>
      <c r="B51" s="20" t="str">
        <f>Üldinfo!B50</f>
        <v>Mees</v>
      </c>
      <c r="C51" s="20" t="str">
        <f>Üldinfo!C50</f>
        <v>40+ a</v>
      </c>
      <c r="D51" s="30"/>
      <c r="K51" s="29"/>
      <c r="T51" s="30"/>
      <c r="AA51" s="29"/>
      <c r="AB51" s="30"/>
      <c r="AI51" s="29"/>
      <c r="AK51" s="28">
        <f t="shared" si="0"/>
        <v>0</v>
      </c>
      <c r="AL51" s="20">
        <f>Üldinfo!AM50</f>
        <v>0</v>
      </c>
      <c r="AM51" s="58" t="e">
        <f t="shared" si="1"/>
        <v>#DIV/0!</v>
      </c>
      <c r="AO51" s="59">
        <f t="shared" si="2"/>
        <v>0</v>
      </c>
      <c r="AP51" s="59">
        <f t="shared" si="3"/>
        <v>0</v>
      </c>
      <c r="AQ51" s="59">
        <f t="shared" si="4"/>
        <v>0</v>
      </c>
      <c r="AR51" s="60">
        <f t="shared" si="5"/>
        <v>0</v>
      </c>
      <c r="AS51" s="20"/>
      <c r="AT51" s="57">
        <f t="shared" si="6"/>
        <v>0</v>
      </c>
      <c r="AU51" s="57">
        <f t="shared" si="7"/>
        <v>0</v>
      </c>
      <c r="AV51" s="57">
        <f t="shared" si="8"/>
        <v>0</v>
      </c>
      <c r="AW51" s="57">
        <f t="shared" si="9"/>
        <v>0</v>
      </c>
      <c r="AX51" s="57">
        <f t="shared" si="10"/>
        <v>0</v>
      </c>
      <c r="AY51" s="61">
        <f t="shared" si="11"/>
        <v>0</v>
      </c>
    </row>
    <row r="52" spans="1:51" x14ac:dyDescent="0.25">
      <c r="A52" s="20">
        <f>Üldinfo!A51</f>
        <v>48</v>
      </c>
      <c r="B52" s="20" t="str">
        <f>Üldinfo!B51</f>
        <v>Alaealine</v>
      </c>
      <c r="C52" s="20" t="str">
        <f>Üldinfo!C51</f>
        <v>2-5 a</v>
      </c>
      <c r="D52" s="30"/>
      <c r="K52" s="29"/>
      <c r="T52" s="30"/>
      <c r="AA52" s="29"/>
      <c r="AB52" s="30"/>
      <c r="AI52" s="29"/>
      <c r="AK52" s="28">
        <f t="shared" si="0"/>
        <v>0</v>
      </c>
      <c r="AL52" s="20">
        <f>Üldinfo!AM51</f>
        <v>0</v>
      </c>
      <c r="AM52" s="58" t="e">
        <f t="shared" si="1"/>
        <v>#DIV/0!</v>
      </c>
      <c r="AO52" s="59">
        <f t="shared" si="2"/>
        <v>0</v>
      </c>
      <c r="AP52" s="59">
        <f t="shared" si="3"/>
        <v>0</v>
      </c>
      <c r="AQ52" s="59">
        <f t="shared" si="4"/>
        <v>0</v>
      </c>
      <c r="AR52" s="60">
        <f t="shared" si="5"/>
        <v>0</v>
      </c>
      <c r="AS52" s="20"/>
      <c r="AT52" s="57">
        <f t="shared" si="6"/>
        <v>0</v>
      </c>
      <c r="AU52" s="57">
        <f t="shared" si="7"/>
        <v>0</v>
      </c>
      <c r="AV52" s="57">
        <f t="shared" si="8"/>
        <v>0</v>
      </c>
      <c r="AW52" s="57">
        <f t="shared" si="9"/>
        <v>0</v>
      </c>
      <c r="AX52" s="57">
        <f t="shared" si="10"/>
        <v>0</v>
      </c>
      <c r="AY52" s="61">
        <f t="shared" si="11"/>
        <v>0</v>
      </c>
    </row>
    <row r="53" spans="1:51" x14ac:dyDescent="0.25">
      <c r="A53" s="20">
        <f>Üldinfo!A52</f>
        <v>49</v>
      </c>
      <c r="B53" s="20" t="str">
        <f>Üldinfo!B52</f>
        <v>Alaealine</v>
      </c>
      <c r="C53" s="20" t="str">
        <f>Üldinfo!C52</f>
        <v>12-15 a</v>
      </c>
      <c r="D53" s="30"/>
      <c r="K53" s="29"/>
      <c r="T53" s="30"/>
      <c r="AA53" s="29"/>
      <c r="AB53" s="30"/>
      <c r="AI53" s="29"/>
      <c r="AK53" s="28">
        <f t="shared" si="0"/>
        <v>0</v>
      </c>
      <c r="AL53" s="20">
        <f>Üldinfo!AM52</f>
        <v>4</v>
      </c>
      <c r="AM53" s="58">
        <f t="shared" si="1"/>
        <v>0</v>
      </c>
      <c r="AO53" s="59">
        <f t="shared" si="2"/>
        <v>0</v>
      </c>
      <c r="AP53" s="59">
        <f t="shared" si="3"/>
        <v>0</v>
      </c>
      <c r="AQ53" s="59">
        <f t="shared" si="4"/>
        <v>0</v>
      </c>
      <c r="AR53" s="60">
        <f t="shared" si="5"/>
        <v>0</v>
      </c>
      <c r="AS53" s="20"/>
      <c r="AT53" s="57">
        <f t="shared" si="6"/>
        <v>0</v>
      </c>
      <c r="AU53" s="57">
        <f t="shared" si="7"/>
        <v>0</v>
      </c>
      <c r="AV53" s="57">
        <f t="shared" si="8"/>
        <v>0</v>
      </c>
      <c r="AW53" s="57">
        <f t="shared" si="9"/>
        <v>0</v>
      </c>
      <c r="AX53" s="57">
        <f t="shared" si="10"/>
        <v>0</v>
      </c>
      <c r="AY53" s="61">
        <f t="shared" si="11"/>
        <v>0</v>
      </c>
    </row>
    <row r="54" spans="1:51" x14ac:dyDescent="0.25">
      <c r="A54" s="20">
        <f>Üldinfo!A53</f>
        <v>50</v>
      </c>
      <c r="B54" s="20" t="str">
        <f>Üldinfo!B53</f>
        <v>Mees</v>
      </c>
      <c r="C54" s="20" t="str">
        <f>Üldinfo!C53</f>
        <v>40+ a</v>
      </c>
      <c r="D54" s="30"/>
      <c r="K54" s="29"/>
      <c r="T54" s="30"/>
      <c r="AA54" s="29"/>
      <c r="AB54" s="30"/>
      <c r="AC54" s="28" t="s">
        <v>112</v>
      </c>
      <c r="AE54" s="28" t="s">
        <v>112</v>
      </c>
      <c r="AI54" s="29"/>
      <c r="AK54" s="28">
        <f t="shared" si="0"/>
        <v>2</v>
      </c>
      <c r="AL54" s="20">
        <f>Üldinfo!AM53</f>
        <v>13</v>
      </c>
      <c r="AM54" s="58">
        <f t="shared" si="1"/>
        <v>0.15384615384615385</v>
      </c>
      <c r="AO54" s="59">
        <f t="shared" si="2"/>
        <v>2</v>
      </c>
      <c r="AP54" s="59">
        <f t="shared" si="3"/>
        <v>0</v>
      </c>
      <c r="AQ54" s="59">
        <f t="shared" si="4"/>
        <v>0</v>
      </c>
      <c r="AR54" s="60">
        <f t="shared" si="5"/>
        <v>2</v>
      </c>
      <c r="AS54" s="20"/>
      <c r="AT54" s="57">
        <f t="shared" si="6"/>
        <v>0</v>
      </c>
      <c r="AU54" s="57">
        <f t="shared" si="7"/>
        <v>0</v>
      </c>
      <c r="AV54" s="57">
        <f t="shared" si="8"/>
        <v>0</v>
      </c>
      <c r="AW54" s="57">
        <f t="shared" si="9"/>
        <v>2</v>
      </c>
      <c r="AX54" s="57">
        <f t="shared" si="10"/>
        <v>0</v>
      </c>
      <c r="AY54" s="61">
        <f t="shared" si="11"/>
        <v>2</v>
      </c>
    </row>
    <row r="55" spans="1:51" x14ac:dyDescent="0.25">
      <c r="A55" s="20">
        <f>Üldinfo!A54</f>
        <v>51</v>
      </c>
      <c r="B55" s="20" t="str">
        <f>Üldinfo!B54</f>
        <v>Naine</v>
      </c>
      <c r="C55" s="20" t="str">
        <f>Üldinfo!C54</f>
        <v>40+ a</v>
      </c>
      <c r="D55" s="30"/>
      <c r="K55" s="29"/>
      <c r="T55" s="30"/>
      <c r="AA55" s="29"/>
      <c r="AB55" s="30"/>
      <c r="AI55" s="29"/>
      <c r="AK55" s="28">
        <f t="shared" si="0"/>
        <v>0</v>
      </c>
      <c r="AL55" s="20">
        <f>Üldinfo!AM54</f>
        <v>0</v>
      </c>
      <c r="AM55" s="58" t="e">
        <f t="shared" si="1"/>
        <v>#DIV/0!</v>
      </c>
      <c r="AO55" s="59">
        <f t="shared" si="2"/>
        <v>0</v>
      </c>
      <c r="AP55" s="59">
        <f t="shared" si="3"/>
        <v>0</v>
      </c>
      <c r="AQ55" s="59">
        <f t="shared" si="4"/>
        <v>0</v>
      </c>
      <c r="AR55" s="60">
        <f t="shared" si="5"/>
        <v>0</v>
      </c>
      <c r="AS55" s="20"/>
      <c r="AT55" s="57">
        <f t="shared" si="6"/>
        <v>0</v>
      </c>
      <c r="AU55" s="57">
        <f t="shared" si="7"/>
        <v>0</v>
      </c>
      <c r="AV55" s="57">
        <f t="shared" si="8"/>
        <v>0</v>
      </c>
      <c r="AW55" s="57">
        <f t="shared" si="9"/>
        <v>0</v>
      </c>
      <c r="AX55" s="57">
        <f t="shared" si="10"/>
        <v>0</v>
      </c>
      <c r="AY55" s="61">
        <f t="shared" si="11"/>
        <v>0</v>
      </c>
    </row>
    <row r="56" spans="1:51" x14ac:dyDescent="0.25">
      <c r="A56" s="20">
        <f>Üldinfo!A55</f>
        <v>52</v>
      </c>
      <c r="B56" s="20" t="str">
        <f>Üldinfo!B55</f>
        <v>Naine</v>
      </c>
      <c r="C56" s="20" t="str">
        <f>Üldinfo!C55</f>
        <v>17-25 a</v>
      </c>
      <c r="D56" s="30"/>
      <c r="K56" s="29"/>
      <c r="O56" s="28" t="s">
        <v>91</v>
      </c>
      <c r="T56" s="30"/>
      <c r="Z56" s="28" t="s">
        <v>162</v>
      </c>
      <c r="AA56" s="29" t="s">
        <v>91</v>
      </c>
      <c r="AB56" s="30"/>
      <c r="AG56" s="28" t="s">
        <v>103</v>
      </c>
      <c r="AI56" s="29"/>
      <c r="AK56" s="28">
        <f t="shared" si="0"/>
        <v>4</v>
      </c>
      <c r="AL56" s="20">
        <f>Üldinfo!AM55</f>
        <v>17</v>
      </c>
      <c r="AM56" s="58">
        <f t="shared" si="1"/>
        <v>0.23529411764705882</v>
      </c>
      <c r="AO56" s="59">
        <f t="shared" si="2"/>
        <v>4</v>
      </c>
      <c r="AP56" s="59">
        <f t="shared" si="3"/>
        <v>1</v>
      </c>
      <c r="AQ56" s="59">
        <f t="shared" si="4"/>
        <v>0</v>
      </c>
      <c r="AR56" s="60">
        <f t="shared" si="5"/>
        <v>5</v>
      </c>
      <c r="AS56" s="20"/>
      <c r="AT56" s="57">
        <f t="shared" si="6"/>
        <v>0</v>
      </c>
      <c r="AU56" s="57">
        <f t="shared" si="7"/>
        <v>1</v>
      </c>
      <c r="AV56" s="57">
        <f t="shared" si="8"/>
        <v>3</v>
      </c>
      <c r="AW56" s="57">
        <f t="shared" si="9"/>
        <v>1</v>
      </c>
      <c r="AX56" s="57">
        <f t="shared" si="10"/>
        <v>0</v>
      </c>
      <c r="AY56" s="61">
        <f t="shared" si="11"/>
        <v>5</v>
      </c>
    </row>
    <row r="57" spans="1:51" x14ac:dyDescent="0.25">
      <c r="A57" s="20">
        <f>Üldinfo!A56</f>
        <v>53</v>
      </c>
      <c r="B57" s="20" t="str">
        <f>Üldinfo!B56</f>
        <v>Täiskasvanu</v>
      </c>
      <c r="C57" s="20" t="str">
        <f>Üldinfo!C56</f>
        <v>Täiskasvanu</v>
      </c>
      <c r="D57" s="30"/>
      <c r="K57" s="29"/>
      <c r="T57" s="30"/>
      <c r="AA57" s="29"/>
      <c r="AB57" s="30"/>
      <c r="AI57" s="29"/>
      <c r="AK57" s="28">
        <f t="shared" si="0"/>
        <v>0</v>
      </c>
      <c r="AL57" s="20">
        <f>Üldinfo!AM56</f>
        <v>0</v>
      </c>
      <c r="AM57" s="58" t="e">
        <f t="shared" si="1"/>
        <v>#DIV/0!</v>
      </c>
      <c r="AO57" s="59">
        <f t="shared" si="2"/>
        <v>0</v>
      </c>
      <c r="AP57" s="59">
        <f t="shared" si="3"/>
        <v>0</v>
      </c>
      <c r="AQ57" s="59">
        <f t="shared" si="4"/>
        <v>0</v>
      </c>
      <c r="AR57" s="60">
        <f t="shared" si="5"/>
        <v>0</v>
      </c>
      <c r="AS57" s="20"/>
      <c r="AT57" s="57">
        <f t="shared" si="6"/>
        <v>0</v>
      </c>
      <c r="AU57" s="57">
        <f t="shared" si="7"/>
        <v>0</v>
      </c>
      <c r="AV57" s="57">
        <f t="shared" si="8"/>
        <v>0</v>
      </c>
      <c r="AW57" s="57">
        <f t="shared" si="9"/>
        <v>0</v>
      </c>
      <c r="AX57" s="57">
        <f t="shared" si="10"/>
        <v>0</v>
      </c>
      <c r="AY57" s="61">
        <f t="shared" si="11"/>
        <v>0</v>
      </c>
    </row>
    <row r="58" spans="1:51" x14ac:dyDescent="0.25">
      <c r="A58" s="20">
        <f>Üldinfo!A57</f>
        <v>54</v>
      </c>
      <c r="B58" s="20" t="str">
        <f>Üldinfo!B57</f>
        <v>Täiskasvanu</v>
      </c>
      <c r="C58" s="20" t="str">
        <f>Üldinfo!C57</f>
        <v>Täiskasvanu</v>
      </c>
      <c r="D58" s="30"/>
      <c r="K58" s="29"/>
      <c r="T58" s="30"/>
      <c r="AA58" s="29"/>
      <c r="AB58" s="30"/>
      <c r="AI58" s="29"/>
      <c r="AK58" s="28">
        <f t="shared" si="0"/>
        <v>0</v>
      </c>
      <c r="AL58" s="20">
        <f>Üldinfo!AM57</f>
        <v>0</v>
      </c>
      <c r="AM58" s="58" t="e">
        <f t="shared" si="1"/>
        <v>#DIV/0!</v>
      </c>
      <c r="AO58" s="59">
        <f t="shared" si="2"/>
        <v>0</v>
      </c>
      <c r="AP58" s="59">
        <f t="shared" si="3"/>
        <v>0</v>
      </c>
      <c r="AQ58" s="59">
        <f t="shared" si="4"/>
        <v>0</v>
      </c>
      <c r="AR58" s="60">
        <f t="shared" si="5"/>
        <v>0</v>
      </c>
      <c r="AS58" s="20"/>
      <c r="AT58" s="57">
        <f t="shared" si="6"/>
        <v>0</v>
      </c>
      <c r="AU58" s="57">
        <f t="shared" si="7"/>
        <v>0</v>
      </c>
      <c r="AV58" s="57">
        <f t="shared" si="8"/>
        <v>0</v>
      </c>
      <c r="AW58" s="57">
        <f t="shared" si="9"/>
        <v>0</v>
      </c>
      <c r="AX58" s="57">
        <f t="shared" si="10"/>
        <v>0</v>
      </c>
      <c r="AY58" s="61">
        <f t="shared" si="11"/>
        <v>0</v>
      </c>
    </row>
    <row r="59" spans="1:51" x14ac:dyDescent="0.25">
      <c r="A59" s="20">
        <f>Üldinfo!A58</f>
        <v>55</v>
      </c>
      <c r="B59" s="20" t="str">
        <f>Üldinfo!B58</f>
        <v>Naine</v>
      </c>
      <c r="C59" s="20" t="str">
        <f>Üldinfo!C58</f>
        <v>18-19 a</v>
      </c>
      <c r="D59" s="30"/>
      <c r="K59" s="29"/>
      <c r="T59" s="30"/>
      <c r="AA59" s="29"/>
      <c r="AB59" s="30" t="s">
        <v>91</v>
      </c>
      <c r="AC59" s="28" t="s">
        <v>91</v>
      </c>
      <c r="AI59" s="29"/>
      <c r="AK59" s="28">
        <f t="shared" si="0"/>
        <v>2</v>
      </c>
      <c r="AL59" s="20">
        <f>Üldinfo!AM58</f>
        <v>7</v>
      </c>
      <c r="AM59" s="58">
        <f t="shared" si="1"/>
        <v>0.2857142857142857</v>
      </c>
      <c r="AO59" s="59">
        <f t="shared" si="2"/>
        <v>2</v>
      </c>
      <c r="AP59" s="59">
        <f t="shared" si="3"/>
        <v>0</v>
      </c>
      <c r="AQ59" s="59">
        <f t="shared" si="4"/>
        <v>0</v>
      </c>
      <c r="AR59" s="60">
        <f t="shared" si="5"/>
        <v>2</v>
      </c>
      <c r="AS59" s="20"/>
      <c r="AT59" s="57">
        <f t="shared" si="6"/>
        <v>0</v>
      </c>
      <c r="AU59" s="57">
        <f t="shared" si="7"/>
        <v>0</v>
      </c>
      <c r="AV59" s="57">
        <f t="shared" si="8"/>
        <v>2</v>
      </c>
      <c r="AW59" s="57">
        <f t="shared" si="9"/>
        <v>0</v>
      </c>
      <c r="AX59" s="57">
        <f t="shared" si="10"/>
        <v>0</v>
      </c>
      <c r="AY59" s="61">
        <f t="shared" si="11"/>
        <v>2</v>
      </c>
    </row>
    <row r="60" spans="1:51" x14ac:dyDescent="0.25">
      <c r="A60" s="20">
        <f>Üldinfo!A59</f>
        <v>56</v>
      </c>
      <c r="B60" s="20" t="str">
        <f>Üldinfo!B59</f>
        <v>Naine</v>
      </c>
      <c r="C60" s="20" t="str">
        <f>Üldinfo!C59</f>
        <v>40+ a</v>
      </c>
      <c r="D60" s="30"/>
      <c r="K60" s="29"/>
      <c r="T60" s="30"/>
      <c r="AA60" s="29"/>
      <c r="AB60" s="30"/>
      <c r="AI60" s="29"/>
      <c r="AK60" s="28">
        <f t="shared" si="0"/>
        <v>0</v>
      </c>
      <c r="AL60" s="20">
        <f>Üldinfo!AM59</f>
        <v>0</v>
      </c>
      <c r="AM60" s="58" t="e">
        <f t="shared" si="1"/>
        <v>#DIV/0!</v>
      </c>
      <c r="AO60" s="59">
        <f t="shared" si="2"/>
        <v>0</v>
      </c>
      <c r="AP60" s="59">
        <f t="shared" si="3"/>
        <v>0</v>
      </c>
      <c r="AQ60" s="59">
        <f t="shared" si="4"/>
        <v>0</v>
      </c>
      <c r="AR60" s="60">
        <f t="shared" si="5"/>
        <v>0</v>
      </c>
      <c r="AS60" s="20"/>
      <c r="AT60" s="57">
        <f t="shared" si="6"/>
        <v>0</v>
      </c>
      <c r="AU60" s="57">
        <f t="shared" si="7"/>
        <v>0</v>
      </c>
      <c r="AV60" s="57">
        <f t="shared" si="8"/>
        <v>0</v>
      </c>
      <c r="AW60" s="57">
        <f t="shared" si="9"/>
        <v>0</v>
      </c>
      <c r="AX60" s="57">
        <f t="shared" si="10"/>
        <v>0</v>
      </c>
      <c r="AY60" s="61">
        <f t="shared" si="11"/>
        <v>0</v>
      </c>
    </row>
    <row r="61" spans="1:51" x14ac:dyDescent="0.25">
      <c r="A61" s="20">
        <f>Üldinfo!A60</f>
        <v>57</v>
      </c>
      <c r="B61" s="20" t="str">
        <f>Üldinfo!B60</f>
        <v>Alaealine</v>
      </c>
      <c r="C61" s="20" t="str">
        <f>Üldinfo!C60</f>
        <v>7-11 a</v>
      </c>
      <c r="D61" s="30"/>
      <c r="K61" s="29"/>
      <c r="T61" s="30"/>
      <c r="V61" s="28" t="s">
        <v>104</v>
      </c>
      <c r="W61" s="28" t="s">
        <v>131</v>
      </c>
      <c r="AA61" s="29" t="s">
        <v>112</v>
      </c>
      <c r="AB61" s="30" t="s">
        <v>131</v>
      </c>
      <c r="AC61" s="28" t="s">
        <v>131</v>
      </c>
      <c r="AG61" s="28" t="s">
        <v>163</v>
      </c>
      <c r="AI61" s="29"/>
      <c r="AK61" s="28">
        <f t="shared" si="0"/>
        <v>6</v>
      </c>
      <c r="AL61" s="20">
        <f>Üldinfo!AM60</f>
        <v>22</v>
      </c>
      <c r="AM61" s="58">
        <f t="shared" si="1"/>
        <v>0.27272727272727271</v>
      </c>
      <c r="AO61" s="59">
        <f t="shared" si="2"/>
        <v>13</v>
      </c>
      <c r="AP61" s="59">
        <f t="shared" si="3"/>
        <v>0</v>
      </c>
      <c r="AQ61" s="59">
        <f t="shared" si="4"/>
        <v>0</v>
      </c>
      <c r="AR61" s="60">
        <f t="shared" si="5"/>
        <v>13</v>
      </c>
      <c r="AS61" s="20"/>
      <c r="AT61" s="57">
        <f t="shared" si="6"/>
        <v>4</v>
      </c>
      <c r="AU61" s="57">
        <f t="shared" si="7"/>
        <v>5</v>
      </c>
      <c r="AV61" s="57">
        <f t="shared" si="8"/>
        <v>1</v>
      </c>
      <c r="AW61" s="57">
        <f t="shared" si="9"/>
        <v>3</v>
      </c>
      <c r="AX61" s="57">
        <f t="shared" si="10"/>
        <v>0</v>
      </c>
      <c r="AY61" s="61">
        <f t="shared" si="11"/>
        <v>13</v>
      </c>
    </row>
    <row r="62" spans="1:51" x14ac:dyDescent="0.25">
      <c r="A62" s="20">
        <f>Üldinfo!A61</f>
        <v>58</v>
      </c>
      <c r="B62" s="20" t="str">
        <f>Üldinfo!B61</f>
        <v>Alaealine</v>
      </c>
      <c r="C62" s="20" t="str">
        <f>Üldinfo!C61</f>
        <v>1 a ± 4 k</v>
      </c>
      <c r="D62" s="30"/>
      <c r="K62" s="29"/>
      <c r="T62" s="30"/>
      <c r="AA62" s="29"/>
      <c r="AB62" s="30"/>
      <c r="AI62" s="29"/>
      <c r="AK62" s="28">
        <f t="shared" si="0"/>
        <v>0</v>
      </c>
      <c r="AL62" s="20">
        <f>Üldinfo!AM61</f>
        <v>1</v>
      </c>
      <c r="AM62" s="58">
        <f t="shared" si="1"/>
        <v>0</v>
      </c>
      <c r="AO62" s="59">
        <f t="shared" si="2"/>
        <v>0</v>
      </c>
      <c r="AP62" s="59">
        <f t="shared" si="3"/>
        <v>0</v>
      </c>
      <c r="AQ62" s="59">
        <f t="shared" si="4"/>
        <v>0</v>
      </c>
      <c r="AR62" s="60">
        <f t="shared" si="5"/>
        <v>0</v>
      </c>
      <c r="AS62" s="20"/>
      <c r="AT62" s="57">
        <f t="shared" si="6"/>
        <v>0</v>
      </c>
      <c r="AU62" s="57">
        <f t="shared" si="7"/>
        <v>0</v>
      </c>
      <c r="AV62" s="57">
        <f t="shared" si="8"/>
        <v>0</v>
      </c>
      <c r="AW62" s="57">
        <f t="shared" si="9"/>
        <v>0</v>
      </c>
      <c r="AX62" s="57">
        <f t="shared" si="10"/>
        <v>0</v>
      </c>
      <c r="AY62" s="61">
        <f t="shared" si="11"/>
        <v>0</v>
      </c>
    </row>
    <row r="63" spans="1:51" x14ac:dyDescent="0.25">
      <c r="A63" s="20">
        <f>Üldinfo!A62</f>
        <v>59</v>
      </c>
      <c r="B63" s="20" t="str">
        <f>Üldinfo!B62</f>
        <v>Mees</v>
      </c>
      <c r="C63" s="20" t="str">
        <f>Üldinfo!C62</f>
        <v>17-22 a</v>
      </c>
      <c r="D63" s="30"/>
      <c r="K63" s="29"/>
      <c r="T63" s="30" t="s">
        <v>166</v>
      </c>
      <c r="U63" s="28" t="s">
        <v>101</v>
      </c>
      <c r="V63" s="28" t="s">
        <v>163</v>
      </c>
      <c r="Y63" s="28" t="s">
        <v>104</v>
      </c>
      <c r="Z63" s="28" t="s">
        <v>104</v>
      </c>
      <c r="AA63" s="29" t="s">
        <v>104</v>
      </c>
      <c r="AB63" s="30" t="s">
        <v>104</v>
      </c>
      <c r="AC63" s="28" t="s">
        <v>104</v>
      </c>
      <c r="AD63" s="28" t="s">
        <v>104</v>
      </c>
      <c r="AG63" s="28" t="s">
        <v>112</v>
      </c>
      <c r="AI63" s="29"/>
      <c r="AK63" s="28">
        <f t="shared" si="0"/>
        <v>10</v>
      </c>
      <c r="AL63" s="20">
        <f>Üldinfo!AM62</f>
        <v>32</v>
      </c>
      <c r="AM63" s="58">
        <f t="shared" si="1"/>
        <v>0.3125</v>
      </c>
      <c r="AO63" s="59">
        <f t="shared" si="2"/>
        <v>30</v>
      </c>
      <c r="AP63" s="59">
        <f t="shared" si="3"/>
        <v>0</v>
      </c>
      <c r="AQ63" s="59">
        <f t="shared" si="4"/>
        <v>0</v>
      </c>
      <c r="AR63" s="60">
        <f t="shared" si="5"/>
        <v>30</v>
      </c>
      <c r="AS63" s="20"/>
      <c r="AT63" s="57">
        <f t="shared" si="6"/>
        <v>7</v>
      </c>
      <c r="AU63" s="57">
        <f t="shared" si="7"/>
        <v>7</v>
      </c>
      <c r="AV63" s="57">
        <f t="shared" si="8"/>
        <v>7</v>
      </c>
      <c r="AW63" s="57">
        <f t="shared" si="9"/>
        <v>9</v>
      </c>
      <c r="AX63" s="57">
        <f t="shared" si="10"/>
        <v>0</v>
      </c>
      <c r="AY63" s="61">
        <f t="shared" si="11"/>
        <v>30</v>
      </c>
    </row>
    <row r="64" spans="1:51" x14ac:dyDescent="0.25">
      <c r="A64" s="20">
        <f>Üldinfo!A63</f>
        <v>60</v>
      </c>
      <c r="B64" s="20" t="str">
        <f>Üldinfo!B63</f>
        <v>Täiskasvanu</v>
      </c>
      <c r="C64" s="20" t="str">
        <f>Üldinfo!C63</f>
        <v>Täiskasvanu</v>
      </c>
      <c r="D64" s="30"/>
      <c r="K64" s="29"/>
      <c r="T64" s="30"/>
      <c r="AA64" s="29"/>
      <c r="AB64" s="30"/>
      <c r="AI64" s="29"/>
      <c r="AK64" s="28">
        <f t="shared" si="0"/>
        <v>0</v>
      </c>
      <c r="AL64" s="20">
        <f>Üldinfo!AM63</f>
        <v>0</v>
      </c>
      <c r="AM64" s="58" t="e">
        <f t="shared" si="1"/>
        <v>#DIV/0!</v>
      </c>
      <c r="AO64" s="59">
        <f t="shared" si="2"/>
        <v>0</v>
      </c>
      <c r="AP64" s="59">
        <f t="shared" si="3"/>
        <v>0</v>
      </c>
      <c r="AQ64" s="59">
        <f t="shared" si="4"/>
        <v>0</v>
      </c>
      <c r="AR64" s="60">
        <f t="shared" si="5"/>
        <v>0</v>
      </c>
      <c r="AS64" s="20"/>
      <c r="AT64" s="57">
        <f t="shared" si="6"/>
        <v>0</v>
      </c>
      <c r="AU64" s="57">
        <f t="shared" si="7"/>
        <v>0</v>
      </c>
      <c r="AV64" s="57">
        <f t="shared" si="8"/>
        <v>0</v>
      </c>
      <c r="AW64" s="57">
        <f t="shared" si="9"/>
        <v>0</v>
      </c>
      <c r="AX64" s="57">
        <f t="shared" si="10"/>
        <v>0</v>
      </c>
      <c r="AY64" s="61">
        <f t="shared" si="11"/>
        <v>0</v>
      </c>
    </row>
    <row r="65" spans="1:51" x14ac:dyDescent="0.25">
      <c r="A65" s="20">
        <f>Üldinfo!A64</f>
        <v>61</v>
      </c>
      <c r="B65" s="20" t="str">
        <f>Üldinfo!B64</f>
        <v>Mees</v>
      </c>
      <c r="C65" s="20" t="str">
        <f>Üldinfo!C64</f>
        <v>50+ a</v>
      </c>
      <c r="D65" s="30"/>
      <c r="K65" s="29"/>
      <c r="T65" s="30"/>
      <c r="W65" s="28" t="s">
        <v>104</v>
      </c>
      <c r="X65" s="28" t="s">
        <v>104</v>
      </c>
      <c r="Y65" s="28" t="s">
        <v>169</v>
      </c>
      <c r="AA65" s="29"/>
      <c r="AB65" s="30"/>
      <c r="AD65" s="28" t="s">
        <v>135</v>
      </c>
      <c r="AE65" s="28" t="s">
        <v>104</v>
      </c>
      <c r="AF65" s="28" t="s">
        <v>104</v>
      </c>
      <c r="AI65" s="29" t="s">
        <v>132</v>
      </c>
      <c r="AK65" s="28">
        <f t="shared" si="0"/>
        <v>7</v>
      </c>
      <c r="AL65" s="20">
        <f>Üldinfo!AM64</f>
        <v>10</v>
      </c>
      <c r="AM65" s="58">
        <f t="shared" si="1"/>
        <v>0.7</v>
      </c>
      <c r="AO65" s="59">
        <f t="shared" si="2"/>
        <v>24</v>
      </c>
      <c r="AP65" s="59">
        <f t="shared" si="3"/>
        <v>1</v>
      </c>
      <c r="AQ65" s="59">
        <f t="shared" si="4"/>
        <v>0</v>
      </c>
      <c r="AR65" s="60">
        <f t="shared" si="5"/>
        <v>25</v>
      </c>
      <c r="AS65" s="20"/>
      <c r="AT65" s="57">
        <f t="shared" si="6"/>
        <v>6</v>
      </c>
      <c r="AU65" s="57">
        <f t="shared" si="7"/>
        <v>6</v>
      </c>
      <c r="AV65" s="57">
        <f t="shared" si="8"/>
        <v>6</v>
      </c>
      <c r="AW65" s="57">
        <f t="shared" si="9"/>
        <v>7</v>
      </c>
      <c r="AX65" s="57">
        <f t="shared" si="10"/>
        <v>0</v>
      </c>
      <c r="AY65" s="61">
        <f t="shared" si="11"/>
        <v>25</v>
      </c>
    </row>
    <row r="66" spans="1:51" x14ac:dyDescent="0.25">
      <c r="A66" s="20">
        <f>Üldinfo!A65</f>
        <v>62</v>
      </c>
      <c r="B66" s="20" t="str">
        <f>Üldinfo!B65</f>
        <v>Mees</v>
      </c>
      <c r="C66" s="20" t="str">
        <f>Üldinfo!C65</f>
        <v>Täiskasvanu</v>
      </c>
      <c r="D66" s="30"/>
      <c r="K66" s="29"/>
      <c r="T66" s="30"/>
      <c r="AA66" s="29"/>
      <c r="AB66" s="30"/>
      <c r="AI66" s="29"/>
      <c r="AK66" s="28">
        <f t="shared" si="0"/>
        <v>0</v>
      </c>
      <c r="AL66" s="20">
        <f>Üldinfo!AM65</f>
        <v>0</v>
      </c>
      <c r="AM66" s="58" t="e">
        <f t="shared" si="1"/>
        <v>#DIV/0!</v>
      </c>
      <c r="AO66" s="59">
        <f t="shared" si="2"/>
        <v>0</v>
      </c>
      <c r="AP66" s="59">
        <f t="shared" si="3"/>
        <v>0</v>
      </c>
      <c r="AQ66" s="59">
        <f t="shared" si="4"/>
        <v>0</v>
      </c>
      <c r="AR66" s="60">
        <f t="shared" si="5"/>
        <v>0</v>
      </c>
      <c r="AS66" s="20"/>
      <c r="AT66" s="57">
        <f t="shared" si="6"/>
        <v>0</v>
      </c>
      <c r="AU66" s="57">
        <f t="shared" si="7"/>
        <v>0</v>
      </c>
      <c r="AV66" s="57">
        <f t="shared" si="8"/>
        <v>0</v>
      </c>
      <c r="AW66" s="57">
        <f t="shared" si="9"/>
        <v>0</v>
      </c>
      <c r="AX66" s="57">
        <f t="shared" si="10"/>
        <v>0</v>
      </c>
      <c r="AY66" s="61">
        <f t="shared" si="11"/>
        <v>0</v>
      </c>
    </row>
    <row r="67" spans="1:51" x14ac:dyDescent="0.25">
      <c r="A67" s="20">
        <f>Üldinfo!A66</f>
        <v>63</v>
      </c>
      <c r="B67" s="20" t="str">
        <f>Üldinfo!B66</f>
        <v>Mees</v>
      </c>
      <c r="C67" s="20" t="str">
        <f>Üldinfo!C66</f>
        <v>Täiskasvanu</v>
      </c>
      <c r="D67" s="30"/>
      <c r="K67" s="29"/>
      <c r="T67" s="30"/>
      <c r="AA67" s="29"/>
      <c r="AB67" s="30"/>
      <c r="AI67" s="29"/>
      <c r="AK67" s="28">
        <f t="shared" si="0"/>
        <v>0</v>
      </c>
      <c r="AL67" s="20">
        <f>Üldinfo!AM66</f>
        <v>0</v>
      </c>
      <c r="AM67" s="58" t="e">
        <f t="shared" si="1"/>
        <v>#DIV/0!</v>
      </c>
      <c r="AO67" s="59">
        <f t="shared" si="2"/>
        <v>0</v>
      </c>
      <c r="AP67" s="59">
        <f t="shared" si="3"/>
        <v>0</v>
      </c>
      <c r="AQ67" s="59">
        <f t="shared" si="4"/>
        <v>0</v>
      </c>
      <c r="AR67" s="60">
        <f t="shared" si="5"/>
        <v>0</v>
      </c>
      <c r="AS67" s="20"/>
      <c r="AT67" s="57">
        <f t="shared" si="6"/>
        <v>0</v>
      </c>
      <c r="AU67" s="57">
        <f t="shared" si="7"/>
        <v>0</v>
      </c>
      <c r="AV67" s="57">
        <f t="shared" si="8"/>
        <v>0</v>
      </c>
      <c r="AW67" s="57">
        <f t="shared" si="9"/>
        <v>0</v>
      </c>
      <c r="AX67" s="57">
        <f t="shared" si="10"/>
        <v>0</v>
      </c>
      <c r="AY67" s="61">
        <f t="shared" si="11"/>
        <v>0</v>
      </c>
    </row>
    <row r="68" spans="1:51" x14ac:dyDescent="0.25">
      <c r="A68" s="20">
        <f>Üldinfo!A67</f>
        <v>64</v>
      </c>
      <c r="B68" s="20" t="str">
        <f>Üldinfo!B67</f>
        <v>Mees</v>
      </c>
      <c r="C68" s="20" t="str">
        <f>Üldinfo!C67</f>
        <v>Täiskasvanu</v>
      </c>
      <c r="D68" s="30"/>
      <c r="K68" s="29"/>
      <c r="T68" s="30"/>
      <c r="AA68" s="29"/>
      <c r="AB68" s="30"/>
      <c r="AI68" s="29"/>
      <c r="AK68" s="28">
        <f t="shared" si="0"/>
        <v>0</v>
      </c>
      <c r="AL68" s="20">
        <f>Üldinfo!AM67</f>
        <v>0</v>
      </c>
      <c r="AM68" s="58" t="e">
        <f t="shared" si="1"/>
        <v>#DIV/0!</v>
      </c>
      <c r="AO68" s="59">
        <f t="shared" si="2"/>
        <v>0</v>
      </c>
      <c r="AP68" s="59">
        <f t="shared" si="3"/>
        <v>0</v>
      </c>
      <c r="AQ68" s="59">
        <f t="shared" si="4"/>
        <v>0</v>
      </c>
      <c r="AR68" s="60">
        <f t="shared" si="5"/>
        <v>0</v>
      </c>
      <c r="AS68" s="20"/>
      <c r="AT68" s="57">
        <f t="shared" si="6"/>
        <v>0</v>
      </c>
      <c r="AU68" s="57">
        <f t="shared" si="7"/>
        <v>0</v>
      </c>
      <c r="AV68" s="57">
        <f t="shared" si="8"/>
        <v>0</v>
      </c>
      <c r="AW68" s="57">
        <f t="shared" si="9"/>
        <v>0</v>
      </c>
      <c r="AX68" s="57">
        <f t="shared" si="10"/>
        <v>0</v>
      </c>
      <c r="AY68" s="61">
        <f t="shared" si="11"/>
        <v>0</v>
      </c>
    </row>
    <row r="69" spans="1:51" x14ac:dyDescent="0.25">
      <c r="A69" s="20">
        <f>Üldinfo!A68</f>
        <v>65</v>
      </c>
      <c r="B69" s="20" t="str">
        <f>Üldinfo!B68</f>
        <v>Mees</v>
      </c>
      <c r="C69" s="20" t="str">
        <f>Üldinfo!C68</f>
        <v>39-44 a</v>
      </c>
      <c r="D69" s="30"/>
      <c r="K69" s="29"/>
      <c r="T69" s="30"/>
      <c r="AA69" s="29"/>
      <c r="AB69" s="30"/>
      <c r="AI69" s="29"/>
      <c r="AK69" s="28">
        <f t="shared" si="0"/>
        <v>0</v>
      </c>
      <c r="AL69" s="20">
        <f>Üldinfo!AM68</f>
        <v>0</v>
      </c>
      <c r="AM69" s="58" t="e">
        <f t="shared" si="1"/>
        <v>#DIV/0!</v>
      </c>
      <c r="AO69" s="59">
        <f t="shared" si="2"/>
        <v>0</v>
      </c>
      <c r="AP69" s="59">
        <f t="shared" si="3"/>
        <v>0</v>
      </c>
      <c r="AQ69" s="59">
        <f t="shared" si="4"/>
        <v>0</v>
      </c>
      <c r="AR69" s="60">
        <f t="shared" si="5"/>
        <v>0</v>
      </c>
      <c r="AS69" s="20"/>
      <c r="AT69" s="57">
        <f t="shared" si="6"/>
        <v>0</v>
      </c>
      <c r="AU69" s="57">
        <f t="shared" si="7"/>
        <v>0</v>
      </c>
      <c r="AV69" s="57">
        <f t="shared" si="8"/>
        <v>0</v>
      </c>
      <c r="AW69" s="57">
        <f t="shared" si="9"/>
        <v>0</v>
      </c>
      <c r="AX69" s="57">
        <f t="shared" si="10"/>
        <v>0</v>
      </c>
      <c r="AY69" s="61">
        <f t="shared" si="11"/>
        <v>0</v>
      </c>
    </row>
    <row r="70" spans="1:51" x14ac:dyDescent="0.25">
      <c r="A70" s="20">
        <f>Üldinfo!A69</f>
        <v>66</v>
      </c>
      <c r="B70" s="20" t="str">
        <f>Üldinfo!B69</f>
        <v>Täiskasvanu</v>
      </c>
      <c r="C70" s="20" t="str">
        <f>Üldinfo!C69</f>
        <v>Täiskasvanu</v>
      </c>
      <c r="D70" s="30"/>
      <c r="K70" s="29"/>
      <c r="T70" s="30"/>
      <c r="AA70" s="29"/>
      <c r="AB70" s="30"/>
      <c r="AI70" s="29"/>
      <c r="AK70" s="28">
        <f t="shared" si="0"/>
        <v>0</v>
      </c>
      <c r="AL70" s="20">
        <f>Üldinfo!AM69</f>
        <v>0</v>
      </c>
      <c r="AM70" s="58" t="e">
        <f t="shared" si="1"/>
        <v>#DIV/0!</v>
      </c>
      <c r="AO70" s="59">
        <f t="shared" si="2"/>
        <v>0</v>
      </c>
      <c r="AP70" s="59">
        <f t="shared" si="3"/>
        <v>0</v>
      </c>
      <c r="AQ70" s="59">
        <f t="shared" si="4"/>
        <v>0</v>
      </c>
      <c r="AR70" s="60">
        <f t="shared" si="5"/>
        <v>0</v>
      </c>
      <c r="AS70" s="20"/>
      <c r="AT70" s="57">
        <f t="shared" si="6"/>
        <v>0</v>
      </c>
      <c r="AU70" s="57">
        <f t="shared" si="7"/>
        <v>0</v>
      </c>
      <c r="AV70" s="57">
        <f t="shared" si="8"/>
        <v>0</v>
      </c>
      <c r="AW70" s="57">
        <f t="shared" si="9"/>
        <v>0</v>
      </c>
      <c r="AX70" s="57">
        <f t="shared" si="10"/>
        <v>0</v>
      </c>
      <c r="AY70" s="61">
        <f t="shared" si="11"/>
        <v>0</v>
      </c>
    </row>
    <row r="71" spans="1:51" x14ac:dyDescent="0.25">
      <c r="A71" s="20">
        <f>Üldinfo!A70</f>
        <v>67</v>
      </c>
      <c r="B71" s="20" t="str">
        <f>Üldinfo!B70</f>
        <v>Alaealine</v>
      </c>
      <c r="C71" s="20" t="str">
        <f>Üldinfo!C70</f>
        <v>7-11 a</v>
      </c>
      <c r="D71" s="30"/>
      <c r="K71" s="29"/>
      <c r="T71" s="30"/>
      <c r="W71" s="28" t="s">
        <v>112</v>
      </c>
      <c r="AA71" s="29"/>
      <c r="AB71" s="30"/>
      <c r="AI71" s="29"/>
      <c r="AK71" s="28">
        <f t="shared" si="0"/>
        <v>1</v>
      </c>
      <c r="AL71" s="20">
        <f>Üldinfo!AM70</f>
        <v>13</v>
      </c>
      <c r="AM71" s="58">
        <f t="shared" si="1"/>
        <v>7.6923076923076927E-2</v>
      </c>
      <c r="AO71" s="59">
        <f t="shared" si="2"/>
        <v>1</v>
      </c>
      <c r="AP71" s="59">
        <f t="shared" si="3"/>
        <v>0</v>
      </c>
      <c r="AQ71" s="59">
        <f t="shared" si="4"/>
        <v>0</v>
      </c>
      <c r="AR71" s="60">
        <f t="shared" si="5"/>
        <v>1</v>
      </c>
      <c r="AS71" s="20"/>
      <c r="AT71" s="57">
        <f t="shared" si="6"/>
        <v>0</v>
      </c>
      <c r="AU71" s="57">
        <f t="shared" si="7"/>
        <v>0</v>
      </c>
      <c r="AV71" s="57">
        <f t="shared" si="8"/>
        <v>0</v>
      </c>
      <c r="AW71" s="57">
        <f t="shared" si="9"/>
        <v>1</v>
      </c>
      <c r="AX71" s="57">
        <f t="shared" si="10"/>
        <v>0</v>
      </c>
      <c r="AY71" s="61">
        <f t="shared" si="11"/>
        <v>1</v>
      </c>
    </row>
    <row r="72" spans="1:51" x14ac:dyDescent="0.25">
      <c r="A72" s="20">
        <f>Üldinfo!A71</f>
        <v>68</v>
      </c>
      <c r="B72" s="20" t="str">
        <f>Üldinfo!B71</f>
        <v>Naine</v>
      </c>
      <c r="C72" s="20" t="str">
        <f>Üldinfo!C71</f>
        <v>40+ a</v>
      </c>
      <c r="D72" s="30"/>
      <c r="K72" s="29"/>
      <c r="T72" s="30"/>
      <c r="AA72" s="29"/>
      <c r="AB72" s="30"/>
      <c r="AI72" s="29"/>
      <c r="AK72" s="28">
        <f t="shared" si="0"/>
        <v>0</v>
      </c>
      <c r="AL72" s="20">
        <f>Üldinfo!AM71</f>
        <v>0</v>
      </c>
      <c r="AM72" s="58" t="e">
        <f t="shared" si="1"/>
        <v>#DIV/0!</v>
      </c>
      <c r="AO72" s="59">
        <f t="shared" si="2"/>
        <v>0</v>
      </c>
      <c r="AP72" s="59">
        <f t="shared" si="3"/>
        <v>0</v>
      </c>
      <c r="AQ72" s="59">
        <f t="shared" si="4"/>
        <v>0</v>
      </c>
      <c r="AR72" s="60">
        <f t="shared" si="5"/>
        <v>0</v>
      </c>
      <c r="AS72" s="20"/>
      <c r="AT72" s="57">
        <f t="shared" si="6"/>
        <v>0</v>
      </c>
      <c r="AU72" s="57">
        <f t="shared" si="7"/>
        <v>0</v>
      </c>
      <c r="AV72" s="57">
        <f t="shared" si="8"/>
        <v>0</v>
      </c>
      <c r="AW72" s="57">
        <f t="shared" si="9"/>
        <v>0</v>
      </c>
      <c r="AX72" s="57">
        <f t="shared" si="10"/>
        <v>0</v>
      </c>
      <c r="AY72" s="61">
        <f t="shared" si="11"/>
        <v>0</v>
      </c>
    </row>
    <row r="73" spans="1:51" x14ac:dyDescent="0.25">
      <c r="A73" s="20">
        <f>Üldinfo!A72</f>
        <v>69</v>
      </c>
      <c r="B73" s="20" t="str">
        <f>Üldinfo!B72</f>
        <v>Mees</v>
      </c>
      <c r="C73" s="20" t="str">
        <f>Üldinfo!C72</f>
        <v>25-40 a</v>
      </c>
      <c r="D73" s="30"/>
      <c r="K73" s="29"/>
      <c r="T73" s="30"/>
      <c r="AA73" s="29"/>
      <c r="AB73" s="30"/>
      <c r="AI73" s="29"/>
      <c r="AK73" s="28">
        <f t="shared" si="0"/>
        <v>0</v>
      </c>
      <c r="AL73" s="20">
        <f>Üldinfo!AM72</f>
        <v>0</v>
      </c>
      <c r="AM73" s="58" t="e">
        <f t="shared" si="1"/>
        <v>#DIV/0!</v>
      </c>
      <c r="AO73" s="59">
        <f t="shared" si="2"/>
        <v>0</v>
      </c>
      <c r="AP73" s="59">
        <f t="shared" si="3"/>
        <v>0</v>
      </c>
      <c r="AQ73" s="59">
        <f t="shared" si="4"/>
        <v>0</v>
      </c>
      <c r="AR73" s="60">
        <f t="shared" si="5"/>
        <v>0</v>
      </c>
      <c r="AS73" s="20"/>
      <c r="AT73" s="57">
        <f t="shared" si="6"/>
        <v>0</v>
      </c>
      <c r="AU73" s="57">
        <f t="shared" si="7"/>
        <v>0</v>
      </c>
      <c r="AV73" s="57">
        <f t="shared" si="8"/>
        <v>0</v>
      </c>
      <c r="AW73" s="57">
        <f t="shared" si="9"/>
        <v>0</v>
      </c>
      <c r="AX73" s="57">
        <f t="shared" si="10"/>
        <v>0</v>
      </c>
      <c r="AY73" s="61">
        <f t="shared" si="11"/>
        <v>0</v>
      </c>
    </row>
    <row r="74" spans="1:51" x14ac:dyDescent="0.25">
      <c r="D74" s="62">
        <f t="shared" ref="D74:AJ74" si="12">COUNTA(D$5:D$73)</f>
        <v>2</v>
      </c>
      <c r="E74" s="62">
        <f t="shared" si="12"/>
        <v>5</v>
      </c>
      <c r="F74" s="62">
        <f t="shared" si="12"/>
        <v>4</v>
      </c>
      <c r="G74" s="62">
        <f t="shared" si="12"/>
        <v>2</v>
      </c>
      <c r="H74" s="62">
        <f t="shared" si="12"/>
        <v>3</v>
      </c>
      <c r="I74" s="62">
        <f t="shared" si="12"/>
        <v>5</v>
      </c>
      <c r="J74" s="62">
        <f t="shared" si="12"/>
        <v>2</v>
      </c>
      <c r="K74" s="62">
        <f t="shared" si="12"/>
        <v>3</v>
      </c>
      <c r="L74" s="62">
        <f t="shared" si="12"/>
        <v>2</v>
      </c>
      <c r="M74" s="62">
        <f t="shared" si="12"/>
        <v>4</v>
      </c>
      <c r="N74" s="62">
        <f t="shared" si="12"/>
        <v>1</v>
      </c>
      <c r="O74" s="62">
        <f t="shared" si="12"/>
        <v>5</v>
      </c>
      <c r="P74" s="62">
        <f t="shared" si="12"/>
        <v>3</v>
      </c>
      <c r="Q74" s="62">
        <f t="shared" si="12"/>
        <v>5</v>
      </c>
      <c r="R74" s="62">
        <f t="shared" si="12"/>
        <v>3</v>
      </c>
      <c r="S74" s="62">
        <f t="shared" si="12"/>
        <v>1</v>
      </c>
      <c r="T74" s="62">
        <f t="shared" si="12"/>
        <v>4</v>
      </c>
      <c r="U74" s="62">
        <f t="shared" si="12"/>
        <v>5</v>
      </c>
      <c r="V74" s="62">
        <f t="shared" si="12"/>
        <v>6</v>
      </c>
      <c r="W74" s="62">
        <f t="shared" si="12"/>
        <v>7</v>
      </c>
      <c r="X74" s="62">
        <f t="shared" si="12"/>
        <v>6</v>
      </c>
      <c r="Y74" s="62">
        <f t="shared" si="12"/>
        <v>9</v>
      </c>
      <c r="Z74" s="62">
        <f t="shared" si="12"/>
        <v>10</v>
      </c>
      <c r="AA74" s="62">
        <f t="shared" si="12"/>
        <v>11</v>
      </c>
      <c r="AB74" s="62">
        <f t="shared" si="12"/>
        <v>10</v>
      </c>
      <c r="AC74" s="62">
        <f t="shared" si="12"/>
        <v>12</v>
      </c>
      <c r="AD74" s="62">
        <f t="shared" si="12"/>
        <v>8</v>
      </c>
      <c r="AE74" s="62">
        <f t="shared" si="12"/>
        <v>6</v>
      </c>
      <c r="AF74" s="62">
        <f t="shared" si="12"/>
        <v>5</v>
      </c>
      <c r="AG74" s="62">
        <f t="shared" si="12"/>
        <v>8</v>
      </c>
      <c r="AH74" s="62">
        <f t="shared" si="12"/>
        <v>2</v>
      </c>
      <c r="AI74" s="62">
        <f t="shared" si="12"/>
        <v>2</v>
      </c>
      <c r="AJ74" s="62">
        <f t="shared" si="12"/>
        <v>0</v>
      </c>
      <c r="AK74" s="62">
        <f>SUM(AK5:AK73)</f>
        <v>161</v>
      </c>
      <c r="AL74" s="31">
        <f>SUM(AL5:AL73)</f>
        <v>458</v>
      </c>
      <c r="AM74" s="63">
        <f t="shared" si="1"/>
        <v>0.35152838427947597</v>
      </c>
    </row>
    <row r="75" spans="1:51" x14ac:dyDescent="0.25">
      <c r="C75" s="20" t="s">
        <v>120</v>
      </c>
      <c r="D75" s="28">
        <f>Üldinfo!E74</f>
        <v>8</v>
      </c>
      <c r="E75" s="28">
        <f>Üldinfo!F74</f>
        <v>9</v>
      </c>
      <c r="F75" s="28">
        <f>Üldinfo!G74</f>
        <v>12</v>
      </c>
      <c r="G75" s="28">
        <f>Üldinfo!H74</f>
        <v>12</v>
      </c>
      <c r="H75" s="28">
        <f>Üldinfo!I74</f>
        <v>12</v>
      </c>
      <c r="I75" s="28">
        <f>Üldinfo!J74</f>
        <v>14</v>
      </c>
      <c r="J75" s="28">
        <f>Üldinfo!K74</f>
        <v>14</v>
      </c>
      <c r="K75" s="28">
        <f>Üldinfo!L74</f>
        <v>11</v>
      </c>
      <c r="L75" s="28">
        <f>Üldinfo!M74</f>
        <v>12</v>
      </c>
      <c r="M75" s="28">
        <f>Üldinfo!N74</f>
        <v>14</v>
      </c>
      <c r="N75" s="28">
        <f>Üldinfo!O74</f>
        <v>15</v>
      </c>
      <c r="O75" s="28">
        <f>Üldinfo!P74</f>
        <v>14</v>
      </c>
      <c r="P75" s="28">
        <f>Üldinfo!Q74</f>
        <v>13</v>
      </c>
      <c r="Q75" s="28">
        <f>Üldinfo!R74</f>
        <v>15</v>
      </c>
      <c r="R75" s="28">
        <f>Üldinfo!S74</f>
        <v>9</v>
      </c>
      <c r="S75" s="28">
        <f>Üldinfo!T74</f>
        <v>8</v>
      </c>
      <c r="T75" s="28">
        <f>Üldinfo!U74</f>
        <v>10</v>
      </c>
      <c r="U75" s="28">
        <f>Üldinfo!V74</f>
        <v>13</v>
      </c>
      <c r="V75" s="28">
        <f>Üldinfo!W74</f>
        <v>16</v>
      </c>
      <c r="W75" s="28">
        <f>Üldinfo!X74</f>
        <v>18</v>
      </c>
      <c r="X75" s="28">
        <f>Üldinfo!Y74</f>
        <v>18</v>
      </c>
      <c r="Y75" s="28">
        <f>Üldinfo!Z74</f>
        <v>17</v>
      </c>
      <c r="Z75" s="28">
        <f>Üldinfo!AA74</f>
        <v>18</v>
      </c>
      <c r="AA75" s="28">
        <f>Üldinfo!AB74</f>
        <v>20</v>
      </c>
      <c r="AB75" s="28">
        <f>Üldinfo!AC74</f>
        <v>16</v>
      </c>
      <c r="AC75" s="28">
        <f>Üldinfo!AD74</f>
        <v>19</v>
      </c>
      <c r="AD75" s="28">
        <f>Üldinfo!AE74</f>
        <v>18</v>
      </c>
      <c r="AE75" s="28">
        <f>Üldinfo!AF74</f>
        <v>19</v>
      </c>
      <c r="AF75" s="28">
        <f>Üldinfo!AG74</f>
        <v>21</v>
      </c>
      <c r="AG75" s="28">
        <f>Üldinfo!AH74</f>
        <v>19</v>
      </c>
      <c r="AH75" s="28">
        <f>Üldinfo!AI74</f>
        <v>14</v>
      </c>
      <c r="AI75" s="28">
        <f>Üldinfo!AJ74</f>
        <v>10</v>
      </c>
      <c r="AJ75" s="31">
        <f>SUM(D75:AI75)</f>
        <v>458</v>
      </c>
      <c r="AM75" s="58"/>
    </row>
    <row r="76" spans="1:51" x14ac:dyDescent="0.25">
      <c r="C76" s="20" t="s">
        <v>51</v>
      </c>
      <c r="D76" s="64">
        <f t="shared" ref="D76:AI76" si="13">D74/D75*100</f>
        <v>25</v>
      </c>
      <c r="E76" s="64">
        <f t="shared" si="13"/>
        <v>55.555555555555557</v>
      </c>
      <c r="F76" s="64">
        <f t="shared" si="13"/>
        <v>33.333333333333329</v>
      </c>
      <c r="G76" s="64">
        <f t="shared" si="13"/>
        <v>16.666666666666664</v>
      </c>
      <c r="H76" s="64">
        <f t="shared" si="13"/>
        <v>25</v>
      </c>
      <c r="I76" s="64">
        <f t="shared" si="13"/>
        <v>35.714285714285715</v>
      </c>
      <c r="J76" s="64">
        <f t="shared" si="13"/>
        <v>14.285714285714285</v>
      </c>
      <c r="K76" s="64">
        <f t="shared" si="13"/>
        <v>27.27272727272727</v>
      </c>
      <c r="L76" s="64">
        <f t="shared" si="13"/>
        <v>16.666666666666664</v>
      </c>
      <c r="M76" s="64">
        <f t="shared" si="13"/>
        <v>28.571428571428569</v>
      </c>
      <c r="N76" s="64">
        <f t="shared" si="13"/>
        <v>6.666666666666667</v>
      </c>
      <c r="O76" s="64">
        <f t="shared" si="13"/>
        <v>35.714285714285715</v>
      </c>
      <c r="P76" s="64">
        <f t="shared" si="13"/>
        <v>23.076923076923077</v>
      </c>
      <c r="Q76" s="64">
        <f t="shared" si="13"/>
        <v>33.333333333333329</v>
      </c>
      <c r="R76" s="64">
        <f t="shared" si="13"/>
        <v>33.333333333333329</v>
      </c>
      <c r="S76" s="64">
        <f t="shared" si="13"/>
        <v>12.5</v>
      </c>
      <c r="T76" s="64">
        <f t="shared" si="13"/>
        <v>40</v>
      </c>
      <c r="U76" s="64">
        <f t="shared" si="13"/>
        <v>38.461538461538467</v>
      </c>
      <c r="V76" s="64">
        <f t="shared" si="13"/>
        <v>37.5</v>
      </c>
      <c r="W76" s="64">
        <f t="shared" si="13"/>
        <v>38.888888888888893</v>
      </c>
      <c r="X76" s="64">
        <f t="shared" si="13"/>
        <v>33.333333333333329</v>
      </c>
      <c r="Y76" s="64">
        <f t="shared" si="13"/>
        <v>52.941176470588239</v>
      </c>
      <c r="Z76" s="64">
        <f t="shared" si="13"/>
        <v>55.555555555555557</v>
      </c>
      <c r="AA76" s="64">
        <f t="shared" si="13"/>
        <v>55.000000000000007</v>
      </c>
      <c r="AB76" s="64">
        <f t="shared" si="13"/>
        <v>62.5</v>
      </c>
      <c r="AC76" s="64">
        <f t="shared" si="13"/>
        <v>63.157894736842103</v>
      </c>
      <c r="AD76" s="64">
        <f t="shared" si="13"/>
        <v>44.444444444444443</v>
      </c>
      <c r="AE76" s="64">
        <f t="shared" si="13"/>
        <v>31.578947368421051</v>
      </c>
      <c r="AF76" s="64">
        <f t="shared" si="13"/>
        <v>23.809523809523807</v>
      </c>
      <c r="AG76" s="64">
        <f t="shared" si="13"/>
        <v>42.105263157894733</v>
      </c>
      <c r="AH76" s="64">
        <f t="shared" si="13"/>
        <v>14.285714285714285</v>
      </c>
      <c r="AI76" s="64">
        <f t="shared" si="13"/>
        <v>20</v>
      </c>
      <c r="AJ76" s="31"/>
      <c r="AM76" s="58"/>
    </row>
    <row r="77" spans="1:51" x14ac:dyDescent="0.25">
      <c r="AJ77" s="31"/>
    </row>
    <row r="78" spans="1:51" x14ac:dyDescent="0.25">
      <c r="C78" s="20" t="s">
        <v>46</v>
      </c>
      <c r="D78" s="28">
        <f t="shared" ref="D78:AI78" si="14">COUNTIF(D$4:D$73,"*m*")</f>
        <v>1</v>
      </c>
      <c r="E78" s="28">
        <f t="shared" si="14"/>
        <v>3</v>
      </c>
      <c r="F78" s="28">
        <f t="shared" si="14"/>
        <v>2</v>
      </c>
      <c r="G78" s="28">
        <f t="shared" si="14"/>
        <v>0</v>
      </c>
      <c r="H78" s="28">
        <f t="shared" si="14"/>
        <v>1</v>
      </c>
      <c r="I78" s="28">
        <f t="shared" si="14"/>
        <v>3</v>
      </c>
      <c r="J78" s="28">
        <f t="shared" si="14"/>
        <v>1</v>
      </c>
      <c r="K78" s="28">
        <f t="shared" si="14"/>
        <v>1</v>
      </c>
      <c r="L78" s="28">
        <f t="shared" si="14"/>
        <v>1</v>
      </c>
      <c r="M78" s="28">
        <f t="shared" si="14"/>
        <v>1</v>
      </c>
      <c r="N78" s="28">
        <f t="shared" si="14"/>
        <v>1</v>
      </c>
      <c r="O78" s="28">
        <f t="shared" si="14"/>
        <v>1</v>
      </c>
      <c r="P78" s="28">
        <f t="shared" si="14"/>
        <v>0</v>
      </c>
      <c r="Q78" s="28">
        <f t="shared" si="14"/>
        <v>3</v>
      </c>
      <c r="R78" s="28">
        <f t="shared" si="14"/>
        <v>1</v>
      </c>
      <c r="S78" s="28">
        <f t="shared" si="14"/>
        <v>0</v>
      </c>
      <c r="T78" s="28">
        <f t="shared" si="14"/>
        <v>2</v>
      </c>
      <c r="U78" s="28">
        <f t="shared" si="14"/>
        <v>2</v>
      </c>
      <c r="V78" s="28">
        <f t="shared" si="14"/>
        <v>1</v>
      </c>
      <c r="W78" s="28">
        <f t="shared" si="14"/>
        <v>3</v>
      </c>
      <c r="X78" s="28">
        <f t="shared" si="14"/>
        <v>3</v>
      </c>
      <c r="Y78" s="28">
        <f t="shared" si="14"/>
        <v>6</v>
      </c>
      <c r="Z78" s="28">
        <f t="shared" si="14"/>
        <v>4</v>
      </c>
      <c r="AA78" s="28">
        <f t="shared" si="14"/>
        <v>3</v>
      </c>
      <c r="AB78" s="28">
        <f t="shared" si="14"/>
        <v>5</v>
      </c>
      <c r="AC78" s="28">
        <f t="shared" si="14"/>
        <v>4</v>
      </c>
      <c r="AD78" s="28">
        <f t="shared" si="14"/>
        <v>4</v>
      </c>
      <c r="AE78" s="28">
        <f t="shared" si="14"/>
        <v>3</v>
      </c>
      <c r="AF78" s="28">
        <f t="shared" si="14"/>
        <v>1</v>
      </c>
      <c r="AG78" s="28">
        <f t="shared" si="14"/>
        <v>2</v>
      </c>
      <c r="AH78" s="28">
        <f t="shared" si="14"/>
        <v>1</v>
      </c>
      <c r="AI78" s="28">
        <f t="shared" si="14"/>
        <v>2</v>
      </c>
      <c r="AJ78" s="31">
        <f>SUM(D78:AI78)</f>
        <v>66</v>
      </c>
    </row>
    <row r="79" spans="1:51" x14ac:dyDescent="0.25">
      <c r="C79" s="20" t="s">
        <v>48</v>
      </c>
      <c r="D79" s="28">
        <f t="shared" ref="D79:AI79" si="15">COUNTIF(D$4:D$73,"*b*")</f>
        <v>0</v>
      </c>
      <c r="E79" s="28">
        <f t="shared" si="15"/>
        <v>1</v>
      </c>
      <c r="F79" s="28">
        <f t="shared" si="15"/>
        <v>3</v>
      </c>
      <c r="G79" s="28">
        <f t="shared" si="15"/>
        <v>1</v>
      </c>
      <c r="H79" s="28">
        <f t="shared" si="15"/>
        <v>3</v>
      </c>
      <c r="I79" s="28">
        <f t="shared" si="15"/>
        <v>4</v>
      </c>
      <c r="J79" s="28">
        <f t="shared" si="15"/>
        <v>1</v>
      </c>
      <c r="K79" s="28">
        <f t="shared" si="15"/>
        <v>2</v>
      </c>
      <c r="L79" s="28">
        <f t="shared" si="15"/>
        <v>1</v>
      </c>
      <c r="M79" s="28">
        <f t="shared" si="15"/>
        <v>3</v>
      </c>
      <c r="N79" s="28">
        <f t="shared" si="15"/>
        <v>1</v>
      </c>
      <c r="O79" s="28">
        <f t="shared" si="15"/>
        <v>4</v>
      </c>
      <c r="P79" s="28">
        <f t="shared" si="15"/>
        <v>2</v>
      </c>
      <c r="Q79" s="28">
        <f t="shared" si="15"/>
        <v>3</v>
      </c>
      <c r="R79" s="28">
        <f t="shared" si="15"/>
        <v>2</v>
      </c>
      <c r="S79" s="28">
        <f t="shared" si="15"/>
        <v>1</v>
      </c>
      <c r="T79" s="28">
        <f t="shared" si="15"/>
        <v>2</v>
      </c>
      <c r="U79" s="28">
        <f t="shared" si="15"/>
        <v>2</v>
      </c>
      <c r="V79" s="28">
        <f t="shared" si="15"/>
        <v>3</v>
      </c>
      <c r="W79" s="28">
        <f t="shared" si="15"/>
        <v>4</v>
      </c>
      <c r="X79" s="28">
        <f t="shared" si="15"/>
        <v>4</v>
      </c>
      <c r="Y79" s="28">
        <f t="shared" si="15"/>
        <v>8</v>
      </c>
      <c r="Z79" s="28">
        <f t="shared" si="15"/>
        <v>10</v>
      </c>
      <c r="AA79" s="28">
        <f t="shared" si="15"/>
        <v>10</v>
      </c>
      <c r="AB79" s="28">
        <f t="shared" si="15"/>
        <v>8</v>
      </c>
      <c r="AC79" s="28">
        <f t="shared" si="15"/>
        <v>9</v>
      </c>
      <c r="AD79" s="28">
        <f t="shared" si="15"/>
        <v>8</v>
      </c>
      <c r="AE79" s="28">
        <f t="shared" si="15"/>
        <v>3</v>
      </c>
      <c r="AF79" s="28">
        <f t="shared" si="15"/>
        <v>3</v>
      </c>
      <c r="AG79" s="28">
        <f t="shared" si="15"/>
        <v>2</v>
      </c>
      <c r="AH79" s="28">
        <f t="shared" si="15"/>
        <v>1</v>
      </c>
      <c r="AI79" s="28">
        <f t="shared" si="15"/>
        <v>0</v>
      </c>
      <c r="AJ79" s="31">
        <f>SUM(D79:AI79)</f>
        <v>109</v>
      </c>
    </row>
    <row r="80" spans="1:51" x14ac:dyDescent="0.25">
      <c r="C80" s="20" t="s">
        <v>47</v>
      </c>
      <c r="D80" s="28">
        <f t="shared" ref="D80:AI80" si="16">COUNTIF(D$4:D$73,"*d*")</f>
        <v>1</v>
      </c>
      <c r="E80" s="28">
        <f t="shared" si="16"/>
        <v>1</v>
      </c>
      <c r="F80" s="28">
        <f t="shared" si="16"/>
        <v>1</v>
      </c>
      <c r="G80" s="28">
        <f t="shared" si="16"/>
        <v>1</v>
      </c>
      <c r="H80" s="28">
        <f t="shared" si="16"/>
        <v>1</v>
      </c>
      <c r="I80" s="28">
        <f t="shared" si="16"/>
        <v>0</v>
      </c>
      <c r="J80" s="28">
        <f t="shared" si="16"/>
        <v>1</v>
      </c>
      <c r="K80" s="28">
        <f t="shared" si="16"/>
        <v>2</v>
      </c>
      <c r="L80" s="28">
        <f t="shared" si="16"/>
        <v>1</v>
      </c>
      <c r="M80" s="28">
        <f t="shared" si="16"/>
        <v>0</v>
      </c>
      <c r="N80" s="28">
        <f t="shared" si="16"/>
        <v>1</v>
      </c>
      <c r="O80" s="28">
        <f t="shared" si="16"/>
        <v>0</v>
      </c>
      <c r="P80" s="28">
        <f t="shared" si="16"/>
        <v>1</v>
      </c>
      <c r="Q80" s="28">
        <f t="shared" si="16"/>
        <v>2</v>
      </c>
      <c r="R80" s="28">
        <f t="shared" si="16"/>
        <v>2</v>
      </c>
      <c r="S80" s="28">
        <f t="shared" si="16"/>
        <v>1</v>
      </c>
      <c r="T80" s="28">
        <f t="shared" si="16"/>
        <v>2</v>
      </c>
      <c r="U80" s="28">
        <f t="shared" si="16"/>
        <v>1</v>
      </c>
      <c r="V80" s="28">
        <f t="shared" si="16"/>
        <v>2</v>
      </c>
      <c r="W80" s="28">
        <f t="shared" si="16"/>
        <v>3</v>
      </c>
      <c r="X80" s="28">
        <f t="shared" si="16"/>
        <v>3</v>
      </c>
      <c r="Y80" s="28">
        <f t="shared" si="16"/>
        <v>6</v>
      </c>
      <c r="Z80" s="28">
        <f t="shared" si="16"/>
        <v>4</v>
      </c>
      <c r="AA80" s="28">
        <f t="shared" si="16"/>
        <v>4</v>
      </c>
      <c r="AB80" s="28">
        <f t="shared" si="16"/>
        <v>5</v>
      </c>
      <c r="AC80" s="28">
        <f t="shared" si="16"/>
        <v>4</v>
      </c>
      <c r="AD80" s="28">
        <f t="shared" si="16"/>
        <v>4</v>
      </c>
      <c r="AE80" s="28">
        <f t="shared" si="16"/>
        <v>3</v>
      </c>
      <c r="AF80" s="28">
        <f t="shared" si="16"/>
        <v>2</v>
      </c>
      <c r="AG80" s="28">
        <f t="shared" si="16"/>
        <v>2</v>
      </c>
      <c r="AH80" s="28">
        <f t="shared" si="16"/>
        <v>1</v>
      </c>
      <c r="AI80" s="28">
        <f t="shared" si="16"/>
        <v>1</v>
      </c>
      <c r="AJ80" s="31">
        <f>SUM(D80:AI80)</f>
        <v>63</v>
      </c>
    </row>
    <row r="81" spans="2:36" x14ac:dyDescent="0.25">
      <c r="C81" s="20" t="s">
        <v>49</v>
      </c>
      <c r="D81" s="28">
        <f t="shared" ref="D81:AI81" si="17">COUNTIF(D$4:D$73,"*l*")</f>
        <v>0</v>
      </c>
      <c r="E81" s="28">
        <f t="shared" si="17"/>
        <v>1</v>
      </c>
      <c r="F81" s="28">
        <f t="shared" si="17"/>
        <v>0</v>
      </c>
      <c r="G81" s="28">
        <f t="shared" si="17"/>
        <v>0</v>
      </c>
      <c r="H81" s="28">
        <f t="shared" si="17"/>
        <v>0</v>
      </c>
      <c r="I81" s="28">
        <f t="shared" si="17"/>
        <v>0</v>
      </c>
      <c r="J81" s="28">
        <f t="shared" si="17"/>
        <v>0</v>
      </c>
      <c r="K81" s="28">
        <f t="shared" si="17"/>
        <v>1</v>
      </c>
      <c r="L81" s="28">
        <f t="shared" si="17"/>
        <v>1</v>
      </c>
      <c r="M81" s="28">
        <f t="shared" si="17"/>
        <v>1</v>
      </c>
      <c r="N81" s="28">
        <f t="shared" si="17"/>
        <v>1</v>
      </c>
      <c r="O81" s="28">
        <f t="shared" si="17"/>
        <v>0</v>
      </c>
      <c r="P81" s="28">
        <f t="shared" si="17"/>
        <v>0</v>
      </c>
      <c r="Q81" s="28">
        <f t="shared" si="17"/>
        <v>3</v>
      </c>
      <c r="R81" s="28">
        <f t="shared" si="17"/>
        <v>1</v>
      </c>
      <c r="S81" s="28">
        <f t="shared" si="17"/>
        <v>1</v>
      </c>
      <c r="T81" s="28">
        <f t="shared" si="17"/>
        <v>2</v>
      </c>
      <c r="U81" s="28">
        <f t="shared" si="17"/>
        <v>2</v>
      </c>
      <c r="V81" s="28">
        <f t="shared" si="17"/>
        <v>3</v>
      </c>
      <c r="W81" s="28">
        <f t="shared" si="17"/>
        <v>5</v>
      </c>
      <c r="X81" s="28">
        <f t="shared" si="17"/>
        <v>5</v>
      </c>
      <c r="Y81" s="28">
        <f t="shared" si="17"/>
        <v>7</v>
      </c>
      <c r="Z81" s="28">
        <f t="shared" si="17"/>
        <v>8</v>
      </c>
      <c r="AA81" s="28">
        <f t="shared" si="17"/>
        <v>6</v>
      </c>
      <c r="AB81" s="28">
        <f t="shared" si="17"/>
        <v>4</v>
      </c>
      <c r="AC81" s="28">
        <f t="shared" si="17"/>
        <v>7</v>
      </c>
      <c r="AD81" s="28">
        <f t="shared" si="17"/>
        <v>6</v>
      </c>
      <c r="AE81" s="28">
        <f t="shared" si="17"/>
        <v>6</v>
      </c>
      <c r="AF81" s="28">
        <f t="shared" si="17"/>
        <v>3</v>
      </c>
      <c r="AG81" s="28">
        <f t="shared" si="17"/>
        <v>5</v>
      </c>
      <c r="AH81" s="28">
        <f t="shared" si="17"/>
        <v>0</v>
      </c>
      <c r="AI81" s="28">
        <f t="shared" si="17"/>
        <v>1</v>
      </c>
      <c r="AJ81" s="31">
        <f>SUM(D81:AI81)</f>
        <v>80</v>
      </c>
    </row>
    <row r="82" spans="2:36" x14ac:dyDescent="0.25">
      <c r="C82" s="20" t="s">
        <v>50</v>
      </c>
      <c r="D82" s="28">
        <f t="shared" ref="D82:AI82" si="18">COUNTIF(D$4:D$73,"*o*")</f>
        <v>0</v>
      </c>
      <c r="E82" s="28">
        <f t="shared" si="18"/>
        <v>0</v>
      </c>
      <c r="F82" s="28">
        <f t="shared" si="18"/>
        <v>0</v>
      </c>
      <c r="G82" s="28">
        <f t="shared" si="18"/>
        <v>0</v>
      </c>
      <c r="H82" s="28">
        <f t="shared" si="18"/>
        <v>0</v>
      </c>
      <c r="I82" s="28">
        <f t="shared" si="18"/>
        <v>0</v>
      </c>
      <c r="J82" s="28">
        <f t="shared" si="18"/>
        <v>0</v>
      </c>
      <c r="K82" s="28">
        <f t="shared" si="18"/>
        <v>0</v>
      </c>
      <c r="L82" s="28">
        <f t="shared" si="18"/>
        <v>0</v>
      </c>
      <c r="M82" s="28">
        <f t="shared" si="18"/>
        <v>0</v>
      </c>
      <c r="N82" s="28">
        <f t="shared" si="18"/>
        <v>0</v>
      </c>
      <c r="O82" s="28">
        <f t="shared" si="18"/>
        <v>0</v>
      </c>
      <c r="P82" s="28">
        <f t="shared" si="18"/>
        <v>0</v>
      </c>
      <c r="Q82" s="28">
        <f t="shared" si="18"/>
        <v>0</v>
      </c>
      <c r="R82" s="28">
        <f t="shared" si="18"/>
        <v>0</v>
      </c>
      <c r="S82" s="28">
        <f t="shared" si="18"/>
        <v>1</v>
      </c>
      <c r="T82" s="28">
        <f t="shared" si="18"/>
        <v>0</v>
      </c>
      <c r="U82" s="28">
        <f t="shared" si="18"/>
        <v>0</v>
      </c>
      <c r="V82" s="28">
        <f t="shared" si="18"/>
        <v>1</v>
      </c>
      <c r="W82" s="28">
        <f t="shared" si="18"/>
        <v>0</v>
      </c>
      <c r="X82" s="28">
        <f t="shared" si="18"/>
        <v>0</v>
      </c>
      <c r="Y82" s="28">
        <f t="shared" si="18"/>
        <v>0</v>
      </c>
      <c r="Z82" s="28">
        <f t="shared" si="18"/>
        <v>0</v>
      </c>
      <c r="AA82" s="28">
        <f t="shared" si="18"/>
        <v>0</v>
      </c>
      <c r="AB82" s="28">
        <f t="shared" si="18"/>
        <v>0</v>
      </c>
      <c r="AC82" s="28">
        <f t="shared" si="18"/>
        <v>0</v>
      </c>
      <c r="AD82" s="28">
        <f t="shared" si="18"/>
        <v>0</v>
      </c>
      <c r="AE82" s="28">
        <f t="shared" si="18"/>
        <v>0</v>
      </c>
      <c r="AF82" s="28">
        <f t="shared" si="18"/>
        <v>0</v>
      </c>
      <c r="AG82" s="28">
        <f t="shared" si="18"/>
        <v>0</v>
      </c>
      <c r="AH82" s="28">
        <f t="shared" si="18"/>
        <v>0</v>
      </c>
      <c r="AI82" s="28">
        <f t="shared" si="18"/>
        <v>0</v>
      </c>
      <c r="AJ82" s="31">
        <f>SUM(D82:AI82)</f>
        <v>2</v>
      </c>
    </row>
    <row r="83" spans="2:36" x14ac:dyDescent="0.25">
      <c r="AJ83" s="31"/>
    </row>
    <row r="84" spans="2:36" x14ac:dyDescent="0.25">
      <c r="AJ84" s="31"/>
    </row>
    <row r="85" spans="2:36" x14ac:dyDescent="0.25">
      <c r="B85" s="80">
        <v>1</v>
      </c>
      <c r="C85" s="20" t="s">
        <v>46</v>
      </c>
      <c r="D85" s="28">
        <f t="shared" ref="D85:AI85" si="19">COUNTIF(D$4:D$73,"*1m*")</f>
        <v>1</v>
      </c>
      <c r="E85" s="28">
        <f t="shared" si="19"/>
        <v>3</v>
      </c>
      <c r="F85" s="28">
        <f t="shared" si="19"/>
        <v>2</v>
      </c>
      <c r="G85" s="28">
        <f t="shared" si="19"/>
        <v>0</v>
      </c>
      <c r="H85" s="28">
        <f t="shared" si="19"/>
        <v>1</v>
      </c>
      <c r="I85" s="28">
        <f t="shared" si="19"/>
        <v>3</v>
      </c>
      <c r="J85" s="28">
        <f t="shared" si="19"/>
        <v>1</v>
      </c>
      <c r="K85" s="28">
        <f t="shared" si="19"/>
        <v>1</v>
      </c>
      <c r="L85" s="28">
        <f t="shared" si="19"/>
        <v>1</v>
      </c>
      <c r="M85" s="28">
        <f t="shared" si="19"/>
        <v>1</v>
      </c>
      <c r="N85" s="28">
        <f t="shared" si="19"/>
        <v>1</v>
      </c>
      <c r="O85" s="28">
        <f t="shared" si="19"/>
        <v>1</v>
      </c>
      <c r="P85" s="28">
        <f t="shared" si="19"/>
        <v>0</v>
      </c>
      <c r="Q85" s="28">
        <f t="shared" si="19"/>
        <v>3</v>
      </c>
      <c r="R85" s="28">
        <f t="shared" si="19"/>
        <v>1</v>
      </c>
      <c r="S85" s="28">
        <f t="shared" si="19"/>
        <v>0</v>
      </c>
      <c r="T85" s="28">
        <f t="shared" si="19"/>
        <v>2</v>
      </c>
      <c r="U85" s="28">
        <f t="shared" si="19"/>
        <v>2</v>
      </c>
      <c r="V85" s="28">
        <f t="shared" si="19"/>
        <v>1</v>
      </c>
      <c r="W85" s="28">
        <f t="shared" si="19"/>
        <v>3</v>
      </c>
      <c r="X85" s="28">
        <f t="shared" si="19"/>
        <v>3</v>
      </c>
      <c r="Y85" s="28">
        <f t="shared" si="19"/>
        <v>5</v>
      </c>
      <c r="Z85" s="28">
        <f t="shared" si="19"/>
        <v>4</v>
      </c>
      <c r="AA85" s="28">
        <f t="shared" si="19"/>
        <v>3</v>
      </c>
      <c r="AB85" s="28">
        <f t="shared" si="19"/>
        <v>5</v>
      </c>
      <c r="AC85" s="28">
        <f t="shared" si="19"/>
        <v>4</v>
      </c>
      <c r="AD85" s="28">
        <f t="shared" si="19"/>
        <v>4</v>
      </c>
      <c r="AE85" s="28">
        <f t="shared" si="19"/>
        <v>3</v>
      </c>
      <c r="AF85" s="28">
        <f t="shared" si="19"/>
        <v>1</v>
      </c>
      <c r="AG85" s="28">
        <f t="shared" si="19"/>
        <v>2</v>
      </c>
      <c r="AH85" s="28">
        <f t="shared" si="19"/>
        <v>1</v>
      </c>
      <c r="AI85" s="28">
        <f t="shared" si="19"/>
        <v>2</v>
      </c>
      <c r="AJ85" s="31">
        <f>SUM(D85:AI85)</f>
        <v>65</v>
      </c>
    </row>
    <row r="86" spans="2:36" x14ac:dyDescent="0.25">
      <c r="B86" s="80"/>
      <c r="C86" s="20" t="s">
        <v>48</v>
      </c>
      <c r="D86" s="28">
        <f t="shared" ref="D86:AI86" si="20">COUNTIF(D$4:D$73,"*1b*")</f>
        <v>0</v>
      </c>
      <c r="E86" s="28">
        <f t="shared" si="20"/>
        <v>1</v>
      </c>
      <c r="F86" s="28">
        <f t="shared" si="20"/>
        <v>3</v>
      </c>
      <c r="G86" s="28">
        <f t="shared" si="20"/>
        <v>1</v>
      </c>
      <c r="H86" s="28">
        <f t="shared" si="20"/>
        <v>3</v>
      </c>
      <c r="I86" s="28">
        <f t="shared" si="20"/>
        <v>4</v>
      </c>
      <c r="J86" s="28">
        <f t="shared" si="20"/>
        <v>1</v>
      </c>
      <c r="K86" s="28">
        <f t="shared" si="20"/>
        <v>2</v>
      </c>
      <c r="L86" s="28">
        <f t="shared" si="20"/>
        <v>1</v>
      </c>
      <c r="M86" s="28">
        <f t="shared" si="20"/>
        <v>3</v>
      </c>
      <c r="N86" s="28">
        <f t="shared" si="20"/>
        <v>1</v>
      </c>
      <c r="O86" s="28">
        <f t="shared" si="20"/>
        <v>4</v>
      </c>
      <c r="P86" s="28">
        <f t="shared" si="20"/>
        <v>2</v>
      </c>
      <c r="Q86" s="28">
        <f t="shared" si="20"/>
        <v>2</v>
      </c>
      <c r="R86" s="28">
        <f t="shared" si="20"/>
        <v>1</v>
      </c>
      <c r="S86" s="28">
        <f t="shared" si="20"/>
        <v>0</v>
      </c>
      <c r="T86" s="28">
        <f t="shared" si="20"/>
        <v>2</v>
      </c>
      <c r="U86" s="28">
        <f t="shared" si="20"/>
        <v>2</v>
      </c>
      <c r="V86" s="28">
        <f t="shared" si="20"/>
        <v>3</v>
      </c>
      <c r="W86" s="28">
        <f t="shared" si="20"/>
        <v>4</v>
      </c>
      <c r="X86" s="28">
        <f t="shared" si="20"/>
        <v>4</v>
      </c>
      <c r="Y86" s="28">
        <f t="shared" si="20"/>
        <v>7</v>
      </c>
      <c r="Z86" s="28">
        <f t="shared" si="20"/>
        <v>8</v>
      </c>
      <c r="AA86" s="28">
        <f t="shared" si="20"/>
        <v>9</v>
      </c>
      <c r="AB86" s="28">
        <f t="shared" si="20"/>
        <v>7</v>
      </c>
      <c r="AC86" s="28">
        <f t="shared" si="20"/>
        <v>8</v>
      </c>
      <c r="AD86" s="28">
        <f t="shared" si="20"/>
        <v>8</v>
      </c>
      <c r="AE86" s="28">
        <f t="shared" si="20"/>
        <v>3</v>
      </c>
      <c r="AF86" s="28">
        <f t="shared" si="20"/>
        <v>3</v>
      </c>
      <c r="AG86" s="28">
        <f t="shared" si="20"/>
        <v>2</v>
      </c>
      <c r="AH86" s="28">
        <f t="shared" si="20"/>
        <v>1</v>
      </c>
      <c r="AI86" s="28">
        <f t="shared" si="20"/>
        <v>0</v>
      </c>
      <c r="AJ86" s="31">
        <f>SUM(D86:AI86)</f>
        <v>100</v>
      </c>
    </row>
    <row r="87" spans="2:36" x14ac:dyDescent="0.25">
      <c r="B87" s="80"/>
      <c r="C87" s="20" t="s">
        <v>47</v>
      </c>
      <c r="D87" s="28">
        <f t="shared" ref="D87:AI87" si="21">COUNTIF(D$4:D$73,"*1d*")</f>
        <v>1</v>
      </c>
      <c r="E87" s="28">
        <f t="shared" si="21"/>
        <v>1</v>
      </c>
      <c r="F87" s="28">
        <f t="shared" si="21"/>
        <v>1</v>
      </c>
      <c r="G87" s="28">
        <f t="shared" si="21"/>
        <v>1</v>
      </c>
      <c r="H87" s="28">
        <f t="shared" si="21"/>
        <v>1</v>
      </c>
      <c r="I87" s="28">
        <f t="shared" si="21"/>
        <v>0</v>
      </c>
      <c r="J87" s="28">
        <f t="shared" si="21"/>
        <v>1</v>
      </c>
      <c r="K87" s="28">
        <f t="shared" si="21"/>
        <v>2</v>
      </c>
      <c r="L87" s="28">
        <f t="shared" si="21"/>
        <v>1</v>
      </c>
      <c r="M87" s="28">
        <f t="shared" si="21"/>
        <v>0</v>
      </c>
      <c r="N87" s="28">
        <f t="shared" si="21"/>
        <v>1</v>
      </c>
      <c r="O87" s="28">
        <f t="shared" si="21"/>
        <v>0</v>
      </c>
      <c r="P87" s="28">
        <f t="shared" si="21"/>
        <v>1</v>
      </c>
      <c r="Q87" s="28">
        <f t="shared" si="21"/>
        <v>2</v>
      </c>
      <c r="R87" s="28">
        <f t="shared" si="21"/>
        <v>2</v>
      </c>
      <c r="S87" s="28">
        <f t="shared" si="21"/>
        <v>0</v>
      </c>
      <c r="T87" s="28">
        <f t="shared" si="21"/>
        <v>2</v>
      </c>
      <c r="U87" s="28">
        <f t="shared" si="21"/>
        <v>1</v>
      </c>
      <c r="V87" s="28">
        <f t="shared" si="21"/>
        <v>2</v>
      </c>
      <c r="W87" s="28">
        <f t="shared" si="21"/>
        <v>3</v>
      </c>
      <c r="X87" s="28">
        <f t="shared" si="21"/>
        <v>3</v>
      </c>
      <c r="Y87" s="28">
        <f t="shared" si="21"/>
        <v>6</v>
      </c>
      <c r="Z87" s="28">
        <f t="shared" si="21"/>
        <v>4</v>
      </c>
      <c r="AA87" s="28">
        <f t="shared" si="21"/>
        <v>4</v>
      </c>
      <c r="AB87" s="28">
        <f t="shared" si="21"/>
        <v>5</v>
      </c>
      <c r="AC87" s="28">
        <f t="shared" si="21"/>
        <v>4</v>
      </c>
      <c r="AD87" s="28">
        <f t="shared" si="21"/>
        <v>4</v>
      </c>
      <c r="AE87" s="28">
        <f t="shared" si="21"/>
        <v>3</v>
      </c>
      <c r="AF87" s="28">
        <f t="shared" si="21"/>
        <v>2</v>
      </c>
      <c r="AG87" s="28">
        <f t="shared" si="21"/>
        <v>2</v>
      </c>
      <c r="AH87" s="28">
        <f t="shared" si="21"/>
        <v>0</v>
      </c>
      <c r="AI87" s="28">
        <f t="shared" si="21"/>
        <v>1</v>
      </c>
      <c r="AJ87" s="31">
        <f>SUM(D87:AI87)</f>
        <v>61</v>
      </c>
    </row>
    <row r="88" spans="2:36" x14ac:dyDescent="0.25">
      <c r="B88" s="80"/>
      <c r="C88" s="20" t="s">
        <v>49</v>
      </c>
      <c r="D88" s="28">
        <f t="shared" ref="D88:AI88" si="22">COUNTIF(D$4:D$73,"*1l*")</f>
        <v>0</v>
      </c>
      <c r="E88" s="28">
        <f t="shared" si="22"/>
        <v>1</v>
      </c>
      <c r="F88" s="28">
        <f t="shared" si="22"/>
        <v>0</v>
      </c>
      <c r="G88" s="28">
        <f t="shared" si="22"/>
        <v>0</v>
      </c>
      <c r="H88" s="28">
        <f t="shared" si="22"/>
        <v>0</v>
      </c>
      <c r="I88" s="28">
        <f t="shared" si="22"/>
        <v>0</v>
      </c>
      <c r="J88" s="28">
        <f t="shared" si="22"/>
        <v>0</v>
      </c>
      <c r="K88" s="28">
        <f t="shared" si="22"/>
        <v>1</v>
      </c>
      <c r="L88" s="28">
        <f t="shared" si="22"/>
        <v>1</v>
      </c>
      <c r="M88" s="28">
        <f t="shared" si="22"/>
        <v>1</v>
      </c>
      <c r="N88" s="28">
        <f t="shared" si="22"/>
        <v>1</v>
      </c>
      <c r="O88" s="28">
        <f t="shared" si="22"/>
        <v>0</v>
      </c>
      <c r="P88" s="28">
        <f t="shared" si="22"/>
        <v>0</v>
      </c>
      <c r="Q88" s="28">
        <f t="shared" si="22"/>
        <v>2</v>
      </c>
      <c r="R88" s="28">
        <f t="shared" si="22"/>
        <v>1</v>
      </c>
      <c r="S88" s="28">
        <f t="shared" si="22"/>
        <v>0</v>
      </c>
      <c r="T88" s="28">
        <f t="shared" si="22"/>
        <v>2</v>
      </c>
      <c r="U88" s="28">
        <f t="shared" si="22"/>
        <v>2</v>
      </c>
      <c r="V88" s="28">
        <f t="shared" si="22"/>
        <v>3</v>
      </c>
      <c r="W88" s="28">
        <f t="shared" si="22"/>
        <v>5</v>
      </c>
      <c r="X88" s="28">
        <f t="shared" si="22"/>
        <v>5</v>
      </c>
      <c r="Y88" s="28">
        <f t="shared" si="22"/>
        <v>6</v>
      </c>
      <c r="Z88" s="28">
        <f t="shared" si="22"/>
        <v>8</v>
      </c>
      <c r="AA88" s="28">
        <f t="shared" si="22"/>
        <v>6</v>
      </c>
      <c r="AB88" s="28">
        <f t="shared" si="22"/>
        <v>4</v>
      </c>
      <c r="AC88" s="28">
        <f t="shared" si="22"/>
        <v>7</v>
      </c>
      <c r="AD88" s="28">
        <f t="shared" si="22"/>
        <v>6</v>
      </c>
      <c r="AE88" s="28">
        <f t="shared" si="22"/>
        <v>6</v>
      </c>
      <c r="AF88" s="28">
        <f t="shared" si="22"/>
        <v>3</v>
      </c>
      <c r="AG88" s="28">
        <f t="shared" si="22"/>
        <v>5</v>
      </c>
      <c r="AH88" s="28">
        <f t="shared" si="22"/>
        <v>0</v>
      </c>
      <c r="AI88" s="28">
        <f t="shared" si="22"/>
        <v>1</v>
      </c>
      <c r="AJ88" s="31">
        <f>SUM(D88:AI88)</f>
        <v>77</v>
      </c>
    </row>
    <row r="89" spans="2:36" x14ac:dyDescent="0.25">
      <c r="B89" s="80"/>
      <c r="C89" s="20" t="s">
        <v>50</v>
      </c>
      <c r="D89" s="28">
        <f t="shared" ref="D89:AI89" si="23">COUNTIF(D$4:D$73,"*1o*")</f>
        <v>0</v>
      </c>
      <c r="E89" s="28">
        <f t="shared" si="23"/>
        <v>0</v>
      </c>
      <c r="F89" s="28">
        <f t="shared" si="23"/>
        <v>0</v>
      </c>
      <c r="G89" s="28">
        <f t="shared" si="23"/>
        <v>0</v>
      </c>
      <c r="H89" s="28">
        <f t="shared" si="23"/>
        <v>0</v>
      </c>
      <c r="I89" s="28">
        <f t="shared" si="23"/>
        <v>0</v>
      </c>
      <c r="J89" s="28">
        <f t="shared" si="23"/>
        <v>0</v>
      </c>
      <c r="K89" s="28">
        <f t="shared" si="23"/>
        <v>0</v>
      </c>
      <c r="L89" s="28">
        <f t="shared" si="23"/>
        <v>0</v>
      </c>
      <c r="M89" s="28">
        <f t="shared" si="23"/>
        <v>0</v>
      </c>
      <c r="N89" s="28">
        <f t="shared" si="23"/>
        <v>0</v>
      </c>
      <c r="O89" s="28">
        <f t="shared" si="23"/>
        <v>0</v>
      </c>
      <c r="P89" s="28">
        <f t="shared" si="23"/>
        <v>0</v>
      </c>
      <c r="Q89" s="28">
        <f t="shared" si="23"/>
        <v>0</v>
      </c>
      <c r="R89" s="28">
        <f t="shared" si="23"/>
        <v>0</v>
      </c>
      <c r="S89" s="28">
        <f t="shared" si="23"/>
        <v>0</v>
      </c>
      <c r="T89" s="28">
        <f t="shared" si="23"/>
        <v>0</v>
      </c>
      <c r="U89" s="28">
        <f t="shared" si="23"/>
        <v>0</v>
      </c>
      <c r="V89" s="28">
        <f t="shared" si="23"/>
        <v>1</v>
      </c>
      <c r="W89" s="28">
        <f t="shared" si="23"/>
        <v>0</v>
      </c>
      <c r="X89" s="28">
        <f t="shared" si="23"/>
        <v>0</v>
      </c>
      <c r="Y89" s="28">
        <f t="shared" si="23"/>
        <v>0</v>
      </c>
      <c r="Z89" s="28">
        <f t="shared" si="23"/>
        <v>0</v>
      </c>
      <c r="AA89" s="28">
        <f t="shared" si="23"/>
        <v>0</v>
      </c>
      <c r="AB89" s="28">
        <f t="shared" si="23"/>
        <v>0</v>
      </c>
      <c r="AC89" s="28">
        <f t="shared" si="23"/>
        <v>0</v>
      </c>
      <c r="AD89" s="28">
        <f t="shared" si="23"/>
        <v>0</v>
      </c>
      <c r="AE89" s="28">
        <f t="shared" si="23"/>
        <v>0</v>
      </c>
      <c r="AF89" s="28">
        <f t="shared" si="23"/>
        <v>0</v>
      </c>
      <c r="AG89" s="28">
        <f t="shared" si="23"/>
        <v>0</v>
      </c>
      <c r="AH89" s="28">
        <f t="shared" si="23"/>
        <v>0</v>
      </c>
      <c r="AI89" s="28">
        <f t="shared" si="23"/>
        <v>0</v>
      </c>
      <c r="AJ89" s="31">
        <f>SUM(D89:AI89)</f>
        <v>1</v>
      </c>
    </row>
    <row r="90" spans="2:36" x14ac:dyDescent="0.25">
      <c r="AJ90" s="31"/>
    </row>
    <row r="91" spans="2:36" x14ac:dyDescent="0.25">
      <c r="B91" s="80">
        <v>2</v>
      </c>
      <c r="C91" s="20" t="s">
        <v>46</v>
      </c>
      <c r="D91" s="28">
        <f t="shared" ref="D91:AI91" si="24">COUNTIF(D$4:D$73,"*2m*")</f>
        <v>0</v>
      </c>
      <c r="E91" s="28">
        <f t="shared" si="24"/>
        <v>0</v>
      </c>
      <c r="F91" s="28">
        <f t="shared" si="24"/>
        <v>0</v>
      </c>
      <c r="G91" s="28">
        <f t="shared" si="24"/>
        <v>0</v>
      </c>
      <c r="H91" s="28">
        <f t="shared" si="24"/>
        <v>0</v>
      </c>
      <c r="I91" s="28">
        <f t="shared" si="24"/>
        <v>0</v>
      </c>
      <c r="J91" s="28">
        <f t="shared" si="24"/>
        <v>0</v>
      </c>
      <c r="K91" s="28">
        <f t="shared" si="24"/>
        <v>0</v>
      </c>
      <c r="L91" s="28">
        <f t="shared" si="24"/>
        <v>0</v>
      </c>
      <c r="M91" s="28">
        <f t="shared" si="24"/>
        <v>0</v>
      </c>
      <c r="N91" s="28">
        <f t="shared" si="24"/>
        <v>0</v>
      </c>
      <c r="O91" s="28">
        <f t="shared" si="24"/>
        <v>0</v>
      </c>
      <c r="P91" s="28">
        <f t="shared" si="24"/>
        <v>0</v>
      </c>
      <c r="Q91" s="28">
        <f t="shared" si="24"/>
        <v>0</v>
      </c>
      <c r="R91" s="28">
        <f t="shared" si="24"/>
        <v>0</v>
      </c>
      <c r="S91" s="28">
        <f t="shared" si="24"/>
        <v>0</v>
      </c>
      <c r="T91" s="28">
        <f t="shared" si="24"/>
        <v>0</v>
      </c>
      <c r="U91" s="28">
        <f t="shared" si="24"/>
        <v>0</v>
      </c>
      <c r="V91" s="28">
        <f t="shared" si="24"/>
        <v>0</v>
      </c>
      <c r="W91" s="28">
        <f t="shared" si="24"/>
        <v>0</v>
      </c>
      <c r="X91" s="28">
        <f t="shared" si="24"/>
        <v>0</v>
      </c>
      <c r="Y91" s="28">
        <f t="shared" si="24"/>
        <v>1</v>
      </c>
      <c r="Z91" s="28">
        <f t="shared" si="24"/>
        <v>0</v>
      </c>
      <c r="AA91" s="28">
        <f t="shared" si="24"/>
        <v>0</v>
      </c>
      <c r="AB91" s="28">
        <f t="shared" si="24"/>
        <v>0</v>
      </c>
      <c r="AC91" s="28">
        <f t="shared" si="24"/>
        <v>0</v>
      </c>
      <c r="AD91" s="28">
        <f t="shared" si="24"/>
        <v>0</v>
      </c>
      <c r="AE91" s="28">
        <f t="shared" si="24"/>
        <v>0</v>
      </c>
      <c r="AF91" s="28">
        <f t="shared" si="24"/>
        <v>0</v>
      </c>
      <c r="AG91" s="28">
        <f t="shared" si="24"/>
        <v>0</v>
      </c>
      <c r="AH91" s="28">
        <f t="shared" si="24"/>
        <v>0</v>
      </c>
      <c r="AI91" s="28">
        <f t="shared" si="24"/>
        <v>0</v>
      </c>
      <c r="AJ91" s="31">
        <f>SUM(D91:AI91)</f>
        <v>1</v>
      </c>
    </row>
    <row r="92" spans="2:36" x14ac:dyDescent="0.25">
      <c r="B92" s="80"/>
      <c r="C92" s="20" t="s">
        <v>48</v>
      </c>
      <c r="D92" s="28">
        <f t="shared" ref="D92:AI92" si="25">COUNTIF(D$4:D$73,"*2b*")</f>
        <v>0</v>
      </c>
      <c r="E92" s="28">
        <f t="shared" si="25"/>
        <v>0</v>
      </c>
      <c r="F92" s="28">
        <f t="shared" si="25"/>
        <v>0</v>
      </c>
      <c r="G92" s="28">
        <f t="shared" si="25"/>
        <v>0</v>
      </c>
      <c r="H92" s="28">
        <f t="shared" si="25"/>
        <v>0</v>
      </c>
      <c r="I92" s="28">
        <f t="shared" si="25"/>
        <v>0</v>
      </c>
      <c r="J92" s="28">
        <f t="shared" si="25"/>
        <v>0</v>
      </c>
      <c r="K92" s="28">
        <f t="shared" si="25"/>
        <v>0</v>
      </c>
      <c r="L92" s="28">
        <f t="shared" si="25"/>
        <v>0</v>
      </c>
      <c r="M92" s="28">
        <f t="shared" si="25"/>
        <v>0</v>
      </c>
      <c r="N92" s="28">
        <f t="shared" si="25"/>
        <v>0</v>
      </c>
      <c r="O92" s="28">
        <f t="shared" si="25"/>
        <v>0</v>
      </c>
      <c r="P92" s="28">
        <f t="shared" si="25"/>
        <v>0</v>
      </c>
      <c r="Q92" s="28">
        <f t="shared" si="25"/>
        <v>1</v>
      </c>
      <c r="R92" s="28">
        <f t="shared" si="25"/>
        <v>1</v>
      </c>
      <c r="S92" s="28">
        <f t="shared" si="25"/>
        <v>1</v>
      </c>
      <c r="T92" s="28">
        <f t="shared" si="25"/>
        <v>0</v>
      </c>
      <c r="U92" s="28">
        <f t="shared" si="25"/>
        <v>0</v>
      </c>
      <c r="V92" s="28">
        <f t="shared" si="25"/>
        <v>0</v>
      </c>
      <c r="W92" s="28">
        <f t="shared" si="25"/>
        <v>0</v>
      </c>
      <c r="X92" s="28">
        <f t="shared" si="25"/>
        <v>0</v>
      </c>
      <c r="Y92" s="28">
        <f t="shared" si="25"/>
        <v>1</v>
      </c>
      <c r="Z92" s="28">
        <f t="shared" si="25"/>
        <v>2</v>
      </c>
      <c r="AA92" s="28">
        <f t="shared" si="25"/>
        <v>1</v>
      </c>
      <c r="AB92" s="28">
        <f t="shared" si="25"/>
        <v>1</v>
      </c>
      <c r="AC92" s="28">
        <f t="shared" si="25"/>
        <v>0</v>
      </c>
      <c r="AD92" s="28">
        <f t="shared" si="25"/>
        <v>0</v>
      </c>
      <c r="AE92" s="28">
        <f t="shared" si="25"/>
        <v>0</v>
      </c>
      <c r="AF92" s="28">
        <f t="shared" si="25"/>
        <v>0</v>
      </c>
      <c r="AG92" s="28">
        <f t="shared" si="25"/>
        <v>0</v>
      </c>
      <c r="AH92" s="28">
        <f t="shared" si="25"/>
        <v>0</v>
      </c>
      <c r="AI92" s="28">
        <f t="shared" si="25"/>
        <v>0</v>
      </c>
      <c r="AJ92" s="31">
        <f>SUM(D92:AI92)</f>
        <v>8</v>
      </c>
    </row>
    <row r="93" spans="2:36" x14ac:dyDescent="0.25">
      <c r="B93" s="80"/>
      <c r="C93" s="20" t="s">
        <v>47</v>
      </c>
      <c r="D93" s="28">
        <f t="shared" ref="D93:AI93" si="26">COUNTIF(D$4:D$73,"*2d*")</f>
        <v>0</v>
      </c>
      <c r="E93" s="28">
        <f t="shared" si="26"/>
        <v>0</v>
      </c>
      <c r="F93" s="28">
        <f t="shared" si="26"/>
        <v>0</v>
      </c>
      <c r="G93" s="28">
        <f t="shared" si="26"/>
        <v>0</v>
      </c>
      <c r="H93" s="28">
        <f t="shared" si="26"/>
        <v>0</v>
      </c>
      <c r="I93" s="28">
        <f t="shared" si="26"/>
        <v>0</v>
      </c>
      <c r="J93" s="28">
        <f t="shared" si="26"/>
        <v>0</v>
      </c>
      <c r="K93" s="28">
        <f t="shared" si="26"/>
        <v>0</v>
      </c>
      <c r="L93" s="28">
        <f t="shared" si="26"/>
        <v>0</v>
      </c>
      <c r="M93" s="28">
        <f t="shared" si="26"/>
        <v>0</v>
      </c>
      <c r="N93" s="28">
        <f t="shared" si="26"/>
        <v>0</v>
      </c>
      <c r="O93" s="28">
        <f t="shared" si="26"/>
        <v>0</v>
      </c>
      <c r="P93" s="28">
        <f t="shared" si="26"/>
        <v>0</v>
      </c>
      <c r="Q93" s="28">
        <f t="shared" si="26"/>
        <v>0</v>
      </c>
      <c r="R93" s="28">
        <f t="shared" si="26"/>
        <v>0</v>
      </c>
      <c r="S93" s="28">
        <f t="shared" si="26"/>
        <v>1</v>
      </c>
      <c r="T93" s="28">
        <f t="shared" si="26"/>
        <v>0</v>
      </c>
      <c r="U93" s="28">
        <f t="shared" si="26"/>
        <v>0</v>
      </c>
      <c r="V93" s="28">
        <f t="shared" si="26"/>
        <v>0</v>
      </c>
      <c r="W93" s="28">
        <f t="shared" si="26"/>
        <v>0</v>
      </c>
      <c r="X93" s="28">
        <f t="shared" si="26"/>
        <v>0</v>
      </c>
      <c r="Y93" s="28">
        <f t="shared" si="26"/>
        <v>0</v>
      </c>
      <c r="Z93" s="28">
        <f t="shared" si="26"/>
        <v>0</v>
      </c>
      <c r="AA93" s="28">
        <f t="shared" si="26"/>
        <v>0</v>
      </c>
      <c r="AB93" s="28">
        <f t="shared" si="26"/>
        <v>0</v>
      </c>
      <c r="AC93" s="28">
        <f t="shared" si="26"/>
        <v>0</v>
      </c>
      <c r="AD93" s="28">
        <f t="shared" si="26"/>
        <v>0</v>
      </c>
      <c r="AE93" s="28">
        <f t="shared" si="26"/>
        <v>0</v>
      </c>
      <c r="AF93" s="28">
        <f t="shared" si="26"/>
        <v>0</v>
      </c>
      <c r="AG93" s="28">
        <f t="shared" si="26"/>
        <v>0</v>
      </c>
      <c r="AH93" s="28">
        <f t="shared" si="26"/>
        <v>0</v>
      </c>
      <c r="AI93" s="28">
        <f t="shared" si="26"/>
        <v>0</v>
      </c>
      <c r="AJ93" s="31">
        <f>SUM(D93:AI93)</f>
        <v>1</v>
      </c>
    </row>
    <row r="94" spans="2:36" x14ac:dyDescent="0.25">
      <c r="B94" s="80"/>
      <c r="C94" s="20" t="s">
        <v>49</v>
      </c>
      <c r="D94" s="28">
        <f t="shared" ref="D94:AI94" si="27">COUNTIF(D$4:D$73,"*2l*")</f>
        <v>0</v>
      </c>
      <c r="E94" s="28">
        <f t="shared" si="27"/>
        <v>0</v>
      </c>
      <c r="F94" s="28">
        <f t="shared" si="27"/>
        <v>0</v>
      </c>
      <c r="G94" s="28">
        <f t="shared" si="27"/>
        <v>0</v>
      </c>
      <c r="H94" s="28">
        <f t="shared" si="27"/>
        <v>0</v>
      </c>
      <c r="I94" s="28">
        <f t="shared" si="27"/>
        <v>0</v>
      </c>
      <c r="J94" s="28">
        <f t="shared" si="27"/>
        <v>0</v>
      </c>
      <c r="K94" s="28">
        <f t="shared" si="27"/>
        <v>0</v>
      </c>
      <c r="L94" s="28">
        <f t="shared" si="27"/>
        <v>0</v>
      </c>
      <c r="M94" s="28">
        <f t="shared" si="27"/>
        <v>0</v>
      </c>
      <c r="N94" s="28">
        <f t="shared" si="27"/>
        <v>0</v>
      </c>
      <c r="O94" s="28">
        <f t="shared" si="27"/>
        <v>0</v>
      </c>
      <c r="P94" s="28">
        <f t="shared" si="27"/>
        <v>0</v>
      </c>
      <c r="Q94" s="28">
        <f t="shared" si="27"/>
        <v>1</v>
      </c>
      <c r="R94" s="28">
        <f t="shared" si="27"/>
        <v>0</v>
      </c>
      <c r="S94" s="28">
        <f t="shared" si="27"/>
        <v>1</v>
      </c>
      <c r="T94" s="28">
        <f t="shared" si="27"/>
        <v>0</v>
      </c>
      <c r="U94" s="28">
        <f t="shared" si="27"/>
        <v>0</v>
      </c>
      <c r="V94" s="28">
        <f t="shared" si="27"/>
        <v>0</v>
      </c>
      <c r="W94" s="28">
        <f t="shared" si="27"/>
        <v>0</v>
      </c>
      <c r="X94" s="28">
        <f t="shared" si="27"/>
        <v>0</v>
      </c>
      <c r="Y94" s="28">
        <f t="shared" si="27"/>
        <v>1</v>
      </c>
      <c r="Z94" s="28">
        <f t="shared" si="27"/>
        <v>0</v>
      </c>
      <c r="AA94" s="28">
        <f t="shared" si="27"/>
        <v>0</v>
      </c>
      <c r="AB94" s="28">
        <f t="shared" si="27"/>
        <v>0</v>
      </c>
      <c r="AC94" s="28">
        <f t="shared" si="27"/>
        <v>0</v>
      </c>
      <c r="AD94" s="28">
        <f t="shared" si="27"/>
        <v>0</v>
      </c>
      <c r="AE94" s="28">
        <f t="shared" si="27"/>
        <v>0</v>
      </c>
      <c r="AF94" s="28">
        <f t="shared" si="27"/>
        <v>0</v>
      </c>
      <c r="AG94" s="28">
        <f t="shared" si="27"/>
        <v>0</v>
      </c>
      <c r="AH94" s="28">
        <f t="shared" si="27"/>
        <v>0</v>
      </c>
      <c r="AI94" s="28">
        <f t="shared" si="27"/>
        <v>0</v>
      </c>
      <c r="AJ94" s="31">
        <f>SUM(D94:AI94)</f>
        <v>3</v>
      </c>
    </row>
    <row r="95" spans="2:36" x14ac:dyDescent="0.25">
      <c r="B95" s="80"/>
      <c r="C95" s="20" t="s">
        <v>50</v>
      </c>
      <c r="D95" s="28">
        <f t="shared" ref="D95:AI95" si="28">COUNTIF(D$4:D$73,"*2o*")</f>
        <v>0</v>
      </c>
      <c r="E95" s="28">
        <f t="shared" si="28"/>
        <v>0</v>
      </c>
      <c r="F95" s="28">
        <f t="shared" si="28"/>
        <v>0</v>
      </c>
      <c r="G95" s="28">
        <f t="shared" si="28"/>
        <v>0</v>
      </c>
      <c r="H95" s="28">
        <f t="shared" si="28"/>
        <v>0</v>
      </c>
      <c r="I95" s="28">
        <f t="shared" si="28"/>
        <v>0</v>
      </c>
      <c r="J95" s="28">
        <f t="shared" si="28"/>
        <v>0</v>
      </c>
      <c r="K95" s="28">
        <f t="shared" si="28"/>
        <v>0</v>
      </c>
      <c r="L95" s="28">
        <f t="shared" si="28"/>
        <v>0</v>
      </c>
      <c r="M95" s="28">
        <f t="shared" si="28"/>
        <v>0</v>
      </c>
      <c r="N95" s="28">
        <f t="shared" si="28"/>
        <v>0</v>
      </c>
      <c r="O95" s="28">
        <f t="shared" si="28"/>
        <v>0</v>
      </c>
      <c r="P95" s="28">
        <f t="shared" si="28"/>
        <v>0</v>
      </c>
      <c r="Q95" s="28">
        <f t="shared" si="28"/>
        <v>0</v>
      </c>
      <c r="R95" s="28">
        <f t="shared" si="28"/>
        <v>0</v>
      </c>
      <c r="S95" s="28">
        <f t="shared" si="28"/>
        <v>1</v>
      </c>
      <c r="T95" s="28">
        <f t="shared" si="28"/>
        <v>0</v>
      </c>
      <c r="U95" s="28">
        <f t="shared" si="28"/>
        <v>0</v>
      </c>
      <c r="V95" s="28">
        <f t="shared" si="28"/>
        <v>0</v>
      </c>
      <c r="W95" s="28">
        <f t="shared" si="28"/>
        <v>0</v>
      </c>
      <c r="X95" s="28">
        <f t="shared" si="28"/>
        <v>0</v>
      </c>
      <c r="Y95" s="28">
        <f t="shared" si="28"/>
        <v>0</v>
      </c>
      <c r="Z95" s="28">
        <f t="shared" si="28"/>
        <v>0</v>
      </c>
      <c r="AA95" s="28">
        <f t="shared" si="28"/>
        <v>0</v>
      </c>
      <c r="AB95" s="28">
        <f t="shared" si="28"/>
        <v>0</v>
      </c>
      <c r="AC95" s="28">
        <f t="shared" si="28"/>
        <v>0</v>
      </c>
      <c r="AD95" s="28">
        <f t="shared" si="28"/>
        <v>0</v>
      </c>
      <c r="AE95" s="28">
        <f t="shared" si="28"/>
        <v>0</v>
      </c>
      <c r="AF95" s="28">
        <f t="shared" si="28"/>
        <v>0</v>
      </c>
      <c r="AG95" s="28">
        <f t="shared" si="28"/>
        <v>0</v>
      </c>
      <c r="AH95" s="28">
        <f t="shared" si="28"/>
        <v>0</v>
      </c>
      <c r="AI95" s="28">
        <f t="shared" si="28"/>
        <v>0</v>
      </c>
      <c r="AJ95" s="31">
        <f>SUM(D95:AI95)</f>
        <v>1</v>
      </c>
    </row>
    <row r="96" spans="2:36" x14ac:dyDescent="0.25">
      <c r="AJ96" s="31"/>
    </row>
    <row r="97" spans="2:36" x14ac:dyDescent="0.25">
      <c r="B97" s="80">
        <v>3</v>
      </c>
      <c r="C97" s="20" t="s">
        <v>46</v>
      </c>
      <c r="D97" s="28">
        <f t="shared" ref="D97:AI97" si="29">COUNTIF(D$4:D$73,"*3m*")</f>
        <v>0</v>
      </c>
      <c r="E97" s="28">
        <f t="shared" si="29"/>
        <v>0</v>
      </c>
      <c r="F97" s="28">
        <f t="shared" si="29"/>
        <v>0</v>
      </c>
      <c r="G97" s="28">
        <f t="shared" si="29"/>
        <v>0</v>
      </c>
      <c r="H97" s="28">
        <f t="shared" si="29"/>
        <v>0</v>
      </c>
      <c r="I97" s="28">
        <f t="shared" si="29"/>
        <v>0</v>
      </c>
      <c r="J97" s="28">
        <f t="shared" si="29"/>
        <v>0</v>
      </c>
      <c r="K97" s="28">
        <f t="shared" si="29"/>
        <v>0</v>
      </c>
      <c r="L97" s="28">
        <f t="shared" si="29"/>
        <v>0</v>
      </c>
      <c r="M97" s="28">
        <f t="shared" si="29"/>
        <v>0</v>
      </c>
      <c r="N97" s="28">
        <f t="shared" si="29"/>
        <v>0</v>
      </c>
      <c r="O97" s="28">
        <f t="shared" si="29"/>
        <v>0</v>
      </c>
      <c r="P97" s="28">
        <f t="shared" si="29"/>
        <v>0</v>
      </c>
      <c r="Q97" s="28">
        <f t="shared" si="29"/>
        <v>0</v>
      </c>
      <c r="R97" s="28">
        <f t="shared" si="29"/>
        <v>0</v>
      </c>
      <c r="S97" s="28">
        <f t="shared" si="29"/>
        <v>0</v>
      </c>
      <c r="T97" s="28">
        <f t="shared" si="29"/>
        <v>0</v>
      </c>
      <c r="U97" s="28">
        <f t="shared" si="29"/>
        <v>0</v>
      </c>
      <c r="V97" s="28">
        <f t="shared" si="29"/>
        <v>0</v>
      </c>
      <c r="W97" s="28">
        <f t="shared" si="29"/>
        <v>0</v>
      </c>
      <c r="X97" s="28">
        <f t="shared" si="29"/>
        <v>0</v>
      </c>
      <c r="Y97" s="28">
        <f t="shared" si="29"/>
        <v>0</v>
      </c>
      <c r="Z97" s="28">
        <f t="shared" si="29"/>
        <v>0</v>
      </c>
      <c r="AA97" s="28">
        <f t="shared" si="29"/>
        <v>0</v>
      </c>
      <c r="AB97" s="28">
        <f t="shared" si="29"/>
        <v>0</v>
      </c>
      <c r="AC97" s="28">
        <f t="shared" si="29"/>
        <v>0</v>
      </c>
      <c r="AD97" s="28">
        <f t="shared" si="29"/>
        <v>0</v>
      </c>
      <c r="AE97" s="28">
        <f t="shared" si="29"/>
        <v>0</v>
      </c>
      <c r="AF97" s="28">
        <f t="shared" si="29"/>
        <v>0</v>
      </c>
      <c r="AG97" s="28">
        <f t="shared" si="29"/>
        <v>0</v>
      </c>
      <c r="AH97" s="28">
        <f t="shared" si="29"/>
        <v>0</v>
      </c>
      <c r="AI97" s="28">
        <f t="shared" si="29"/>
        <v>0</v>
      </c>
      <c r="AJ97" s="31">
        <f>SUM(D97:AI97)</f>
        <v>0</v>
      </c>
    </row>
    <row r="98" spans="2:36" x14ac:dyDescent="0.25">
      <c r="B98" s="80"/>
      <c r="C98" s="20" t="s">
        <v>48</v>
      </c>
      <c r="D98" s="28">
        <f t="shared" ref="D98:AI98" si="30">COUNTIF(D$4:D$73,"*3b*")</f>
        <v>0</v>
      </c>
      <c r="E98" s="28">
        <f t="shared" si="30"/>
        <v>0</v>
      </c>
      <c r="F98" s="28">
        <f t="shared" si="30"/>
        <v>0</v>
      </c>
      <c r="G98" s="28">
        <f t="shared" si="30"/>
        <v>0</v>
      </c>
      <c r="H98" s="28">
        <f t="shared" si="30"/>
        <v>0</v>
      </c>
      <c r="I98" s="28">
        <f t="shared" si="30"/>
        <v>0</v>
      </c>
      <c r="J98" s="28">
        <f t="shared" si="30"/>
        <v>0</v>
      </c>
      <c r="K98" s="28">
        <f t="shared" si="30"/>
        <v>0</v>
      </c>
      <c r="L98" s="28">
        <f t="shared" si="30"/>
        <v>0</v>
      </c>
      <c r="M98" s="28">
        <f t="shared" si="30"/>
        <v>0</v>
      </c>
      <c r="N98" s="28">
        <f t="shared" si="30"/>
        <v>0</v>
      </c>
      <c r="O98" s="28">
        <f t="shared" si="30"/>
        <v>0</v>
      </c>
      <c r="P98" s="28">
        <f t="shared" si="30"/>
        <v>0</v>
      </c>
      <c r="Q98" s="28">
        <f t="shared" si="30"/>
        <v>0</v>
      </c>
      <c r="R98" s="28">
        <f t="shared" si="30"/>
        <v>0</v>
      </c>
      <c r="S98" s="28">
        <f t="shared" si="30"/>
        <v>0</v>
      </c>
      <c r="T98" s="28">
        <f t="shared" si="30"/>
        <v>0</v>
      </c>
      <c r="U98" s="28">
        <f t="shared" si="30"/>
        <v>0</v>
      </c>
      <c r="V98" s="28">
        <f t="shared" si="30"/>
        <v>0</v>
      </c>
      <c r="W98" s="28">
        <f t="shared" si="30"/>
        <v>0</v>
      </c>
      <c r="X98" s="28">
        <f t="shared" si="30"/>
        <v>0</v>
      </c>
      <c r="Y98" s="28">
        <f t="shared" si="30"/>
        <v>0</v>
      </c>
      <c r="Z98" s="28">
        <f t="shared" si="30"/>
        <v>0</v>
      </c>
      <c r="AA98" s="28">
        <f t="shared" si="30"/>
        <v>0</v>
      </c>
      <c r="AB98" s="28">
        <f t="shared" si="30"/>
        <v>0</v>
      </c>
      <c r="AC98" s="28">
        <f t="shared" si="30"/>
        <v>1</v>
      </c>
      <c r="AD98" s="28">
        <f t="shared" si="30"/>
        <v>0</v>
      </c>
      <c r="AE98" s="28">
        <f t="shared" si="30"/>
        <v>0</v>
      </c>
      <c r="AF98" s="28">
        <f t="shared" si="30"/>
        <v>0</v>
      </c>
      <c r="AG98" s="28">
        <f t="shared" si="30"/>
        <v>0</v>
      </c>
      <c r="AH98" s="28">
        <f t="shared" si="30"/>
        <v>0</v>
      </c>
      <c r="AI98" s="28">
        <f t="shared" si="30"/>
        <v>0</v>
      </c>
      <c r="AJ98" s="31">
        <f>SUM(D98:AI98)</f>
        <v>1</v>
      </c>
    </row>
    <row r="99" spans="2:36" x14ac:dyDescent="0.25">
      <c r="B99" s="80"/>
      <c r="C99" s="20" t="s">
        <v>47</v>
      </c>
      <c r="D99" s="28">
        <f t="shared" ref="D99:AI99" si="31">COUNTIF(D$4:D$73,"*3d*")</f>
        <v>0</v>
      </c>
      <c r="E99" s="28">
        <f t="shared" si="31"/>
        <v>0</v>
      </c>
      <c r="F99" s="28">
        <f t="shared" si="31"/>
        <v>0</v>
      </c>
      <c r="G99" s="28">
        <f t="shared" si="31"/>
        <v>0</v>
      </c>
      <c r="H99" s="28">
        <f t="shared" si="31"/>
        <v>0</v>
      </c>
      <c r="I99" s="28">
        <f t="shared" si="31"/>
        <v>0</v>
      </c>
      <c r="J99" s="28">
        <f t="shared" si="31"/>
        <v>0</v>
      </c>
      <c r="K99" s="28">
        <f t="shared" si="31"/>
        <v>0</v>
      </c>
      <c r="L99" s="28">
        <f t="shared" si="31"/>
        <v>0</v>
      </c>
      <c r="M99" s="28">
        <f t="shared" si="31"/>
        <v>0</v>
      </c>
      <c r="N99" s="28">
        <f t="shared" si="31"/>
        <v>0</v>
      </c>
      <c r="O99" s="28">
        <f t="shared" si="31"/>
        <v>0</v>
      </c>
      <c r="P99" s="28">
        <f t="shared" si="31"/>
        <v>0</v>
      </c>
      <c r="Q99" s="28">
        <f t="shared" si="31"/>
        <v>0</v>
      </c>
      <c r="R99" s="28">
        <f t="shared" si="31"/>
        <v>0</v>
      </c>
      <c r="S99" s="28">
        <f t="shared" si="31"/>
        <v>0</v>
      </c>
      <c r="T99" s="28">
        <f t="shared" si="31"/>
        <v>0</v>
      </c>
      <c r="U99" s="28">
        <f t="shared" si="31"/>
        <v>0</v>
      </c>
      <c r="V99" s="28">
        <f t="shared" si="31"/>
        <v>0</v>
      </c>
      <c r="W99" s="28">
        <f t="shared" si="31"/>
        <v>0</v>
      </c>
      <c r="X99" s="28">
        <f t="shared" si="31"/>
        <v>0</v>
      </c>
      <c r="Y99" s="28">
        <f t="shared" si="31"/>
        <v>0</v>
      </c>
      <c r="Z99" s="28">
        <f t="shared" si="31"/>
        <v>0</v>
      </c>
      <c r="AA99" s="28">
        <f t="shared" si="31"/>
        <v>0</v>
      </c>
      <c r="AB99" s="28">
        <f t="shared" si="31"/>
        <v>0</v>
      </c>
      <c r="AC99" s="28">
        <f t="shared" si="31"/>
        <v>0</v>
      </c>
      <c r="AD99" s="28">
        <f t="shared" si="31"/>
        <v>0</v>
      </c>
      <c r="AE99" s="28">
        <f t="shared" si="31"/>
        <v>0</v>
      </c>
      <c r="AF99" s="28">
        <f t="shared" si="31"/>
        <v>0</v>
      </c>
      <c r="AG99" s="28">
        <f t="shared" si="31"/>
        <v>0</v>
      </c>
      <c r="AH99" s="28">
        <f t="shared" si="31"/>
        <v>1</v>
      </c>
      <c r="AI99" s="28">
        <f t="shared" si="31"/>
        <v>0</v>
      </c>
      <c r="AJ99" s="31">
        <f>SUM(D99:AI99)</f>
        <v>1</v>
      </c>
    </row>
    <row r="100" spans="2:36" x14ac:dyDescent="0.25">
      <c r="B100" s="80"/>
      <c r="C100" s="20" t="s">
        <v>49</v>
      </c>
      <c r="D100" s="28">
        <f t="shared" ref="D100:AI100" si="32">COUNTIF(D$4:D$73,"*3l*")</f>
        <v>0</v>
      </c>
      <c r="E100" s="28">
        <f t="shared" si="32"/>
        <v>0</v>
      </c>
      <c r="F100" s="28">
        <f t="shared" si="32"/>
        <v>0</v>
      </c>
      <c r="G100" s="28">
        <f t="shared" si="32"/>
        <v>0</v>
      </c>
      <c r="H100" s="28">
        <f t="shared" si="32"/>
        <v>0</v>
      </c>
      <c r="I100" s="28">
        <f t="shared" si="32"/>
        <v>0</v>
      </c>
      <c r="J100" s="28">
        <f t="shared" si="32"/>
        <v>0</v>
      </c>
      <c r="K100" s="28">
        <f t="shared" si="32"/>
        <v>0</v>
      </c>
      <c r="L100" s="28">
        <f t="shared" si="32"/>
        <v>0</v>
      </c>
      <c r="M100" s="28">
        <f t="shared" si="32"/>
        <v>0</v>
      </c>
      <c r="N100" s="28">
        <f t="shared" si="32"/>
        <v>0</v>
      </c>
      <c r="O100" s="28">
        <f t="shared" si="32"/>
        <v>0</v>
      </c>
      <c r="P100" s="28">
        <f t="shared" si="32"/>
        <v>0</v>
      </c>
      <c r="Q100" s="28">
        <f t="shared" si="32"/>
        <v>0</v>
      </c>
      <c r="R100" s="28">
        <f t="shared" si="32"/>
        <v>0</v>
      </c>
      <c r="S100" s="28">
        <f t="shared" si="32"/>
        <v>0</v>
      </c>
      <c r="T100" s="28">
        <f t="shared" si="32"/>
        <v>0</v>
      </c>
      <c r="U100" s="28">
        <f t="shared" si="32"/>
        <v>0</v>
      </c>
      <c r="V100" s="28">
        <f t="shared" si="32"/>
        <v>0</v>
      </c>
      <c r="W100" s="28">
        <f t="shared" si="32"/>
        <v>0</v>
      </c>
      <c r="X100" s="28">
        <f t="shared" si="32"/>
        <v>0</v>
      </c>
      <c r="Y100" s="28">
        <f t="shared" si="32"/>
        <v>0</v>
      </c>
      <c r="Z100" s="28">
        <f t="shared" si="32"/>
        <v>0</v>
      </c>
      <c r="AA100" s="28">
        <f t="shared" si="32"/>
        <v>0</v>
      </c>
      <c r="AB100" s="28">
        <f t="shared" si="32"/>
        <v>0</v>
      </c>
      <c r="AC100" s="28">
        <f t="shared" si="32"/>
        <v>0</v>
      </c>
      <c r="AD100" s="28">
        <f t="shared" si="32"/>
        <v>0</v>
      </c>
      <c r="AE100" s="28">
        <f t="shared" si="32"/>
        <v>0</v>
      </c>
      <c r="AF100" s="28">
        <f t="shared" si="32"/>
        <v>0</v>
      </c>
      <c r="AG100" s="28">
        <f t="shared" si="32"/>
        <v>0</v>
      </c>
      <c r="AH100" s="28">
        <f t="shared" si="32"/>
        <v>0</v>
      </c>
      <c r="AI100" s="28">
        <f t="shared" si="32"/>
        <v>0</v>
      </c>
      <c r="AJ100" s="31">
        <f>SUM(D100:AI100)</f>
        <v>0</v>
      </c>
    </row>
    <row r="101" spans="2:36" x14ac:dyDescent="0.25">
      <c r="B101" s="80"/>
      <c r="C101" s="20" t="s">
        <v>50</v>
      </c>
      <c r="D101" s="28">
        <f t="shared" ref="D101:AI101" si="33">COUNTIF(D$4:D$73,"*3o*")</f>
        <v>0</v>
      </c>
      <c r="E101" s="28">
        <f t="shared" si="33"/>
        <v>0</v>
      </c>
      <c r="F101" s="28">
        <f t="shared" si="33"/>
        <v>0</v>
      </c>
      <c r="G101" s="28">
        <f t="shared" si="33"/>
        <v>0</v>
      </c>
      <c r="H101" s="28">
        <f t="shared" si="33"/>
        <v>0</v>
      </c>
      <c r="I101" s="28">
        <f t="shared" si="33"/>
        <v>0</v>
      </c>
      <c r="J101" s="28">
        <f t="shared" si="33"/>
        <v>0</v>
      </c>
      <c r="K101" s="28">
        <f t="shared" si="33"/>
        <v>0</v>
      </c>
      <c r="L101" s="28">
        <f t="shared" si="33"/>
        <v>0</v>
      </c>
      <c r="M101" s="28">
        <f t="shared" si="33"/>
        <v>0</v>
      </c>
      <c r="N101" s="28">
        <f t="shared" si="33"/>
        <v>0</v>
      </c>
      <c r="O101" s="28">
        <f t="shared" si="33"/>
        <v>0</v>
      </c>
      <c r="P101" s="28">
        <f t="shared" si="33"/>
        <v>0</v>
      </c>
      <c r="Q101" s="28">
        <f t="shared" si="33"/>
        <v>0</v>
      </c>
      <c r="R101" s="28">
        <f t="shared" si="33"/>
        <v>0</v>
      </c>
      <c r="S101" s="28">
        <f t="shared" si="33"/>
        <v>0</v>
      </c>
      <c r="T101" s="28">
        <f t="shared" si="33"/>
        <v>0</v>
      </c>
      <c r="U101" s="28">
        <f t="shared" si="33"/>
        <v>0</v>
      </c>
      <c r="V101" s="28">
        <f t="shared" si="33"/>
        <v>0</v>
      </c>
      <c r="W101" s="28">
        <f t="shared" si="33"/>
        <v>0</v>
      </c>
      <c r="X101" s="28">
        <f t="shared" si="33"/>
        <v>0</v>
      </c>
      <c r="Y101" s="28">
        <f t="shared" si="33"/>
        <v>0</v>
      </c>
      <c r="Z101" s="28">
        <f t="shared" si="33"/>
        <v>0</v>
      </c>
      <c r="AA101" s="28">
        <f t="shared" si="33"/>
        <v>0</v>
      </c>
      <c r="AB101" s="28">
        <f t="shared" si="33"/>
        <v>0</v>
      </c>
      <c r="AC101" s="28">
        <f t="shared" si="33"/>
        <v>0</v>
      </c>
      <c r="AD101" s="28">
        <f t="shared" si="33"/>
        <v>0</v>
      </c>
      <c r="AE101" s="28">
        <f t="shared" si="33"/>
        <v>0</v>
      </c>
      <c r="AF101" s="28">
        <f t="shared" si="33"/>
        <v>0</v>
      </c>
      <c r="AG101" s="28">
        <f t="shared" si="33"/>
        <v>0</v>
      </c>
      <c r="AH101" s="28">
        <f t="shared" si="33"/>
        <v>0</v>
      </c>
      <c r="AI101" s="28">
        <f t="shared" si="33"/>
        <v>0</v>
      </c>
      <c r="AJ101" s="31">
        <f>SUM(D101:AI101)</f>
        <v>0</v>
      </c>
    </row>
    <row r="102" spans="2:36" x14ac:dyDescent="0.25">
      <c r="AJ102" s="31"/>
    </row>
    <row r="103" spans="2:36" x14ac:dyDescent="0.25">
      <c r="B103" s="20">
        <v>3</v>
      </c>
      <c r="C103" s="20" t="s">
        <v>52</v>
      </c>
      <c r="D103" s="28">
        <f t="shared" ref="D103:AI103" si="34">COUNTIF(D$4:D$73,"*3m3b3d3l3o*")</f>
        <v>0</v>
      </c>
      <c r="E103" s="28">
        <f t="shared" si="34"/>
        <v>0</v>
      </c>
      <c r="F103" s="28">
        <f t="shared" si="34"/>
        <v>0</v>
      </c>
      <c r="G103" s="28">
        <f t="shared" si="34"/>
        <v>0</v>
      </c>
      <c r="H103" s="28">
        <f t="shared" si="34"/>
        <v>0</v>
      </c>
      <c r="I103" s="28">
        <f t="shared" si="34"/>
        <v>0</v>
      </c>
      <c r="J103" s="28">
        <f t="shared" si="34"/>
        <v>0</v>
      </c>
      <c r="K103" s="28">
        <f t="shared" si="34"/>
        <v>0</v>
      </c>
      <c r="L103" s="28">
        <f t="shared" si="34"/>
        <v>0</v>
      </c>
      <c r="M103" s="28">
        <f t="shared" si="34"/>
        <v>0</v>
      </c>
      <c r="N103" s="28">
        <f t="shared" si="34"/>
        <v>0</v>
      </c>
      <c r="O103" s="28">
        <f t="shared" si="34"/>
        <v>0</v>
      </c>
      <c r="P103" s="28">
        <f t="shared" si="34"/>
        <v>0</v>
      </c>
      <c r="Q103" s="28">
        <f t="shared" si="34"/>
        <v>0</v>
      </c>
      <c r="R103" s="28">
        <f t="shared" si="34"/>
        <v>0</v>
      </c>
      <c r="S103" s="28">
        <f t="shared" si="34"/>
        <v>0</v>
      </c>
      <c r="T103" s="28">
        <f t="shared" si="34"/>
        <v>0</v>
      </c>
      <c r="U103" s="28">
        <f t="shared" si="34"/>
        <v>0</v>
      </c>
      <c r="V103" s="28">
        <f t="shared" si="34"/>
        <v>0</v>
      </c>
      <c r="W103" s="28">
        <f t="shared" si="34"/>
        <v>0</v>
      </c>
      <c r="X103" s="28">
        <f t="shared" si="34"/>
        <v>0</v>
      </c>
      <c r="Y103" s="28">
        <f t="shared" si="34"/>
        <v>0</v>
      </c>
      <c r="Z103" s="28">
        <f t="shared" si="34"/>
        <v>0</v>
      </c>
      <c r="AA103" s="28">
        <f t="shared" si="34"/>
        <v>0</v>
      </c>
      <c r="AB103" s="28">
        <f t="shared" si="34"/>
        <v>0</v>
      </c>
      <c r="AC103" s="28">
        <f t="shared" si="34"/>
        <v>0</v>
      </c>
      <c r="AD103" s="28">
        <f t="shared" si="34"/>
        <v>0</v>
      </c>
      <c r="AE103" s="28">
        <f t="shared" si="34"/>
        <v>0</v>
      </c>
      <c r="AF103" s="28">
        <f t="shared" si="34"/>
        <v>0</v>
      </c>
      <c r="AG103" s="28">
        <f t="shared" si="34"/>
        <v>0</v>
      </c>
      <c r="AH103" s="28">
        <f t="shared" si="34"/>
        <v>0</v>
      </c>
      <c r="AI103" s="28">
        <f t="shared" si="34"/>
        <v>0</v>
      </c>
      <c r="AJ103" s="31">
        <f>SUM(D103:AI103)</f>
        <v>0</v>
      </c>
    </row>
  </sheetData>
  <sheetProtection selectLockedCells="1" selectUnlockedCells="1"/>
  <autoFilter ref="A1:AM76" xr:uid="{77C4622C-CB9A-4C76-87F2-3595A453DC53}"/>
  <mergeCells count="14">
    <mergeCell ref="AT3:AY3"/>
    <mergeCell ref="B85:B89"/>
    <mergeCell ref="AT2:AY2"/>
    <mergeCell ref="D3:K3"/>
    <mergeCell ref="B91:B95"/>
    <mergeCell ref="B97:B101"/>
    <mergeCell ref="D1:AI1"/>
    <mergeCell ref="D2:S2"/>
    <mergeCell ref="T2:AI2"/>
    <mergeCell ref="AO2:AR2"/>
    <mergeCell ref="L3:S3"/>
    <mergeCell ref="T3:AA3"/>
    <mergeCell ref="AB3:AI3"/>
    <mergeCell ref="AO3:AR3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587B-38E5-4EE3-AAE6-75C8E5177CCB}">
  <dimension ref="A1:AY103"/>
  <sheetViews>
    <sheetView workbookViewId="0">
      <pane xSplit="3" ySplit="4" topLeftCell="D5" activePane="bottomRight" state="frozen"/>
      <selection pane="topRight" activeCell="D1" sqref="D1"/>
      <selection pane="bottomLeft" activeCell="A139" sqref="A139"/>
      <selection pane="bottomRight" activeCell="C80" sqref="C80"/>
    </sheetView>
  </sheetViews>
  <sheetFormatPr defaultColWidth="11.5703125" defaultRowHeight="15" x14ac:dyDescent="0.25"/>
  <cols>
    <col min="1" max="1" width="4" style="20" customWidth="1"/>
    <col min="2" max="2" width="12.28515625" style="20" customWidth="1"/>
    <col min="3" max="3" width="12" style="20" customWidth="1"/>
    <col min="4" max="6" width="4" style="28" customWidth="1"/>
    <col min="7" max="8" width="5.140625" style="28" customWidth="1"/>
    <col min="9" max="9" width="2.7109375" style="28" customWidth="1"/>
    <col min="10" max="13" width="3" style="28" customWidth="1"/>
    <col min="14" max="14" width="2.7109375" style="28" customWidth="1"/>
    <col min="15" max="16" width="5.140625" style="28" customWidth="1"/>
    <col min="17" max="22" width="4" style="28" customWidth="1"/>
    <col min="23" max="24" width="5.140625" style="28" customWidth="1"/>
    <col min="25" max="25" width="2.7109375" style="28" customWidth="1"/>
    <col min="26" max="29" width="3" style="28" customWidth="1"/>
    <col min="30" max="30" width="2.7109375" style="28" customWidth="1"/>
    <col min="31" max="32" width="5.140625" style="28" customWidth="1"/>
    <col min="33" max="36" width="4" style="28" customWidth="1"/>
    <col min="37" max="37" width="6.140625" style="20" customWidth="1"/>
    <col min="38" max="38" width="11.42578125" style="20" customWidth="1"/>
    <col min="39" max="39" width="10.28515625" style="20" customWidth="1"/>
    <col min="40" max="40" width="11.5703125" style="20"/>
    <col min="41" max="41" width="4.5703125" style="28" customWidth="1"/>
    <col min="42" max="42" width="4.28515625" style="28" customWidth="1"/>
    <col min="43" max="43" width="5.42578125" style="28" customWidth="1"/>
    <col min="44" max="45" width="6.42578125" style="28" customWidth="1"/>
    <col min="46" max="50" width="4.28515625" style="28" customWidth="1"/>
    <col min="51" max="51" width="6.42578125" style="20" customWidth="1"/>
    <col min="52" max="16384" width="11.5703125" style="20"/>
  </cols>
  <sheetData>
    <row r="1" spans="1:51" x14ac:dyDescent="0.25">
      <c r="D1" s="84" t="s">
        <v>53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22"/>
      <c r="AL1" s="54" t="s">
        <v>54</v>
      </c>
    </row>
    <row r="2" spans="1:51" x14ac:dyDescent="0.25">
      <c r="D2" s="83" t="s">
        <v>0</v>
      </c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 t="s">
        <v>1</v>
      </c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22"/>
      <c r="AO2" s="80" t="s">
        <v>38</v>
      </c>
      <c r="AP2" s="80"/>
      <c r="AQ2" s="80"/>
      <c r="AR2" s="80"/>
      <c r="AT2" s="80" t="s">
        <v>38</v>
      </c>
      <c r="AU2" s="80"/>
      <c r="AV2" s="80"/>
      <c r="AW2" s="80"/>
      <c r="AX2" s="80"/>
      <c r="AY2" s="80"/>
    </row>
    <row r="3" spans="1:51" x14ac:dyDescent="0.25">
      <c r="D3" s="82" t="s">
        <v>3</v>
      </c>
      <c r="E3" s="82"/>
      <c r="F3" s="82"/>
      <c r="G3" s="82"/>
      <c r="H3" s="82"/>
      <c r="I3" s="82"/>
      <c r="J3" s="82"/>
      <c r="K3" s="82"/>
      <c r="L3" s="82" t="s">
        <v>4</v>
      </c>
      <c r="M3" s="82"/>
      <c r="N3" s="82"/>
      <c r="O3" s="82"/>
      <c r="P3" s="82"/>
      <c r="Q3" s="82"/>
      <c r="R3" s="82"/>
      <c r="S3" s="82"/>
      <c r="T3" s="80" t="s">
        <v>3</v>
      </c>
      <c r="U3" s="80"/>
      <c r="V3" s="80"/>
      <c r="W3" s="80"/>
      <c r="X3" s="80"/>
      <c r="Y3" s="80"/>
      <c r="Z3" s="80"/>
      <c r="AA3" s="80"/>
      <c r="AB3" s="82" t="s">
        <v>4</v>
      </c>
      <c r="AC3" s="82"/>
      <c r="AD3" s="82"/>
      <c r="AE3" s="82"/>
      <c r="AF3" s="82"/>
      <c r="AG3" s="82"/>
      <c r="AH3" s="82"/>
      <c r="AI3" s="82"/>
      <c r="AJ3" s="22"/>
      <c r="AO3" s="80" t="s">
        <v>55</v>
      </c>
      <c r="AP3" s="80"/>
      <c r="AQ3" s="80"/>
      <c r="AR3" s="80"/>
      <c r="AT3" s="80" t="s">
        <v>56</v>
      </c>
      <c r="AU3" s="80"/>
      <c r="AV3" s="80"/>
      <c r="AW3" s="80"/>
      <c r="AX3" s="80"/>
      <c r="AY3" s="80"/>
    </row>
    <row r="4" spans="1:51" s="7" customFormat="1" x14ac:dyDescent="0.25">
      <c r="A4" s="7" t="s">
        <v>8</v>
      </c>
      <c r="B4" s="7" t="s">
        <v>9</v>
      </c>
      <c r="C4" s="7" t="s">
        <v>10</v>
      </c>
      <c r="D4" s="10">
        <v>8</v>
      </c>
      <c r="E4" s="8">
        <v>7</v>
      </c>
      <c r="F4" s="8">
        <v>6</v>
      </c>
      <c r="G4" s="8">
        <v>5</v>
      </c>
      <c r="H4" s="8">
        <v>4</v>
      </c>
      <c r="I4" s="8">
        <v>3</v>
      </c>
      <c r="J4" s="8">
        <v>2</v>
      </c>
      <c r="K4" s="9">
        <v>1</v>
      </c>
      <c r="L4" s="8">
        <v>1</v>
      </c>
      <c r="M4" s="8">
        <v>2</v>
      </c>
      <c r="N4" s="8">
        <v>3</v>
      </c>
      <c r="O4" s="8">
        <v>4</v>
      </c>
      <c r="P4" s="8">
        <v>5</v>
      </c>
      <c r="Q4" s="8">
        <v>6</v>
      </c>
      <c r="R4" s="8">
        <v>7</v>
      </c>
      <c r="S4" s="8">
        <v>8</v>
      </c>
      <c r="T4" s="10">
        <v>8</v>
      </c>
      <c r="U4" s="8">
        <v>7</v>
      </c>
      <c r="V4" s="8">
        <v>6</v>
      </c>
      <c r="W4" s="8">
        <v>5</v>
      </c>
      <c r="X4" s="8">
        <v>4</v>
      </c>
      <c r="Y4" s="8">
        <v>3</v>
      </c>
      <c r="Z4" s="8">
        <v>2</v>
      </c>
      <c r="AA4" s="9">
        <v>1</v>
      </c>
      <c r="AB4" s="10">
        <v>1</v>
      </c>
      <c r="AC4" s="8">
        <v>2</v>
      </c>
      <c r="AD4" s="8">
        <v>3</v>
      </c>
      <c r="AE4" s="8">
        <v>4</v>
      </c>
      <c r="AF4" s="8">
        <v>5</v>
      </c>
      <c r="AG4" s="8">
        <v>6</v>
      </c>
      <c r="AH4" s="8">
        <v>7</v>
      </c>
      <c r="AI4" s="9">
        <v>8</v>
      </c>
      <c r="AJ4" s="8"/>
      <c r="AK4" s="7" t="s">
        <v>57</v>
      </c>
      <c r="AL4" s="7" t="s">
        <v>44</v>
      </c>
      <c r="AM4" s="7" t="s">
        <v>58</v>
      </c>
      <c r="AO4" s="8">
        <v>1</v>
      </c>
      <c r="AP4" s="8">
        <v>2</v>
      </c>
      <c r="AQ4" s="8">
        <v>3</v>
      </c>
      <c r="AR4" s="8" t="s">
        <v>36</v>
      </c>
      <c r="AS4" s="8"/>
      <c r="AT4" s="8" t="s">
        <v>46</v>
      </c>
      <c r="AU4" s="8" t="s">
        <v>47</v>
      </c>
      <c r="AV4" s="8" t="s">
        <v>48</v>
      </c>
      <c r="AW4" s="8" t="s">
        <v>49</v>
      </c>
      <c r="AX4" s="8" t="s">
        <v>50</v>
      </c>
      <c r="AY4" s="7" t="s">
        <v>36</v>
      </c>
    </row>
    <row r="5" spans="1:51" x14ac:dyDescent="0.25">
      <c r="A5" s="20" t="str">
        <f>Üldinfo!A4</f>
        <v>1a</v>
      </c>
      <c r="B5" s="20" t="str">
        <f>Üldinfo!B4</f>
        <v>Mees</v>
      </c>
      <c r="C5" s="20" t="str">
        <f>Üldinfo!C4</f>
        <v>Täiskasvanu</v>
      </c>
      <c r="D5" s="30"/>
      <c r="K5" s="29"/>
      <c r="L5" s="30"/>
      <c r="S5" s="29"/>
      <c r="AB5" s="30"/>
      <c r="AI5" s="29"/>
      <c r="AK5" s="20">
        <f t="shared" ref="AK5:AK73" si="0">COUNTA(D5:AI5)</f>
        <v>0</v>
      </c>
      <c r="AL5" s="20">
        <f>Üldinfo!AM4</f>
        <v>0</v>
      </c>
      <c r="AM5" s="58" t="e">
        <f t="shared" ref="AM5:AM74" si="1">AK5/AL5</f>
        <v>#DIV/0!</v>
      </c>
      <c r="AO5" s="28">
        <f t="shared" ref="AO5:AO73" si="2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1",""))</f>
        <v>0</v>
      </c>
      <c r="AP5" s="28">
        <f t="shared" ref="AP5:AP73" si="3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2",""))</f>
        <v>0</v>
      </c>
      <c r="AQ5" s="28">
        <f t="shared" ref="AQ5:AQ73" si="4">LEN(D5&amp;E5&amp;F5&amp;G5&amp;H5&amp;I5&amp;J5&amp;K5&amp;L5&amp;M5&amp;N5&amp;O5&amp;P5&amp;Q5&amp;R5&amp;S5&amp;T5&amp;U5&amp;V5&amp;W5&amp;X5&amp;Y5&amp;Z5&amp;AA5&amp;AB5&amp;AC5&amp;AD5&amp;AE5&amp;AF5&amp;AG5&amp;AH5&amp;AI5)-LEN(SUBSTITUTE(D5&amp;E5&amp;F5&amp;G5&amp;H5&amp;I5&amp;J5&amp;K5&amp;L5&amp;M5&amp;N5&amp;O5&amp;P5&amp;Q5&amp;R5&amp;S5&amp;T5&amp;U5&amp;V5&amp;W5&amp;X5&amp;Y5&amp;Z5&amp;AA5&amp;AB5&amp;AC5&amp;AD5&amp;AE5&amp;AF5&amp;AG5&amp;AH5&amp;AI5,"3",""))</f>
        <v>0</v>
      </c>
      <c r="AR5" s="20">
        <f t="shared" ref="AR5:AR73" si="5">SUM(AO5:AQ5)</f>
        <v>0</v>
      </c>
      <c r="AS5" s="20"/>
      <c r="AT5" s="20">
        <f t="shared" ref="AT5:AT73" si="6">COUNTIF(D5:AI5,"*m*")</f>
        <v>0</v>
      </c>
      <c r="AU5" s="20">
        <f t="shared" ref="AU5:AU73" si="7">COUNTIF(D5:AI5,"*d*")</f>
        <v>0</v>
      </c>
      <c r="AV5" s="20">
        <f t="shared" ref="AV5:AV73" si="8">COUNTIF(D5:AI5,"*b*")</f>
        <v>0</v>
      </c>
      <c r="AW5" s="20">
        <f t="shared" ref="AW5:AW73" si="9">COUNTIF(D5:AI5,"*l*")</f>
        <v>0</v>
      </c>
      <c r="AX5" s="20">
        <f t="shared" ref="AX5:AX73" si="10">COUNTIF(D5:AI5,"*o*")</f>
        <v>0</v>
      </c>
      <c r="AY5" s="20">
        <f t="shared" ref="AY5:AY73" si="11">SUM(AT5:AX5)</f>
        <v>0</v>
      </c>
    </row>
    <row r="6" spans="1:51" x14ac:dyDescent="0.25">
      <c r="A6" s="20" t="str">
        <f>Üldinfo!A5</f>
        <v>1b</v>
      </c>
      <c r="B6" s="20" t="str">
        <f>Üldinfo!B5</f>
        <v>Alaealine</v>
      </c>
      <c r="C6" s="20" t="str">
        <f>Üldinfo!C5</f>
        <v>Alaealine</v>
      </c>
      <c r="D6" s="30"/>
      <c r="K6" s="29"/>
      <c r="L6" s="30"/>
      <c r="S6" s="29"/>
      <c r="AB6" s="30"/>
      <c r="AI6" s="29"/>
      <c r="AK6" s="20">
        <f>COUNTA(D6:AI6)</f>
        <v>0</v>
      </c>
      <c r="AL6" s="20">
        <f>Üldinfo!AM5</f>
        <v>0</v>
      </c>
      <c r="AM6" s="58" t="e">
        <f>AK6/AL6</f>
        <v>#DIV/0!</v>
      </c>
      <c r="AO6" s="28">
        <f>LEN(D6&amp;E6&amp;F6&amp;G6&amp;H6&amp;I6&amp;J6&amp;K6&amp;L6&amp;M6&amp;N6&amp;O6&amp;P6&amp;Q6&amp;R6&amp;S6&amp;T6&amp;U6&amp;V6&amp;W6&amp;X6&amp;Y6&amp;Z6&amp;AA6&amp;AB6&amp;AC6&amp;AD6&amp;AE6&amp;AF6&amp;AG6&amp;AH6&amp;AI6)-LEN(SUBSTITUTE(D6&amp;E6&amp;F6&amp;G6&amp;H6&amp;I6&amp;J6&amp;K6&amp;L6&amp;M6&amp;N6&amp;O6&amp;P6&amp;Q6&amp;R6&amp;S6&amp;T6&amp;U6&amp;V6&amp;W6&amp;X6&amp;Y6&amp;Z6&amp;AA6&amp;AB6&amp;AC6&amp;AD6&amp;AE6&amp;AF6&amp;AG6&amp;AH6&amp;AI6,"1",""))</f>
        <v>0</v>
      </c>
      <c r="AP6" s="28">
        <f>LEN(D6&amp;E6&amp;F6&amp;G6&amp;H6&amp;I6&amp;J6&amp;K6&amp;L6&amp;M6&amp;N6&amp;O6&amp;P6&amp;Q6&amp;R6&amp;S6&amp;T6&amp;U6&amp;V6&amp;W6&amp;X6&amp;Y6&amp;Z6&amp;AA6&amp;AB6&amp;AC6&amp;AD6&amp;AE6&amp;AF6&amp;AG6&amp;AH6&amp;AI6)-LEN(SUBSTITUTE(D6&amp;E6&amp;F6&amp;G6&amp;H6&amp;I6&amp;J6&amp;K6&amp;L6&amp;M6&amp;N6&amp;O6&amp;P6&amp;Q6&amp;R6&amp;S6&amp;T6&amp;U6&amp;V6&amp;W6&amp;X6&amp;Y6&amp;Z6&amp;AA6&amp;AB6&amp;AC6&amp;AD6&amp;AE6&amp;AF6&amp;AG6&amp;AH6&amp;AI6,"2",""))</f>
        <v>0</v>
      </c>
      <c r="AQ6" s="28">
        <f>LEN(D6&amp;E6&amp;F6&amp;G6&amp;H6&amp;I6&amp;J6&amp;K6&amp;L6&amp;M6&amp;N6&amp;O6&amp;P6&amp;Q6&amp;R6&amp;S6&amp;T6&amp;U6&amp;V6&amp;W6&amp;X6&amp;Y6&amp;Z6&amp;AA6&amp;AB6&amp;AC6&amp;AD6&amp;AE6&amp;AF6&amp;AG6&amp;AH6&amp;AI6)-LEN(SUBSTITUTE(D6&amp;E6&amp;F6&amp;G6&amp;H6&amp;I6&amp;J6&amp;K6&amp;L6&amp;M6&amp;N6&amp;O6&amp;P6&amp;Q6&amp;R6&amp;S6&amp;T6&amp;U6&amp;V6&amp;W6&amp;X6&amp;Y6&amp;Z6&amp;AA6&amp;AB6&amp;AC6&amp;AD6&amp;AE6&amp;AF6&amp;AG6&amp;AH6&amp;AI6,"3",""))</f>
        <v>0</v>
      </c>
      <c r="AR6" s="20">
        <f>SUM(AO6:AQ6)</f>
        <v>0</v>
      </c>
      <c r="AS6" s="20"/>
      <c r="AT6" s="20">
        <f>COUNTIF(D6:AI6,"*m*")</f>
        <v>0</v>
      </c>
      <c r="AU6" s="20">
        <f>COUNTIF(D6:AI6,"*d*")</f>
        <v>0</v>
      </c>
      <c r="AV6" s="20">
        <f>COUNTIF(D6:AI6,"*b*")</f>
        <v>0</v>
      </c>
      <c r="AW6" s="20">
        <f>COUNTIF(D6:AI6,"*l*")</f>
        <v>0</v>
      </c>
      <c r="AX6" s="20">
        <f>COUNTIF(D6:AI6,"*o*")</f>
        <v>0</v>
      </c>
      <c r="AY6" s="20">
        <f>SUM(AT6:AX6)</f>
        <v>0</v>
      </c>
    </row>
    <row r="7" spans="1:51" x14ac:dyDescent="0.25">
      <c r="A7" s="20">
        <f>Üldinfo!A6</f>
        <v>2</v>
      </c>
      <c r="B7" s="20" t="str">
        <f>Üldinfo!B6</f>
        <v>Naine</v>
      </c>
      <c r="C7" s="20" t="str">
        <f>Üldinfo!C6</f>
        <v>Täiskasvanu</v>
      </c>
      <c r="D7" s="30"/>
      <c r="K7" s="29"/>
      <c r="L7" s="30"/>
      <c r="S7" s="29"/>
      <c r="AB7" s="30"/>
      <c r="AI7" s="29"/>
      <c r="AK7" s="20">
        <f t="shared" si="0"/>
        <v>0</v>
      </c>
      <c r="AL7" s="20">
        <f>Üldinfo!AM6</f>
        <v>0</v>
      </c>
      <c r="AM7" s="58" t="e">
        <f t="shared" si="1"/>
        <v>#DIV/0!</v>
      </c>
      <c r="AO7" s="28">
        <f t="shared" si="2"/>
        <v>0</v>
      </c>
      <c r="AP7" s="28">
        <f t="shared" si="3"/>
        <v>0</v>
      </c>
      <c r="AQ7" s="28">
        <f t="shared" si="4"/>
        <v>0</v>
      </c>
      <c r="AR7" s="20">
        <f t="shared" si="5"/>
        <v>0</v>
      </c>
      <c r="AS7" s="20"/>
      <c r="AT7" s="20">
        <f t="shared" si="6"/>
        <v>0</v>
      </c>
      <c r="AU7" s="20">
        <f t="shared" si="7"/>
        <v>0</v>
      </c>
      <c r="AV7" s="20">
        <f t="shared" si="8"/>
        <v>0</v>
      </c>
      <c r="AW7" s="20">
        <f t="shared" si="9"/>
        <v>0</v>
      </c>
      <c r="AX7" s="20">
        <f t="shared" si="10"/>
        <v>0</v>
      </c>
      <c r="AY7" s="20">
        <f t="shared" si="11"/>
        <v>0</v>
      </c>
    </row>
    <row r="8" spans="1:51" x14ac:dyDescent="0.25">
      <c r="A8" s="20">
        <f>Üldinfo!A7</f>
        <v>3</v>
      </c>
      <c r="B8" s="20" t="str">
        <f>Üldinfo!B7</f>
        <v>Alaealine</v>
      </c>
      <c r="C8" s="20" t="str">
        <f>Üldinfo!C7</f>
        <v>12-18 a</v>
      </c>
      <c r="D8" s="30"/>
      <c r="K8" s="29"/>
      <c r="L8" s="30"/>
      <c r="S8" s="29"/>
      <c r="AB8" s="30"/>
      <c r="AI8" s="29"/>
      <c r="AK8" s="20">
        <f t="shared" si="0"/>
        <v>0</v>
      </c>
      <c r="AL8" s="20">
        <f>Üldinfo!AM7</f>
        <v>26</v>
      </c>
      <c r="AM8" s="58">
        <f t="shared" si="1"/>
        <v>0</v>
      </c>
      <c r="AO8" s="28">
        <f t="shared" si="2"/>
        <v>0</v>
      </c>
      <c r="AP8" s="28">
        <f t="shared" si="3"/>
        <v>0</v>
      </c>
      <c r="AQ8" s="28">
        <f t="shared" si="4"/>
        <v>0</v>
      </c>
      <c r="AR8" s="20">
        <f t="shared" si="5"/>
        <v>0</v>
      </c>
      <c r="AT8" s="20">
        <f t="shared" si="6"/>
        <v>0</v>
      </c>
      <c r="AU8" s="20">
        <f t="shared" si="7"/>
        <v>0</v>
      </c>
      <c r="AV8" s="20">
        <f t="shared" si="8"/>
        <v>0</v>
      </c>
      <c r="AW8" s="20">
        <f t="shared" si="9"/>
        <v>0</v>
      </c>
      <c r="AX8" s="20">
        <f t="shared" si="10"/>
        <v>0</v>
      </c>
      <c r="AY8" s="20">
        <f t="shared" si="11"/>
        <v>0</v>
      </c>
    </row>
    <row r="9" spans="1:51" x14ac:dyDescent="0.25">
      <c r="A9" s="20">
        <f>Üldinfo!A8</f>
        <v>4</v>
      </c>
      <c r="B9" s="20" t="str">
        <f>Üldinfo!B8</f>
        <v>Täiskasvanu</v>
      </c>
      <c r="C9" s="20" t="str">
        <f>Üldinfo!C8</f>
        <v>Täiskasvanu</v>
      </c>
      <c r="D9" s="30"/>
      <c r="K9" s="29"/>
      <c r="L9" s="30"/>
      <c r="S9" s="29"/>
      <c r="AB9" s="30"/>
      <c r="AI9" s="29"/>
      <c r="AK9" s="20">
        <f t="shared" si="0"/>
        <v>0</v>
      </c>
      <c r="AL9" s="20">
        <f>Üldinfo!AM8</f>
        <v>0</v>
      </c>
      <c r="AM9" s="58" t="e">
        <f t="shared" si="1"/>
        <v>#DIV/0!</v>
      </c>
      <c r="AO9" s="28">
        <f t="shared" si="2"/>
        <v>0</v>
      </c>
      <c r="AP9" s="28">
        <f t="shared" si="3"/>
        <v>0</v>
      </c>
      <c r="AQ9" s="28">
        <f t="shared" si="4"/>
        <v>0</v>
      </c>
      <c r="AR9" s="20">
        <f t="shared" si="5"/>
        <v>0</v>
      </c>
      <c r="AT9" s="20">
        <f t="shared" si="6"/>
        <v>0</v>
      </c>
      <c r="AU9" s="20">
        <f t="shared" si="7"/>
        <v>0</v>
      </c>
      <c r="AV9" s="20">
        <f t="shared" si="8"/>
        <v>0</v>
      </c>
      <c r="AW9" s="20">
        <f t="shared" si="9"/>
        <v>0</v>
      </c>
      <c r="AX9" s="20">
        <f t="shared" si="10"/>
        <v>0</v>
      </c>
      <c r="AY9" s="20">
        <f t="shared" si="11"/>
        <v>0</v>
      </c>
    </row>
    <row r="10" spans="1:51" x14ac:dyDescent="0.25">
      <c r="A10" s="20">
        <f>Üldinfo!A9</f>
        <v>5</v>
      </c>
      <c r="B10" s="20" t="str">
        <f>Üldinfo!B9</f>
        <v>Täiskasvanu</v>
      </c>
      <c r="C10" s="20" t="str">
        <f>Üldinfo!C9</f>
        <v>Täiskasvanu</v>
      </c>
      <c r="D10" s="30"/>
      <c r="K10" s="29"/>
      <c r="L10" s="30"/>
      <c r="S10" s="29"/>
      <c r="AB10" s="30"/>
      <c r="AI10" s="29"/>
      <c r="AK10" s="20">
        <f t="shared" si="0"/>
        <v>0</v>
      </c>
      <c r="AL10" s="20">
        <f>Üldinfo!AM9</f>
        <v>0</v>
      </c>
      <c r="AM10" s="58" t="e">
        <f t="shared" si="1"/>
        <v>#DIV/0!</v>
      </c>
      <c r="AO10" s="28">
        <f t="shared" si="2"/>
        <v>0</v>
      </c>
      <c r="AP10" s="28">
        <f t="shared" si="3"/>
        <v>0</v>
      </c>
      <c r="AQ10" s="28">
        <f t="shared" si="4"/>
        <v>0</v>
      </c>
      <c r="AR10" s="20">
        <f t="shared" si="5"/>
        <v>0</v>
      </c>
      <c r="AT10" s="20">
        <f t="shared" si="6"/>
        <v>0</v>
      </c>
      <c r="AU10" s="20">
        <f t="shared" si="7"/>
        <v>0</v>
      </c>
      <c r="AV10" s="20">
        <f t="shared" si="8"/>
        <v>0</v>
      </c>
      <c r="AW10" s="20">
        <f t="shared" si="9"/>
        <v>0</v>
      </c>
      <c r="AX10" s="20">
        <f t="shared" si="10"/>
        <v>0</v>
      </c>
      <c r="AY10" s="20">
        <f t="shared" si="11"/>
        <v>0</v>
      </c>
    </row>
    <row r="11" spans="1:51" x14ac:dyDescent="0.25">
      <c r="A11" s="20">
        <f>Üldinfo!A10</f>
        <v>6</v>
      </c>
      <c r="B11" s="20" t="str">
        <f>Üldinfo!B10</f>
        <v>Täiskasvanu</v>
      </c>
      <c r="C11" s="20" t="str">
        <f>Üldinfo!C10</f>
        <v>Täiskasvanu</v>
      </c>
      <c r="D11" s="30"/>
      <c r="K11" s="29"/>
      <c r="L11" s="30"/>
      <c r="S11" s="29"/>
      <c r="AB11" s="30"/>
      <c r="AI11" s="29"/>
      <c r="AK11" s="20">
        <f t="shared" si="0"/>
        <v>0</v>
      </c>
      <c r="AL11" s="20">
        <f>Üldinfo!AM10</f>
        <v>0</v>
      </c>
      <c r="AM11" s="58" t="e">
        <f t="shared" si="1"/>
        <v>#DIV/0!</v>
      </c>
      <c r="AO11" s="28">
        <f t="shared" si="2"/>
        <v>0</v>
      </c>
      <c r="AP11" s="28">
        <f t="shared" si="3"/>
        <v>0</v>
      </c>
      <c r="AQ11" s="28">
        <f t="shared" si="4"/>
        <v>0</v>
      </c>
      <c r="AR11" s="20">
        <f t="shared" si="5"/>
        <v>0</v>
      </c>
      <c r="AT11" s="20">
        <f t="shared" si="6"/>
        <v>0</v>
      </c>
      <c r="AU11" s="20">
        <f t="shared" si="7"/>
        <v>0</v>
      </c>
      <c r="AV11" s="20">
        <f t="shared" si="8"/>
        <v>0</v>
      </c>
      <c r="AW11" s="20">
        <f t="shared" si="9"/>
        <v>0</v>
      </c>
      <c r="AX11" s="20">
        <f t="shared" si="10"/>
        <v>0</v>
      </c>
      <c r="AY11" s="20">
        <f t="shared" si="11"/>
        <v>0</v>
      </c>
    </row>
    <row r="12" spans="1:51" x14ac:dyDescent="0.25">
      <c r="A12" s="20">
        <f>Üldinfo!A11</f>
        <v>7</v>
      </c>
      <c r="B12" s="20" t="str">
        <f>Üldinfo!B11</f>
        <v>Mees</v>
      </c>
      <c r="C12" s="20" t="str">
        <f>Üldinfo!C11</f>
        <v>25-35 a</v>
      </c>
      <c r="D12" s="30"/>
      <c r="E12" s="28" t="s">
        <v>103</v>
      </c>
      <c r="K12" s="29"/>
      <c r="L12" s="30"/>
      <c r="S12" s="29"/>
      <c r="AB12" s="30"/>
      <c r="AI12" s="29"/>
      <c r="AK12" s="20">
        <f t="shared" si="0"/>
        <v>1</v>
      </c>
      <c r="AL12" s="20">
        <f>Üldinfo!AM11</f>
        <v>32</v>
      </c>
      <c r="AM12" s="58">
        <f t="shared" si="1"/>
        <v>3.125E-2</v>
      </c>
      <c r="AO12" s="28">
        <f t="shared" si="2"/>
        <v>1</v>
      </c>
      <c r="AP12" s="28">
        <f t="shared" si="3"/>
        <v>0</v>
      </c>
      <c r="AQ12" s="28">
        <f t="shared" si="4"/>
        <v>0</v>
      </c>
      <c r="AR12" s="20">
        <f t="shared" si="5"/>
        <v>1</v>
      </c>
      <c r="AT12" s="20">
        <f t="shared" si="6"/>
        <v>0</v>
      </c>
      <c r="AU12" s="20">
        <f t="shared" si="7"/>
        <v>1</v>
      </c>
      <c r="AV12" s="20">
        <f t="shared" si="8"/>
        <v>0</v>
      </c>
      <c r="AW12" s="20">
        <f t="shared" si="9"/>
        <v>0</v>
      </c>
      <c r="AX12" s="20">
        <f t="shared" si="10"/>
        <v>0</v>
      </c>
      <c r="AY12" s="20">
        <f t="shared" si="11"/>
        <v>1</v>
      </c>
    </row>
    <row r="13" spans="1:51" x14ac:dyDescent="0.25">
      <c r="A13" s="20">
        <f>Üldinfo!A12</f>
        <v>8</v>
      </c>
      <c r="B13" s="20" t="str">
        <f>Üldinfo!B12</f>
        <v>Täiskasvanu</v>
      </c>
      <c r="C13" s="20" t="str">
        <f>Üldinfo!C12</f>
        <v>Täiskasvanu</v>
      </c>
      <c r="D13" s="30"/>
      <c r="K13" s="29"/>
      <c r="L13" s="30"/>
      <c r="S13" s="29"/>
      <c r="AB13" s="30"/>
      <c r="AI13" s="29"/>
      <c r="AK13" s="20">
        <f t="shared" si="0"/>
        <v>0</v>
      </c>
      <c r="AL13" s="20">
        <f>Üldinfo!AM12</f>
        <v>0</v>
      </c>
      <c r="AM13" s="58" t="e">
        <f t="shared" si="1"/>
        <v>#DIV/0!</v>
      </c>
      <c r="AO13" s="28">
        <f t="shared" si="2"/>
        <v>0</v>
      </c>
      <c r="AP13" s="28">
        <f t="shared" si="3"/>
        <v>0</v>
      </c>
      <c r="AQ13" s="28">
        <f t="shared" si="4"/>
        <v>0</v>
      </c>
      <c r="AR13" s="20">
        <f t="shared" si="5"/>
        <v>0</v>
      </c>
      <c r="AT13" s="20">
        <f t="shared" si="6"/>
        <v>0</v>
      </c>
      <c r="AU13" s="20">
        <f t="shared" si="7"/>
        <v>0</v>
      </c>
      <c r="AV13" s="20">
        <f t="shared" si="8"/>
        <v>0</v>
      </c>
      <c r="AW13" s="20">
        <f t="shared" si="9"/>
        <v>0</v>
      </c>
      <c r="AX13" s="20">
        <f t="shared" si="10"/>
        <v>0</v>
      </c>
      <c r="AY13" s="20">
        <f t="shared" si="11"/>
        <v>0</v>
      </c>
    </row>
    <row r="14" spans="1:51" x14ac:dyDescent="0.25">
      <c r="A14" s="20">
        <f>Üldinfo!A13</f>
        <v>9</v>
      </c>
      <c r="B14" s="20" t="str">
        <f>Üldinfo!B13</f>
        <v>Naine</v>
      </c>
      <c r="C14" s="20" t="str">
        <f>Üldinfo!C13</f>
        <v>25-35 a</v>
      </c>
      <c r="D14" s="30"/>
      <c r="K14" s="29"/>
      <c r="L14" s="30"/>
      <c r="O14" s="28" t="s">
        <v>108</v>
      </c>
      <c r="S14" s="29"/>
      <c r="V14" s="28" t="s">
        <v>109</v>
      </c>
      <c r="AB14" s="30"/>
      <c r="AI14" s="29"/>
      <c r="AK14" s="20">
        <f t="shared" si="0"/>
        <v>2</v>
      </c>
      <c r="AL14" s="20">
        <f>Üldinfo!AM13</f>
        <v>31</v>
      </c>
      <c r="AM14" s="58">
        <f t="shared" si="1"/>
        <v>6.4516129032258063E-2</v>
      </c>
      <c r="AO14" s="28">
        <f t="shared" si="2"/>
        <v>0</v>
      </c>
      <c r="AP14" s="28">
        <f t="shared" si="3"/>
        <v>1</v>
      </c>
      <c r="AQ14" s="28">
        <f t="shared" si="4"/>
        <v>1</v>
      </c>
      <c r="AR14" s="20">
        <f t="shared" si="5"/>
        <v>2</v>
      </c>
      <c r="AT14" s="20">
        <f t="shared" si="6"/>
        <v>0</v>
      </c>
      <c r="AU14" s="20">
        <f t="shared" si="7"/>
        <v>0</v>
      </c>
      <c r="AV14" s="20">
        <f t="shared" si="8"/>
        <v>0</v>
      </c>
      <c r="AW14" s="20">
        <f t="shared" si="9"/>
        <v>0</v>
      </c>
      <c r="AX14" s="20">
        <f t="shared" si="10"/>
        <v>2</v>
      </c>
      <c r="AY14" s="20">
        <f t="shared" si="11"/>
        <v>2</v>
      </c>
    </row>
    <row r="15" spans="1:51" x14ac:dyDescent="0.25">
      <c r="A15" s="20">
        <f>Üldinfo!A14</f>
        <v>10</v>
      </c>
      <c r="B15" s="20" t="str">
        <f>Üldinfo!B14</f>
        <v>Täiskasvanu</v>
      </c>
      <c r="C15" s="20" t="str">
        <f>Üldinfo!C14</f>
        <v>Täiskasvanu</v>
      </c>
      <c r="D15" s="30"/>
      <c r="K15" s="29"/>
      <c r="L15" s="30"/>
      <c r="S15" s="29"/>
      <c r="AB15" s="30"/>
      <c r="AI15" s="29"/>
      <c r="AK15" s="20">
        <f t="shared" si="0"/>
        <v>0</v>
      </c>
      <c r="AL15" s="20">
        <f>Üldinfo!AM14</f>
        <v>0</v>
      </c>
      <c r="AM15" s="58" t="e">
        <f t="shared" si="1"/>
        <v>#DIV/0!</v>
      </c>
      <c r="AO15" s="28">
        <f t="shared" si="2"/>
        <v>0</v>
      </c>
      <c r="AP15" s="28">
        <f t="shared" si="3"/>
        <v>0</v>
      </c>
      <c r="AQ15" s="28">
        <f t="shared" si="4"/>
        <v>0</v>
      </c>
      <c r="AR15" s="20">
        <f t="shared" si="5"/>
        <v>0</v>
      </c>
      <c r="AT15" s="20">
        <f t="shared" si="6"/>
        <v>0</v>
      </c>
      <c r="AU15" s="20">
        <f t="shared" si="7"/>
        <v>0</v>
      </c>
      <c r="AV15" s="20">
        <f t="shared" si="8"/>
        <v>0</v>
      </c>
      <c r="AW15" s="20">
        <f t="shared" si="9"/>
        <v>0</v>
      </c>
      <c r="AX15" s="20">
        <f t="shared" si="10"/>
        <v>0</v>
      </c>
      <c r="AY15" s="20">
        <f t="shared" si="11"/>
        <v>0</v>
      </c>
    </row>
    <row r="16" spans="1:51" x14ac:dyDescent="0.25">
      <c r="A16" s="20">
        <f>Üldinfo!A15</f>
        <v>11</v>
      </c>
      <c r="B16" s="20" t="str">
        <f>Üldinfo!B15</f>
        <v>Täiskasvanu</v>
      </c>
      <c r="C16" s="20" t="str">
        <f>Üldinfo!C15</f>
        <v>Täiskasvanu</v>
      </c>
      <c r="D16" s="30"/>
      <c r="K16" s="29"/>
      <c r="L16" s="30"/>
      <c r="S16" s="29"/>
      <c r="AB16" s="30"/>
      <c r="AI16" s="29"/>
      <c r="AK16" s="20">
        <f t="shared" si="0"/>
        <v>0</v>
      </c>
      <c r="AL16" s="20">
        <f>Üldinfo!AM15</f>
        <v>0</v>
      </c>
      <c r="AM16" s="58" t="e">
        <f t="shared" si="1"/>
        <v>#DIV/0!</v>
      </c>
      <c r="AO16" s="28">
        <f t="shared" si="2"/>
        <v>0</v>
      </c>
      <c r="AP16" s="28">
        <f t="shared" si="3"/>
        <v>0</v>
      </c>
      <c r="AQ16" s="28">
        <f t="shared" si="4"/>
        <v>0</v>
      </c>
      <c r="AR16" s="20">
        <f t="shared" si="5"/>
        <v>0</v>
      </c>
      <c r="AT16" s="20">
        <f t="shared" si="6"/>
        <v>0</v>
      </c>
      <c r="AU16" s="20">
        <f t="shared" si="7"/>
        <v>0</v>
      </c>
      <c r="AV16" s="20">
        <f t="shared" si="8"/>
        <v>0</v>
      </c>
      <c r="AW16" s="20">
        <f t="shared" si="9"/>
        <v>0</v>
      </c>
      <c r="AX16" s="20">
        <f t="shared" si="10"/>
        <v>0</v>
      </c>
      <c r="AY16" s="20">
        <f t="shared" si="11"/>
        <v>0</v>
      </c>
    </row>
    <row r="17" spans="1:51" x14ac:dyDescent="0.25">
      <c r="A17" s="20">
        <f>Üldinfo!A16</f>
        <v>12</v>
      </c>
      <c r="B17" s="20" t="str">
        <f>Üldinfo!B16</f>
        <v>Naine</v>
      </c>
      <c r="C17" s="20" t="str">
        <f>Üldinfo!C16</f>
        <v>25-30 a</v>
      </c>
      <c r="D17" s="30"/>
      <c r="K17" s="29"/>
      <c r="L17" s="30"/>
      <c r="S17" s="29"/>
      <c r="T17" s="28" t="s">
        <v>91</v>
      </c>
      <c r="U17" s="28" t="s">
        <v>111</v>
      </c>
      <c r="AB17" s="30"/>
      <c r="AI17" s="29"/>
      <c r="AK17" s="20">
        <f t="shared" si="0"/>
        <v>2</v>
      </c>
      <c r="AL17" s="20">
        <f>Üldinfo!AM16</f>
        <v>19</v>
      </c>
      <c r="AM17" s="58">
        <f t="shared" si="1"/>
        <v>0.10526315789473684</v>
      </c>
      <c r="AO17" s="28">
        <f t="shared" si="2"/>
        <v>2</v>
      </c>
      <c r="AP17" s="28">
        <f t="shared" si="3"/>
        <v>1</v>
      </c>
      <c r="AQ17" s="28">
        <f t="shared" si="4"/>
        <v>0</v>
      </c>
      <c r="AR17" s="20">
        <f t="shared" si="5"/>
        <v>3</v>
      </c>
      <c r="AT17" s="20">
        <f t="shared" si="6"/>
        <v>0</v>
      </c>
      <c r="AU17" s="20">
        <f t="shared" si="7"/>
        <v>1</v>
      </c>
      <c r="AV17" s="20">
        <f t="shared" si="8"/>
        <v>2</v>
      </c>
      <c r="AW17" s="20">
        <f t="shared" si="9"/>
        <v>0</v>
      </c>
      <c r="AX17" s="20">
        <f t="shared" si="10"/>
        <v>0</v>
      </c>
      <c r="AY17" s="20">
        <f t="shared" si="11"/>
        <v>3</v>
      </c>
    </row>
    <row r="18" spans="1:51" x14ac:dyDescent="0.25">
      <c r="A18" s="20">
        <f>Üldinfo!A17</f>
        <v>14</v>
      </c>
      <c r="B18" s="20" t="str">
        <f>Üldinfo!B17</f>
        <v>Alaealine</v>
      </c>
      <c r="C18" s="20" t="str">
        <f>Üldinfo!C17</f>
        <v>Alaealine</v>
      </c>
      <c r="D18" s="30"/>
      <c r="K18" s="29"/>
      <c r="L18" s="30"/>
      <c r="S18" s="29"/>
      <c r="AB18" s="30"/>
      <c r="AI18" s="29"/>
      <c r="AK18" s="20">
        <f t="shared" si="0"/>
        <v>0</v>
      </c>
      <c r="AL18" s="20">
        <f>Üldinfo!AM17</f>
        <v>0</v>
      </c>
      <c r="AM18" s="58" t="e">
        <f t="shared" si="1"/>
        <v>#DIV/0!</v>
      </c>
      <c r="AO18" s="28">
        <f t="shared" si="2"/>
        <v>0</v>
      </c>
      <c r="AP18" s="28">
        <f t="shared" si="3"/>
        <v>0</v>
      </c>
      <c r="AQ18" s="28">
        <f t="shared" si="4"/>
        <v>0</v>
      </c>
      <c r="AR18" s="20">
        <f t="shared" si="5"/>
        <v>0</v>
      </c>
      <c r="AT18" s="20">
        <f t="shared" si="6"/>
        <v>0</v>
      </c>
      <c r="AU18" s="20">
        <f t="shared" si="7"/>
        <v>0</v>
      </c>
      <c r="AV18" s="20">
        <f t="shared" si="8"/>
        <v>0</v>
      </c>
      <c r="AW18" s="20">
        <f t="shared" si="9"/>
        <v>0</v>
      </c>
      <c r="AX18" s="20">
        <f t="shared" si="10"/>
        <v>0</v>
      </c>
      <c r="AY18" s="20">
        <f t="shared" si="11"/>
        <v>0</v>
      </c>
    </row>
    <row r="19" spans="1:51" x14ac:dyDescent="0.25">
      <c r="A19" s="20">
        <f>Üldinfo!A18</f>
        <v>15</v>
      </c>
      <c r="B19" s="20" t="str">
        <f>Üldinfo!B18</f>
        <v>Täiskasvanu</v>
      </c>
      <c r="C19" s="20" t="str">
        <f>Üldinfo!C18</f>
        <v>Täiskasvanu</v>
      </c>
      <c r="D19" s="30"/>
      <c r="K19" s="29"/>
      <c r="L19" s="30"/>
      <c r="S19" s="29"/>
      <c r="AB19" s="30"/>
      <c r="AI19" s="29"/>
      <c r="AK19" s="20">
        <f t="shared" si="0"/>
        <v>0</v>
      </c>
      <c r="AL19" s="20">
        <f>Üldinfo!AM18</f>
        <v>0</v>
      </c>
      <c r="AM19" s="58" t="e">
        <f t="shared" si="1"/>
        <v>#DIV/0!</v>
      </c>
      <c r="AO19" s="28">
        <f t="shared" si="2"/>
        <v>0</v>
      </c>
      <c r="AP19" s="28">
        <f t="shared" si="3"/>
        <v>0</v>
      </c>
      <c r="AQ19" s="28">
        <f t="shared" si="4"/>
        <v>0</v>
      </c>
      <c r="AR19" s="20">
        <f t="shared" si="5"/>
        <v>0</v>
      </c>
      <c r="AT19" s="20">
        <f t="shared" si="6"/>
        <v>0</v>
      </c>
      <c r="AU19" s="20">
        <f t="shared" si="7"/>
        <v>0</v>
      </c>
      <c r="AV19" s="20">
        <f t="shared" si="8"/>
        <v>0</v>
      </c>
      <c r="AW19" s="20">
        <f t="shared" si="9"/>
        <v>0</v>
      </c>
      <c r="AX19" s="20">
        <f t="shared" si="10"/>
        <v>0</v>
      </c>
      <c r="AY19" s="20">
        <f t="shared" si="11"/>
        <v>0</v>
      </c>
    </row>
    <row r="20" spans="1:51" x14ac:dyDescent="0.25">
      <c r="A20" s="20">
        <f>Üldinfo!A19</f>
        <v>16</v>
      </c>
      <c r="B20" s="20" t="str">
        <f>Üldinfo!B19</f>
        <v>Täiskasvanu</v>
      </c>
      <c r="C20" s="20" t="str">
        <f>Üldinfo!C19</f>
        <v>Täiskasvanu</v>
      </c>
      <c r="D20" s="30"/>
      <c r="K20" s="29"/>
      <c r="L20" s="30"/>
      <c r="S20" s="29"/>
      <c r="AB20" s="30"/>
      <c r="AI20" s="29"/>
      <c r="AK20" s="20">
        <f t="shared" si="0"/>
        <v>0</v>
      </c>
      <c r="AL20" s="20">
        <f>Üldinfo!AM19</f>
        <v>0</v>
      </c>
      <c r="AM20" s="58" t="e">
        <f t="shared" si="1"/>
        <v>#DIV/0!</v>
      </c>
      <c r="AO20" s="28">
        <f t="shared" si="2"/>
        <v>0</v>
      </c>
      <c r="AP20" s="28">
        <f t="shared" si="3"/>
        <v>0</v>
      </c>
      <c r="AQ20" s="28">
        <f t="shared" si="4"/>
        <v>0</v>
      </c>
      <c r="AR20" s="20">
        <f t="shared" si="5"/>
        <v>0</v>
      </c>
      <c r="AT20" s="20">
        <f t="shared" si="6"/>
        <v>0</v>
      </c>
      <c r="AU20" s="20">
        <f t="shared" si="7"/>
        <v>0</v>
      </c>
      <c r="AV20" s="20">
        <f t="shared" si="8"/>
        <v>0</v>
      </c>
      <c r="AW20" s="20">
        <f t="shared" si="9"/>
        <v>0</v>
      </c>
      <c r="AX20" s="20">
        <f t="shared" si="10"/>
        <v>0</v>
      </c>
      <c r="AY20" s="20">
        <f t="shared" si="11"/>
        <v>0</v>
      </c>
    </row>
    <row r="21" spans="1:51" x14ac:dyDescent="0.25">
      <c r="A21" s="20">
        <f>Üldinfo!A20</f>
        <v>17</v>
      </c>
      <c r="B21" s="20" t="str">
        <f>Üldinfo!B20</f>
        <v>Täiskasvanu</v>
      </c>
      <c r="C21" s="20" t="str">
        <f>Üldinfo!C20</f>
        <v>Täiskasvanu</v>
      </c>
      <c r="D21" s="30"/>
      <c r="K21" s="29"/>
      <c r="L21" s="30"/>
      <c r="S21" s="29"/>
      <c r="AB21" s="30"/>
      <c r="AI21" s="29"/>
      <c r="AK21" s="20">
        <f t="shared" si="0"/>
        <v>0</v>
      </c>
      <c r="AL21" s="20">
        <f>Üldinfo!AM20</f>
        <v>0</v>
      </c>
      <c r="AM21" s="58" t="e">
        <f t="shared" si="1"/>
        <v>#DIV/0!</v>
      </c>
      <c r="AO21" s="28">
        <f t="shared" si="2"/>
        <v>0</v>
      </c>
      <c r="AP21" s="28">
        <f t="shared" si="3"/>
        <v>0</v>
      </c>
      <c r="AQ21" s="28">
        <f t="shared" si="4"/>
        <v>0</v>
      </c>
      <c r="AR21" s="20">
        <f t="shared" si="5"/>
        <v>0</v>
      </c>
      <c r="AT21" s="20">
        <f t="shared" si="6"/>
        <v>0</v>
      </c>
      <c r="AU21" s="20">
        <f t="shared" si="7"/>
        <v>0</v>
      </c>
      <c r="AV21" s="20">
        <f t="shared" si="8"/>
        <v>0</v>
      </c>
      <c r="AW21" s="20">
        <f t="shared" si="9"/>
        <v>0</v>
      </c>
      <c r="AX21" s="20">
        <f t="shared" si="10"/>
        <v>0</v>
      </c>
      <c r="AY21" s="20">
        <f t="shared" si="11"/>
        <v>0</v>
      </c>
    </row>
    <row r="22" spans="1:51" x14ac:dyDescent="0.25">
      <c r="A22" s="20">
        <f>Üldinfo!A21</f>
        <v>19</v>
      </c>
      <c r="B22" s="20" t="str">
        <f>Üldinfo!B21</f>
        <v>Mees</v>
      </c>
      <c r="C22" s="20" t="str">
        <f>Üldinfo!C21</f>
        <v>Täiskasvanu</v>
      </c>
      <c r="D22" s="30"/>
      <c r="K22" s="29"/>
      <c r="L22" s="30"/>
      <c r="S22" s="29"/>
      <c r="AB22" s="30"/>
      <c r="AI22" s="29"/>
      <c r="AK22" s="20">
        <f t="shared" si="0"/>
        <v>0</v>
      </c>
      <c r="AL22" s="20">
        <f>Üldinfo!AM21</f>
        <v>1</v>
      </c>
      <c r="AM22" s="58">
        <f t="shared" si="1"/>
        <v>0</v>
      </c>
      <c r="AO22" s="28">
        <f t="shared" si="2"/>
        <v>0</v>
      </c>
      <c r="AP22" s="28">
        <f t="shared" si="3"/>
        <v>0</v>
      </c>
      <c r="AQ22" s="28">
        <f t="shared" si="4"/>
        <v>0</v>
      </c>
      <c r="AR22" s="20">
        <f t="shared" si="5"/>
        <v>0</v>
      </c>
      <c r="AT22" s="20">
        <f t="shared" si="6"/>
        <v>0</v>
      </c>
      <c r="AU22" s="20">
        <f t="shared" si="7"/>
        <v>0</v>
      </c>
      <c r="AV22" s="20">
        <f t="shared" si="8"/>
        <v>0</v>
      </c>
      <c r="AW22" s="20">
        <f t="shared" si="9"/>
        <v>0</v>
      </c>
      <c r="AX22" s="20">
        <f t="shared" si="10"/>
        <v>0</v>
      </c>
      <c r="AY22" s="20">
        <f t="shared" si="11"/>
        <v>0</v>
      </c>
    </row>
    <row r="23" spans="1:51" x14ac:dyDescent="0.25">
      <c r="A23" s="20">
        <f>Üldinfo!A22</f>
        <v>20</v>
      </c>
      <c r="B23" s="20" t="str">
        <f>Üldinfo!B22</f>
        <v>Mees</v>
      </c>
      <c r="C23" s="20" t="str">
        <f>Üldinfo!C22</f>
        <v>Täiskasvanu</v>
      </c>
      <c r="D23" s="30"/>
      <c r="K23" s="29"/>
      <c r="L23" s="30"/>
      <c r="S23" s="29"/>
      <c r="AB23" s="30"/>
      <c r="AI23" s="29"/>
      <c r="AK23" s="20">
        <f t="shared" si="0"/>
        <v>0</v>
      </c>
      <c r="AL23" s="20">
        <f>Üldinfo!AM22</f>
        <v>1</v>
      </c>
      <c r="AM23" s="58">
        <f t="shared" si="1"/>
        <v>0</v>
      </c>
      <c r="AO23" s="28">
        <f t="shared" si="2"/>
        <v>0</v>
      </c>
      <c r="AP23" s="28">
        <f t="shared" si="3"/>
        <v>0</v>
      </c>
      <c r="AQ23" s="28">
        <f t="shared" si="4"/>
        <v>0</v>
      </c>
      <c r="AR23" s="20">
        <f t="shared" si="5"/>
        <v>0</v>
      </c>
      <c r="AT23" s="20">
        <f t="shared" si="6"/>
        <v>0</v>
      </c>
      <c r="AU23" s="20">
        <f t="shared" si="7"/>
        <v>0</v>
      </c>
      <c r="AV23" s="20">
        <f t="shared" si="8"/>
        <v>0</v>
      </c>
      <c r="AW23" s="20">
        <f t="shared" si="9"/>
        <v>0</v>
      </c>
      <c r="AX23" s="20">
        <f t="shared" si="10"/>
        <v>0</v>
      </c>
      <c r="AY23" s="20">
        <f t="shared" si="11"/>
        <v>0</v>
      </c>
    </row>
    <row r="24" spans="1:51" x14ac:dyDescent="0.25">
      <c r="A24" s="20">
        <f>Üldinfo!A23</f>
        <v>21</v>
      </c>
      <c r="B24" s="20" t="str">
        <f>Üldinfo!B23</f>
        <v>Naine</v>
      </c>
      <c r="C24" s="20" t="str">
        <f>Üldinfo!C23</f>
        <v>20-25 a</v>
      </c>
      <c r="D24" s="30"/>
      <c r="K24" s="29"/>
      <c r="L24" s="30"/>
      <c r="S24" s="29"/>
      <c r="AB24" s="30"/>
      <c r="AG24" s="28" t="s">
        <v>113</v>
      </c>
      <c r="AI24" s="29"/>
      <c r="AK24" s="20">
        <f t="shared" si="0"/>
        <v>1</v>
      </c>
      <c r="AL24" s="20">
        <f>Üldinfo!AM23</f>
        <v>30</v>
      </c>
      <c r="AM24" s="58">
        <f t="shared" si="1"/>
        <v>3.3333333333333333E-2</v>
      </c>
      <c r="AO24" s="28">
        <f t="shared" si="2"/>
        <v>1</v>
      </c>
      <c r="AP24" s="28">
        <f t="shared" si="3"/>
        <v>0</v>
      </c>
      <c r="AQ24" s="28">
        <f t="shared" si="4"/>
        <v>0</v>
      </c>
      <c r="AR24" s="20">
        <f t="shared" si="5"/>
        <v>1</v>
      </c>
      <c r="AT24" s="20">
        <f t="shared" si="6"/>
        <v>0</v>
      </c>
      <c r="AU24" s="20">
        <f t="shared" si="7"/>
        <v>0</v>
      </c>
      <c r="AV24" s="20">
        <f t="shared" si="8"/>
        <v>0</v>
      </c>
      <c r="AW24" s="20">
        <f t="shared" si="9"/>
        <v>0</v>
      </c>
      <c r="AX24" s="20">
        <f t="shared" si="10"/>
        <v>1</v>
      </c>
      <c r="AY24" s="20">
        <f t="shared" si="11"/>
        <v>1</v>
      </c>
    </row>
    <row r="25" spans="1:51" x14ac:dyDescent="0.25">
      <c r="A25" s="20">
        <f>Üldinfo!A24</f>
        <v>22</v>
      </c>
      <c r="B25" s="20" t="str">
        <f>Üldinfo!B24</f>
        <v>Naine</v>
      </c>
      <c r="C25" s="20" t="str">
        <f>Üldinfo!C24</f>
        <v>17-20 a</v>
      </c>
      <c r="D25" s="30"/>
      <c r="K25" s="29"/>
      <c r="L25" s="30"/>
      <c r="S25" s="29"/>
      <c r="AB25" s="30"/>
      <c r="AI25" s="29"/>
      <c r="AK25" s="20">
        <f t="shared" si="0"/>
        <v>0</v>
      </c>
      <c r="AL25" s="20">
        <f>Üldinfo!AM24</f>
        <v>29</v>
      </c>
      <c r="AM25" s="58">
        <f t="shared" si="1"/>
        <v>0</v>
      </c>
      <c r="AO25" s="28">
        <f t="shared" si="2"/>
        <v>0</v>
      </c>
      <c r="AP25" s="28">
        <f t="shared" si="3"/>
        <v>0</v>
      </c>
      <c r="AQ25" s="28">
        <f t="shared" si="4"/>
        <v>0</v>
      </c>
      <c r="AR25" s="20">
        <f t="shared" si="5"/>
        <v>0</v>
      </c>
      <c r="AT25" s="20">
        <f t="shared" si="6"/>
        <v>0</v>
      </c>
      <c r="AU25" s="20">
        <f t="shared" si="7"/>
        <v>0</v>
      </c>
      <c r="AV25" s="20">
        <f t="shared" si="8"/>
        <v>0</v>
      </c>
      <c r="AW25" s="20">
        <f t="shared" si="9"/>
        <v>0</v>
      </c>
      <c r="AX25" s="20">
        <f t="shared" si="10"/>
        <v>0</v>
      </c>
      <c r="AY25" s="20">
        <f t="shared" si="11"/>
        <v>0</v>
      </c>
    </row>
    <row r="26" spans="1:51" x14ac:dyDescent="0.25">
      <c r="A26" s="20">
        <f>Üldinfo!A25</f>
        <v>23</v>
      </c>
      <c r="B26" s="20" t="str">
        <f>Üldinfo!B25</f>
        <v>Alaealine</v>
      </c>
      <c r="C26" s="20" t="str">
        <f>Üldinfo!C25</f>
        <v>10 a ± 30k</v>
      </c>
      <c r="D26" s="30"/>
      <c r="K26" s="29"/>
      <c r="L26" s="30"/>
      <c r="S26" s="29"/>
      <c r="AB26" s="30"/>
      <c r="AI26" s="29"/>
      <c r="AK26" s="20">
        <f t="shared" si="0"/>
        <v>0</v>
      </c>
      <c r="AL26" s="20">
        <f>Üldinfo!AM25</f>
        <v>20</v>
      </c>
      <c r="AM26" s="58">
        <f t="shared" si="1"/>
        <v>0</v>
      </c>
      <c r="AO26" s="28">
        <f t="shared" si="2"/>
        <v>0</v>
      </c>
      <c r="AP26" s="28">
        <f t="shared" si="3"/>
        <v>0</v>
      </c>
      <c r="AQ26" s="28">
        <f t="shared" si="4"/>
        <v>0</v>
      </c>
      <c r="AR26" s="20">
        <f t="shared" si="5"/>
        <v>0</v>
      </c>
      <c r="AT26" s="20">
        <f t="shared" si="6"/>
        <v>0</v>
      </c>
      <c r="AU26" s="20">
        <f t="shared" si="7"/>
        <v>0</v>
      </c>
      <c r="AV26" s="20">
        <f t="shared" si="8"/>
        <v>0</v>
      </c>
      <c r="AW26" s="20">
        <f t="shared" si="9"/>
        <v>0</v>
      </c>
      <c r="AX26" s="20">
        <f t="shared" si="10"/>
        <v>0</v>
      </c>
      <c r="AY26" s="20">
        <f t="shared" si="11"/>
        <v>0</v>
      </c>
    </row>
    <row r="27" spans="1:51" x14ac:dyDescent="0.25">
      <c r="A27" s="20">
        <f>Üldinfo!A26</f>
        <v>24</v>
      </c>
      <c r="B27" s="20" t="str">
        <f>Üldinfo!B26</f>
        <v>Mees</v>
      </c>
      <c r="C27" s="20" t="str">
        <f>Üldinfo!C26</f>
        <v>39-44 a</v>
      </c>
      <c r="D27" s="30"/>
      <c r="K27" s="29"/>
      <c r="L27" s="30"/>
      <c r="S27" s="29"/>
      <c r="AB27" s="30"/>
      <c r="AI27" s="29"/>
      <c r="AK27" s="20">
        <f t="shared" si="0"/>
        <v>0</v>
      </c>
      <c r="AL27" s="20">
        <f>Üldinfo!AM26</f>
        <v>0</v>
      </c>
      <c r="AM27" s="58" t="e">
        <f t="shared" si="1"/>
        <v>#DIV/0!</v>
      </c>
      <c r="AO27" s="28">
        <f t="shared" si="2"/>
        <v>0</v>
      </c>
      <c r="AP27" s="28">
        <f t="shared" si="3"/>
        <v>0</v>
      </c>
      <c r="AQ27" s="28">
        <f t="shared" si="4"/>
        <v>0</v>
      </c>
      <c r="AR27" s="20">
        <f t="shared" si="5"/>
        <v>0</v>
      </c>
      <c r="AT27" s="20">
        <f t="shared" si="6"/>
        <v>0</v>
      </c>
      <c r="AU27" s="20">
        <f t="shared" si="7"/>
        <v>0</v>
      </c>
      <c r="AV27" s="20">
        <f t="shared" si="8"/>
        <v>0</v>
      </c>
      <c r="AW27" s="20">
        <f t="shared" si="9"/>
        <v>0</v>
      </c>
      <c r="AX27" s="20">
        <f t="shared" si="10"/>
        <v>0</v>
      </c>
      <c r="AY27" s="20">
        <f t="shared" si="11"/>
        <v>0</v>
      </c>
    </row>
    <row r="28" spans="1:51" x14ac:dyDescent="0.25">
      <c r="A28" s="20">
        <f>Üldinfo!A27</f>
        <v>25</v>
      </c>
      <c r="B28" s="20" t="str">
        <f>Üldinfo!B27</f>
        <v>Alaealine</v>
      </c>
      <c r="C28" s="20" t="str">
        <f>Üldinfo!C27</f>
        <v>7-11 a</v>
      </c>
      <c r="D28" s="30"/>
      <c r="K28" s="29"/>
      <c r="L28" s="30"/>
      <c r="S28" s="29"/>
      <c r="AB28" s="30"/>
      <c r="AI28" s="29"/>
      <c r="AK28" s="20">
        <f t="shared" si="0"/>
        <v>0</v>
      </c>
      <c r="AL28" s="20">
        <f>Üldinfo!AM27</f>
        <v>24</v>
      </c>
      <c r="AM28" s="58">
        <f t="shared" si="1"/>
        <v>0</v>
      </c>
      <c r="AO28" s="28">
        <f t="shared" si="2"/>
        <v>0</v>
      </c>
      <c r="AP28" s="28">
        <f t="shared" si="3"/>
        <v>0</v>
      </c>
      <c r="AQ28" s="28">
        <f t="shared" si="4"/>
        <v>0</v>
      </c>
      <c r="AR28" s="20">
        <f t="shared" si="5"/>
        <v>0</v>
      </c>
      <c r="AT28" s="20">
        <f t="shared" si="6"/>
        <v>0</v>
      </c>
      <c r="AU28" s="20">
        <f t="shared" si="7"/>
        <v>0</v>
      </c>
      <c r="AV28" s="20">
        <f t="shared" si="8"/>
        <v>0</v>
      </c>
      <c r="AW28" s="20">
        <f t="shared" si="9"/>
        <v>0</v>
      </c>
      <c r="AX28" s="20">
        <f t="shared" si="10"/>
        <v>0</v>
      </c>
      <c r="AY28" s="20">
        <f t="shared" si="11"/>
        <v>0</v>
      </c>
    </row>
    <row r="29" spans="1:51" x14ac:dyDescent="0.25">
      <c r="A29" s="20" t="str">
        <f>Üldinfo!A28</f>
        <v>26a</v>
      </c>
      <c r="B29" s="20" t="str">
        <f>Üldinfo!B28</f>
        <v>Alaealine</v>
      </c>
      <c r="C29" s="20" t="str">
        <f>Üldinfo!C28</f>
        <v>12-18 a</v>
      </c>
      <c r="D29" s="30"/>
      <c r="K29" s="29"/>
      <c r="L29" s="30"/>
      <c r="S29" s="29"/>
      <c r="AB29" s="30"/>
      <c r="AI29" s="29"/>
      <c r="AK29" s="20">
        <f t="shared" si="0"/>
        <v>0</v>
      </c>
      <c r="AL29" s="20">
        <f>Üldinfo!AM28</f>
        <v>0</v>
      </c>
      <c r="AM29" s="58" t="e">
        <f t="shared" si="1"/>
        <v>#DIV/0!</v>
      </c>
      <c r="AO29" s="28">
        <f t="shared" si="2"/>
        <v>0</v>
      </c>
      <c r="AP29" s="28">
        <f t="shared" si="3"/>
        <v>0</v>
      </c>
      <c r="AQ29" s="28">
        <f t="shared" si="4"/>
        <v>0</v>
      </c>
      <c r="AR29" s="20">
        <f t="shared" si="5"/>
        <v>0</v>
      </c>
      <c r="AT29" s="20">
        <f t="shared" si="6"/>
        <v>0</v>
      </c>
      <c r="AU29" s="20">
        <f t="shared" si="7"/>
        <v>0</v>
      </c>
      <c r="AV29" s="20">
        <f t="shared" si="8"/>
        <v>0</v>
      </c>
      <c r="AW29" s="20">
        <f t="shared" si="9"/>
        <v>0</v>
      </c>
      <c r="AX29" s="20">
        <f t="shared" si="10"/>
        <v>0</v>
      </c>
      <c r="AY29" s="20">
        <f t="shared" si="11"/>
        <v>0</v>
      </c>
    </row>
    <row r="30" spans="1:51" x14ac:dyDescent="0.25">
      <c r="A30" s="20" t="str">
        <f>Üldinfo!A29</f>
        <v>26b</v>
      </c>
      <c r="B30" s="20" t="str">
        <f>Üldinfo!B29</f>
        <v>Täiskasvanu</v>
      </c>
      <c r="C30" s="20" t="str">
        <f>Üldinfo!C29</f>
        <v>Täiskasvanu</v>
      </c>
      <c r="D30" s="30"/>
      <c r="K30" s="29"/>
      <c r="L30" s="30"/>
      <c r="S30" s="29"/>
      <c r="AB30" s="30"/>
      <c r="AI30" s="29"/>
      <c r="AK30" s="20">
        <f t="shared" si="0"/>
        <v>0</v>
      </c>
      <c r="AL30" s="20">
        <f>Üldinfo!AM29</f>
        <v>0</v>
      </c>
      <c r="AM30" s="58" t="e">
        <f t="shared" si="1"/>
        <v>#DIV/0!</v>
      </c>
      <c r="AO30" s="28">
        <f t="shared" si="2"/>
        <v>0</v>
      </c>
      <c r="AP30" s="28">
        <f t="shared" si="3"/>
        <v>0</v>
      </c>
      <c r="AQ30" s="28">
        <f t="shared" si="4"/>
        <v>0</v>
      </c>
      <c r="AR30" s="20">
        <f t="shared" si="5"/>
        <v>0</v>
      </c>
      <c r="AT30" s="20">
        <f t="shared" si="6"/>
        <v>0</v>
      </c>
      <c r="AU30" s="20">
        <f t="shared" si="7"/>
        <v>0</v>
      </c>
      <c r="AV30" s="20">
        <f t="shared" si="8"/>
        <v>0</v>
      </c>
      <c r="AW30" s="20">
        <f t="shared" si="9"/>
        <v>0</v>
      </c>
      <c r="AX30" s="20">
        <f t="shared" si="10"/>
        <v>0</v>
      </c>
      <c r="AY30" s="20">
        <f t="shared" si="11"/>
        <v>0</v>
      </c>
    </row>
    <row r="31" spans="1:51" x14ac:dyDescent="0.25">
      <c r="A31" s="20">
        <f>Üldinfo!A30</f>
        <v>27</v>
      </c>
      <c r="B31" s="20" t="str">
        <f>Üldinfo!B30</f>
        <v>Mees</v>
      </c>
      <c r="C31" s="20" t="str">
        <f>Üldinfo!C30</f>
        <v>40-50 a</v>
      </c>
      <c r="D31" s="30"/>
      <c r="K31" s="29"/>
      <c r="L31" s="30"/>
      <c r="S31" s="29"/>
      <c r="AB31" s="30"/>
      <c r="AI31" s="29"/>
      <c r="AK31" s="20">
        <f t="shared" si="0"/>
        <v>0</v>
      </c>
      <c r="AL31" s="20">
        <f>Üldinfo!AM30</f>
        <v>0</v>
      </c>
      <c r="AM31" s="58" t="e">
        <f t="shared" si="1"/>
        <v>#DIV/0!</v>
      </c>
      <c r="AO31" s="28">
        <f t="shared" si="2"/>
        <v>0</v>
      </c>
      <c r="AP31" s="28">
        <f t="shared" si="3"/>
        <v>0</v>
      </c>
      <c r="AQ31" s="28">
        <f t="shared" si="4"/>
        <v>0</v>
      </c>
      <c r="AR31" s="20">
        <f t="shared" si="5"/>
        <v>0</v>
      </c>
      <c r="AT31" s="20">
        <f t="shared" si="6"/>
        <v>0</v>
      </c>
      <c r="AU31" s="20">
        <f t="shared" si="7"/>
        <v>0</v>
      </c>
      <c r="AV31" s="20">
        <f t="shared" si="8"/>
        <v>0</v>
      </c>
      <c r="AW31" s="20">
        <f t="shared" si="9"/>
        <v>0</v>
      </c>
      <c r="AX31" s="20">
        <f t="shared" si="10"/>
        <v>0</v>
      </c>
      <c r="AY31" s="20">
        <f t="shared" si="11"/>
        <v>0</v>
      </c>
    </row>
    <row r="32" spans="1:51" x14ac:dyDescent="0.25">
      <c r="A32" s="20">
        <f>Üldinfo!A31</f>
        <v>28</v>
      </c>
      <c r="B32" s="20" t="str">
        <f>Üldinfo!B31</f>
        <v>Naine</v>
      </c>
      <c r="C32" s="20" t="str">
        <f>Üldinfo!C31</f>
        <v>25-50 a</v>
      </c>
      <c r="D32" s="30"/>
      <c r="K32" s="29"/>
      <c r="L32" s="30"/>
      <c r="S32" s="29"/>
      <c r="AB32" s="30"/>
      <c r="AG32" s="28" t="s">
        <v>139</v>
      </c>
      <c r="AH32" s="28" t="s">
        <v>140</v>
      </c>
      <c r="AI32" s="29"/>
      <c r="AK32" s="20">
        <f t="shared" si="0"/>
        <v>2</v>
      </c>
      <c r="AL32" s="20">
        <f>Üldinfo!AM31</f>
        <v>30</v>
      </c>
      <c r="AM32" s="58">
        <f t="shared" si="1"/>
        <v>6.6666666666666666E-2</v>
      </c>
      <c r="AO32" s="28">
        <f t="shared" si="2"/>
        <v>0</v>
      </c>
      <c r="AP32" s="28">
        <f t="shared" si="3"/>
        <v>1</v>
      </c>
      <c r="AQ32" s="28">
        <f t="shared" si="4"/>
        <v>2</v>
      </c>
      <c r="AR32" s="20">
        <f t="shared" si="5"/>
        <v>3</v>
      </c>
      <c r="AT32" s="20">
        <f t="shared" si="6"/>
        <v>1</v>
      </c>
      <c r="AU32" s="20">
        <f t="shared" si="7"/>
        <v>1</v>
      </c>
      <c r="AV32" s="20">
        <f t="shared" si="8"/>
        <v>0</v>
      </c>
      <c r="AW32" s="20">
        <f t="shared" si="9"/>
        <v>0</v>
      </c>
      <c r="AX32" s="20">
        <f t="shared" si="10"/>
        <v>1</v>
      </c>
      <c r="AY32" s="20">
        <f t="shared" si="11"/>
        <v>3</v>
      </c>
    </row>
    <row r="33" spans="1:51" x14ac:dyDescent="0.25">
      <c r="A33" s="20">
        <f>Üldinfo!A32</f>
        <v>29</v>
      </c>
      <c r="B33" s="20" t="str">
        <f>Üldinfo!B32</f>
        <v>Mees</v>
      </c>
      <c r="C33" s="20" t="str">
        <f>Üldinfo!C32</f>
        <v>25-30a</v>
      </c>
      <c r="D33" s="30"/>
      <c r="K33" s="29"/>
      <c r="L33" s="30"/>
      <c r="S33" s="29"/>
      <c r="AB33" s="30"/>
      <c r="AI33" s="29"/>
      <c r="AK33" s="20">
        <f t="shared" si="0"/>
        <v>0</v>
      </c>
      <c r="AL33" s="20">
        <f>Üldinfo!AM32</f>
        <v>32</v>
      </c>
      <c r="AM33" s="58">
        <f t="shared" si="1"/>
        <v>0</v>
      </c>
      <c r="AO33" s="28">
        <f t="shared" si="2"/>
        <v>0</v>
      </c>
      <c r="AP33" s="28">
        <f t="shared" si="3"/>
        <v>0</v>
      </c>
      <c r="AQ33" s="28">
        <f t="shared" si="4"/>
        <v>0</v>
      </c>
      <c r="AR33" s="20">
        <f t="shared" si="5"/>
        <v>0</v>
      </c>
      <c r="AT33" s="20">
        <f t="shared" si="6"/>
        <v>0</v>
      </c>
      <c r="AU33" s="20">
        <f t="shared" si="7"/>
        <v>0</v>
      </c>
      <c r="AV33" s="20">
        <f t="shared" si="8"/>
        <v>0</v>
      </c>
      <c r="AW33" s="20">
        <f t="shared" si="9"/>
        <v>0</v>
      </c>
      <c r="AX33" s="20">
        <f t="shared" si="10"/>
        <v>0</v>
      </c>
      <c r="AY33" s="20">
        <f t="shared" si="11"/>
        <v>0</v>
      </c>
    </row>
    <row r="34" spans="1:51" x14ac:dyDescent="0.25">
      <c r="A34" s="20">
        <f>Üldinfo!A33</f>
        <v>30</v>
      </c>
      <c r="B34" s="20" t="str">
        <f>Üldinfo!B33</f>
        <v>Naine</v>
      </c>
      <c r="C34" s="20" t="str">
        <f>Üldinfo!C33</f>
        <v>17-25 a</v>
      </c>
      <c r="D34" s="30"/>
      <c r="K34" s="29"/>
      <c r="L34" s="30"/>
      <c r="S34" s="29"/>
      <c r="U34" s="28" t="s">
        <v>147</v>
      </c>
      <c r="AB34" s="30"/>
      <c r="AI34" s="29" t="s">
        <v>113</v>
      </c>
      <c r="AK34" s="20">
        <f t="shared" si="0"/>
        <v>2</v>
      </c>
      <c r="AL34" s="20">
        <f>Üldinfo!AM33</f>
        <v>17</v>
      </c>
      <c r="AM34" s="58">
        <f t="shared" si="1"/>
        <v>0.11764705882352941</v>
      </c>
      <c r="AO34" s="28">
        <f t="shared" si="2"/>
        <v>1</v>
      </c>
      <c r="AP34" s="28">
        <f t="shared" si="3"/>
        <v>2</v>
      </c>
      <c r="AQ34" s="28">
        <f t="shared" si="4"/>
        <v>0</v>
      </c>
      <c r="AR34" s="20">
        <f t="shared" si="5"/>
        <v>3</v>
      </c>
      <c r="AT34" s="20">
        <f t="shared" si="6"/>
        <v>0</v>
      </c>
      <c r="AU34" s="20">
        <f t="shared" si="7"/>
        <v>0</v>
      </c>
      <c r="AV34" s="20">
        <f t="shared" si="8"/>
        <v>0</v>
      </c>
      <c r="AW34" s="20">
        <f t="shared" si="9"/>
        <v>1</v>
      </c>
      <c r="AX34" s="20">
        <f t="shared" si="10"/>
        <v>2</v>
      </c>
      <c r="AY34" s="20">
        <f t="shared" si="11"/>
        <v>3</v>
      </c>
    </row>
    <row r="35" spans="1:51" x14ac:dyDescent="0.25">
      <c r="A35" s="20">
        <f>Üldinfo!A34</f>
        <v>31</v>
      </c>
      <c r="B35" s="20" t="str">
        <f>Üldinfo!B34</f>
        <v>Alaealine</v>
      </c>
      <c r="C35" s="20" t="str">
        <f>Üldinfo!C34</f>
        <v>5+ a</v>
      </c>
      <c r="D35" s="30"/>
      <c r="K35" s="29"/>
      <c r="L35" s="30"/>
      <c r="S35" s="29"/>
      <c r="AB35" s="30"/>
      <c r="AI35" s="29"/>
      <c r="AK35" s="20">
        <f t="shared" si="0"/>
        <v>0</v>
      </c>
      <c r="AL35" s="20">
        <f>Üldinfo!AM34</f>
        <v>0</v>
      </c>
      <c r="AM35" s="58" t="e">
        <f t="shared" si="1"/>
        <v>#DIV/0!</v>
      </c>
      <c r="AO35" s="28">
        <f t="shared" si="2"/>
        <v>0</v>
      </c>
      <c r="AP35" s="28">
        <f t="shared" si="3"/>
        <v>0</v>
      </c>
      <c r="AQ35" s="28">
        <f t="shared" si="4"/>
        <v>0</v>
      </c>
      <c r="AR35" s="20">
        <f t="shared" si="5"/>
        <v>0</v>
      </c>
      <c r="AT35" s="20">
        <f t="shared" si="6"/>
        <v>0</v>
      </c>
      <c r="AU35" s="20">
        <f t="shared" si="7"/>
        <v>0</v>
      </c>
      <c r="AV35" s="20">
        <f t="shared" si="8"/>
        <v>0</v>
      </c>
      <c r="AW35" s="20">
        <f t="shared" si="9"/>
        <v>0</v>
      </c>
      <c r="AX35" s="20">
        <f t="shared" si="10"/>
        <v>0</v>
      </c>
      <c r="AY35" s="20">
        <f t="shared" si="11"/>
        <v>0</v>
      </c>
    </row>
    <row r="36" spans="1:51" x14ac:dyDescent="0.25">
      <c r="A36" s="20">
        <f>Üldinfo!A35</f>
        <v>32</v>
      </c>
      <c r="B36" s="20" t="str">
        <f>Üldinfo!B35</f>
        <v>Alaealine</v>
      </c>
      <c r="C36" s="20" t="str">
        <f>Üldinfo!C35</f>
        <v>3-5 a</v>
      </c>
      <c r="D36" s="30"/>
      <c r="K36" s="29"/>
      <c r="L36" s="30"/>
      <c r="S36" s="29"/>
      <c r="AB36" s="30"/>
      <c r="AI36" s="29"/>
      <c r="AK36" s="20">
        <f t="shared" si="0"/>
        <v>0</v>
      </c>
      <c r="AL36" s="20">
        <f>Üldinfo!AM35</f>
        <v>0</v>
      </c>
      <c r="AM36" s="58" t="e">
        <f t="shared" si="1"/>
        <v>#DIV/0!</v>
      </c>
      <c r="AO36" s="28">
        <f t="shared" si="2"/>
        <v>0</v>
      </c>
      <c r="AP36" s="28">
        <f t="shared" si="3"/>
        <v>0</v>
      </c>
      <c r="AQ36" s="28">
        <f t="shared" si="4"/>
        <v>0</v>
      </c>
      <c r="AR36" s="20">
        <f t="shared" si="5"/>
        <v>0</v>
      </c>
      <c r="AT36" s="20">
        <f t="shared" si="6"/>
        <v>0</v>
      </c>
      <c r="AU36" s="20">
        <f t="shared" si="7"/>
        <v>0</v>
      </c>
      <c r="AV36" s="20">
        <f t="shared" si="8"/>
        <v>0</v>
      </c>
      <c r="AW36" s="20">
        <f t="shared" si="9"/>
        <v>0</v>
      </c>
      <c r="AX36" s="20">
        <f t="shared" si="10"/>
        <v>0</v>
      </c>
      <c r="AY36" s="20">
        <f t="shared" si="11"/>
        <v>0</v>
      </c>
    </row>
    <row r="37" spans="1:51" x14ac:dyDescent="0.25">
      <c r="A37" s="20">
        <f>Üldinfo!A36</f>
        <v>33</v>
      </c>
      <c r="B37" s="20" t="str">
        <f>Üldinfo!B36</f>
        <v>Alaealine</v>
      </c>
      <c r="C37" s="20" t="str">
        <f>Üldinfo!C36</f>
        <v>1-2 a</v>
      </c>
      <c r="D37" s="30"/>
      <c r="K37" s="29"/>
      <c r="L37" s="30"/>
      <c r="S37" s="29"/>
      <c r="AB37" s="30"/>
      <c r="AI37" s="29"/>
      <c r="AK37" s="20">
        <f t="shared" si="0"/>
        <v>0</v>
      </c>
      <c r="AL37" s="20">
        <f>Üldinfo!AM36</f>
        <v>1</v>
      </c>
      <c r="AM37" s="58">
        <f t="shared" si="1"/>
        <v>0</v>
      </c>
      <c r="AO37" s="28">
        <f t="shared" si="2"/>
        <v>0</v>
      </c>
      <c r="AP37" s="28">
        <f t="shared" si="3"/>
        <v>0</v>
      </c>
      <c r="AQ37" s="28">
        <f t="shared" si="4"/>
        <v>0</v>
      </c>
      <c r="AR37" s="20">
        <f t="shared" si="5"/>
        <v>0</v>
      </c>
      <c r="AT37" s="20">
        <f t="shared" si="6"/>
        <v>0</v>
      </c>
      <c r="AU37" s="20">
        <f t="shared" si="7"/>
        <v>0</v>
      </c>
      <c r="AV37" s="20">
        <f t="shared" si="8"/>
        <v>0</v>
      </c>
      <c r="AW37" s="20">
        <f t="shared" si="9"/>
        <v>0</v>
      </c>
      <c r="AX37" s="20">
        <f t="shared" si="10"/>
        <v>0</v>
      </c>
      <c r="AY37" s="20">
        <f t="shared" si="11"/>
        <v>0</v>
      </c>
    </row>
    <row r="38" spans="1:51" x14ac:dyDescent="0.25">
      <c r="A38" s="20">
        <f>Üldinfo!A37</f>
        <v>34</v>
      </c>
      <c r="B38" s="20" t="str">
        <f>Üldinfo!B37</f>
        <v>Mees ?</v>
      </c>
      <c r="C38" s="20" t="str">
        <f>Üldinfo!C37</f>
        <v>Täiskasvanu</v>
      </c>
      <c r="D38" s="30"/>
      <c r="K38" s="29"/>
      <c r="L38" s="30"/>
      <c r="S38" s="29"/>
      <c r="AB38" s="30"/>
      <c r="AI38" s="29"/>
      <c r="AK38" s="20">
        <f t="shared" si="0"/>
        <v>0</v>
      </c>
      <c r="AL38" s="20">
        <f>Üldinfo!AM37</f>
        <v>0</v>
      </c>
      <c r="AM38" s="58" t="e">
        <f t="shared" si="1"/>
        <v>#DIV/0!</v>
      </c>
      <c r="AO38" s="28">
        <f t="shared" si="2"/>
        <v>0</v>
      </c>
      <c r="AP38" s="28">
        <f t="shared" si="3"/>
        <v>0</v>
      </c>
      <c r="AQ38" s="28">
        <f t="shared" si="4"/>
        <v>0</v>
      </c>
      <c r="AR38" s="20">
        <f t="shared" si="5"/>
        <v>0</v>
      </c>
      <c r="AT38" s="20">
        <f t="shared" si="6"/>
        <v>0</v>
      </c>
      <c r="AU38" s="20">
        <f t="shared" si="7"/>
        <v>0</v>
      </c>
      <c r="AV38" s="20">
        <f t="shared" si="8"/>
        <v>0</v>
      </c>
      <c r="AW38" s="20">
        <f t="shared" si="9"/>
        <v>0</v>
      </c>
      <c r="AX38" s="20">
        <f t="shared" si="10"/>
        <v>0</v>
      </c>
      <c r="AY38" s="20">
        <f t="shared" si="11"/>
        <v>0</v>
      </c>
    </row>
    <row r="39" spans="1:51" x14ac:dyDescent="0.25">
      <c r="A39" s="20">
        <f>Üldinfo!A38</f>
        <v>35</v>
      </c>
      <c r="B39" s="20" t="str">
        <f>Üldinfo!B38</f>
        <v>Naine</v>
      </c>
      <c r="C39" s="20" t="str">
        <f>Üldinfo!C38</f>
        <v>Täiskasvanu</v>
      </c>
      <c r="D39" s="30"/>
      <c r="K39" s="29"/>
      <c r="L39" s="30"/>
      <c r="S39" s="29"/>
      <c r="AB39" s="30"/>
      <c r="AI39" s="29"/>
      <c r="AK39" s="20">
        <f t="shared" si="0"/>
        <v>0</v>
      </c>
      <c r="AL39" s="20">
        <f>Üldinfo!AM38</f>
        <v>0</v>
      </c>
      <c r="AM39" s="58" t="e">
        <f t="shared" si="1"/>
        <v>#DIV/0!</v>
      </c>
      <c r="AO39" s="28">
        <f t="shared" si="2"/>
        <v>0</v>
      </c>
      <c r="AP39" s="28">
        <f t="shared" si="3"/>
        <v>0</v>
      </c>
      <c r="AQ39" s="28">
        <f t="shared" si="4"/>
        <v>0</v>
      </c>
      <c r="AR39" s="20">
        <f t="shared" si="5"/>
        <v>0</v>
      </c>
      <c r="AT39" s="20">
        <f t="shared" si="6"/>
        <v>0</v>
      </c>
      <c r="AU39" s="20">
        <f t="shared" si="7"/>
        <v>0</v>
      </c>
      <c r="AV39" s="20">
        <f t="shared" si="8"/>
        <v>0</v>
      </c>
      <c r="AW39" s="20">
        <f t="shared" si="9"/>
        <v>0</v>
      </c>
      <c r="AX39" s="20">
        <f t="shared" si="10"/>
        <v>0</v>
      </c>
      <c r="AY39" s="20">
        <f t="shared" si="11"/>
        <v>0</v>
      </c>
    </row>
    <row r="40" spans="1:51" x14ac:dyDescent="0.25">
      <c r="A40" s="20">
        <f>Üldinfo!A39</f>
        <v>36</v>
      </c>
      <c r="B40" s="20" t="str">
        <f>Üldinfo!B39</f>
        <v>Mees ?</v>
      </c>
      <c r="C40" s="20" t="str">
        <f>Üldinfo!C39</f>
        <v>40-50 a</v>
      </c>
      <c r="D40" s="30"/>
      <c r="K40" s="29"/>
      <c r="L40" s="30"/>
      <c r="S40" s="29"/>
      <c r="AB40" s="30"/>
      <c r="AI40" s="29"/>
      <c r="AK40" s="20">
        <f t="shared" si="0"/>
        <v>0</v>
      </c>
      <c r="AL40" s="20">
        <f>Üldinfo!AM39</f>
        <v>0</v>
      </c>
      <c r="AM40" s="58" t="e">
        <f t="shared" si="1"/>
        <v>#DIV/0!</v>
      </c>
      <c r="AO40" s="28">
        <f t="shared" si="2"/>
        <v>0</v>
      </c>
      <c r="AP40" s="28">
        <f t="shared" si="3"/>
        <v>0</v>
      </c>
      <c r="AQ40" s="28">
        <f t="shared" si="4"/>
        <v>0</v>
      </c>
      <c r="AR40" s="20">
        <f t="shared" si="5"/>
        <v>0</v>
      </c>
      <c r="AT40" s="20">
        <f t="shared" si="6"/>
        <v>0</v>
      </c>
      <c r="AU40" s="20">
        <f t="shared" si="7"/>
        <v>0</v>
      </c>
      <c r="AV40" s="20">
        <f t="shared" si="8"/>
        <v>0</v>
      </c>
      <c r="AW40" s="20">
        <f t="shared" si="9"/>
        <v>0</v>
      </c>
      <c r="AX40" s="20">
        <f t="shared" si="10"/>
        <v>0</v>
      </c>
      <c r="AY40" s="20">
        <f t="shared" si="11"/>
        <v>0</v>
      </c>
    </row>
    <row r="41" spans="1:51" x14ac:dyDescent="0.25">
      <c r="A41" s="20">
        <f>Üldinfo!A40</f>
        <v>37</v>
      </c>
      <c r="B41" s="20" t="str">
        <f>Üldinfo!B40</f>
        <v>Alaealine</v>
      </c>
      <c r="C41" s="20" t="str">
        <f>Üldinfo!C40</f>
        <v>12-18 a</v>
      </c>
      <c r="D41" s="30"/>
      <c r="K41" s="29"/>
      <c r="L41" s="30"/>
      <c r="S41" s="29"/>
      <c r="AB41" s="30"/>
      <c r="AI41" s="29"/>
      <c r="AK41" s="20">
        <f t="shared" si="0"/>
        <v>0</v>
      </c>
      <c r="AL41" s="20">
        <f>Üldinfo!AM40</f>
        <v>12</v>
      </c>
      <c r="AM41" s="58">
        <f t="shared" si="1"/>
        <v>0</v>
      </c>
      <c r="AO41" s="28">
        <f t="shared" si="2"/>
        <v>0</v>
      </c>
      <c r="AP41" s="28">
        <f t="shared" si="3"/>
        <v>0</v>
      </c>
      <c r="AQ41" s="28">
        <f t="shared" si="4"/>
        <v>0</v>
      </c>
      <c r="AR41" s="20">
        <f t="shared" si="5"/>
        <v>0</v>
      </c>
      <c r="AT41" s="20">
        <f t="shared" si="6"/>
        <v>0</v>
      </c>
      <c r="AU41" s="20">
        <f t="shared" si="7"/>
        <v>0</v>
      </c>
      <c r="AV41" s="20">
        <f t="shared" si="8"/>
        <v>0</v>
      </c>
      <c r="AW41" s="20">
        <f t="shared" si="9"/>
        <v>0</v>
      </c>
      <c r="AX41" s="20">
        <f t="shared" si="10"/>
        <v>0</v>
      </c>
      <c r="AY41" s="20">
        <f t="shared" si="11"/>
        <v>0</v>
      </c>
    </row>
    <row r="42" spans="1:51" x14ac:dyDescent="0.25">
      <c r="A42" s="20">
        <f>Üldinfo!A41</f>
        <v>38</v>
      </c>
      <c r="B42" s="20" t="str">
        <f>Üldinfo!B41</f>
        <v>Naine</v>
      </c>
      <c r="C42" s="20" t="str">
        <f>Üldinfo!C41</f>
        <v>40-50 a</v>
      </c>
      <c r="D42" s="30"/>
      <c r="E42" s="28" t="s">
        <v>103</v>
      </c>
      <c r="K42" s="29"/>
      <c r="L42" s="30"/>
      <c r="S42" s="29"/>
      <c r="AB42" s="30"/>
      <c r="AH42" s="28" t="s">
        <v>91</v>
      </c>
      <c r="AI42" s="29" t="s">
        <v>102</v>
      </c>
      <c r="AK42" s="20">
        <f t="shared" si="0"/>
        <v>3</v>
      </c>
      <c r="AL42" s="20">
        <f>Üldinfo!AM41</f>
        <v>27</v>
      </c>
      <c r="AM42" s="58">
        <f t="shared" si="1"/>
        <v>0.1111111111111111</v>
      </c>
      <c r="AO42" s="28">
        <f t="shared" si="2"/>
        <v>4</v>
      </c>
      <c r="AP42" s="28">
        <f t="shared" si="3"/>
        <v>0</v>
      </c>
      <c r="AQ42" s="28">
        <f t="shared" si="4"/>
        <v>0</v>
      </c>
      <c r="AR42" s="20">
        <f t="shared" si="5"/>
        <v>4</v>
      </c>
      <c r="AT42" s="20">
        <f t="shared" si="6"/>
        <v>1</v>
      </c>
      <c r="AU42" s="20">
        <f t="shared" si="7"/>
        <v>1</v>
      </c>
      <c r="AV42" s="20">
        <f t="shared" si="8"/>
        <v>2</v>
      </c>
      <c r="AW42" s="20">
        <f t="shared" si="9"/>
        <v>0</v>
      </c>
      <c r="AX42" s="20">
        <f t="shared" si="10"/>
        <v>0</v>
      </c>
      <c r="AY42" s="20">
        <f t="shared" si="11"/>
        <v>4</v>
      </c>
    </row>
    <row r="43" spans="1:51" x14ac:dyDescent="0.25">
      <c r="A43" s="20">
        <f>Üldinfo!A42</f>
        <v>39</v>
      </c>
      <c r="B43" s="20" t="str">
        <f>Üldinfo!B42</f>
        <v>Alaealine</v>
      </c>
      <c r="C43" s="20" t="str">
        <f>Üldinfo!C42</f>
        <v>6-11 a</v>
      </c>
      <c r="D43" s="30"/>
      <c r="K43" s="29"/>
      <c r="L43" s="30"/>
      <c r="S43" s="29"/>
      <c r="AB43" s="30"/>
      <c r="AI43" s="29"/>
      <c r="AK43" s="20">
        <f t="shared" si="0"/>
        <v>0</v>
      </c>
      <c r="AL43" s="20">
        <f>Üldinfo!AM42</f>
        <v>0</v>
      </c>
      <c r="AM43" s="58" t="e">
        <f t="shared" si="1"/>
        <v>#DIV/0!</v>
      </c>
      <c r="AO43" s="28">
        <f t="shared" si="2"/>
        <v>0</v>
      </c>
      <c r="AP43" s="28">
        <f t="shared" si="3"/>
        <v>0</v>
      </c>
      <c r="AQ43" s="28">
        <f t="shared" si="4"/>
        <v>0</v>
      </c>
      <c r="AR43" s="20">
        <f t="shared" si="5"/>
        <v>0</v>
      </c>
      <c r="AT43" s="20">
        <f t="shared" si="6"/>
        <v>0</v>
      </c>
      <c r="AU43" s="20">
        <f t="shared" si="7"/>
        <v>0</v>
      </c>
      <c r="AV43" s="20">
        <f t="shared" si="8"/>
        <v>0</v>
      </c>
      <c r="AW43" s="20">
        <f t="shared" si="9"/>
        <v>0</v>
      </c>
      <c r="AX43" s="20">
        <f t="shared" si="10"/>
        <v>0</v>
      </c>
      <c r="AY43" s="20">
        <f t="shared" si="11"/>
        <v>0</v>
      </c>
    </row>
    <row r="44" spans="1:51" x14ac:dyDescent="0.25">
      <c r="A44" s="20">
        <f>Üldinfo!A43</f>
        <v>40</v>
      </c>
      <c r="B44" s="20" t="str">
        <f>Üldinfo!B43</f>
        <v>Mees</v>
      </c>
      <c r="C44" s="20" t="str">
        <f>Üldinfo!C43</f>
        <v>40+ a</v>
      </c>
      <c r="D44" s="30"/>
      <c r="K44" s="29"/>
      <c r="L44" s="30"/>
      <c r="S44" s="29"/>
      <c r="AB44" s="30"/>
      <c r="AI44" s="29"/>
      <c r="AK44" s="20">
        <f t="shared" si="0"/>
        <v>0</v>
      </c>
      <c r="AL44" s="20">
        <f>Üldinfo!AM43</f>
        <v>0</v>
      </c>
      <c r="AM44" s="58" t="e">
        <f t="shared" si="1"/>
        <v>#DIV/0!</v>
      </c>
      <c r="AO44" s="28">
        <f t="shared" si="2"/>
        <v>0</v>
      </c>
      <c r="AP44" s="28">
        <f t="shared" si="3"/>
        <v>0</v>
      </c>
      <c r="AQ44" s="28">
        <f t="shared" si="4"/>
        <v>0</v>
      </c>
      <c r="AR44" s="20">
        <f t="shared" si="5"/>
        <v>0</v>
      </c>
      <c r="AT44" s="20">
        <f t="shared" si="6"/>
        <v>0</v>
      </c>
      <c r="AU44" s="20">
        <f t="shared" si="7"/>
        <v>0</v>
      </c>
      <c r="AV44" s="20">
        <f t="shared" si="8"/>
        <v>0</v>
      </c>
      <c r="AW44" s="20">
        <f t="shared" si="9"/>
        <v>0</v>
      </c>
      <c r="AX44" s="20">
        <f t="shared" si="10"/>
        <v>0</v>
      </c>
      <c r="AY44" s="20">
        <f t="shared" si="11"/>
        <v>0</v>
      </c>
    </row>
    <row r="45" spans="1:51" x14ac:dyDescent="0.25">
      <c r="A45" s="20">
        <f>Üldinfo!A44</f>
        <v>41</v>
      </c>
      <c r="B45" s="20" t="str">
        <f>Üldinfo!B44</f>
        <v>Alaealine</v>
      </c>
      <c r="C45" s="20" t="str">
        <f>Üldinfo!C44</f>
        <v>12-15 a</v>
      </c>
      <c r="D45" s="30"/>
      <c r="K45" s="29"/>
      <c r="L45" s="30"/>
      <c r="S45" s="29"/>
      <c r="AB45" s="30"/>
      <c r="AI45" s="29"/>
      <c r="AK45" s="20">
        <f t="shared" si="0"/>
        <v>0</v>
      </c>
      <c r="AL45" s="20">
        <f>Üldinfo!AM44</f>
        <v>0</v>
      </c>
      <c r="AM45" s="58" t="e">
        <f t="shared" si="1"/>
        <v>#DIV/0!</v>
      </c>
      <c r="AO45" s="28">
        <f t="shared" si="2"/>
        <v>0</v>
      </c>
      <c r="AP45" s="28">
        <f t="shared" si="3"/>
        <v>0</v>
      </c>
      <c r="AQ45" s="28">
        <f t="shared" si="4"/>
        <v>0</v>
      </c>
      <c r="AR45" s="20">
        <f t="shared" si="5"/>
        <v>0</v>
      </c>
      <c r="AT45" s="20">
        <f t="shared" si="6"/>
        <v>0</v>
      </c>
      <c r="AU45" s="20">
        <f t="shared" si="7"/>
        <v>0</v>
      </c>
      <c r="AV45" s="20">
        <f t="shared" si="8"/>
        <v>0</v>
      </c>
      <c r="AW45" s="20">
        <f t="shared" si="9"/>
        <v>0</v>
      </c>
      <c r="AX45" s="20">
        <f t="shared" si="10"/>
        <v>0</v>
      </c>
      <c r="AY45" s="20">
        <f t="shared" si="11"/>
        <v>0</v>
      </c>
    </row>
    <row r="46" spans="1:51" x14ac:dyDescent="0.25">
      <c r="A46" s="20">
        <f>Üldinfo!A45</f>
        <v>42</v>
      </c>
      <c r="B46" s="20" t="str">
        <f>Üldinfo!B45</f>
        <v>Alaealine</v>
      </c>
      <c r="C46" s="20" t="str">
        <f>Üldinfo!C45</f>
        <v>24-32 k</v>
      </c>
      <c r="D46" s="30"/>
      <c r="K46" s="29"/>
      <c r="L46" s="30"/>
      <c r="S46" s="29"/>
      <c r="AB46" s="30"/>
      <c r="AI46" s="29"/>
      <c r="AK46" s="20">
        <f t="shared" si="0"/>
        <v>0</v>
      </c>
      <c r="AL46" s="20">
        <f>Üldinfo!AM45</f>
        <v>7</v>
      </c>
      <c r="AM46" s="58">
        <f t="shared" si="1"/>
        <v>0</v>
      </c>
      <c r="AO46" s="28">
        <f t="shared" si="2"/>
        <v>0</v>
      </c>
      <c r="AP46" s="28">
        <f t="shared" si="3"/>
        <v>0</v>
      </c>
      <c r="AQ46" s="28">
        <f t="shared" si="4"/>
        <v>0</v>
      </c>
      <c r="AR46" s="20">
        <f t="shared" si="5"/>
        <v>0</v>
      </c>
      <c r="AT46" s="20">
        <f t="shared" si="6"/>
        <v>0</v>
      </c>
      <c r="AU46" s="20">
        <f t="shared" si="7"/>
        <v>0</v>
      </c>
      <c r="AV46" s="20">
        <f t="shared" si="8"/>
        <v>0</v>
      </c>
      <c r="AW46" s="20">
        <f t="shared" si="9"/>
        <v>0</v>
      </c>
      <c r="AX46" s="20">
        <f t="shared" si="10"/>
        <v>0</v>
      </c>
      <c r="AY46" s="20">
        <f t="shared" si="11"/>
        <v>0</v>
      </c>
    </row>
    <row r="47" spans="1:51" x14ac:dyDescent="0.25">
      <c r="A47" s="20">
        <f>Üldinfo!A46</f>
        <v>43</v>
      </c>
      <c r="B47" s="20" t="str">
        <f>Üldinfo!B46</f>
        <v>Naine ?</v>
      </c>
      <c r="C47" s="20" t="str">
        <f>Üldinfo!C46</f>
        <v>18-19 a</v>
      </c>
      <c r="D47" s="30"/>
      <c r="K47" s="29"/>
      <c r="L47" s="30"/>
      <c r="S47" s="29"/>
      <c r="T47" s="30"/>
      <c r="AA47" s="29"/>
      <c r="AB47" s="30"/>
      <c r="AI47" s="29"/>
      <c r="AK47" s="20">
        <f t="shared" si="0"/>
        <v>0</v>
      </c>
      <c r="AL47" s="20">
        <f>Üldinfo!AM46</f>
        <v>0</v>
      </c>
      <c r="AM47" s="58" t="e">
        <f t="shared" si="1"/>
        <v>#DIV/0!</v>
      </c>
      <c r="AO47" s="28">
        <f t="shared" si="2"/>
        <v>0</v>
      </c>
      <c r="AP47" s="28">
        <f t="shared" si="3"/>
        <v>0</v>
      </c>
      <c r="AQ47" s="28">
        <f t="shared" si="4"/>
        <v>0</v>
      </c>
      <c r="AR47" s="20">
        <f t="shared" si="5"/>
        <v>0</v>
      </c>
      <c r="AT47" s="20">
        <f t="shared" si="6"/>
        <v>0</v>
      </c>
      <c r="AU47" s="20">
        <f t="shared" si="7"/>
        <v>0</v>
      </c>
      <c r="AV47" s="20">
        <f t="shared" si="8"/>
        <v>0</v>
      </c>
      <c r="AW47" s="20">
        <f t="shared" si="9"/>
        <v>0</v>
      </c>
      <c r="AX47" s="20">
        <f t="shared" si="10"/>
        <v>0</v>
      </c>
      <c r="AY47" s="20">
        <f t="shared" si="11"/>
        <v>0</v>
      </c>
    </row>
    <row r="48" spans="1:51" x14ac:dyDescent="0.25">
      <c r="A48" s="20">
        <f>Üldinfo!A47</f>
        <v>44</v>
      </c>
      <c r="B48" s="20" t="str">
        <f>Üldinfo!B47</f>
        <v>Mees</v>
      </c>
      <c r="C48" s="20" t="str">
        <f>Üldinfo!C47</f>
        <v>40+ a</v>
      </c>
      <c r="D48" s="30"/>
      <c r="K48" s="29"/>
      <c r="L48" s="30"/>
      <c r="S48" s="29"/>
      <c r="T48" s="30"/>
      <c r="AA48" s="29"/>
      <c r="AB48" s="30"/>
      <c r="AI48" s="29"/>
      <c r="AK48" s="20">
        <f t="shared" si="0"/>
        <v>0</v>
      </c>
      <c r="AL48" s="20">
        <f>Üldinfo!AM47</f>
        <v>0</v>
      </c>
      <c r="AM48" s="58" t="e">
        <f t="shared" si="1"/>
        <v>#DIV/0!</v>
      </c>
      <c r="AO48" s="28">
        <f t="shared" si="2"/>
        <v>0</v>
      </c>
      <c r="AP48" s="28">
        <f t="shared" si="3"/>
        <v>0</v>
      </c>
      <c r="AQ48" s="28">
        <f t="shared" si="4"/>
        <v>0</v>
      </c>
      <c r="AR48" s="20">
        <f t="shared" si="5"/>
        <v>0</v>
      </c>
      <c r="AT48" s="20">
        <f t="shared" si="6"/>
        <v>0</v>
      </c>
      <c r="AU48" s="20">
        <f t="shared" si="7"/>
        <v>0</v>
      </c>
      <c r="AV48" s="20">
        <f t="shared" si="8"/>
        <v>0</v>
      </c>
      <c r="AW48" s="20">
        <f t="shared" si="9"/>
        <v>0</v>
      </c>
      <c r="AX48" s="20">
        <f t="shared" si="10"/>
        <v>0</v>
      </c>
      <c r="AY48" s="20">
        <f t="shared" si="11"/>
        <v>0</v>
      </c>
    </row>
    <row r="49" spans="1:51" x14ac:dyDescent="0.25">
      <c r="A49" s="20">
        <f>Üldinfo!A48</f>
        <v>45</v>
      </c>
      <c r="B49" s="20" t="str">
        <f>Üldinfo!B48</f>
        <v>Mees</v>
      </c>
      <c r="C49" s="20" t="str">
        <f>Üldinfo!C48</f>
        <v>40+ a</v>
      </c>
      <c r="D49" s="30"/>
      <c r="K49" s="29"/>
      <c r="L49" s="30"/>
      <c r="S49" s="29"/>
      <c r="T49" s="30"/>
      <c r="AA49" s="29"/>
      <c r="AB49" s="30"/>
      <c r="AI49" s="29"/>
      <c r="AK49" s="20">
        <f t="shared" si="0"/>
        <v>0</v>
      </c>
      <c r="AL49" s="20">
        <f>Üldinfo!AM48</f>
        <v>0</v>
      </c>
      <c r="AM49" s="58" t="e">
        <f t="shared" si="1"/>
        <v>#DIV/0!</v>
      </c>
      <c r="AO49" s="28">
        <f t="shared" si="2"/>
        <v>0</v>
      </c>
      <c r="AP49" s="28">
        <f t="shared" si="3"/>
        <v>0</v>
      </c>
      <c r="AQ49" s="28">
        <f t="shared" si="4"/>
        <v>0</v>
      </c>
      <c r="AR49" s="20">
        <f t="shared" si="5"/>
        <v>0</v>
      </c>
      <c r="AT49" s="20">
        <f t="shared" si="6"/>
        <v>0</v>
      </c>
      <c r="AU49" s="20">
        <f t="shared" si="7"/>
        <v>0</v>
      </c>
      <c r="AV49" s="20">
        <f t="shared" si="8"/>
        <v>0</v>
      </c>
      <c r="AW49" s="20">
        <f t="shared" si="9"/>
        <v>0</v>
      </c>
      <c r="AX49" s="20">
        <f t="shared" si="10"/>
        <v>0</v>
      </c>
      <c r="AY49" s="20">
        <f t="shared" si="11"/>
        <v>0</v>
      </c>
    </row>
    <row r="50" spans="1:51" x14ac:dyDescent="0.25">
      <c r="A50" s="20">
        <f>Üldinfo!A49</f>
        <v>46</v>
      </c>
      <c r="B50" s="20" t="str">
        <f>Üldinfo!B49</f>
        <v>Täiskasvanu</v>
      </c>
      <c r="C50" s="20" t="str">
        <f>Üldinfo!C49</f>
        <v>Täiskasvanu</v>
      </c>
      <c r="D50" s="30"/>
      <c r="K50" s="29"/>
      <c r="L50" s="30"/>
      <c r="S50" s="29"/>
      <c r="T50" s="30"/>
      <c r="AA50" s="29"/>
      <c r="AB50" s="30"/>
      <c r="AI50" s="29"/>
      <c r="AK50" s="20">
        <f t="shared" si="0"/>
        <v>0</v>
      </c>
      <c r="AL50" s="20">
        <f>Üldinfo!AM49</f>
        <v>0</v>
      </c>
      <c r="AM50" s="58" t="e">
        <f t="shared" si="1"/>
        <v>#DIV/0!</v>
      </c>
      <c r="AO50" s="28">
        <f t="shared" si="2"/>
        <v>0</v>
      </c>
      <c r="AP50" s="28">
        <f t="shared" si="3"/>
        <v>0</v>
      </c>
      <c r="AQ50" s="28">
        <f t="shared" si="4"/>
        <v>0</v>
      </c>
      <c r="AR50" s="20">
        <f t="shared" si="5"/>
        <v>0</v>
      </c>
      <c r="AT50" s="20">
        <f t="shared" si="6"/>
        <v>0</v>
      </c>
      <c r="AU50" s="20">
        <f t="shared" si="7"/>
        <v>0</v>
      </c>
      <c r="AV50" s="20">
        <f t="shared" si="8"/>
        <v>0</v>
      </c>
      <c r="AW50" s="20">
        <f t="shared" si="9"/>
        <v>0</v>
      </c>
      <c r="AX50" s="20">
        <f t="shared" si="10"/>
        <v>0</v>
      </c>
      <c r="AY50" s="20">
        <f t="shared" si="11"/>
        <v>0</v>
      </c>
    </row>
    <row r="51" spans="1:51" x14ac:dyDescent="0.25">
      <c r="A51" s="20">
        <f>Üldinfo!A50</f>
        <v>47</v>
      </c>
      <c r="B51" s="20" t="str">
        <f>Üldinfo!B50</f>
        <v>Mees</v>
      </c>
      <c r="C51" s="20" t="str">
        <f>Üldinfo!C50</f>
        <v>40+ a</v>
      </c>
      <c r="K51" s="29"/>
      <c r="L51" s="30"/>
      <c r="S51" s="29"/>
      <c r="T51" s="30"/>
      <c r="AA51" s="29"/>
      <c r="AB51" s="30"/>
      <c r="AI51" s="29"/>
      <c r="AK51" s="20">
        <f t="shared" si="0"/>
        <v>0</v>
      </c>
      <c r="AL51" s="20">
        <f>Üldinfo!AM50</f>
        <v>0</v>
      </c>
      <c r="AM51" s="58" t="e">
        <f t="shared" si="1"/>
        <v>#DIV/0!</v>
      </c>
      <c r="AO51" s="28">
        <f t="shared" si="2"/>
        <v>0</v>
      </c>
      <c r="AP51" s="28">
        <f t="shared" si="3"/>
        <v>0</v>
      </c>
      <c r="AQ51" s="28">
        <f t="shared" si="4"/>
        <v>0</v>
      </c>
      <c r="AR51" s="20">
        <f t="shared" si="5"/>
        <v>0</v>
      </c>
      <c r="AT51" s="20">
        <f t="shared" si="6"/>
        <v>0</v>
      </c>
      <c r="AU51" s="20">
        <f t="shared" si="7"/>
        <v>0</v>
      </c>
      <c r="AV51" s="20">
        <f t="shared" si="8"/>
        <v>0</v>
      </c>
      <c r="AW51" s="20">
        <f t="shared" si="9"/>
        <v>0</v>
      </c>
      <c r="AX51" s="20">
        <f t="shared" si="10"/>
        <v>0</v>
      </c>
      <c r="AY51" s="20">
        <f t="shared" si="11"/>
        <v>0</v>
      </c>
    </row>
    <row r="52" spans="1:51" x14ac:dyDescent="0.25">
      <c r="A52" s="20">
        <f>Üldinfo!A51</f>
        <v>48</v>
      </c>
      <c r="B52" s="20" t="str">
        <f>Üldinfo!B51</f>
        <v>Alaealine</v>
      </c>
      <c r="C52" s="20" t="str">
        <f>Üldinfo!C51</f>
        <v>2-5 a</v>
      </c>
      <c r="K52" s="29"/>
      <c r="L52" s="30"/>
      <c r="S52" s="29"/>
      <c r="T52" s="30"/>
      <c r="AA52" s="29"/>
      <c r="AB52" s="30"/>
      <c r="AI52" s="29"/>
      <c r="AK52" s="20">
        <f t="shared" si="0"/>
        <v>0</v>
      </c>
      <c r="AL52" s="20">
        <f>Üldinfo!AM51</f>
        <v>0</v>
      </c>
      <c r="AM52" s="58" t="e">
        <f t="shared" si="1"/>
        <v>#DIV/0!</v>
      </c>
      <c r="AO52" s="28">
        <f t="shared" si="2"/>
        <v>0</v>
      </c>
      <c r="AP52" s="28">
        <f t="shared" si="3"/>
        <v>0</v>
      </c>
      <c r="AQ52" s="28">
        <f t="shared" si="4"/>
        <v>0</v>
      </c>
      <c r="AR52" s="20">
        <f t="shared" si="5"/>
        <v>0</v>
      </c>
      <c r="AT52" s="20">
        <f t="shared" si="6"/>
        <v>0</v>
      </c>
      <c r="AU52" s="20">
        <f t="shared" si="7"/>
        <v>0</v>
      </c>
      <c r="AV52" s="20">
        <f t="shared" si="8"/>
        <v>0</v>
      </c>
      <c r="AW52" s="20">
        <f t="shared" si="9"/>
        <v>0</v>
      </c>
      <c r="AX52" s="20">
        <f t="shared" si="10"/>
        <v>0</v>
      </c>
      <c r="AY52" s="20">
        <f t="shared" si="11"/>
        <v>0</v>
      </c>
    </row>
    <row r="53" spans="1:51" x14ac:dyDescent="0.25">
      <c r="A53" s="20">
        <f>Üldinfo!A52</f>
        <v>49</v>
      </c>
      <c r="B53" s="20" t="str">
        <f>Üldinfo!B52</f>
        <v>Alaealine</v>
      </c>
      <c r="C53" s="20" t="str">
        <f>Üldinfo!C52</f>
        <v>12-15 a</v>
      </c>
      <c r="K53" s="29"/>
      <c r="L53" s="30"/>
      <c r="S53" s="29"/>
      <c r="T53" s="30"/>
      <c r="AA53" s="29"/>
      <c r="AB53" s="30"/>
      <c r="AI53" s="29"/>
      <c r="AK53" s="20">
        <f t="shared" si="0"/>
        <v>0</v>
      </c>
      <c r="AL53" s="20">
        <f>Üldinfo!AM52</f>
        <v>4</v>
      </c>
      <c r="AM53" s="58">
        <f t="shared" si="1"/>
        <v>0</v>
      </c>
      <c r="AO53" s="28">
        <f t="shared" si="2"/>
        <v>0</v>
      </c>
      <c r="AP53" s="28">
        <f t="shared" si="3"/>
        <v>0</v>
      </c>
      <c r="AQ53" s="28">
        <f t="shared" si="4"/>
        <v>0</v>
      </c>
      <c r="AR53" s="20">
        <f t="shared" si="5"/>
        <v>0</v>
      </c>
      <c r="AT53" s="20">
        <f t="shared" si="6"/>
        <v>0</v>
      </c>
      <c r="AU53" s="20">
        <f t="shared" si="7"/>
        <v>0</v>
      </c>
      <c r="AV53" s="20">
        <f t="shared" si="8"/>
        <v>0</v>
      </c>
      <c r="AW53" s="20">
        <f t="shared" si="9"/>
        <v>0</v>
      </c>
      <c r="AX53" s="20">
        <f t="shared" si="10"/>
        <v>0</v>
      </c>
      <c r="AY53" s="20">
        <f t="shared" si="11"/>
        <v>0</v>
      </c>
    </row>
    <row r="54" spans="1:51" x14ac:dyDescent="0.25">
      <c r="A54" s="20">
        <f>Üldinfo!A53</f>
        <v>50</v>
      </c>
      <c r="B54" s="20" t="str">
        <f>Üldinfo!B53</f>
        <v>Mees</v>
      </c>
      <c r="C54" s="20" t="str">
        <f>Üldinfo!C53</f>
        <v>40+ a</v>
      </c>
      <c r="K54" s="29"/>
      <c r="L54" s="30"/>
      <c r="S54" s="29"/>
      <c r="T54" s="30" t="s">
        <v>161</v>
      </c>
      <c r="U54" s="30" t="s">
        <v>161</v>
      </c>
      <c r="Y54" s="28" t="s">
        <v>131</v>
      </c>
      <c r="AA54" s="29"/>
      <c r="AB54" s="30"/>
      <c r="AE54" s="28" t="s">
        <v>103</v>
      </c>
      <c r="AI54" s="29"/>
      <c r="AK54" s="20">
        <f t="shared" si="0"/>
        <v>4</v>
      </c>
      <c r="AL54" s="20">
        <f>Üldinfo!AM53</f>
        <v>13</v>
      </c>
      <c r="AM54" s="58">
        <f t="shared" si="1"/>
        <v>0.30769230769230771</v>
      </c>
      <c r="AO54" s="28">
        <f t="shared" si="2"/>
        <v>3</v>
      </c>
      <c r="AP54" s="28">
        <f t="shared" si="3"/>
        <v>0</v>
      </c>
      <c r="AQ54" s="28">
        <f t="shared" si="4"/>
        <v>10</v>
      </c>
      <c r="AR54" s="20">
        <f t="shared" si="5"/>
        <v>13</v>
      </c>
      <c r="AT54" s="20">
        <f t="shared" si="6"/>
        <v>3</v>
      </c>
      <c r="AU54" s="20">
        <f t="shared" si="7"/>
        <v>4</v>
      </c>
      <c r="AV54" s="20">
        <f t="shared" si="8"/>
        <v>2</v>
      </c>
      <c r="AW54" s="20">
        <f t="shared" si="9"/>
        <v>2</v>
      </c>
      <c r="AX54" s="20">
        <f t="shared" si="10"/>
        <v>2</v>
      </c>
      <c r="AY54" s="20">
        <f t="shared" si="11"/>
        <v>13</v>
      </c>
    </row>
    <row r="55" spans="1:51" x14ac:dyDescent="0.25">
      <c r="A55" s="20">
        <f>Üldinfo!A54</f>
        <v>51</v>
      </c>
      <c r="B55" s="20" t="str">
        <f>Üldinfo!B54</f>
        <v>Naine</v>
      </c>
      <c r="C55" s="20" t="str">
        <f>Üldinfo!C54</f>
        <v>40+ a</v>
      </c>
      <c r="K55" s="29"/>
      <c r="L55" s="30"/>
      <c r="S55" s="29"/>
      <c r="T55" s="30"/>
      <c r="AA55" s="29"/>
      <c r="AB55" s="30"/>
      <c r="AI55" s="29"/>
      <c r="AK55" s="20">
        <f t="shared" si="0"/>
        <v>0</v>
      </c>
      <c r="AL55" s="20">
        <f>Üldinfo!AM54</f>
        <v>0</v>
      </c>
      <c r="AM55" s="58" t="e">
        <f t="shared" si="1"/>
        <v>#DIV/0!</v>
      </c>
      <c r="AO55" s="28">
        <f t="shared" si="2"/>
        <v>0</v>
      </c>
      <c r="AP55" s="28">
        <f t="shared" si="3"/>
        <v>0</v>
      </c>
      <c r="AQ55" s="28">
        <f t="shared" si="4"/>
        <v>0</v>
      </c>
      <c r="AR55" s="20">
        <f t="shared" si="5"/>
        <v>0</v>
      </c>
      <c r="AT55" s="20">
        <f t="shared" si="6"/>
        <v>0</v>
      </c>
      <c r="AU55" s="20">
        <f t="shared" si="7"/>
        <v>0</v>
      </c>
      <c r="AV55" s="20">
        <f t="shared" si="8"/>
        <v>0</v>
      </c>
      <c r="AW55" s="20">
        <f t="shared" si="9"/>
        <v>0</v>
      </c>
      <c r="AX55" s="20">
        <f t="shared" si="10"/>
        <v>0</v>
      </c>
      <c r="AY55" s="20">
        <f t="shared" si="11"/>
        <v>0</v>
      </c>
    </row>
    <row r="56" spans="1:51" x14ac:dyDescent="0.25">
      <c r="A56" s="20">
        <f>Üldinfo!A55</f>
        <v>52</v>
      </c>
      <c r="B56" s="20" t="str">
        <f>Üldinfo!B55</f>
        <v>Naine</v>
      </c>
      <c r="C56" s="20" t="str">
        <f>Üldinfo!C55</f>
        <v>17-25 a</v>
      </c>
      <c r="K56" s="29"/>
      <c r="L56" s="30"/>
      <c r="S56" s="29"/>
      <c r="T56" s="30"/>
      <c r="AA56" s="29"/>
      <c r="AB56" s="30"/>
      <c r="AI56" s="29"/>
      <c r="AK56" s="20">
        <f t="shared" si="0"/>
        <v>0</v>
      </c>
      <c r="AL56" s="20">
        <f>Üldinfo!AM55</f>
        <v>17</v>
      </c>
      <c r="AM56" s="58">
        <f t="shared" si="1"/>
        <v>0</v>
      </c>
      <c r="AO56" s="28">
        <f t="shared" si="2"/>
        <v>0</v>
      </c>
      <c r="AP56" s="28">
        <f t="shared" si="3"/>
        <v>0</v>
      </c>
      <c r="AQ56" s="28">
        <f t="shared" si="4"/>
        <v>0</v>
      </c>
      <c r="AR56" s="20">
        <f t="shared" si="5"/>
        <v>0</v>
      </c>
      <c r="AT56" s="20">
        <f t="shared" si="6"/>
        <v>0</v>
      </c>
      <c r="AU56" s="20">
        <f t="shared" si="7"/>
        <v>0</v>
      </c>
      <c r="AV56" s="20">
        <f t="shared" si="8"/>
        <v>0</v>
      </c>
      <c r="AW56" s="20">
        <f t="shared" si="9"/>
        <v>0</v>
      </c>
      <c r="AX56" s="20">
        <f t="shared" si="10"/>
        <v>0</v>
      </c>
      <c r="AY56" s="20">
        <f t="shared" si="11"/>
        <v>0</v>
      </c>
    </row>
    <row r="57" spans="1:51" x14ac:dyDescent="0.25">
      <c r="A57" s="20">
        <f>Üldinfo!A56</f>
        <v>53</v>
      </c>
      <c r="B57" s="20" t="str">
        <f>Üldinfo!B56</f>
        <v>Täiskasvanu</v>
      </c>
      <c r="C57" s="20" t="str">
        <f>Üldinfo!C56</f>
        <v>Täiskasvanu</v>
      </c>
      <c r="K57" s="29"/>
      <c r="L57" s="30"/>
      <c r="S57" s="29"/>
      <c r="T57" s="30"/>
      <c r="AA57" s="29"/>
      <c r="AB57" s="30"/>
      <c r="AI57" s="29"/>
      <c r="AK57" s="20">
        <f t="shared" si="0"/>
        <v>0</v>
      </c>
      <c r="AL57" s="20">
        <f>Üldinfo!AM56</f>
        <v>0</v>
      </c>
      <c r="AM57" s="58" t="e">
        <f t="shared" si="1"/>
        <v>#DIV/0!</v>
      </c>
      <c r="AO57" s="28">
        <f t="shared" si="2"/>
        <v>0</v>
      </c>
      <c r="AP57" s="28">
        <f t="shared" si="3"/>
        <v>0</v>
      </c>
      <c r="AQ57" s="28">
        <f t="shared" si="4"/>
        <v>0</v>
      </c>
      <c r="AR57" s="20">
        <f t="shared" si="5"/>
        <v>0</v>
      </c>
      <c r="AT57" s="20">
        <f t="shared" si="6"/>
        <v>0</v>
      </c>
      <c r="AU57" s="20">
        <f t="shared" si="7"/>
        <v>0</v>
      </c>
      <c r="AV57" s="20">
        <f t="shared" si="8"/>
        <v>0</v>
      </c>
      <c r="AW57" s="20">
        <f t="shared" si="9"/>
        <v>0</v>
      </c>
      <c r="AX57" s="20">
        <f t="shared" si="10"/>
        <v>0</v>
      </c>
      <c r="AY57" s="20">
        <f t="shared" si="11"/>
        <v>0</v>
      </c>
    </row>
    <row r="58" spans="1:51" x14ac:dyDescent="0.25">
      <c r="A58" s="20">
        <f>Üldinfo!A57</f>
        <v>54</v>
      </c>
      <c r="B58" s="20" t="str">
        <f>Üldinfo!B57</f>
        <v>Täiskasvanu</v>
      </c>
      <c r="C58" s="20" t="str">
        <f>Üldinfo!C57</f>
        <v>Täiskasvanu</v>
      </c>
      <c r="K58" s="29"/>
      <c r="L58" s="30"/>
      <c r="S58" s="29"/>
      <c r="T58" s="30"/>
      <c r="AA58" s="29"/>
      <c r="AB58" s="30"/>
      <c r="AI58" s="29"/>
      <c r="AK58" s="20">
        <f t="shared" si="0"/>
        <v>0</v>
      </c>
      <c r="AL58" s="20">
        <f>Üldinfo!AM57</f>
        <v>0</v>
      </c>
      <c r="AM58" s="58" t="e">
        <f t="shared" si="1"/>
        <v>#DIV/0!</v>
      </c>
      <c r="AO58" s="28">
        <f t="shared" si="2"/>
        <v>0</v>
      </c>
      <c r="AP58" s="28">
        <f t="shared" si="3"/>
        <v>0</v>
      </c>
      <c r="AQ58" s="28">
        <f t="shared" si="4"/>
        <v>0</v>
      </c>
      <c r="AR58" s="20">
        <f t="shared" si="5"/>
        <v>0</v>
      </c>
      <c r="AT58" s="20">
        <f t="shared" si="6"/>
        <v>0</v>
      </c>
      <c r="AU58" s="20">
        <f t="shared" si="7"/>
        <v>0</v>
      </c>
      <c r="AV58" s="20">
        <f t="shared" si="8"/>
        <v>0</v>
      </c>
      <c r="AW58" s="20">
        <f t="shared" si="9"/>
        <v>0</v>
      </c>
      <c r="AX58" s="20">
        <f t="shared" si="10"/>
        <v>0</v>
      </c>
      <c r="AY58" s="20">
        <f t="shared" si="11"/>
        <v>0</v>
      </c>
    </row>
    <row r="59" spans="1:51" x14ac:dyDescent="0.25">
      <c r="A59" s="20">
        <f>Üldinfo!A58</f>
        <v>55</v>
      </c>
      <c r="B59" s="20" t="str">
        <f>Üldinfo!B58</f>
        <v>Naine</v>
      </c>
      <c r="C59" s="20" t="str">
        <f>Üldinfo!C58</f>
        <v>18-19 a</v>
      </c>
      <c r="K59" s="29"/>
      <c r="L59" s="30"/>
      <c r="S59" s="29"/>
      <c r="T59" s="30"/>
      <c r="AA59" s="29"/>
      <c r="AB59" s="30"/>
      <c r="AI59" s="29"/>
      <c r="AK59" s="20">
        <f t="shared" si="0"/>
        <v>0</v>
      </c>
      <c r="AL59" s="20">
        <f>Üldinfo!AM58</f>
        <v>7</v>
      </c>
      <c r="AM59" s="58">
        <f t="shared" si="1"/>
        <v>0</v>
      </c>
      <c r="AO59" s="28">
        <f t="shared" si="2"/>
        <v>0</v>
      </c>
      <c r="AP59" s="28">
        <f t="shared" si="3"/>
        <v>0</v>
      </c>
      <c r="AQ59" s="28">
        <f t="shared" si="4"/>
        <v>0</v>
      </c>
      <c r="AR59" s="20">
        <f t="shared" si="5"/>
        <v>0</v>
      </c>
      <c r="AT59" s="20">
        <f t="shared" si="6"/>
        <v>0</v>
      </c>
      <c r="AU59" s="20">
        <f t="shared" si="7"/>
        <v>0</v>
      </c>
      <c r="AV59" s="20">
        <f t="shared" si="8"/>
        <v>0</v>
      </c>
      <c r="AW59" s="20">
        <f t="shared" si="9"/>
        <v>0</v>
      </c>
      <c r="AX59" s="20">
        <f t="shared" si="10"/>
        <v>0</v>
      </c>
      <c r="AY59" s="20">
        <f t="shared" si="11"/>
        <v>0</v>
      </c>
    </row>
    <row r="60" spans="1:51" x14ac:dyDescent="0.25">
      <c r="A60" s="20">
        <f>Üldinfo!A59</f>
        <v>56</v>
      </c>
      <c r="B60" s="20" t="str">
        <f>Üldinfo!B59</f>
        <v>Naine</v>
      </c>
      <c r="C60" s="20" t="str">
        <f>Üldinfo!C59</f>
        <v>40+ a</v>
      </c>
      <c r="K60" s="29"/>
      <c r="L60" s="30"/>
      <c r="S60" s="29"/>
      <c r="T60" s="30"/>
      <c r="AA60" s="29"/>
      <c r="AB60" s="30"/>
      <c r="AI60" s="29"/>
      <c r="AK60" s="20">
        <f t="shared" si="0"/>
        <v>0</v>
      </c>
      <c r="AL60" s="20">
        <f>Üldinfo!AM59</f>
        <v>0</v>
      </c>
      <c r="AM60" s="58" t="e">
        <f t="shared" si="1"/>
        <v>#DIV/0!</v>
      </c>
      <c r="AO60" s="28">
        <f t="shared" si="2"/>
        <v>0</v>
      </c>
      <c r="AP60" s="28">
        <f t="shared" si="3"/>
        <v>0</v>
      </c>
      <c r="AQ60" s="28">
        <f t="shared" si="4"/>
        <v>0</v>
      </c>
      <c r="AR60" s="20">
        <f t="shared" si="5"/>
        <v>0</v>
      </c>
      <c r="AT60" s="20">
        <f t="shared" si="6"/>
        <v>0</v>
      </c>
      <c r="AU60" s="20">
        <f t="shared" si="7"/>
        <v>0</v>
      </c>
      <c r="AV60" s="20">
        <f t="shared" si="8"/>
        <v>0</v>
      </c>
      <c r="AW60" s="20">
        <f t="shared" si="9"/>
        <v>0</v>
      </c>
      <c r="AX60" s="20">
        <f t="shared" si="10"/>
        <v>0</v>
      </c>
      <c r="AY60" s="20">
        <f t="shared" si="11"/>
        <v>0</v>
      </c>
    </row>
    <row r="61" spans="1:51" x14ac:dyDescent="0.25">
      <c r="A61" s="20">
        <f>Üldinfo!A60</f>
        <v>57</v>
      </c>
      <c r="B61" s="20" t="str">
        <f>Üldinfo!B60</f>
        <v>Alaealine</v>
      </c>
      <c r="C61" s="20" t="str">
        <f>Üldinfo!C60</f>
        <v>7-11 a</v>
      </c>
      <c r="K61" s="29"/>
      <c r="L61" s="30"/>
      <c r="O61" s="28" t="s">
        <v>103</v>
      </c>
      <c r="S61" s="29"/>
      <c r="T61" s="30"/>
      <c r="AA61" s="29"/>
      <c r="AB61" s="30"/>
      <c r="AI61" s="29"/>
      <c r="AK61" s="20">
        <f t="shared" si="0"/>
        <v>1</v>
      </c>
      <c r="AL61" s="20">
        <f>Üldinfo!AM60</f>
        <v>22</v>
      </c>
      <c r="AM61" s="58">
        <f t="shared" si="1"/>
        <v>4.5454545454545456E-2</v>
      </c>
      <c r="AO61" s="28">
        <f t="shared" si="2"/>
        <v>1</v>
      </c>
      <c r="AP61" s="28">
        <f t="shared" si="3"/>
        <v>0</v>
      </c>
      <c r="AQ61" s="28">
        <f t="shared" si="4"/>
        <v>0</v>
      </c>
      <c r="AR61" s="20">
        <f t="shared" si="5"/>
        <v>1</v>
      </c>
      <c r="AT61" s="20">
        <f t="shared" si="6"/>
        <v>0</v>
      </c>
      <c r="AU61" s="20">
        <f t="shared" si="7"/>
        <v>1</v>
      </c>
      <c r="AV61" s="20">
        <f t="shared" si="8"/>
        <v>0</v>
      </c>
      <c r="AW61" s="20">
        <f t="shared" si="9"/>
        <v>0</v>
      </c>
      <c r="AX61" s="20">
        <f t="shared" si="10"/>
        <v>0</v>
      </c>
      <c r="AY61" s="20">
        <f t="shared" si="11"/>
        <v>1</v>
      </c>
    </row>
    <row r="62" spans="1:51" x14ac:dyDescent="0.25">
      <c r="A62" s="20">
        <f>Üldinfo!A61</f>
        <v>58</v>
      </c>
      <c r="B62" s="20" t="str">
        <f>Üldinfo!B61</f>
        <v>Alaealine</v>
      </c>
      <c r="C62" s="20" t="str">
        <f>Üldinfo!C61</f>
        <v>1 a ± 4 k</v>
      </c>
      <c r="K62" s="29"/>
      <c r="L62" s="30"/>
      <c r="S62" s="29"/>
      <c r="T62" s="30"/>
      <c r="AA62" s="29"/>
      <c r="AB62" s="30"/>
      <c r="AI62" s="29"/>
      <c r="AK62" s="20">
        <f t="shared" si="0"/>
        <v>0</v>
      </c>
      <c r="AL62" s="20">
        <f>Üldinfo!AM61</f>
        <v>1</v>
      </c>
      <c r="AM62" s="58">
        <f t="shared" si="1"/>
        <v>0</v>
      </c>
      <c r="AO62" s="28">
        <f t="shared" si="2"/>
        <v>0</v>
      </c>
      <c r="AP62" s="28">
        <f t="shared" si="3"/>
        <v>0</v>
      </c>
      <c r="AQ62" s="28">
        <f t="shared" si="4"/>
        <v>0</v>
      </c>
      <c r="AR62" s="20">
        <f t="shared" si="5"/>
        <v>0</v>
      </c>
      <c r="AT62" s="20">
        <f t="shared" si="6"/>
        <v>0</v>
      </c>
      <c r="AU62" s="20">
        <f t="shared" si="7"/>
        <v>0</v>
      </c>
      <c r="AV62" s="20">
        <f t="shared" si="8"/>
        <v>0</v>
      </c>
      <c r="AW62" s="20">
        <f t="shared" si="9"/>
        <v>0</v>
      </c>
      <c r="AX62" s="20">
        <f t="shared" si="10"/>
        <v>0</v>
      </c>
      <c r="AY62" s="20">
        <f t="shared" si="11"/>
        <v>0</v>
      </c>
    </row>
    <row r="63" spans="1:51" x14ac:dyDescent="0.25">
      <c r="A63" s="20">
        <f>Üldinfo!A62</f>
        <v>59</v>
      </c>
      <c r="B63" s="20" t="str">
        <f>Üldinfo!B62</f>
        <v>Mees</v>
      </c>
      <c r="C63" s="20" t="str">
        <f>Üldinfo!C62</f>
        <v>17-22 a</v>
      </c>
      <c r="K63" s="29"/>
      <c r="L63" s="30"/>
      <c r="S63" s="29"/>
      <c r="T63" s="30"/>
      <c r="AA63" s="29"/>
      <c r="AB63" s="30"/>
      <c r="AI63" s="29"/>
      <c r="AK63" s="20">
        <f t="shared" si="0"/>
        <v>0</v>
      </c>
      <c r="AL63" s="20">
        <f>Üldinfo!AM62</f>
        <v>32</v>
      </c>
      <c r="AM63" s="58">
        <f t="shared" si="1"/>
        <v>0</v>
      </c>
      <c r="AO63" s="28">
        <f t="shared" si="2"/>
        <v>0</v>
      </c>
      <c r="AP63" s="28">
        <f t="shared" si="3"/>
        <v>0</v>
      </c>
      <c r="AQ63" s="28">
        <f t="shared" si="4"/>
        <v>0</v>
      </c>
      <c r="AR63" s="20">
        <f t="shared" si="5"/>
        <v>0</v>
      </c>
      <c r="AT63" s="20">
        <f t="shared" si="6"/>
        <v>0</v>
      </c>
      <c r="AU63" s="20">
        <f t="shared" si="7"/>
        <v>0</v>
      </c>
      <c r="AV63" s="20">
        <f t="shared" si="8"/>
        <v>0</v>
      </c>
      <c r="AW63" s="20">
        <f t="shared" si="9"/>
        <v>0</v>
      </c>
      <c r="AX63" s="20">
        <f t="shared" si="10"/>
        <v>0</v>
      </c>
      <c r="AY63" s="20">
        <f t="shared" si="11"/>
        <v>0</v>
      </c>
    </row>
    <row r="64" spans="1:51" x14ac:dyDescent="0.25">
      <c r="A64" s="20">
        <f>Üldinfo!A63</f>
        <v>60</v>
      </c>
      <c r="B64" s="20" t="str">
        <f>Üldinfo!B63</f>
        <v>Täiskasvanu</v>
      </c>
      <c r="C64" s="20" t="str">
        <f>Üldinfo!C63</f>
        <v>Täiskasvanu</v>
      </c>
      <c r="K64" s="29"/>
      <c r="L64" s="30"/>
      <c r="S64" s="29"/>
      <c r="T64" s="30"/>
      <c r="AA64" s="29"/>
      <c r="AB64" s="30"/>
      <c r="AI64" s="29"/>
      <c r="AK64" s="20">
        <f t="shared" si="0"/>
        <v>0</v>
      </c>
      <c r="AL64" s="20">
        <f>Üldinfo!AM63</f>
        <v>0</v>
      </c>
      <c r="AM64" s="58" t="e">
        <f t="shared" si="1"/>
        <v>#DIV/0!</v>
      </c>
      <c r="AO64" s="28">
        <f t="shared" si="2"/>
        <v>0</v>
      </c>
      <c r="AP64" s="28">
        <f t="shared" si="3"/>
        <v>0</v>
      </c>
      <c r="AQ64" s="28">
        <f t="shared" si="4"/>
        <v>0</v>
      </c>
      <c r="AR64" s="20">
        <f t="shared" si="5"/>
        <v>0</v>
      </c>
      <c r="AT64" s="20">
        <f t="shared" si="6"/>
        <v>0</v>
      </c>
      <c r="AU64" s="20">
        <f t="shared" si="7"/>
        <v>0</v>
      </c>
      <c r="AV64" s="20">
        <f t="shared" si="8"/>
        <v>0</v>
      </c>
      <c r="AW64" s="20">
        <f t="shared" si="9"/>
        <v>0</v>
      </c>
      <c r="AX64" s="20">
        <f t="shared" si="10"/>
        <v>0</v>
      </c>
      <c r="AY64" s="20">
        <f t="shared" si="11"/>
        <v>0</v>
      </c>
    </row>
    <row r="65" spans="1:51" x14ac:dyDescent="0.25">
      <c r="A65" s="20">
        <f>Üldinfo!A64</f>
        <v>61</v>
      </c>
      <c r="B65" s="20" t="str">
        <f>Üldinfo!B64</f>
        <v>Mees</v>
      </c>
      <c r="C65" s="20" t="str">
        <f>Üldinfo!C64</f>
        <v>50+ a</v>
      </c>
      <c r="K65" s="29"/>
      <c r="L65" s="30"/>
      <c r="S65" s="29"/>
      <c r="T65" s="30"/>
      <c r="Y65" s="28" t="s">
        <v>103</v>
      </c>
      <c r="Z65" s="28" t="s">
        <v>161</v>
      </c>
      <c r="AA65" s="29"/>
      <c r="AB65" s="30"/>
      <c r="AC65" s="28" t="s">
        <v>161</v>
      </c>
      <c r="AD65" s="28" t="s">
        <v>170</v>
      </c>
      <c r="AE65" s="28" t="s">
        <v>101</v>
      </c>
      <c r="AI65" s="29"/>
      <c r="AK65" s="20">
        <f t="shared" si="0"/>
        <v>5</v>
      </c>
      <c r="AL65" s="20">
        <f>Üldinfo!AM64</f>
        <v>10</v>
      </c>
      <c r="AM65" s="58">
        <f t="shared" si="1"/>
        <v>0.5</v>
      </c>
      <c r="AO65" s="28">
        <f t="shared" si="2"/>
        <v>2</v>
      </c>
      <c r="AP65" s="28">
        <f t="shared" si="3"/>
        <v>0</v>
      </c>
      <c r="AQ65" s="28">
        <f t="shared" si="4"/>
        <v>11</v>
      </c>
      <c r="AR65" s="20">
        <f t="shared" si="5"/>
        <v>13</v>
      </c>
      <c r="AT65" s="20">
        <f t="shared" si="6"/>
        <v>3</v>
      </c>
      <c r="AU65" s="20">
        <f t="shared" si="7"/>
        <v>4</v>
      </c>
      <c r="AV65" s="20">
        <f t="shared" si="8"/>
        <v>2</v>
      </c>
      <c r="AW65" s="20">
        <f t="shared" si="9"/>
        <v>2</v>
      </c>
      <c r="AX65" s="20">
        <f t="shared" si="10"/>
        <v>2</v>
      </c>
      <c r="AY65" s="20">
        <f t="shared" si="11"/>
        <v>13</v>
      </c>
    </row>
    <row r="66" spans="1:51" x14ac:dyDescent="0.25">
      <c r="A66" s="20">
        <f>Üldinfo!A65</f>
        <v>62</v>
      </c>
      <c r="B66" s="20" t="str">
        <f>Üldinfo!B65</f>
        <v>Mees</v>
      </c>
      <c r="C66" s="20" t="str">
        <f>Üldinfo!C65</f>
        <v>Täiskasvanu</v>
      </c>
      <c r="K66" s="29"/>
      <c r="L66" s="30"/>
      <c r="S66" s="29"/>
      <c r="T66" s="30"/>
      <c r="AA66" s="29"/>
      <c r="AB66" s="30"/>
      <c r="AI66" s="29"/>
      <c r="AK66" s="20">
        <f t="shared" si="0"/>
        <v>0</v>
      </c>
      <c r="AL66" s="20">
        <f>Üldinfo!AM65</f>
        <v>0</v>
      </c>
      <c r="AM66" s="58" t="e">
        <f t="shared" si="1"/>
        <v>#DIV/0!</v>
      </c>
      <c r="AO66" s="28">
        <f t="shared" si="2"/>
        <v>0</v>
      </c>
      <c r="AP66" s="28">
        <f t="shared" si="3"/>
        <v>0</v>
      </c>
      <c r="AQ66" s="28">
        <f t="shared" si="4"/>
        <v>0</v>
      </c>
      <c r="AR66" s="20">
        <f t="shared" si="5"/>
        <v>0</v>
      </c>
      <c r="AT66" s="20">
        <f t="shared" si="6"/>
        <v>0</v>
      </c>
      <c r="AU66" s="20">
        <f t="shared" si="7"/>
        <v>0</v>
      </c>
      <c r="AV66" s="20">
        <f t="shared" si="8"/>
        <v>0</v>
      </c>
      <c r="AW66" s="20">
        <f t="shared" si="9"/>
        <v>0</v>
      </c>
      <c r="AX66" s="20">
        <f t="shared" si="10"/>
        <v>0</v>
      </c>
      <c r="AY66" s="20">
        <f t="shared" si="11"/>
        <v>0</v>
      </c>
    </row>
    <row r="67" spans="1:51" x14ac:dyDescent="0.25">
      <c r="A67" s="20">
        <f>Üldinfo!A66</f>
        <v>63</v>
      </c>
      <c r="B67" s="20" t="str">
        <f>Üldinfo!B66</f>
        <v>Mees</v>
      </c>
      <c r="C67" s="20" t="str">
        <f>Üldinfo!C66</f>
        <v>Täiskasvanu</v>
      </c>
      <c r="K67" s="29"/>
      <c r="L67" s="30"/>
      <c r="S67" s="29"/>
      <c r="T67" s="30"/>
      <c r="AA67" s="29"/>
      <c r="AB67" s="30"/>
      <c r="AI67" s="29"/>
      <c r="AK67" s="20">
        <f t="shared" si="0"/>
        <v>0</v>
      </c>
      <c r="AL67" s="20">
        <f>Üldinfo!AM66</f>
        <v>0</v>
      </c>
      <c r="AM67" s="58" t="e">
        <f t="shared" si="1"/>
        <v>#DIV/0!</v>
      </c>
      <c r="AO67" s="28">
        <f t="shared" si="2"/>
        <v>0</v>
      </c>
      <c r="AP67" s="28">
        <f t="shared" si="3"/>
        <v>0</v>
      </c>
      <c r="AQ67" s="28">
        <f t="shared" si="4"/>
        <v>0</v>
      </c>
      <c r="AR67" s="20">
        <f t="shared" si="5"/>
        <v>0</v>
      </c>
      <c r="AT67" s="20">
        <f t="shared" si="6"/>
        <v>0</v>
      </c>
      <c r="AU67" s="20">
        <f t="shared" si="7"/>
        <v>0</v>
      </c>
      <c r="AV67" s="20">
        <f t="shared" si="8"/>
        <v>0</v>
      </c>
      <c r="AW67" s="20">
        <f t="shared" si="9"/>
        <v>0</v>
      </c>
      <c r="AX67" s="20">
        <f t="shared" si="10"/>
        <v>0</v>
      </c>
      <c r="AY67" s="20">
        <f t="shared" si="11"/>
        <v>0</v>
      </c>
    </row>
    <row r="68" spans="1:51" x14ac:dyDescent="0.25">
      <c r="A68" s="20">
        <f>Üldinfo!A67</f>
        <v>64</v>
      </c>
      <c r="B68" s="20" t="str">
        <f>Üldinfo!B67</f>
        <v>Mees</v>
      </c>
      <c r="C68" s="20" t="str">
        <f>Üldinfo!C67</f>
        <v>Täiskasvanu</v>
      </c>
      <c r="K68" s="29"/>
      <c r="L68" s="30"/>
      <c r="S68" s="29"/>
      <c r="T68" s="30"/>
      <c r="AA68" s="29"/>
      <c r="AB68" s="30"/>
      <c r="AI68" s="29"/>
      <c r="AK68" s="20">
        <f t="shared" si="0"/>
        <v>0</v>
      </c>
      <c r="AL68" s="20">
        <f>Üldinfo!AM67</f>
        <v>0</v>
      </c>
      <c r="AM68" s="58" t="e">
        <f t="shared" si="1"/>
        <v>#DIV/0!</v>
      </c>
      <c r="AO68" s="28">
        <f t="shared" si="2"/>
        <v>0</v>
      </c>
      <c r="AP68" s="28">
        <f t="shared" si="3"/>
        <v>0</v>
      </c>
      <c r="AQ68" s="28">
        <f t="shared" si="4"/>
        <v>0</v>
      </c>
      <c r="AR68" s="20">
        <f t="shared" si="5"/>
        <v>0</v>
      </c>
      <c r="AT68" s="20">
        <f t="shared" si="6"/>
        <v>0</v>
      </c>
      <c r="AU68" s="20">
        <f t="shared" si="7"/>
        <v>0</v>
      </c>
      <c r="AV68" s="20">
        <f t="shared" si="8"/>
        <v>0</v>
      </c>
      <c r="AW68" s="20">
        <f t="shared" si="9"/>
        <v>0</v>
      </c>
      <c r="AX68" s="20">
        <f t="shared" si="10"/>
        <v>0</v>
      </c>
      <c r="AY68" s="20">
        <f t="shared" si="11"/>
        <v>0</v>
      </c>
    </row>
    <row r="69" spans="1:51" x14ac:dyDescent="0.25">
      <c r="A69" s="20">
        <f>Üldinfo!A68</f>
        <v>65</v>
      </c>
      <c r="B69" s="20" t="str">
        <f>Üldinfo!B68</f>
        <v>Mees</v>
      </c>
      <c r="C69" s="20" t="str">
        <f>Üldinfo!C68</f>
        <v>39-44 a</v>
      </c>
      <c r="K69" s="29"/>
      <c r="L69" s="30"/>
      <c r="S69" s="29"/>
      <c r="T69" s="30"/>
      <c r="AA69" s="29"/>
      <c r="AB69" s="30"/>
      <c r="AI69" s="29"/>
      <c r="AK69" s="20">
        <f t="shared" si="0"/>
        <v>0</v>
      </c>
      <c r="AL69" s="20">
        <f>Üldinfo!AM68</f>
        <v>0</v>
      </c>
      <c r="AM69" s="58" t="e">
        <f t="shared" si="1"/>
        <v>#DIV/0!</v>
      </c>
      <c r="AO69" s="28">
        <f t="shared" si="2"/>
        <v>0</v>
      </c>
      <c r="AP69" s="28">
        <f t="shared" si="3"/>
        <v>0</v>
      </c>
      <c r="AQ69" s="28">
        <f t="shared" si="4"/>
        <v>0</v>
      </c>
      <c r="AR69" s="20">
        <f t="shared" si="5"/>
        <v>0</v>
      </c>
      <c r="AT69" s="20">
        <f t="shared" si="6"/>
        <v>0</v>
      </c>
      <c r="AU69" s="20">
        <f t="shared" si="7"/>
        <v>0</v>
      </c>
      <c r="AV69" s="20">
        <f t="shared" si="8"/>
        <v>0</v>
      </c>
      <c r="AW69" s="20">
        <f t="shared" si="9"/>
        <v>0</v>
      </c>
      <c r="AX69" s="20">
        <f t="shared" si="10"/>
        <v>0</v>
      </c>
      <c r="AY69" s="20">
        <f t="shared" si="11"/>
        <v>0</v>
      </c>
    </row>
    <row r="70" spans="1:51" x14ac:dyDescent="0.25">
      <c r="A70" s="20">
        <f>Üldinfo!A69</f>
        <v>66</v>
      </c>
      <c r="B70" s="20" t="str">
        <f>Üldinfo!B69</f>
        <v>Täiskasvanu</v>
      </c>
      <c r="C70" s="20" t="str">
        <f>Üldinfo!C69</f>
        <v>Täiskasvanu</v>
      </c>
      <c r="K70" s="29"/>
      <c r="L70" s="30"/>
      <c r="S70" s="29"/>
      <c r="T70" s="30"/>
      <c r="AA70" s="29"/>
      <c r="AB70" s="30"/>
      <c r="AI70" s="29"/>
      <c r="AK70" s="20">
        <f t="shared" si="0"/>
        <v>0</v>
      </c>
      <c r="AL70" s="20">
        <f>Üldinfo!AM69</f>
        <v>0</v>
      </c>
      <c r="AM70" s="58" t="e">
        <f t="shared" si="1"/>
        <v>#DIV/0!</v>
      </c>
      <c r="AO70" s="28">
        <f t="shared" si="2"/>
        <v>0</v>
      </c>
      <c r="AP70" s="28">
        <f t="shared" si="3"/>
        <v>0</v>
      </c>
      <c r="AQ70" s="28">
        <f t="shared" si="4"/>
        <v>0</v>
      </c>
      <c r="AR70" s="20">
        <f t="shared" si="5"/>
        <v>0</v>
      </c>
      <c r="AT70" s="20">
        <f t="shared" si="6"/>
        <v>0</v>
      </c>
      <c r="AU70" s="20">
        <f t="shared" si="7"/>
        <v>0</v>
      </c>
      <c r="AV70" s="20">
        <f t="shared" si="8"/>
        <v>0</v>
      </c>
      <c r="AW70" s="20">
        <f t="shared" si="9"/>
        <v>0</v>
      </c>
      <c r="AX70" s="20">
        <f t="shared" si="10"/>
        <v>0</v>
      </c>
      <c r="AY70" s="20">
        <f t="shared" si="11"/>
        <v>0</v>
      </c>
    </row>
    <row r="71" spans="1:51" x14ac:dyDescent="0.25">
      <c r="A71" s="20">
        <f>Üldinfo!A70</f>
        <v>67</v>
      </c>
      <c r="B71" s="20" t="str">
        <f>Üldinfo!B70</f>
        <v>Alaealine</v>
      </c>
      <c r="C71" s="20" t="str">
        <f>Üldinfo!C70</f>
        <v>7-11 a</v>
      </c>
      <c r="K71" s="29"/>
      <c r="L71" s="30"/>
      <c r="S71" s="29"/>
      <c r="T71" s="30"/>
      <c r="AA71" s="29"/>
      <c r="AB71" s="30"/>
      <c r="AI71" s="29"/>
      <c r="AK71" s="20">
        <f t="shared" si="0"/>
        <v>0</v>
      </c>
      <c r="AL71" s="20">
        <f>Üldinfo!AM70</f>
        <v>13</v>
      </c>
      <c r="AM71" s="58">
        <f t="shared" si="1"/>
        <v>0</v>
      </c>
      <c r="AO71" s="28">
        <f t="shared" si="2"/>
        <v>0</v>
      </c>
      <c r="AP71" s="28">
        <f t="shared" si="3"/>
        <v>0</v>
      </c>
      <c r="AQ71" s="28">
        <f t="shared" si="4"/>
        <v>0</v>
      </c>
      <c r="AR71" s="20">
        <f t="shared" si="5"/>
        <v>0</v>
      </c>
      <c r="AT71" s="20">
        <f t="shared" si="6"/>
        <v>0</v>
      </c>
      <c r="AU71" s="20">
        <f t="shared" si="7"/>
        <v>0</v>
      </c>
      <c r="AV71" s="20">
        <f t="shared" si="8"/>
        <v>0</v>
      </c>
      <c r="AW71" s="20">
        <f t="shared" si="9"/>
        <v>0</v>
      </c>
      <c r="AX71" s="20">
        <f t="shared" si="10"/>
        <v>0</v>
      </c>
      <c r="AY71" s="20">
        <f t="shared" si="11"/>
        <v>0</v>
      </c>
    </row>
    <row r="72" spans="1:51" x14ac:dyDescent="0.25">
      <c r="A72" s="20">
        <f>Üldinfo!A71</f>
        <v>68</v>
      </c>
      <c r="B72" s="20" t="str">
        <f>Üldinfo!B71</f>
        <v>Naine</v>
      </c>
      <c r="C72" s="20" t="str">
        <f>Üldinfo!C71</f>
        <v>40+ a</v>
      </c>
      <c r="K72" s="29"/>
      <c r="L72" s="30"/>
      <c r="S72" s="29"/>
      <c r="T72" s="30"/>
      <c r="AA72" s="29"/>
      <c r="AB72" s="30"/>
      <c r="AI72" s="29"/>
      <c r="AK72" s="20">
        <f t="shared" si="0"/>
        <v>0</v>
      </c>
      <c r="AL72" s="20">
        <f>Üldinfo!AM71</f>
        <v>0</v>
      </c>
      <c r="AM72" s="58" t="e">
        <f t="shared" si="1"/>
        <v>#DIV/0!</v>
      </c>
      <c r="AO72" s="28">
        <f t="shared" si="2"/>
        <v>0</v>
      </c>
      <c r="AP72" s="28">
        <f t="shared" si="3"/>
        <v>0</v>
      </c>
      <c r="AQ72" s="28">
        <f t="shared" si="4"/>
        <v>0</v>
      </c>
      <c r="AR72" s="20">
        <f t="shared" si="5"/>
        <v>0</v>
      </c>
      <c r="AT72" s="20">
        <f t="shared" si="6"/>
        <v>0</v>
      </c>
      <c r="AU72" s="20">
        <f t="shared" si="7"/>
        <v>0</v>
      </c>
      <c r="AV72" s="20">
        <f t="shared" si="8"/>
        <v>0</v>
      </c>
      <c r="AW72" s="20">
        <f t="shared" si="9"/>
        <v>0</v>
      </c>
      <c r="AX72" s="20">
        <f t="shared" si="10"/>
        <v>0</v>
      </c>
      <c r="AY72" s="20">
        <f t="shared" si="11"/>
        <v>0</v>
      </c>
    </row>
    <row r="73" spans="1:51" x14ac:dyDescent="0.25">
      <c r="A73" s="20">
        <f>Üldinfo!A72</f>
        <v>69</v>
      </c>
      <c r="B73" s="20" t="str">
        <f>Üldinfo!B72</f>
        <v>Mees</v>
      </c>
      <c r="C73" s="20" t="str">
        <f>Üldinfo!C72</f>
        <v>25-40 a</v>
      </c>
      <c r="K73" s="29"/>
      <c r="L73" s="30"/>
      <c r="S73" s="29"/>
      <c r="T73" s="30"/>
      <c r="AA73" s="29"/>
      <c r="AB73" s="30"/>
      <c r="AI73" s="29"/>
      <c r="AK73" s="20">
        <f t="shared" si="0"/>
        <v>0</v>
      </c>
      <c r="AL73" s="20">
        <f>Üldinfo!AM72</f>
        <v>0</v>
      </c>
      <c r="AM73" s="58" t="e">
        <f t="shared" si="1"/>
        <v>#DIV/0!</v>
      </c>
      <c r="AO73" s="28">
        <f t="shared" si="2"/>
        <v>0</v>
      </c>
      <c r="AP73" s="28">
        <f t="shared" si="3"/>
        <v>0</v>
      </c>
      <c r="AQ73" s="28">
        <f t="shared" si="4"/>
        <v>0</v>
      </c>
      <c r="AR73" s="20">
        <f t="shared" si="5"/>
        <v>0</v>
      </c>
      <c r="AT73" s="20">
        <f t="shared" si="6"/>
        <v>0</v>
      </c>
      <c r="AU73" s="20">
        <f t="shared" si="7"/>
        <v>0</v>
      </c>
      <c r="AV73" s="20">
        <f t="shared" si="8"/>
        <v>0</v>
      </c>
      <c r="AW73" s="20">
        <f t="shared" si="9"/>
        <v>0</v>
      </c>
      <c r="AX73" s="20">
        <f t="shared" si="10"/>
        <v>0</v>
      </c>
      <c r="AY73" s="20">
        <f t="shared" si="11"/>
        <v>0</v>
      </c>
    </row>
    <row r="74" spans="1:51" x14ac:dyDescent="0.25">
      <c r="D74" s="62">
        <f t="shared" ref="D74:AI74" si="12">COUNTA(D$5:D$73)</f>
        <v>0</v>
      </c>
      <c r="E74" s="62">
        <f t="shared" si="12"/>
        <v>2</v>
      </c>
      <c r="F74" s="62">
        <f t="shared" si="12"/>
        <v>0</v>
      </c>
      <c r="G74" s="62">
        <f t="shared" si="12"/>
        <v>0</v>
      </c>
      <c r="H74" s="62">
        <f t="shared" si="12"/>
        <v>0</v>
      </c>
      <c r="I74" s="62">
        <f t="shared" si="12"/>
        <v>0</v>
      </c>
      <c r="J74" s="62">
        <f t="shared" si="12"/>
        <v>0</v>
      </c>
      <c r="K74" s="62">
        <f t="shared" si="12"/>
        <v>0</v>
      </c>
      <c r="L74" s="62">
        <f t="shared" si="12"/>
        <v>0</v>
      </c>
      <c r="M74" s="62">
        <f t="shared" si="12"/>
        <v>0</v>
      </c>
      <c r="N74" s="62">
        <f t="shared" si="12"/>
        <v>0</v>
      </c>
      <c r="O74" s="62">
        <f t="shared" si="12"/>
        <v>2</v>
      </c>
      <c r="P74" s="62">
        <f t="shared" si="12"/>
        <v>0</v>
      </c>
      <c r="Q74" s="62">
        <f t="shared" si="12"/>
        <v>0</v>
      </c>
      <c r="R74" s="62">
        <f t="shared" si="12"/>
        <v>0</v>
      </c>
      <c r="S74" s="62">
        <f t="shared" si="12"/>
        <v>0</v>
      </c>
      <c r="T74" s="62">
        <f t="shared" si="12"/>
        <v>2</v>
      </c>
      <c r="U74" s="62">
        <f t="shared" si="12"/>
        <v>3</v>
      </c>
      <c r="V74" s="62">
        <f t="shared" si="12"/>
        <v>1</v>
      </c>
      <c r="W74" s="62">
        <f t="shared" si="12"/>
        <v>0</v>
      </c>
      <c r="X74" s="62">
        <f t="shared" si="12"/>
        <v>0</v>
      </c>
      <c r="Y74" s="62">
        <f t="shared" si="12"/>
        <v>2</v>
      </c>
      <c r="Z74" s="62">
        <f t="shared" si="12"/>
        <v>1</v>
      </c>
      <c r="AA74" s="62">
        <f t="shared" si="12"/>
        <v>0</v>
      </c>
      <c r="AB74" s="62">
        <f t="shared" si="12"/>
        <v>0</v>
      </c>
      <c r="AC74" s="62">
        <f t="shared" si="12"/>
        <v>1</v>
      </c>
      <c r="AD74" s="62">
        <f t="shared" si="12"/>
        <v>1</v>
      </c>
      <c r="AE74" s="62">
        <f t="shared" si="12"/>
        <v>2</v>
      </c>
      <c r="AF74" s="62">
        <f t="shared" si="12"/>
        <v>0</v>
      </c>
      <c r="AG74" s="62">
        <f t="shared" si="12"/>
        <v>2</v>
      </c>
      <c r="AH74" s="62">
        <f t="shared" si="12"/>
        <v>2</v>
      </c>
      <c r="AI74" s="62">
        <f t="shared" si="12"/>
        <v>2</v>
      </c>
      <c r="AJ74" s="31">
        <f>SUBTOTAL(9,AJ5:AJ73)</f>
        <v>0</v>
      </c>
      <c r="AK74" s="31">
        <f>SUM(AK5:AK73)</f>
        <v>23</v>
      </c>
      <c r="AL74" s="31">
        <f>SUM(AL5:AL73)</f>
        <v>458</v>
      </c>
      <c r="AM74" s="63">
        <f t="shared" si="1"/>
        <v>5.0218340611353711E-2</v>
      </c>
    </row>
    <row r="75" spans="1:51" x14ac:dyDescent="0.25">
      <c r="C75" s="20" t="s">
        <v>59</v>
      </c>
      <c r="D75" s="28">
        <f>Üldinfo!E74</f>
        <v>8</v>
      </c>
      <c r="E75" s="28">
        <f>Üldinfo!F74</f>
        <v>9</v>
      </c>
      <c r="F75" s="28">
        <f>Üldinfo!G74</f>
        <v>12</v>
      </c>
      <c r="G75" s="28">
        <f>Üldinfo!H74</f>
        <v>12</v>
      </c>
      <c r="H75" s="28">
        <f>Üldinfo!I74</f>
        <v>12</v>
      </c>
      <c r="I75" s="28">
        <f>Üldinfo!J74</f>
        <v>14</v>
      </c>
      <c r="J75" s="28">
        <f>Üldinfo!K74</f>
        <v>14</v>
      </c>
      <c r="K75" s="28">
        <f>Üldinfo!L74</f>
        <v>11</v>
      </c>
      <c r="L75" s="28">
        <f>Üldinfo!M74</f>
        <v>12</v>
      </c>
      <c r="M75" s="28">
        <f>Üldinfo!N74</f>
        <v>14</v>
      </c>
      <c r="N75" s="28">
        <f>Üldinfo!O74</f>
        <v>15</v>
      </c>
      <c r="O75" s="28">
        <f>Üldinfo!P74</f>
        <v>14</v>
      </c>
      <c r="P75" s="28">
        <f>Üldinfo!Q74</f>
        <v>13</v>
      </c>
      <c r="Q75" s="28">
        <f>Üldinfo!R74</f>
        <v>15</v>
      </c>
      <c r="R75" s="28">
        <f>Üldinfo!S74</f>
        <v>9</v>
      </c>
      <c r="S75" s="28">
        <f>Üldinfo!T74</f>
        <v>8</v>
      </c>
      <c r="T75" s="28">
        <f>Üldinfo!U74</f>
        <v>10</v>
      </c>
      <c r="U75" s="28">
        <f>Üldinfo!V74</f>
        <v>13</v>
      </c>
      <c r="V75" s="28">
        <f>Üldinfo!W74</f>
        <v>16</v>
      </c>
      <c r="W75" s="28">
        <f>Üldinfo!X74</f>
        <v>18</v>
      </c>
      <c r="X75" s="28">
        <f>Üldinfo!Y74</f>
        <v>18</v>
      </c>
      <c r="Y75" s="28">
        <f>Üldinfo!Z74</f>
        <v>17</v>
      </c>
      <c r="Z75" s="28">
        <f>Üldinfo!AA74</f>
        <v>18</v>
      </c>
      <c r="AA75" s="28">
        <f>Üldinfo!AB74</f>
        <v>20</v>
      </c>
      <c r="AB75" s="28">
        <f>Üldinfo!AC74</f>
        <v>16</v>
      </c>
      <c r="AC75" s="28">
        <f>Üldinfo!AD74</f>
        <v>19</v>
      </c>
      <c r="AD75" s="28">
        <f>Üldinfo!AE74</f>
        <v>18</v>
      </c>
      <c r="AE75" s="28">
        <f>Üldinfo!AF74</f>
        <v>19</v>
      </c>
      <c r="AF75" s="28">
        <f>Üldinfo!AG74</f>
        <v>21</v>
      </c>
      <c r="AG75" s="28">
        <f>Üldinfo!AH74</f>
        <v>19</v>
      </c>
      <c r="AH75" s="28">
        <f>Üldinfo!AI74</f>
        <v>14</v>
      </c>
      <c r="AI75" s="28">
        <f>Üldinfo!AJ74</f>
        <v>10</v>
      </c>
      <c r="AJ75" s="31"/>
    </row>
    <row r="76" spans="1:51" x14ac:dyDescent="0.25">
      <c r="C76" s="20" t="s">
        <v>60</v>
      </c>
      <c r="D76" s="28">
        <f t="shared" ref="D76:AI76" si="13">D74/D75*100</f>
        <v>0</v>
      </c>
      <c r="E76" s="28">
        <f t="shared" si="13"/>
        <v>22.222222222222221</v>
      </c>
      <c r="F76" s="28">
        <f t="shared" si="13"/>
        <v>0</v>
      </c>
      <c r="G76" s="28">
        <f t="shared" si="13"/>
        <v>0</v>
      </c>
      <c r="H76" s="28">
        <f t="shared" si="13"/>
        <v>0</v>
      </c>
      <c r="I76" s="28">
        <f t="shared" si="13"/>
        <v>0</v>
      </c>
      <c r="J76" s="28">
        <f t="shared" si="13"/>
        <v>0</v>
      </c>
      <c r="K76" s="28">
        <f t="shared" si="13"/>
        <v>0</v>
      </c>
      <c r="L76" s="28">
        <f t="shared" si="13"/>
        <v>0</v>
      </c>
      <c r="M76" s="28">
        <f t="shared" si="13"/>
        <v>0</v>
      </c>
      <c r="N76" s="28">
        <f t="shared" si="13"/>
        <v>0</v>
      </c>
      <c r="O76" s="28">
        <f t="shared" si="13"/>
        <v>14.285714285714285</v>
      </c>
      <c r="P76" s="28">
        <f t="shared" si="13"/>
        <v>0</v>
      </c>
      <c r="Q76" s="28">
        <f t="shared" si="13"/>
        <v>0</v>
      </c>
      <c r="R76" s="28">
        <f t="shared" si="13"/>
        <v>0</v>
      </c>
      <c r="S76" s="28">
        <f t="shared" si="13"/>
        <v>0</v>
      </c>
      <c r="T76" s="28">
        <f t="shared" si="13"/>
        <v>20</v>
      </c>
      <c r="U76" s="28">
        <f t="shared" si="13"/>
        <v>23.076923076923077</v>
      </c>
      <c r="V76" s="28">
        <f t="shared" si="13"/>
        <v>6.25</v>
      </c>
      <c r="W76" s="28">
        <f t="shared" si="13"/>
        <v>0</v>
      </c>
      <c r="X76" s="28">
        <f t="shared" si="13"/>
        <v>0</v>
      </c>
      <c r="Y76" s="28">
        <f t="shared" si="13"/>
        <v>11.76470588235294</v>
      </c>
      <c r="Z76" s="28">
        <f t="shared" si="13"/>
        <v>5.5555555555555554</v>
      </c>
      <c r="AA76" s="28">
        <f t="shared" si="13"/>
        <v>0</v>
      </c>
      <c r="AB76" s="28">
        <f t="shared" si="13"/>
        <v>0</v>
      </c>
      <c r="AC76" s="28">
        <f t="shared" si="13"/>
        <v>5.2631578947368416</v>
      </c>
      <c r="AD76" s="28">
        <f t="shared" si="13"/>
        <v>5.5555555555555554</v>
      </c>
      <c r="AE76" s="28">
        <f t="shared" si="13"/>
        <v>10.526315789473683</v>
      </c>
      <c r="AF76" s="28">
        <f t="shared" si="13"/>
        <v>0</v>
      </c>
      <c r="AG76" s="28">
        <f t="shared" si="13"/>
        <v>10.526315789473683</v>
      </c>
      <c r="AH76" s="28">
        <f t="shared" si="13"/>
        <v>14.285714285714285</v>
      </c>
      <c r="AI76" s="28">
        <f t="shared" si="13"/>
        <v>20</v>
      </c>
      <c r="AJ76" s="31"/>
    </row>
    <row r="77" spans="1:51" x14ac:dyDescent="0.25">
      <c r="AJ77" s="31"/>
    </row>
    <row r="78" spans="1:51" x14ac:dyDescent="0.25">
      <c r="C78" s="20" t="s">
        <v>46</v>
      </c>
      <c r="D78" s="28">
        <f t="shared" ref="D78:AI78" si="14">COUNTIF(D$5:D$73,"*m*")</f>
        <v>0</v>
      </c>
      <c r="E78" s="28">
        <f t="shared" si="14"/>
        <v>0</v>
      </c>
      <c r="F78" s="28">
        <f t="shared" si="14"/>
        <v>0</v>
      </c>
      <c r="G78" s="28">
        <f t="shared" si="14"/>
        <v>0</v>
      </c>
      <c r="H78" s="28">
        <f t="shared" si="14"/>
        <v>0</v>
      </c>
      <c r="I78" s="28">
        <f t="shared" si="14"/>
        <v>0</v>
      </c>
      <c r="J78" s="28">
        <f t="shared" si="14"/>
        <v>0</v>
      </c>
      <c r="K78" s="28">
        <f t="shared" si="14"/>
        <v>0</v>
      </c>
      <c r="L78" s="28">
        <f t="shared" si="14"/>
        <v>0</v>
      </c>
      <c r="M78" s="28">
        <f t="shared" si="14"/>
        <v>0</v>
      </c>
      <c r="N78" s="28">
        <f t="shared" si="14"/>
        <v>0</v>
      </c>
      <c r="O78" s="28">
        <f t="shared" si="14"/>
        <v>0</v>
      </c>
      <c r="P78" s="28">
        <f t="shared" si="14"/>
        <v>0</v>
      </c>
      <c r="Q78" s="28">
        <f t="shared" si="14"/>
        <v>0</v>
      </c>
      <c r="R78" s="28">
        <f t="shared" si="14"/>
        <v>0</v>
      </c>
      <c r="S78" s="28">
        <f t="shared" si="14"/>
        <v>0</v>
      </c>
      <c r="T78" s="28">
        <f t="shared" si="14"/>
        <v>1</v>
      </c>
      <c r="U78" s="28">
        <f t="shared" si="14"/>
        <v>1</v>
      </c>
      <c r="V78" s="28">
        <f t="shared" si="14"/>
        <v>0</v>
      </c>
      <c r="W78" s="28">
        <f t="shared" si="14"/>
        <v>0</v>
      </c>
      <c r="X78" s="28">
        <f t="shared" si="14"/>
        <v>0</v>
      </c>
      <c r="Y78" s="28">
        <f t="shared" si="14"/>
        <v>1</v>
      </c>
      <c r="Z78" s="28">
        <f t="shared" si="14"/>
        <v>1</v>
      </c>
      <c r="AA78" s="28">
        <f t="shared" si="14"/>
        <v>0</v>
      </c>
      <c r="AB78" s="28">
        <f t="shared" si="14"/>
        <v>0</v>
      </c>
      <c r="AC78" s="28">
        <f t="shared" si="14"/>
        <v>1</v>
      </c>
      <c r="AD78" s="28">
        <f t="shared" si="14"/>
        <v>0</v>
      </c>
      <c r="AE78" s="28">
        <f t="shared" si="14"/>
        <v>1</v>
      </c>
      <c r="AF78" s="28">
        <f t="shared" si="14"/>
        <v>0</v>
      </c>
      <c r="AG78" s="28">
        <f t="shared" si="14"/>
        <v>0</v>
      </c>
      <c r="AH78" s="28">
        <f t="shared" si="14"/>
        <v>1</v>
      </c>
      <c r="AI78" s="28">
        <f t="shared" si="14"/>
        <v>1</v>
      </c>
      <c r="AJ78" s="31">
        <f>SUM(D78:AI78)</f>
        <v>8</v>
      </c>
    </row>
    <row r="79" spans="1:51" x14ac:dyDescent="0.25">
      <c r="C79" s="20" t="s">
        <v>48</v>
      </c>
      <c r="D79" s="28">
        <f t="shared" ref="D79:AI79" si="15">COUNTIF(D$5:D$73,"*b*")</f>
        <v>0</v>
      </c>
      <c r="E79" s="28">
        <f t="shared" si="15"/>
        <v>0</v>
      </c>
      <c r="F79" s="28">
        <f t="shared" si="15"/>
        <v>0</v>
      </c>
      <c r="G79" s="28">
        <f t="shared" si="15"/>
        <v>0</v>
      </c>
      <c r="H79" s="28">
        <f t="shared" si="15"/>
        <v>0</v>
      </c>
      <c r="I79" s="28">
        <f t="shared" si="15"/>
        <v>0</v>
      </c>
      <c r="J79" s="28">
        <f t="shared" si="15"/>
        <v>0</v>
      </c>
      <c r="K79" s="28">
        <f t="shared" si="15"/>
        <v>0</v>
      </c>
      <c r="L79" s="28">
        <f t="shared" si="15"/>
        <v>0</v>
      </c>
      <c r="M79" s="28">
        <f t="shared" si="15"/>
        <v>0</v>
      </c>
      <c r="N79" s="28">
        <f t="shared" si="15"/>
        <v>0</v>
      </c>
      <c r="O79" s="28">
        <f t="shared" si="15"/>
        <v>0</v>
      </c>
      <c r="P79" s="28">
        <f t="shared" si="15"/>
        <v>0</v>
      </c>
      <c r="Q79" s="28">
        <f t="shared" si="15"/>
        <v>0</v>
      </c>
      <c r="R79" s="28">
        <f t="shared" si="15"/>
        <v>0</v>
      </c>
      <c r="S79" s="28">
        <f t="shared" si="15"/>
        <v>0</v>
      </c>
      <c r="T79" s="28">
        <f t="shared" si="15"/>
        <v>2</v>
      </c>
      <c r="U79" s="28">
        <f t="shared" si="15"/>
        <v>2</v>
      </c>
      <c r="V79" s="28">
        <f t="shared" si="15"/>
        <v>0</v>
      </c>
      <c r="W79" s="28">
        <f t="shared" si="15"/>
        <v>0</v>
      </c>
      <c r="X79" s="28">
        <f t="shared" si="15"/>
        <v>0</v>
      </c>
      <c r="Y79" s="28">
        <f t="shared" si="15"/>
        <v>0</v>
      </c>
      <c r="Z79" s="28">
        <f t="shared" si="15"/>
        <v>1</v>
      </c>
      <c r="AA79" s="28">
        <f t="shared" si="15"/>
        <v>0</v>
      </c>
      <c r="AB79" s="28">
        <f t="shared" si="15"/>
        <v>0</v>
      </c>
      <c r="AC79" s="28">
        <f t="shared" si="15"/>
        <v>1</v>
      </c>
      <c r="AD79" s="28">
        <f t="shared" si="15"/>
        <v>0</v>
      </c>
      <c r="AE79" s="28">
        <f t="shared" si="15"/>
        <v>0</v>
      </c>
      <c r="AF79" s="28">
        <f t="shared" si="15"/>
        <v>0</v>
      </c>
      <c r="AG79" s="28">
        <f t="shared" si="15"/>
        <v>0</v>
      </c>
      <c r="AH79" s="28">
        <f t="shared" si="15"/>
        <v>1</v>
      </c>
      <c r="AI79" s="28">
        <f t="shared" si="15"/>
        <v>1</v>
      </c>
      <c r="AJ79" s="31">
        <f>SUM(D79:AI79)</f>
        <v>8</v>
      </c>
    </row>
    <row r="80" spans="1:51" x14ac:dyDescent="0.25">
      <c r="C80" s="20" t="s">
        <v>47</v>
      </c>
      <c r="D80" s="28">
        <f t="shared" ref="D80:AI80" si="16">COUNTIF(D$5:D$73,"*d*")</f>
        <v>0</v>
      </c>
      <c r="E80" s="28">
        <f t="shared" si="16"/>
        <v>2</v>
      </c>
      <c r="F80" s="28">
        <f t="shared" si="16"/>
        <v>0</v>
      </c>
      <c r="G80" s="28">
        <f t="shared" si="16"/>
        <v>0</v>
      </c>
      <c r="H80" s="28">
        <f t="shared" si="16"/>
        <v>0</v>
      </c>
      <c r="I80" s="28">
        <f t="shared" si="16"/>
        <v>0</v>
      </c>
      <c r="J80" s="28">
        <f t="shared" si="16"/>
        <v>0</v>
      </c>
      <c r="K80" s="28">
        <f t="shared" si="16"/>
        <v>0</v>
      </c>
      <c r="L80" s="28">
        <f t="shared" si="16"/>
        <v>0</v>
      </c>
      <c r="M80" s="28">
        <f t="shared" si="16"/>
        <v>0</v>
      </c>
      <c r="N80" s="28">
        <f t="shared" si="16"/>
        <v>0</v>
      </c>
      <c r="O80" s="28">
        <f t="shared" si="16"/>
        <v>1</v>
      </c>
      <c r="P80" s="28">
        <f t="shared" si="16"/>
        <v>0</v>
      </c>
      <c r="Q80" s="28">
        <f t="shared" si="16"/>
        <v>0</v>
      </c>
      <c r="R80" s="28">
        <f t="shared" si="16"/>
        <v>0</v>
      </c>
      <c r="S80" s="28">
        <f t="shared" si="16"/>
        <v>0</v>
      </c>
      <c r="T80" s="28">
        <f t="shared" si="16"/>
        <v>1</v>
      </c>
      <c r="U80" s="28">
        <f t="shared" si="16"/>
        <v>2</v>
      </c>
      <c r="V80" s="28">
        <f t="shared" si="16"/>
        <v>0</v>
      </c>
      <c r="W80" s="28">
        <f t="shared" si="16"/>
        <v>0</v>
      </c>
      <c r="X80" s="28">
        <f t="shared" si="16"/>
        <v>0</v>
      </c>
      <c r="Y80" s="28">
        <f t="shared" si="16"/>
        <v>2</v>
      </c>
      <c r="Z80" s="28">
        <f t="shared" si="16"/>
        <v>1</v>
      </c>
      <c r="AA80" s="28">
        <f t="shared" si="16"/>
        <v>0</v>
      </c>
      <c r="AB80" s="28">
        <f t="shared" si="16"/>
        <v>0</v>
      </c>
      <c r="AC80" s="28">
        <f t="shared" si="16"/>
        <v>1</v>
      </c>
      <c r="AD80" s="28">
        <f t="shared" si="16"/>
        <v>1</v>
      </c>
      <c r="AE80" s="28">
        <f t="shared" si="16"/>
        <v>1</v>
      </c>
      <c r="AF80" s="28">
        <f t="shared" si="16"/>
        <v>0</v>
      </c>
      <c r="AG80" s="28">
        <f t="shared" si="16"/>
        <v>1</v>
      </c>
      <c r="AH80" s="28">
        <f t="shared" si="16"/>
        <v>0</v>
      </c>
      <c r="AI80" s="28">
        <f t="shared" si="16"/>
        <v>0</v>
      </c>
      <c r="AJ80" s="31">
        <f>SUM(D80:AI80)</f>
        <v>13</v>
      </c>
    </row>
    <row r="81" spans="2:36" x14ac:dyDescent="0.25">
      <c r="C81" s="20" t="s">
        <v>49</v>
      </c>
      <c r="D81" s="28">
        <f t="shared" ref="D81:AI81" si="17">COUNTIF(D$5:D$73,"*l*")</f>
        <v>0</v>
      </c>
      <c r="E81" s="28">
        <f t="shared" si="17"/>
        <v>0</v>
      </c>
      <c r="F81" s="28">
        <f t="shared" si="17"/>
        <v>0</v>
      </c>
      <c r="G81" s="28">
        <f t="shared" si="17"/>
        <v>0</v>
      </c>
      <c r="H81" s="28">
        <f t="shared" si="17"/>
        <v>0</v>
      </c>
      <c r="I81" s="28">
        <f t="shared" si="17"/>
        <v>0</v>
      </c>
      <c r="J81" s="28">
        <f t="shared" si="17"/>
        <v>0</v>
      </c>
      <c r="K81" s="28">
        <f t="shared" si="17"/>
        <v>0</v>
      </c>
      <c r="L81" s="28">
        <f t="shared" si="17"/>
        <v>0</v>
      </c>
      <c r="M81" s="28">
        <f t="shared" si="17"/>
        <v>0</v>
      </c>
      <c r="N81" s="28">
        <f t="shared" si="17"/>
        <v>0</v>
      </c>
      <c r="O81" s="28">
        <f t="shared" si="17"/>
        <v>0</v>
      </c>
      <c r="P81" s="28">
        <f t="shared" si="17"/>
        <v>0</v>
      </c>
      <c r="Q81" s="28">
        <f t="shared" si="17"/>
        <v>0</v>
      </c>
      <c r="R81" s="28">
        <f t="shared" si="17"/>
        <v>0</v>
      </c>
      <c r="S81" s="28">
        <f t="shared" si="17"/>
        <v>0</v>
      </c>
      <c r="T81" s="28">
        <f t="shared" si="17"/>
        <v>1</v>
      </c>
      <c r="U81" s="28">
        <f t="shared" si="17"/>
        <v>2</v>
      </c>
      <c r="V81" s="28">
        <f t="shared" si="17"/>
        <v>0</v>
      </c>
      <c r="W81" s="28">
        <f t="shared" si="17"/>
        <v>0</v>
      </c>
      <c r="X81" s="28">
        <f t="shared" si="17"/>
        <v>0</v>
      </c>
      <c r="Y81" s="28">
        <f t="shared" si="17"/>
        <v>0</v>
      </c>
      <c r="Z81" s="28">
        <f t="shared" si="17"/>
        <v>1</v>
      </c>
      <c r="AA81" s="28">
        <f t="shared" si="17"/>
        <v>0</v>
      </c>
      <c r="AB81" s="28">
        <f t="shared" si="17"/>
        <v>0</v>
      </c>
      <c r="AC81" s="28">
        <f t="shared" si="17"/>
        <v>1</v>
      </c>
      <c r="AD81" s="28">
        <f t="shared" si="17"/>
        <v>0</v>
      </c>
      <c r="AE81" s="28">
        <f t="shared" si="17"/>
        <v>0</v>
      </c>
      <c r="AF81" s="28">
        <f t="shared" si="17"/>
        <v>0</v>
      </c>
      <c r="AG81" s="28">
        <f t="shared" si="17"/>
        <v>0</v>
      </c>
      <c r="AH81" s="28">
        <f t="shared" si="17"/>
        <v>0</v>
      </c>
      <c r="AI81" s="28">
        <f t="shared" si="17"/>
        <v>0</v>
      </c>
      <c r="AJ81" s="31">
        <f>SUM(D81:AI81)</f>
        <v>5</v>
      </c>
    </row>
    <row r="82" spans="2:36" x14ac:dyDescent="0.25">
      <c r="C82" s="20" t="s">
        <v>50</v>
      </c>
      <c r="D82" s="28">
        <f t="shared" ref="D82:AI82" si="18">COUNTIF(D$5:D$73,"*o*")</f>
        <v>0</v>
      </c>
      <c r="E82" s="28">
        <f t="shared" si="18"/>
        <v>0</v>
      </c>
      <c r="F82" s="28">
        <f t="shared" si="18"/>
        <v>0</v>
      </c>
      <c r="G82" s="28">
        <f t="shared" si="18"/>
        <v>0</v>
      </c>
      <c r="H82" s="28">
        <f t="shared" si="18"/>
        <v>0</v>
      </c>
      <c r="I82" s="28">
        <f t="shared" si="18"/>
        <v>0</v>
      </c>
      <c r="J82" s="28">
        <f t="shared" si="18"/>
        <v>0</v>
      </c>
      <c r="K82" s="28">
        <f t="shared" si="18"/>
        <v>0</v>
      </c>
      <c r="L82" s="28">
        <f t="shared" si="18"/>
        <v>0</v>
      </c>
      <c r="M82" s="28">
        <f t="shared" si="18"/>
        <v>0</v>
      </c>
      <c r="N82" s="28">
        <f t="shared" si="18"/>
        <v>0</v>
      </c>
      <c r="O82" s="28">
        <f t="shared" si="18"/>
        <v>1</v>
      </c>
      <c r="P82" s="28">
        <f t="shared" si="18"/>
        <v>0</v>
      </c>
      <c r="Q82" s="28">
        <f t="shared" si="18"/>
        <v>0</v>
      </c>
      <c r="R82" s="28">
        <f t="shared" si="18"/>
        <v>0</v>
      </c>
      <c r="S82" s="28">
        <f t="shared" si="18"/>
        <v>0</v>
      </c>
      <c r="T82" s="28">
        <f t="shared" si="18"/>
        <v>1</v>
      </c>
      <c r="U82" s="28">
        <f t="shared" si="18"/>
        <v>2</v>
      </c>
      <c r="V82" s="28">
        <f t="shared" si="18"/>
        <v>1</v>
      </c>
      <c r="W82" s="28">
        <f t="shared" si="18"/>
        <v>0</v>
      </c>
      <c r="X82" s="28">
        <f t="shared" si="18"/>
        <v>0</v>
      </c>
      <c r="Y82" s="28">
        <f t="shared" si="18"/>
        <v>0</v>
      </c>
      <c r="Z82" s="28">
        <f t="shared" si="18"/>
        <v>1</v>
      </c>
      <c r="AA82" s="28">
        <f t="shared" si="18"/>
        <v>0</v>
      </c>
      <c r="AB82" s="28">
        <f t="shared" si="18"/>
        <v>0</v>
      </c>
      <c r="AC82" s="28">
        <f t="shared" si="18"/>
        <v>1</v>
      </c>
      <c r="AD82" s="28">
        <f t="shared" si="18"/>
        <v>0</v>
      </c>
      <c r="AE82" s="28">
        <f t="shared" si="18"/>
        <v>0</v>
      </c>
      <c r="AF82" s="28">
        <f t="shared" si="18"/>
        <v>0</v>
      </c>
      <c r="AG82" s="28">
        <f t="shared" si="18"/>
        <v>1</v>
      </c>
      <c r="AH82" s="28">
        <f t="shared" si="18"/>
        <v>1</v>
      </c>
      <c r="AI82" s="28">
        <f t="shared" si="18"/>
        <v>1</v>
      </c>
      <c r="AJ82" s="31">
        <f>SUM(D82:AI82)</f>
        <v>10</v>
      </c>
    </row>
    <row r="83" spans="2:36" x14ac:dyDescent="0.25">
      <c r="AJ83" s="31"/>
    </row>
    <row r="84" spans="2:36" x14ac:dyDescent="0.25">
      <c r="AJ84" s="31"/>
    </row>
    <row r="85" spans="2:36" x14ac:dyDescent="0.25">
      <c r="B85" s="80">
        <v>1</v>
      </c>
      <c r="C85" s="20" t="s">
        <v>46</v>
      </c>
      <c r="D85" s="28">
        <f t="shared" ref="D85:AI85" si="19">COUNTIF(D$5:D$73,"*1m*")</f>
        <v>0</v>
      </c>
      <c r="E85" s="28">
        <f t="shared" si="19"/>
        <v>0</v>
      </c>
      <c r="F85" s="28">
        <f t="shared" si="19"/>
        <v>0</v>
      </c>
      <c r="G85" s="28">
        <f t="shared" si="19"/>
        <v>0</v>
      </c>
      <c r="H85" s="28">
        <f t="shared" si="19"/>
        <v>0</v>
      </c>
      <c r="I85" s="28">
        <f t="shared" si="19"/>
        <v>0</v>
      </c>
      <c r="J85" s="28">
        <f t="shared" si="19"/>
        <v>0</v>
      </c>
      <c r="K85" s="28">
        <f t="shared" si="19"/>
        <v>0</v>
      </c>
      <c r="L85" s="28">
        <f t="shared" si="19"/>
        <v>0</v>
      </c>
      <c r="M85" s="28">
        <f t="shared" si="19"/>
        <v>0</v>
      </c>
      <c r="N85" s="28">
        <f t="shared" si="19"/>
        <v>0</v>
      </c>
      <c r="O85" s="28">
        <f t="shared" si="19"/>
        <v>0</v>
      </c>
      <c r="P85" s="28">
        <f t="shared" si="19"/>
        <v>0</v>
      </c>
      <c r="Q85" s="28">
        <f t="shared" si="19"/>
        <v>0</v>
      </c>
      <c r="R85" s="28">
        <f t="shared" si="19"/>
        <v>0</v>
      </c>
      <c r="S85" s="28">
        <f t="shared" si="19"/>
        <v>0</v>
      </c>
      <c r="T85" s="28">
        <f t="shared" si="19"/>
        <v>0</v>
      </c>
      <c r="U85" s="28">
        <f t="shared" si="19"/>
        <v>0</v>
      </c>
      <c r="V85" s="28">
        <f t="shared" si="19"/>
        <v>0</v>
      </c>
      <c r="W85" s="28">
        <f t="shared" si="19"/>
        <v>0</v>
      </c>
      <c r="X85" s="28">
        <f t="shared" si="19"/>
        <v>0</v>
      </c>
      <c r="Y85" s="28">
        <f t="shared" si="19"/>
        <v>1</v>
      </c>
      <c r="Z85" s="28">
        <f t="shared" si="19"/>
        <v>0</v>
      </c>
      <c r="AA85" s="28">
        <f t="shared" si="19"/>
        <v>0</v>
      </c>
      <c r="AB85" s="28">
        <f t="shared" si="19"/>
        <v>0</v>
      </c>
      <c r="AC85" s="28">
        <f t="shared" si="19"/>
        <v>0</v>
      </c>
      <c r="AD85" s="28">
        <f t="shared" si="19"/>
        <v>0</v>
      </c>
      <c r="AE85" s="28">
        <f t="shared" si="19"/>
        <v>1</v>
      </c>
      <c r="AF85" s="28">
        <f t="shared" si="19"/>
        <v>0</v>
      </c>
      <c r="AG85" s="28">
        <f t="shared" si="19"/>
        <v>0</v>
      </c>
      <c r="AH85" s="28">
        <f t="shared" si="19"/>
        <v>0</v>
      </c>
      <c r="AI85" s="28">
        <f t="shared" si="19"/>
        <v>1</v>
      </c>
      <c r="AJ85" s="31">
        <f>SUM(D85:AI85)</f>
        <v>3</v>
      </c>
    </row>
    <row r="86" spans="2:36" x14ac:dyDescent="0.25">
      <c r="B86" s="80"/>
      <c r="C86" s="20" t="s">
        <v>48</v>
      </c>
      <c r="D86" s="28">
        <f t="shared" ref="D86:AI86" si="20">COUNTIF(D$5:D$73,"*1b*")</f>
        <v>0</v>
      </c>
      <c r="E86" s="28">
        <f t="shared" si="20"/>
        <v>0</v>
      </c>
      <c r="F86" s="28">
        <f t="shared" si="20"/>
        <v>0</v>
      </c>
      <c r="G86" s="28">
        <f t="shared" si="20"/>
        <v>0</v>
      </c>
      <c r="H86" s="28">
        <f t="shared" si="20"/>
        <v>0</v>
      </c>
      <c r="I86" s="28">
        <f t="shared" si="20"/>
        <v>0</v>
      </c>
      <c r="J86" s="28">
        <f t="shared" si="20"/>
        <v>0</v>
      </c>
      <c r="K86" s="28">
        <f t="shared" si="20"/>
        <v>0</v>
      </c>
      <c r="L86" s="28">
        <f t="shared" si="20"/>
        <v>0</v>
      </c>
      <c r="M86" s="28">
        <f t="shared" si="20"/>
        <v>0</v>
      </c>
      <c r="N86" s="28">
        <f t="shared" si="20"/>
        <v>0</v>
      </c>
      <c r="O86" s="28">
        <f t="shared" si="20"/>
        <v>0</v>
      </c>
      <c r="P86" s="28">
        <f t="shared" si="20"/>
        <v>0</v>
      </c>
      <c r="Q86" s="28">
        <f t="shared" si="20"/>
        <v>0</v>
      </c>
      <c r="R86" s="28">
        <f t="shared" si="20"/>
        <v>0</v>
      </c>
      <c r="S86" s="28">
        <f t="shared" si="20"/>
        <v>0</v>
      </c>
      <c r="T86" s="28">
        <f t="shared" si="20"/>
        <v>1</v>
      </c>
      <c r="U86" s="28">
        <f t="shared" si="20"/>
        <v>1</v>
      </c>
      <c r="V86" s="28">
        <f t="shared" si="20"/>
        <v>0</v>
      </c>
      <c r="W86" s="28">
        <f t="shared" si="20"/>
        <v>0</v>
      </c>
      <c r="X86" s="28">
        <f t="shared" si="20"/>
        <v>0</v>
      </c>
      <c r="Y86" s="28">
        <f t="shared" si="20"/>
        <v>0</v>
      </c>
      <c r="Z86" s="28">
        <f t="shared" si="20"/>
        <v>0</v>
      </c>
      <c r="AA86" s="28">
        <f t="shared" si="20"/>
        <v>0</v>
      </c>
      <c r="AB86" s="28">
        <f t="shared" si="20"/>
        <v>0</v>
      </c>
      <c r="AC86" s="28">
        <f t="shared" si="20"/>
        <v>0</v>
      </c>
      <c r="AD86" s="28">
        <f t="shared" si="20"/>
        <v>0</v>
      </c>
      <c r="AE86" s="28">
        <f t="shared" si="20"/>
        <v>0</v>
      </c>
      <c r="AF86" s="28">
        <f t="shared" si="20"/>
        <v>0</v>
      </c>
      <c r="AG86" s="28">
        <f t="shared" si="20"/>
        <v>0</v>
      </c>
      <c r="AH86" s="28">
        <f t="shared" si="20"/>
        <v>1</v>
      </c>
      <c r="AI86" s="28">
        <f t="shared" si="20"/>
        <v>1</v>
      </c>
      <c r="AJ86" s="31">
        <f>SUM(D86:AI86)</f>
        <v>4</v>
      </c>
    </row>
    <row r="87" spans="2:36" x14ac:dyDescent="0.25">
      <c r="B87" s="80"/>
      <c r="C87" s="20" t="s">
        <v>47</v>
      </c>
      <c r="D87" s="28">
        <f t="shared" ref="D87:AI87" si="21">COUNTIF(D$5:D$73,"*1d*")</f>
        <v>0</v>
      </c>
      <c r="E87" s="28">
        <f t="shared" si="21"/>
        <v>2</v>
      </c>
      <c r="F87" s="28">
        <f t="shared" si="21"/>
        <v>0</v>
      </c>
      <c r="G87" s="28">
        <f t="shared" si="21"/>
        <v>0</v>
      </c>
      <c r="H87" s="28">
        <f t="shared" si="21"/>
        <v>0</v>
      </c>
      <c r="I87" s="28">
        <f t="shared" si="21"/>
        <v>0</v>
      </c>
      <c r="J87" s="28">
        <f t="shared" si="21"/>
        <v>0</v>
      </c>
      <c r="K87" s="28">
        <f t="shared" si="21"/>
        <v>0</v>
      </c>
      <c r="L87" s="28">
        <f t="shared" si="21"/>
        <v>0</v>
      </c>
      <c r="M87" s="28">
        <f t="shared" si="21"/>
        <v>0</v>
      </c>
      <c r="N87" s="28">
        <f t="shared" si="21"/>
        <v>0</v>
      </c>
      <c r="O87" s="28">
        <f t="shared" si="21"/>
        <v>1</v>
      </c>
      <c r="P87" s="28">
        <f t="shared" si="21"/>
        <v>0</v>
      </c>
      <c r="Q87" s="28">
        <f t="shared" si="21"/>
        <v>0</v>
      </c>
      <c r="R87" s="28">
        <f t="shared" si="21"/>
        <v>0</v>
      </c>
      <c r="S87" s="28">
        <f t="shared" si="21"/>
        <v>0</v>
      </c>
      <c r="T87" s="28">
        <f t="shared" si="21"/>
        <v>0</v>
      </c>
      <c r="U87" s="28">
        <f t="shared" si="21"/>
        <v>0</v>
      </c>
      <c r="V87" s="28">
        <f t="shared" si="21"/>
        <v>0</v>
      </c>
      <c r="W87" s="28">
        <f t="shared" si="21"/>
        <v>0</v>
      </c>
      <c r="X87" s="28">
        <f t="shared" si="21"/>
        <v>0</v>
      </c>
      <c r="Y87" s="28">
        <f t="shared" si="21"/>
        <v>2</v>
      </c>
      <c r="Z87" s="28">
        <f t="shared" si="21"/>
        <v>0</v>
      </c>
      <c r="AA87" s="28">
        <f t="shared" si="21"/>
        <v>0</v>
      </c>
      <c r="AB87" s="28">
        <f t="shared" si="21"/>
        <v>0</v>
      </c>
      <c r="AC87" s="28">
        <f t="shared" si="21"/>
        <v>0</v>
      </c>
      <c r="AD87" s="28">
        <f t="shared" si="21"/>
        <v>0</v>
      </c>
      <c r="AE87" s="28">
        <f t="shared" si="21"/>
        <v>1</v>
      </c>
      <c r="AF87" s="28">
        <f t="shared" si="21"/>
        <v>0</v>
      </c>
      <c r="AG87" s="28">
        <f t="shared" si="21"/>
        <v>0</v>
      </c>
      <c r="AH87" s="28">
        <f t="shared" si="21"/>
        <v>0</v>
      </c>
      <c r="AI87" s="28">
        <f t="shared" si="21"/>
        <v>0</v>
      </c>
      <c r="AJ87" s="31">
        <f>SUM(D87:AI87)</f>
        <v>6</v>
      </c>
    </row>
    <row r="88" spans="2:36" x14ac:dyDescent="0.25">
      <c r="B88" s="80"/>
      <c r="C88" s="20" t="s">
        <v>49</v>
      </c>
      <c r="D88" s="28">
        <f t="shared" ref="D88:AI88" si="22">COUNTIF(D$5:D$73,"*1l*")</f>
        <v>0</v>
      </c>
      <c r="E88" s="28">
        <f t="shared" si="22"/>
        <v>0</v>
      </c>
      <c r="F88" s="28">
        <f t="shared" si="22"/>
        <v>0</v>
      </c>
      <c r="G88" s="28">
        <f t="shared" si="22"/>
        <v>0</v>
      </c>
      <c r="H88" s="28">
        <f t="shared" si="22"/>
        <v>0</v>
      </c>
      <c r="I88" s="28">
        <f t="shared" si="22"/>
        <v>0</v>
      </c>
      <c r="J88" s="28">
        <f t="shared" si="22"/>
        <v>0</v>
      </c>
      <c r="K88" s="28">
        <f t="shared" si="22"/>
        <v>0</v>
      </c>
      <c r="L88" s="28">
        <f t="shared" si="22"/>
        <v>0</v>
      </c>
      <c r="M88" s="28">
        <f t="shared" si="22"/>
        <v>0</v>
      </c>
      <c r="N88" s="28">
        <f t="shared" si="22"/>
        <v>0</v>
      </c>
      <c r="O88" s="28">
        <f t="shared" si="22"/>
        <v>0</v>
      </c>
      <c r="P88" s="28">
        <f t="shared" si="22"/>
        <v>0</v>
      </c>
      <c r="Q88" s="28">
        <f t="shared" si="22"/>
        <v>0</v>
      </c>
      <c r="R88" s="28">
        <f t="shared" si="22"/>
        <v>0</v>
      </c>
      <c r="S88" s="28">
        <f t="shared" si="22"/>
        <v>0</v>
      </c>
      <c r="T88" s="28">
        <f t="shared" si="22"/>
        <v>0</v>
      </c>
      <c r="U88" s="28">
        <f t="shared" si="22"/>
        <v>0</v>
      </c>
      <c r="V88" s="28">
        <f t="shared" si="22"/>
        <v>0</v>
      </c>
      <c r="W88" s="28">
        <f t="shared" si="22"/>
        <v>0</v>
      </c>
      <c r="X88" s="28">
        <f t="shared" si="22"/>
        <v>0</v>
      </c>
      <c r="Y88" s="28">
        <f t="shared" si="22"/>
        <v>0</v>
      </c>
      <c r="Z88" s="28">
        <f t="shared" si="22"/>
        <v>0</v>
      </c>
      <c r="AA88" s="28">
        <f t="shared" si="22"/>
        <v>0</v>
      </c>
      <c r="AB88" s="28">
        <f t="shared" si="22"/>
        <v>0</v>
      </c>
      <c r="AC88" s="28">
        <f t="shared" si="22"/>
        <v>0</v>
      </c>
      <c r="AD88" s="28">
        <f t="shared" si="22"/>
        <v>0</v>
      </c>
      <c r="AE88" s="28">
        <f t="shared" si="22"/>
        <v>0</v>
      </c>
      <c r="AF88" s="28">
        <f t="shared" si="22"/>
        <v>0</v>
      </c>
      <c r="AG88" s="28">
        <f t="shared" si="22"/>
        <v>0</v>
      </c>
      <c r="AH88" s="28">
        <f t="shared" si="22"/>
        <v>0</v>
      </c>
      <c r="AI88" s="28">
        <f t="shared" si="22"/>
        <v>0</v>
      </c>
      <c r="AJ88" s="31">
        <f>SUM(D88:AI88)</f>
        <v>0</v>
      </c>
    </row>
    <row r="89" spans="2:36" x14ac:dyDescent="0.25">
      <c r="B89" s="80"/>
      <c r="C89" s="20" t="s">
        <v>50</v>
      </c>
      <c r="D89" s="28">
        <f t="shared" ref="D89:AI89" si="23">COUNTIF(D$5:D$73,"*1o*")</f>
        <v>0</v>
      </c>
      <c r="E89" s="28">
        <f t="shared" si="23"/>
        <v>0</v>
      </c>
      <c r="F89" s="28">
        <f t="shared" si="23"/>
        <v>0</v>
      </c>
      <c r="G89" s="28">
        <f t="shared" si="23"/>
        <v>0</v>
      </c>
      <c r="H89" s="28">
        <f t="shared" si="23"/>
        <v>0</v>
      </c>
      <c r="I89" s="28">
        <f t="shared" si="23"/>
        <v>0</v>
      </c>
      <c r="J89" s="28">
        <f t="shared" si="23"/>
        <v>0</v>
      </c>
      <c r="K89" s="28">
        <f t="shared" si="23"/>
        <v>0</v>
      </c>
      <c r="L89" s="28">
        <f t="shared" si="23"/>
        <v>0</v>
      </c>
      <c r="M89" s="28">
        <f t="shared" si="23"/>
        <v>0</v>
      </c>
      <c r="N89" s="28">
        <f t="shared" si="23"/>
        <v>0</v>
      </c>
      <c r="O89" s="28">
        <f t="shared" si="23"/>
        <v>0</v>
      </c>
      <c r="P89" s="28">
        <f t="shared" si="23"/>
        <v>0</v>
      </c>
      <c r="Q89" s="28">
        <f t="shared" si="23"/>
        <v>0</v>
      </c>
      <c r="R89" s="28">
        <f t="shared" si="23"/>
        <v>0</v>
      </c>
      <c r="S89" s="28">
        <f t="shared" si="23"/>
        <v>0</v>
      </c>
      <c r="T89" s="28">
        <f t="shared" si="23"/>
        <v>0</v>
      </c>
      <c r="U89" s="28">
        <f t="shared" si="23"/>
        <v>0</v>
      </c>
      <c r="V89" s="28">
        <f t="shared" si="23"/>
        <v>0</v>
      </c>
      <c r="W89" s="28">
        <f t="shared" si="23"/>
        <v>0</v>
      </c>
      <c r="X89" s="28">
        <f t="shared" si="23"/>
        <v>0</v>
      </c>
      <c r="Y89" s="28">
        <f t="shared" si="23"/>
        <v>0</v>
      </c>
      <c r="Z89" s="28">
        <f t="shared" si="23"/>
        <v>0</v>
      </c>
      <c r="AA89" s="28">
        <f t="shared" si="23"/>
        <v>0</v>
      </c>
      <c r="AB89" s="28">
        <f t="shared" si="23"/>
        <v>0</v>
      </c>
      <c r="AC89" s="28">
        <f t="shared" si="23"/>
        <v>0</v>
      </c>
      <c r="AD89" s="28">
        <f t="shared" si="23"/>
        <v>0</v>
      </c>
      <c r="AE89" s="28">
        <f t="shared" si="23"/>
        <v>0</v>
      </c>
      <c r="AF89" s="28">
        <f t="shared" si="23"/>
        <v>0</v>
      </c>
      <c r="AG89" s="28">
        <f t="shared" si="23"/>
        <v>1</v>
      </c>
      <c r="AH89" s="28">
        <f t="shared" si="23"/>
        <v>0</v>
      </c>
      <c r="AI89" s="28">
        <f t="shared" si="23"/>
        <v>1</v>
      </c>
      <c r="AJ89" s="31">
        <f>SUM(D89:AI89)</f>
        <v>2</v>
      </c>
    </row>
    <row r="90" spans="2:36" x14ac:dyDescent="0.25">
      <c r="AJ90" s="31"/>
    </row>
    <row r="91" spans="2:36" x14ac:dyDescent="0.25">
      <c r="B91" s="80">
        <v>2</v>
      </c>
      <c r="C91" s="20" t="s">
        <v>46</v>
      </c>
      <c r="D91" s="28">
        <f t="shared" ref="D91:AI91" si="24">COUNTIF(D$5:D$73,"*2m*")</f>
        <v>0</v>
      </c>
      <c r="E91" s="28">
        <f t="shared" si="24"/>
        <v>0</v>
      </c>
      <c r="F91" s="28">
        <f t="shared" si="24"/>
        <v>0</v>
      </c>
      <c r="G91" s="28">
        <f t="shared" si="24"/>
        <v>0</v>
      </c>
      <c r="H91" s="28">
        <f t="shared" si="24"/>
        <v>0</v>
      </c>
      <c r="I91" s="28">
        <f t="shared" si="24"/>
        <v>0</v>
      </c>
      <c r="J91" s="28">
        <f t="shared" si="24"/>
        <v>0</v>
      </c>
      <c r="K91" s="28">
        <f t="shared" si="24"/>
        <v>0</v>
      </c>
      <c r="L91" s="28">
        <f t="shared" si="24"/>
        <v>0</v>
      </c>
      <c r="M91" s="28">
        <f t="shared" si="24"/>
        <v>0</v>
      </c>
      <c r="N91" s="28">
        <f t="shared" si="24"/>
        <v>0</v>
      </c>
      <c r="O91" s="28">
        <f t="shared" si="24"/>
        <v>0</v>
      </c>
      <c r="P91" s="28">
        <f t="shared" si="24"/>
        <v>0</v>
      </c>
      <c r="Q91" s="28">
        <f t="shared" si="24"/>
        <v>0</v>
      </c>
      <c r="R91" s="28">
        <f t="shared" si="24"/>
        <v>0</v>
      </c>
      <c r="S91" s="28">
        <f t="shared" si="24"/>
        <v>0</v>
      </c>
      <c r="T91" s="28">
        <f t="shared" si="24"/>
        <v>0</v>
      </c>
      <c r="U91" s="28">
        <f t="shared" si="24"/>
        <v>0</v>
      </c>
      <c r="V91" s="28">
        <f t="shared" si="24"/>
        <v>0</v>
      </c>
      <c r="W91" s="28">
        <f t="shared" si="24"/>
        <v>0</v>
      </c>
      <c r="X91" s="28">
        <f t="shared" si="24"/>
        <v>0</v>
      </c>
      <c r="Y91" s="28">
        <f t="shared" si="24"/>
        <v>0</v>
      </c>
      <c r="Z91" s="28">
        <f t="shared" si="24"/>
        <v>0</v>
      </c>
      <c r="AA91" s="28">
        <f t="shared" si="24"/>
        <v>0</v>
      </c>
      <c r="AB91" s="28">
        <f t="shared" si="24"/>
        <v>0</v>
      </c>
      <c r="AC91" s="28">
        <f t="shared" si="24"/>
        <v>0</v>
      </c>
      <c r="AD91" s="28">
        <f t="shared" si="24"/>
        <v>0</v>
      </c>
      <c r="AE91" s="28">
        <f t="shared" si="24"/>
        <v>0</v>
      </c>
      <c r="AF91" s="28">
        <f t="shared" si="24"/>
        <v>0</v>
      </c>
      <c r="AG91" s="28">
        <f t="shared" si="24"/>
        <v>0</v>
      </c>
      <c r="AH91" s="28">
        <f t="shared" si="24"/>
        <v>0</v>
      </c>
      <c r="AI91" s="28">
        <f t="shared" si="24"/>
        <v>0</v>
      </c>
      <c r="AJ91" s="31">
        <f>SUM(D91:AI91)</f>
        <v>0</v>
      </c>
    </row>
    <row r="92" spans="2:36" x14ac:dyDescent="0.25">
      <c r="B92" s="80"/>
      <c r="C92" s="20" t="s">
        <v>48</v>
      </c>
      <c r="D92" s="28">
        <f t="shared" ref="D92:AI92" si="25">COUNTIF(D$5:D$73,"*2b*")</f>
        <v>0</v>
      </c>
      <c r="E92" s="28">
        <f t="shared" si="25"/>
        <v>0</v>
      </c>
      <c r="F92" s="28">
        <f t="shared" si="25"/>
        <v>0</v>
      </c>
      <c r="G92" s="28">
        <f t="shared" si="25"/>
        <v>0</v>
      </c>
      <c r="H92" s="28">
        <f t="shared" si="25"/>
        <v>0</v>
      </c>
      <c r="I92" s="28">
        <f t="shared" si="25"/>
        <v>0</v>
      </c>
      <c r="J92" s="28">
        <f t="shared" si="25"/>
        <v>0</v>
      </c>
      <c r="K92" s="28">
        <f t="shared" si="25"/>
        <v>0</v>
      </c>
      <c r="L92" s="28">
        <f t="shared" si="25"/>
        <v>0</v>
      </c>
      <c r="M92" s="28">
        <f t="shared" si="25"/>
        <v>0</v>
      </c>
      <c r="N92" s="28">
        <f t="shared" si="25"/>
        <v>0</v>
      </c>
      <c r="O92" s="28">
        <f t="shared" si="25"/>
        <v>0</v>
      </c>
      <c r="P92" s="28">
        <f t="shared" si="25"/>
        <v>0</v>
      </c>
      <c r="Q92" s="28">
        <f t="shared" si="25"/>
        <v>0</v>
      </c>
      <c r="R92" s="28">
        <f t="shared" si="25"/>
        <v>0</v>
      </c>
      <c r="S92" s="28">
        <f t="shared" si="25"/>
        <v>0</v>
      </c>
      <c r="T92" s="28">
        <f t="shared" si="25"/>
        <v>0</v>
      </c>
      <c r="U92" s="28">
        <f t="shared" si="25"/>
        <v>0</v>
      </c>
      <c r="V92" s="28">
        <f t="shared" si="25"/>
        <v>0</v>
      </c>
      <c r="W92" s="28">
        <f t="shared" si="25"/>
        <v>0</v>
      </c>
      <c r="X92" s="28">
        <f t="shared" si="25"/>
        <v>0</v>
      </c>
      <c r="Y92" s="28">
        <f t="shared" si="25"/>
        <v>0</v>
      </c>
      <c r="Z92" s="28">
        <f t="shared" si="25"/>
        <v>0</v>
      </c>
      <c r="AA92" s="28">
        <f t="shared" si="25"/>
        <v>0</v>
      </c>
      <c r="AB92" s="28">
        <f t="shared" si="25"/>
        <v>0</v>
      </c>
      <c r="AC92" s="28">
        <f t="shared" si="25"/>
        <v>0</v>
      </c>
      <c r="AD92" s="28">
        <f t="shared" si="25"/>
        <v>0</v>
      </c>
      <c r="AE92" s="28">
        <f t="shared" si="25"/>
        <v>0</v>
      </c>
      <c r="AF92" s="28">
        <f t="shared" si="25"/>
        <v>0</v>
      </c>
      <c r="AG92" s="28">
        <f t="shared" si="25"/>
        <v>0</v>
      </c>
      <c r="AH92" s="28">
        <f t="shared" si="25"/>
        <v>0</v>
      </c>
      <c r="AI92" s="28">
        <f t="shared" si="25"/>
        <v>0</v>
      </c>
      <c r="AJ92" s="31">
        <f>SUM(D92:AI92)</f>
        <v>0</v>
      </c>
    </row>
    <row r="93" spans="2:36" x14ac:dyDescent="0.25">
      <c r="B93" s="80"/>
      <c r="C93" s="20" t="s">
        <v>47</v>
      </c>
      <c r="D93" s="28">
        <f t="shared" ref="D93:AI93" si="26">COUNTIF(D$5:D$73,"*2d*")</f>
        <v>0</v>
      </c>
      <c r="E93" s="28">
        <f t="shared" si="26"/>
        <v>0</v>
      </c>
      <c r="F93" s="28">
        <f t="shared" si="26"/>
        <v>0</v>
      </c>
      <c r="G93" s="28">
        <f t="shared" si="26"/>
        <v>0</v>
      </c>
      <c r="H93" s="28">
        <f t="shared" si="26"/>
        <v>0</v>
      </c>
      <c r="I93" s="28">
        <f t="shared" si="26"/>
        <v>0</v>
      </c>
      <c r="J93" s="28">
        <f t="shared" si="26"/>
        <v>0</v>
      </c>
      <c r="K93" s="28">
        <f t="shared" si="26"/>
        <v>0</v>
      </c>
      <c r="L93" s="28">
        <f t="shared" si="26"/>
        <v>0</v>
      </c>
      <c r="M93" s="28">
        <f t="shared" si="26"/>
        <v>0</v>
      </c>
      <c r="N93" s="28">
        <f t="shared" si="26"/>
        <v>0</v>
      </c>
      <c r="O93" s="28">
        <f t="shared" si="26"/>
        <v>0</v>
      </c>
      <c r="P93" s="28">
        <f t="shared" si="26"/>
        <v>0</v>
      </c>
      <c r="Q93" s="28">
        <f t="shared" si="26"/>
        <v>0</v>
      </c>
      <c r="R93" s="28">
        <f t="shared" si="26"/>
        <v>0</v>
      </c>
      <c r="S93" s="28">
        <f t="shared" si="26"/>
        <v>0</v>
      </c>
      <c r="T93" s="28">
        <f t="shared" si="26"/>
        <v>0</v>
      </c>
      <c r="U93" s="28">
        <f t="shared" si="26"/>
        <v>1</v>
      </c>
      <c r="V93" s="28">
        <f t="shared" si="26"/>
        <v>0</v>
      </c>
      <c r="W93" s="28">
        <f t="shared" si="26"/>
        <v>0</v>
      </c>
      <c r="X93" s="28">
        <f t="shared" si="26"/>
        <v>0</v>
      </c>
      <c r="Y93" s="28">
        <f t="shared" si="26"/>
        <v>0</v>
      </c>
      <c r="Z93" s="28">
        <f t="shared" si="26"/>
        <v>0</v>
      </c>
      <c r="AA93" s="28">
        <f t="shared" si="26"/>
        <v>0</v>
      </c>
      <c r="AB93" s="28">
        <f t="shared" si="26"/>
        <v>0</v>
      </c>
      <c r="AC93" s="28">
        <f t="shared" si="26"/>
        <v>0</v>
      </c>
      <c r="AD93" s="28">
        <f t="shared" si="26"/>
        <v>0</v>
      </c>
      <c r="AE93" s="28">
        <f t="shared" si="26"/>
        <v>0</v>
      </c>
      <c r="AF93" s="28">
        <f t="shared" si="26"/>
        <v>0</v>
      </c>
      <c r="AG93" s="28">
        <f t="shared" si="26"/>
        <v>1</v>
      </c>
      <c r="AH93" s="28">
        <f t="shared" si="26"/>
        <v>0</v>
      </c>
      <c r="AI93" s="28">
        <f t="shared" si="26"/>
        <v>0</v>
      </c>
      <c r="AJ93" s="31">
        <f>SUM(D93:AI93)</f>
        <v>2</v>
      </c>
    </row>
    <row r="94" spans="2:36" x14ac:dyDescent="0.25">
      <c r="B94" s="80"/>
      <c r="C94" s="20" t="s">
        <v>49</v>
      </c>
      <c r="D94" s="28">
        <f t="shared" ref="D94:AI94" si="27">COUNTIF(D$5:D$73,"*2l*")</f>
        <v>0</v>
      </c>
      <c r="E94" s="28">
        <f t="shared" si="27"/>
        <v>0</v>
      </c>
      <c r="F94" s="28">
        <f t="shared" si="27"/>
        <v>0</v>
      </c>
      <c r="G94" s="28">
        <f t="shared" si="27"/>
        <v>0</v>
      </c>
      <c r="H94" s="28">
        <f t="shared" si="27"/>
        <v>0</v>
      </c>
      <c r="I94" s="28">
        <f t="shared" si="27"/>
        <v>0</v>
      </c>
      <c r="J94" s="28">
        <f t="shared" si="27"/>
        <v>0</v>
      </c>
      <c r="K94" s="28">
        <f t="shared" si="27"/>
        <v>0</v>
      </c>
      <c r="L94" s="28">
        <f t="shared" si="27"/>
        <v>0</v>
      </c>
      <c r="M94" s="28">
        <f t="shared" si="27"/>
        <v>0</v>
      </c>
      <c r="N94" s="28">
        <f t="shared" si="27"/>
        <v>0</v>
      </c>
      <c r="O94" s="28">
        <f t="shared" si="27"/>
        <v>0</v>
      </c>
      <c r="P94" s="28">
        <f t="shared" si="27"/>
        <v>0</v>
      </c>
      <c r="Q94" s="28">
        <f t="shared" si="27"/>
        <v>0</v>
      </c>
      <c r="R94" s="28">
        <f t="shared" si="27"/>
        <v>0</v>
      </c>
      <c r="S94" s="28">
        <f t="shared" si="27"/>
        <v>0</v>
      </c>
      <c r="T94" s="28">
        <f t="shared" si="27"/>
        <v>0</v>
      </c>
      <c r="U94" s="28">
        <f t="shared" si="27"/>
        <v>1</v>
      </c>
      <c r="V94" s="28">
        <f t="shared" si="27"/>
        <v>0</v>
      </c>
      <c r="W94" s="28">
        <f t="shared" si="27"/>
        <v>0</v>
      </c>
      <c r="X94" s="28">
        <f t="shared" si="27"/>
        <v>0</v>
      </c>
      <c r="Y94" s="28">
        <f t="shared" si="27"/>
        <v>0</v>
      </c>
      <c r="Z94" s="28">
        <f t="shared" si="27"/>
        <v>0</v>
      </c>
      <c r="AA94" s="28">
        <f t="shared" si="27"/>
        <v>0</v>
      </c>
      <c r="AB94" s="28">
        <f t="shared" si="27"/>
        <v>0</v>
      </c>
      <c r="AC94" s="28">
        <f t="shared" si="27"/>
        <v>0</v>
      </c>
      <c r="AD94" s="28">
        <f t="shared" si="27"/>
        <v>0</v>
      </c>
      <c r="AE94" s="28">
        <f t="shared" si="27"/>
        <v>0</v>
      </c>
      <c r="AF94" s="28">
        <f t="shared" si="27"/>
        <v>0</v>
      </c>
      <c r="AG94" s="28">
        <f t="shared" si="27"/>
        <v>0</v>
      </c>
      <c r="AH94" s="28">
        <f t="shared" si="27"/>
        <v>0</v>
      </c>
      <c r="AI94" s="28">
        <f t="shared" si="27"/>
        <v>0</v>
      </c>
      <c r="AJ94" s="31">
        <f>SUM(D94:AI94)</f>
        <v>1</v>
      </c>
    </row>
    <row r="95" spans="2:36" x14ac:dyDescent="0.25">
      <c r="B95" s="80"/>
      <c r="C95" s="20" t="s">
        <v>50</v>
      </c>
      <c r="D95" s="28">
        <f t="shared" ref="D95:AI95" si="28">COUNTIF(D$5:D$73,"*2o*")</f>
        <v>0</v>
      </c>
      <c r="E95" s="28">
        <f t="shared" si="28"/>
        <v>0</v>
      </c>
      <c r="F95" s="28">
        <f t="shared" si="28"/>
        <v>0</v>
      </c>
      <c r="G95" s="28">
        <f t="shared" si="28"/>
        <v>0</v>
      </c>
      <c r="H95" s="28">
        <f t="shared" si="28"/>
        <v>0</v>
      </c>
      <c r="I95" s="28">
        <f t="shared" si="28"/>
        <v>0</v>
      </c>
      <c r="J95" s="28">
        <f t="shared" si="28"/>
        <v>0</v>
      </c>
      <c r="K95" s="28">
        <f t="shared" si="28"/>
        <v>0</v>
      </c>
      <c r="L95" s="28">
        <f t="shared" si="28"/>
        <v>0</v>
      </c>
      <c r="M95" s="28">
        <f t="shared" si="28"/>
        <v>0</v>
      </c>
      <c r="N95" s="28">
        <f t="shared" si="28"/>
        <v>0</v>
      </c>
      <c r="O95" s="28">
        <f t="shared" si="28"/>
        <v>0</v>
      </c>
      <c r="P95" s="28">
        <f t="shared" si="28"/>
        <v>0</v>
      </c>
      <c r="Q95" s="28">
        <f t="shared" si="28"/>
        <v>0</v>
      </c>
      <c r="R95" s="28">
        <f t="shared" si="28"/>
        <v>0</v>
      </c>
      <c r="S95" s="28">
        <f t="shared" si="28"/>
        <v>0</v>
      </c>
      <c r="T95" s="28">
        <f t="shared" si="28"/>
        <v>0</v>
      </c>
      <c r="U95" s="28">
        <f t="shared" si="28"/>
        <v>1</v>
      </c>
      <c r="V95" s="28">
        <f t="shared" si="28"/>
        <v>1</v>
      </c>
      <c r="W95" s="28">
        <f t="shared" si="28"/>
        <v>0</v>
      </c>
      <c r="X95" s="28">
        <f t="shared" si="28"/>
        <v>0</v>
      </c>
      <c r="Y95" s="28">
        <f t="shared" si="28"/>
        <v>0</v>
      </c>
      <c r="Z95" s="28">
        <f t="shared" si="28"/>
        <v>0</v>
      </c>
      <c r="AA95" s="28">
        <f t="shared" si="28"/>
        <v>0</v>
      </c>
      <c r="AB95" s="28">
        <f t="shared" si="28"/>
        <v>0</v>
      </c>
      <c r="AC95" s="28">
        <f t="shared" si="28"/>
        <v>0</v>
      </c>
      <c r="AD95" s="28">
        <f t="shared" si="28"/>
        <v>0</v>
      </c>
      <c r="AE95" s="28">
        <f t="shared" si="28"/>
        <v>0</v>
      </c>
      <c r="AF95" s="28">
        <f t="shared" si="28"/>
        <v>0</v>
      </c>
      <c r="AG95" s="28">
        <f t="shared" si="28"/>
        <v>0</v>
      </c>
      <c r="AH95" s="28">
        <f t="shared" si="28"/>
        <v>0</v>
      </c>
      <c r="AI95" s="28">
        <f t="shared" si="28"/>
        <v>0</v>
      </c>
      <c r="AJ95" s="31">
        <f>SUM(D95:AI95)</f>
        <v>2</v>
      </c>
    </row>
    <row r="96" spans="2:36" x14ac:dyDescent="0.25">
      <c r="AJ96" s="31"/>
    </row>
    <row r="97" spans="2:36" x14ac:dyDescent="0.25">
      <c r="B97" s="80">
        <v>3</v>
      </c>
      <c r="C97" s="20" t="s">
        <v>46</v>
      </c>
      <c r="D97" s="28">
        <f t="shared" ref="D97:AI97" si="29">COUNTIF(D$5:D$73,"*3m*")</f>
        <v>0</v>
      </c>
      <c r="E97" s="28">
        <f t="shared" si="29"/>
        <v>0</v>
      </c>
      <c r="F97" s="28">
        <f t="shared" si="29"/>
        <v>0</v>
      </c>
      <c r="G97" s="28">
        <f t="shared" si="29"/>
        <v>0</v>
      </c>
      <c r="H97" s="28">
        <f t="shared" si="29"/>
        <v>0</v>
      </c>
      <c r="I97" s="28">
        <f t="shared" si="29"/>
        <v>0</v>
      </c>
      <c r="J97" s="28">
        <f t="shared" si="29"/>
        <v>0</v>
      </c>
      <c r="K97" s="28">
        <f t="shared" si="29"/>
        <v>0</v>
      </c>
      <c r="L97" s="28">
        <f t="shared" si="29"/>
        <v>0</v>
      </c>
      <c r="M97" s="28">
        <f t="shared" si="29"/>
        <v>0</v>
      </c>
      <c r="N97" s="28">
        <f t="shared" si="29"/>
        <v>0</v>
      </c>
      <c r="O97" s="28">
        <f t="shared" si="29"/>
        <v>0</v>
      </c>
      <c r="P97" s="28">
        <f t="shared" si="29"/>
        <v>0</v>
      </c>
      <c r="Q97" s="28">
        <f t="shared" si="29"/>
        <v>0</v>
      </c>
      <c r="R97" s="28">
        <f t="shared" si="29"/>
        <v>0</v>
      </c>
      <c r="S97" s="28">
        <f t="shared" si="29"/>
        <v>0</v>
      </c>
      <c r="T97" s="28">
        <f t="shared" si="29"/>
        <v>1</v>
      </c>
      <c r="U97" s="28">
        <f t="shared" si="29"/>
        <v>1</v>
      </c>
      <c r="V97" s="28">
        <f t="shared" si="29"/>
        <v>0</v>
      </c>
      <c r="W97" s="28">
        <f t="shared" si="29"/>
        <v>0</v>
      </c>
      <c r="X97" s="28">
        <f t="shared" si="29"/>
        <v>0</v>
      </c>
      <c r="Y97" s="28">
        <f t="shared" si="29"/>
        <v>0</v>
      </c>
      <c r="Z97" s="28">
        <f t="shared" si="29"/>
        <v>1</v>
      </c>
      <c r="AA97" s="28">
        <f t="shared" si="29"/>
        <v>0</v>
      </c>
      <c r="AB97" s="28">
        <f t="shared" si="29"/>
        <v>0</v>
      </c>
      <c r="AC97" s="28">
        <f t="shared" si="29"/>
        <v>1</v>
      </c>
      <c r="AD97" s="28">
        <f t="shared" si="29"/>
        <v>0</v>
      </c>
      <c r="AE97" s="28">
        <f t="shared" si="29"/>
        <v>0</v>
      </c>
      <c r="AF97" s="28">
        <f t="shared" si="29"/>
        <v>0</v>
      </c>
      <c r="AG97" s="28">
        <f t="shared" si="29"/>
        <v>0</v>
      </c>
      <c r="AH97" s="28">
        <f t="shared" si="29"/>
        <v>1</v>
      </c>
      <c r="AI97" s="28">
        <f t="shared" si="29"/>
        <v>0</v>
      </c>
      <c r="AJ97" s="31">
        <f>SUM(D97:AI97)</f>
        <v>5</v>
      </c>
    </row>
    <row r="98" spans="2:36" x14ac:dyDescent="0.25">
      <c r="B98" s="80"/>
      <c r="C98" s="20" t="s">
        <v>48</v>
      </c>
      <c r="D98" s="28">
        <f t="shared" ref="D98:AI98" si="30">COUNTIF(D$5:D$73,"*3b*")</f>
        <v>0</v>
      </c>
      <c r="E98" s="28">
        <f t="shared" si="30"/>
        <v>0</v>
      </c>
      <c r="F98" s="28">
        <f t="shared" si="30"/>
        <v>0</v>
      </c>
      <c r="G98" s="28">
        <f t="shared" si="30"/>
        <v>0</v>
      </c>
      <c r="H98" s="28">
        <f t="shared" si="30"/>
        <v>0</v>
      </c>
      <c r="I98" s="28">
        <f t="shared" si="30"/>
        <v>0</v>
      </c>
      <c r="J98" s="28">
        <f t="shared" si="30"/>
        <v>0</v>
      </c>
      <c r="K98" s="28">
        <f t="shared" si="30"/>
        <v>0</v>
      </c>
      <c r="L98" s="28">
        <f t="shared" si="30"/>
        <v>0</v>
      </c>
      <c r="M98" s="28">
        <f t="shared" si="30"/>
        <v>0</v>
      </c>
      <c r="N98" s="28">
        <f t="shared" si="30"/>
        <v>0</v>
      </c>
      <c r="O98" s="28">
        <f t="shared" si="30"/>
        <v>0</v>
      </c>
      <c r="P98" s="28">
        <f t="shared" si="30"/>
        <v>0</v>
      </c>
      <c r="Q98" s="28">
        <f t="shared" si="30"/>
        <v>0</v>
      </c>
      <c r="R98" s="28">
        <f t="shared" si="30"/>
        <v>0</v>
      </c>
      <c r="S98" s="28">
        <f t="shared" si="30"/>
        <v>0</v>
      </c>
      <c r="T98" s="28">
        <f t="shared" si="30"/>
        <v>1</v>
      </c>
      <c r="U98" s="28">
        <f t="shared" si="30"/>
        <v>1</v>
      </c>
      <c r="V98" s="28">
        <f t="shared" si="30"/>
        <v>0</v>
      </c>
      <c r="W98" s="28">
        <f t="shared" si="30"/>
        <v>0</v>
      </c>
      <c r="X98" s="28">
        <f t="shared" si="30"/>
        <v>0</v>
      </c>
      <c r="Y98" s="28">
        <f t="shared" si="30"/>
        <v>0</v>
      </c>
      <c r="Z98" s="28">
        <f t="shared" si="30"/>
        <v>1</v>
      </c>
      <c r="AA98" s="28">
        <f t="shared" si="30"/>
        <v>0</v>
      </c>
      <c r="AB98" s="28">
        <f t="shared" si="30"/>
        <v>0</v>
      </c>
      <c r="AC98" s="28">
        <f t="shared" si="30"/>
        <v>1</v>
      </c>
      <c r="AD98" s="28">
        <f t="shared" si="30"/>
        <v>0</v>
      </c>
      <c r="AE98" s="28">
        <f t="shared" si="30"/>
        <v>0</v>
      </c>
      <c r="AF98" s="28">
        <f t="shared" si="30"/>
        <v>0</v>
      </c>
      <c r="AG98" s="28">
        <f t="shared" si="30"/>
        <v>0</v>
      </c>
      <c r="AH98" s="28">
        <f t="shared" si="30"/>
        <v>0</v>
      </c>
      <c r="AI98" s="28">
        <f t="shared" si="30"/>
        <v>0</v>
      </c>
      <c r="AJ98" s="31">
        <f>SUM(D98:AI98)</f>
        <v>4</v>
      </c>
    </row>
    <row r="99" spans="2:36" x14ac:dyDescent="0.25">
      <c r="B99" s="80"/>
      <c r="C99" s="20" t="s">
        <v>47</v>
      </c>
      <c r="D99" s="28">
        <f t="shared" ref="D99:AI99" si="31">COUNTIF(D$5:D$73,"*3d*")</f>
        <v>0</v>
      </c>
      <c r="E99" s="28">
        <f t="shared" si="31"/>
        <v>0</v>
      </c>
      <c r="F99" s="28">
        <f t="shared" si="31"/>
        <v>0</v>
      </c>
      <c r="G99" s="28">
        <f t="shared" si="31"/>
        <v>0</v>
      </c>
      <c r="H99" s="28">
        <f t="shared" si="31"/>
        <v>0</v>
      </c>
      <c r="I99" s="28">
        <f t="shared" si="31"/>
        <v>0</v>
      </c>
      <c r="J99" s="28">
        <f t="shared" si="31"/>
        <v>0</v>
      </c>
      <c r="K99" s="28">
        <f t="shared" si="31"/>
        <v>0</v>
      </c>
      <c r="L99" s="28">
        <f t="shared" si="31"/>
        <v>0</v>
      </c>
      <c r="M99" s="28">
        <f t="shared" si="31"/>
        <v>0</v>
      </c>
      <c r="N99" s="28">
        <f t="shared" si="31"/>
        <v>0</v>
      </c>
      <c r="O99" s="28">
        <f t="shared" si="31"/>
        <v>0</v>
      </c>
      <c r="P99" s="28">
        <f t="shared" si="31"/>
        <v>0</v>
      </c>
      <c r="Q99" s="28">
        <f t="shared" si="31"/>
        <v>0</v>
      </c>
      <c r="R99" s="28">
        <f t="shared" si="31"/>
        <v>0</v>
      </c>
      <c r="S99" s="28">
        <f t="shared" si="31"/>
        <v>0</v>
      </c>
      <c r="T99" s="28">
        <f t="shared" si="31"/>
        <v>1</v>
      </c>
      <c r="U99" s="28">
        <f t="shared" si="31"/>
        <v>1</v>
      </c>
      <c r="V99" s="28">
        <f t="shared" si="31"/>
        <v>0</v>
      </c>
      <c r="W99" s="28">
        <f t="shared" si="31"/>
        <v>0</v>
      </c>
      <c r="X99" s="28">
        <f t="shared" si="31"/>
        <v>0</v>
      </c>
      <c r="Y99" s="28">
        <f t="shared" si="31"/>
        <v>0</v>
      </c>
      <c r="Z99" s="28">
        <f t="shared" si="31"/>
        <v>1</v>
      </c>
      <c r="AA99" s="28">
        <f t="shared" si="31"/>
        <v>0</v>
      </c>
      <c r="AB99" s="28">
        <f t="shared" si="31"/>
        <v>0</v>
      </c>
      <c r="AC99" s="28">
        <f t="shared" si="31"/>
        <v>1</v>
      </c>
      <c r="AD99" s="28">
        <f t="shared" si="31"/>
        <v>1</v>
      </c>
      <c r="AE99" s="28">
        <f t="shared" si="31"/>
        <v>0</v>
      </c>
      <c r="AF99" s="28">
        <f t="shared" si="31"/>
        <v>0</v>
      </c>
      <c r="AG99" s="28">
        <f t="shared" si="31"/>
        <v>0</v>
      </c>
      <c r="AH99" s="28">
        <f t="shared" si="31"/>
        <v>0</v>
      </c>
      <c r="AI99" s="28">
        <f t="shared" si="31"/>
        <v>0</v>
      </c>
      <c r="AJ99" s="31">
        <f>SUM(D99:AI99)</f>
        <v>5</v>
      </c>
    </row>
    <row r="100" spans="2:36" x14ac:dyDescent="0.25">
      <c r="B100" s="80"/>
      <c r="C100" s="20" t="s">
        <v>49</v>
      </c>
      <c r="D100" s="28">
        <f t="shared" ref="D100:AI100" si="32">COUNTIF(D$5:D$73,"*3l*")</f>
        <v>0</v>
      </c>
      <c r="E100" s="28">
        <f t="shared" si="32"/>
        <v>0</v>
      </c>
      <c r="F100" s="28">
        <f t="shared" si="32"/>
        <v>0</v>
      </c>
      <c r="G100" s="28">
        <f t="shared" si="32"/>
        <v>0</v>
      </c>
      <c r="H100" s="28">
        <f t="shared" si="32"/>
        <v>0</v>
      </c>
      <c r="I100" s="28">
        <f t="shared" si="32"/>
        <v>0</v>
      </c>
      <c r="J100" s="28">
        <f t="shared" si="32"/>
        <v>0</v>
      </c>
      <c r="K100" s="28">
        <f t="shared" si="32"/>
        <v>0</v>
      </c>
      <c r="L100" s="28">
        <f t="shared" si="32"/>
        <v>0</v>
      </c>
      <c r="M100" s="28">
        <f t="shared" si="32"/>
        <v>0</v>
      </c>
      <c r="N100" s="28">
        <f t="shared" si="32"/>
        <v>0</v>
      </c>
      <c r="O100" s="28">
        <f t="shared" si="32"/>
        <v>0</v>
      </c>
      <c r="P100" s="28">
        <f t="shared" si="32"/>
        <v>0</v>
      </c>
      <c r="Q100" s="28">
        <f t="shared" si="32"/>
        <v>0</v>
      </c>
      <c r="R100" s="28">
        <f t="shared" si="32"/>
        <v>0</v>
      </c>
      <c r="S100" s="28">
        <f t="shared" si="32"/>
        <v>0</v>
      </c>
      <c r="T100" s="28">
        <f t="shared" si="32"/>
        <v>1</v>
      </c>
      <c r="U100" s="28">
        <f t="shared" si="32"/>
        <v>1</v>
      </c>
      <c r="V100" s="28">
        <f t="shared" si="32"/>
        <v>0</v>
      </c>
      <c r="W100" s="28">
        <f t="shared" si="32"/>
        <v>0</v>
      </c>
      <c r="X100" s="28">
        <f t="shared" si="32"/>
        <v>0</v>
      </c>
      <c r="Y100" s="28">
        <f t="shared" si="32"/>
        <v>0</v>
      </c>
      <c r="Z100" s="28">
        <f t="shared" si="32"/>
        <v>1</v>
      </c>
      <c r="AA100" s="28">
        <f t="shared" si="32"/>
        <v>0</v>
      </c>
      <c r="AB100" s="28">
        <f t="shared" si="32"/>
        <v>0</v>
      </c>
      <c r="AC100" s="28">
        <f t="shared" si="32"/>
        <v>1</v>
      </c>
      <c r="AD100" s="28">
        <f t="shared" si="32"/>
        <v>0</v>
      </c>
      <c r="AE100" s="28">
        <f t="shared" si="32"/>
        <v>0</v>
      </c>
      <c r="AF100" s="28">
        <f t="shared" si="32"/>
        <v>0</v>
      </c>
      <c r="AG100" s="28">
        <f t="shared" si="32"/>
        <v>0</v>
      </c>
      <c r="AH100" s="28">
        <f t="shared" si="32"/>
        <v>0</v>
      </c>
      <c r="AI100" s="28">
        <f t="shared" si="32"/>
        <v>0</v>
      </c>
      <c r="AJ100" s="31">
        <f>SUM(D100:AI100)</f>
        <v>4</v>
      </c>
    </row>
    <row r="101" spans="2:36" x14ac:dyDescent="0.25">
      <c r="B101" s="80"/>
      <c r="C101" s="20" t="s">
        <v>50</v>
      </c>
      <c r="D101" s="28">
        <f t="shared" ref="D101:AI101" si="33">COUNTIF(D$5:D$73,"*3o*")</f>
        <v>0</v>
      </c>
      <c r="E101" s="28">
        <f t="shared" si="33"/>
        <v>0</v>
      </c>
      <c r="F101" s="28">
        <f t="shared" si="33"/>
        <v>0</v>
      </c>
      <c r="G101" s="28">
        <f t="shared" si="33"/>
        <v>0</v>
      </c>
      <c r="H101" s="28">
        <f t="shared" si="33"/>
        <v>0</v>
      </c>
      <c r="I101" s="28">
        <f t="shared" si="33"/>
        <v>0</v>
      </c>
      <c r="J101" s="28">
        <f t="shared" si="33"/>
        <v>0</v>
      </c>
      <c r="K101" s="28">
        <f t="shared" si="33"/>
        <v>0</v>
      </c>
      <c r="L101" s="28">
        <f t="shared" si="33"/>
        <v>0</v>
      </c>
      <c r="M101" s="28">
        <f t="shared" si="33"/>
        <v>0</v>
      </c>
      <c r="N101" s="28">
        <f t="shared" si="33"/>
        <v>0</v>
      </c>
      <c r="O101" s="28">
        <f t="shared" si="33"/>
        <v>1</v>
      </c>
      <c r="P101" s="28">
        <f t="shared" si="33"/>
        <v>0</v>
      </c>
      <c r="Q101" s="28">
        <f t="shared" si="33"/>
        <v>0</v>
      </c>
      <c r="R101" s="28">
        <f t="shared" si="33"/>
        <v>0</v>
      </c>
      <c r="S101" s="28">
        <f t="shared" si="33"/>
        <v>0</v>
      </c>
      <c r="T101" s="28">
        <f t="shared" si="33"/>
        <v>1</v>
      </c>
      <c r="U101" s="28">
        <f t="shared" si="33"/>
        <v>1</v>
      </c>
      <c r="V101" s="28">
        <f t="shared" si="33"/>
        <v>0</v>
      </c>
      <c r="W101" s="28">
        <f t="shared" si="33"/>
        <v>0</v>
      </c>
      <c r="X101" s="28">
        <f t="shared" si="33"/>
        <v>0</v>
      </c>
      <c r="Y101" s="28">
        <f t="shared" si="33"/>
        <v>0</v>
      </c>
      <c r="Z101" s="28">
        <f t="shared" si="33"/>
        <v>1</v>
      </c>
      <c r="AA101" s="28">
        <f t="shared" si="33"/>
        <v>0</v>
      </c>
      <c r="AB101" s="28">
        <f t="shared" si="33"/>
        <v>0</v>
      </c>
      <c r="AC101" s="28">
        <f t="shared" si="33"/>
        <v>1</v>
      </c>
      <c r="AD101" s="28">
        <f t="shared" si="33"/>
        <v>0</v>
      </c>
      <c r="AE101" s="28">
        <f t="shared" si="33"/>
        <v>0</v>
      </c>
      <c r="AF101" s="28">
        <f t="shared" si="33"/>
        <v>0</v>
      </c>
      <c r="AG101" s="28">
        <f t="shared" si="33"/>
        <v>0</v>
      </c>
      <c r="AH101" s="28">
        <f t="shared" si="33"/>
        <v>1</v>
      </c>
      <c r="AI101" s="28">
        <f t="shared" si="33"/>
        <v>0</v>
      </c>
      <c r="AJ101" s="31">
        <f>SUM(D101:AI101)</f>
        <v>6</v>
      </c>
    </row>
    <row r="102" spans="2:36" x14ac:dyDescent="0.25">
      <c r="AJ102" s="31"/>
    </row>
    <row r="103" spans="2:36" x14ac:dyDescent="0.25">
      <c r="B103" s="20">
        <v>3</v>
      </c>
      <c r="C103" s="20" t="s">
        <v>52</v>
      </c>
      <c r="D103" s="28">
        <f t="shared" ref="D103:AI103" si="34">COUNTIF(D$5:D$73,"*3m3b3d3l3o*")</f>
        <v>0</v>
      </c>
      <c r="E103" s="28">
        <f t="shared" si="34"/>
        <v>0</v>
      </c>
      <c r="F103" s="28">
        <f t="shared" si="34"/>
        <v>0</v>
      </c>
      <c r="G103" s="28">
        <f t="shared" si="34"/>
        <v>0</v>
      </c>
      <c r="H103" s="28">
        <f t="shared" si="34"/>
        <v>0</v>
      </c>
      <c r="I103" s="28">
        <f t="shared" si="34"/>
        <v>0</v>
      </c>
      <c r="J103" s="28">
        <f t="shared" si="34"/>
        <v>0</v>
      </c>
      <c r="K103" s="28">
        <f t="shared" si="34"/>
        <v>0</v>
      </c>
      <c r="L103" s="28">
        <f t="shared" si="34"/>
        <v>0</v>
      </c>
      <c r="M103" s="28">
        <f t="shared" si="34"/>
        <v>0</v>
      </c>
      <c r="N103" s="28">
        <f t="shared" si="34"/>
        <v>0</v>
      </c>
      <c r="O103" s="28">
        <f t="shared" si="34"/>
        <v>0</v>
      </c>
      <c r="P103" s="28">
        <f t="shared" si="34"/>
        <v>0</v>
      </c>
      <c r="Q103" s="28">
        <f t="shared" si="34"/>
        <v>0</v>
      </c>
      <c r="R103" s="28">
        <f t="shared" si="34"/>
        <v>0</v>
      </c>
      <c r="S103" s="28">
        <f t="shared" si="34"/>
        <v>0</v>
      </c>
      <c r="T103" s="28">
        <f t="shared" si="34"/>
        <v>1</v>
      </c>
      <c r="U103" s="28">
        <f t="shared" si="34"/>
        <v>1</v>
      </c>
      <c r="V103" s="28">
        <f t="shared" si="34"/>
        <v>0</v>
      </c>
      <c r="W103" s="28">
        <f t="shared" si="34"/>
        <v>0</v>
      </c>
      <c r="X103" s="28">
        <f t="shared" si="34"/>
        <v>0</v>
      </c>
      <c r="Y103" s="28">
        <f t="shared" si="34"/>
        <v>0</v>
      </c>
      <c r="Z103" s="28">
        <f t="shared" si="34"/>
        <v>1</v>
      </c>
      <c r="AA103" s="28">
        <f t="shared" si="34"/>
        <v>0</v>
      </c>
      <c r="AB103" s="28">
        <f t="shared" si="34"/>
        <v>0</v>
      </c>
      <c r="AC103" s="28">
        <f t="shared" si="34"/>
        <v>1</v>
      </c>
      <c r="AD103" s="28">
        <f t="shared" si="34"/>
        <v>0</v>
      </c>
      <c r="AE103" s="28">
        <f t="shared" si="34"/>
        <v>0</v>
      </c>
      <c r="AF103" s="28">
        <f t="shared" si="34"/>
        <v>0</v>
      </c>
      <c r="AG103" s="28">
        <f t="shared" si="34"/>
        <v>0</v>
      </c>
      <c r="AH103" s="28">
        <f t="shared" si="34"/>
        <v>0</v>
      </c>
      <c r="AI103" s="28">
        <f t="shared" si="34"/>
        <v>0</v>
      </c>
      <c r="AJ103" s="31">
        <f>SUM(D103:AI103)</f>
        <v>4</v>
      </c>
    </row>
  </sheetData>
  <sheetProtection selectLockedCells="1" selectUnlockedCells="1"/>
  <mergeCells count="14">
    <mergeCell ref="AT3:AY3"/>
    <mergeCell ref="B85:B89"/>
    <mergeCell ref="AT2:AY2"/>
    <mergeCell ref="D3:K3"/>
    <mergeCell ref="B91:B95"/>
    <mergeCell ref="B97:B101"/>
    <mergeCell ref="D1:AI1"/>
    <mergeCell ref="D2:S2"/>
    <mergeCell ref="T2:AI2"/>
    <mergeCell ref="AO2:AR2"/>
    <mergeCell ref="L3:S3"/>
    <mergeCell ref="T3:AA3"/>
    <mergeCell ref="AB3:AI3"/>
    <mergeCell ref="AO3:AR3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B224-C99F-4521-AA42-65E03FFC0FB0}">
  <dimension ref="A1:AQ98"/>
  <sheetViews>
    <sheetView workbookViewId="0">
      <pane xSplit="3" ySplit="4" topLeftCell="D5" activePane="bottomRight" state="frozen"/>
      <selection pane="topRight" activeCell="T1" sqref="T1"/>
      <selection pane="bottomLeft" activeCell="A5" sqref="A5"/>
      <selection pane="bottomRight" activeCell="A94" sqref="A74:IV94"/>
    </sheetView>
  </sheetViews>
  <sheetFormatPr defaultColWidth="11.5703125" defaultRowHeight="15" x14ac:dyDescent="0.25"/>
  <cols>
    <col min="1" max="1" width="4.42578125" style="33" customWidth="1"/>
    <col min="2" max="2" width="12.28515625" style="33" customWidth="1"/>
    <col min="3" max="3" width="11.5703125" style="33" customWidth="1"/>
    <col min="4" max="6" width="4" style="43" customWidth="1"/>
    <col min="7" max="8" width="5.140625" style="43" customWidth="1"/>
    <col min="9" max="9" width="3.28515625" style="43" customWidth="1"/>
    <col min="10" max="13" width="3" style="43" customWidth="1"/>
    <col min="14" max="14" width="3.28515625" style="43" customWidth="1"/>
    <col min="15" max="16" width="5.140625" style="43" customWidth="1"/>
    <col min="17" max="22" width="4" style="43" customWidth="1"/>
    <col min="23" max="24" width="5.140625" style="43" customWidth="1"/>
    <col min="25" max="25" width="3.28515625" style="43" customWidth="1"/>
    <col min="26" max="29" width="3" style="43" customWidth="1"/>
    <col min="30" max="30" width="3.28515625" style="43" customWidth="1"/>
    <col min="31" max="32" width="5.140625" style="43" customWidth="1"/>
    <col min="33" max="35" width="4" style="43" customWidth="1"/>
    <col min="36" max="36" width="5.7109375" style="33" customWidth="1"/>
    <col min="37" max="37" width="11.42578125" style="33" customWidth="1"/>
    <col min="38" max="38" width="19.28515625" style="33" customWidth="1"/>
    <col min="39" max="40" width="11.5703125" style="33"/>
    <col min="41" max="41" width="8.85546875" style="33" customWidth="1"/>
    <col min="42" max="42" width="10.42578125" style="33" customWidth="1"/>
    <col min="43" max="43" width="10" style="33" customWidth="1"/>
    <col min="44" max="16384" width="11.5703125" style="33"/>
  </cols>
  <sheetData>
    <row r="1" spans="1:43" x14ac:dyDescent="0.25">
      <c r="D1" s="88" t="s">
        <v>61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K1" s="33" t="s">
        <v>62</v>
      </c>
      <c r="AL1" s="33" t="s">
        <v>62</v>
      </c>
    </row>
    <row r="2" spans="1:43" x14ac:dyDescent="0.25">
      <c r="D2" s="88" t="s">
        <v>0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 t="s">
        <v>1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</row>
    <row r="3" spans="1:43" x14ac:dyDescent="0.25">
      <c r="D3" s="89" t="s">
        <v>3</v>
      </c>
      <c r="E3" s="89"/>
      <c r="F3" s="89"/>
      <c r="G3" s="89"/>
      <c r="H3" s="89"/>
      <c r="I3" s="89"/>
      <c r="J3" s="89"/>
      <c r="K3" s="89"/>
      <c r="L3" s="88" t="s">
        <v>4</v>
      </c>
      <c r="M3" s="88"/>
      <c r="N3" s="88"/>
      <c r="O3" s="88"/>
      <c r="P3" s="88"/>
      <c r="Q3" s="88"/>
      <c r="R3" s="88"/>
      <c r="S3" s="88"/>
      <c r="T3" s="89" t="s">
        <v>3</v>
      </c>
      <c r="U3" s="89"/>
      <c r="V3" s="89"/>
      <c r="W3" s="89"/>
      <c r="X3" s="89"/>
      <c r="Y3" s="89"/>
      <c r="Z3" s="89"/>
      <c r="AA3" s="89"/>
      <c r="AB3" s="89" t="s">
        <v>4</v>
      </c>
      <c r="AC3" s="89"/>
      <c r="AD3" s="89"/>
      <c r="AE3" s="89"/>
      <c r="AF3" s="89"/>
      <c r="AG3" s="89"/>
      <c r="AH3" s="89"/>
      <c r="AI3" s="89"/>
      <c r="AK3" s="34"/>
      <c r="AL3" s="34"/>
      <c r="AO3" s="88" t="s">
        <v>38</v>
      </c>
      <c r="AP3" s="88"/>
      <c r="AQ3" s="88"/>
    </row>
    <row r="4" spans="1:43" s="35" customFormat="1" x14ac:dyDescent="0.25">
      <c r="A4" s="35" t="s">
        <v>8</v>
      </c>
      <c r="B4" s="35" t="s">
        <v>9</v>
      </c>
      <c r="C4" s="35" t="s">
        <v>10</v>
      </c>
      <c r="D4" s="36">
        <v>8</v>
      </c>
      <c r="E4" s="37">
        <v>7</v>
      </c>
      <c r="F4" s="37">
        <v>6</v>
      </c>
      <c r="G4" s="37">
        <v>5</v>
      </c>
      <c r="H4" s="37">
        <v>4</v>
      </c>
      <c r="I4" s="37">
        <v>3</v>
      </c>
      <c r="J4" s="37">
        <v>2</v>
      </c>
      <c r="K4" s="38">
        <v>1</v>
      </c>
      <c r="L4" s="39">
        <v>1</v>
      </c>
      <c r="M4" s="39">
        <v>2</v>
      </c>
      <c r="N4" s="39">
        <v>3</v>
      </c>
      <c r="O4" s="39">
        <v>4</v>
      </c>
      <c r="P4" s="39">
        <v>5</v>
      </c>
      <c r="Q4" s="39">
        <v>6</v>
      </c>
      <c r="R4" s="39">
        <v>7</v>
      </c>
      <c r="S4" s="39">
        <v>8</v>
      </c>
      <c r="T4" s="36">
        <v>8</v>
      </c>
      <c r="U4" s="37">
        <v>7</v>
      </c>
      <c r="V4" s="37">
        <v>6</v>
      </c>
      <c r="W4" s="37">
        <v>5</v>
      </c>
      <c r="X4" s="37">
        <v>4</v>
      </c>
      <c r="Y4" s="37">
        <v>3</v>
      </c>
      <c r="Z4" s="37">
        <v>2</v>
      </c>
      <c r="AA4" s="38">
        <v>1</v>
      </c>
      <c r="AB4" s="36">
        <v>1</v>
      </c>
      <c r="AC4" s="37">
        <v>2</v>
      </c>
      <c r="AD4" s="37">
        <v>3</v>
      </c>
      <c r="AE4" s="37">
        <v>4</v>
      </c>
      <c r="AF4" s="37">
        <v>5</v>
      </c>
      <c r="AG4" s="37">
        <v>6</v>
      </c>
      <c r="AH4" s="37">
        <v>7</v>
      </c>
      <c r="AI4" s="38">
        <v>8</v>
      </c>
      <c r="AK4" s="35" t="s">
        <v>63</v>
      </c>
      <c r="AL4" s="35" t="s">
        <v>44</v>
      </c>
      <c r="AM4" s="35" t="s">
        <v>64</v>
      </c>
      <c r="AO4" s="35" t="s">
        <v>65</v>
      </c>
      <c r="AP4" s="35" t="s">
        <v>66</v>
      </c>
      <c r="AQ4" s="35" t="s">
        <v>67</v>
      </c>
    </row>
    <row r="5" spans="1:43" x14ac:dyDescent="0.25">
      <c r="A5" s="33" t="str">
        <f>Üldinfo!A4</f>
        <v>1a</v>
      </c>
      <c r="B5" s="33" t="str">
        <f>Üldinfo!B4</f>
        <v>Mees</v>
      </c>
      <c r="C5" s="33" t="str">
        <f>Üldinfo!C4</f>
        <v>Täiskasvanu</v>
      </c>
      <c r="D5" s="40"/>
      <c r="E5" s="41"/>
      <c r="F5" s="41"/>
      <c r="G5" s="41"/>
      <c r="H5" s="41"/>
      <c r="I5" s="41"/>
      <c r="J5" s="41"/>
      <c r="K5" s="42"/>
      <c r="T5" s="40"/>
      <c r="U5" s="41"/>
      <c r="V5" s="41"/>
      <c r="W5" s="41"/>
      <c r="X5" s="41"/>
      <c r="Y5" s="41"/>
      <c r="Z5" s="41"/>
      <c r="AA5" s="42"/>
      <c r="AB5" s="40"/>
      <c r="AC5" s="41"/>
      <c r="AD5" s="41"/>
      <c r="AE5" s="41"/>
      <c r="AF5" s="41"/>
      <c r="AG5" s="41"/>
      <c r="AH5" s="41"/>
      <c r="AI5" s="42"/>
      <c r="AK5" s="33">
        <f t="shared" ref="AK5:AK73" si="0">COUNTA(D5:AI5)</f>
        <v>0</v>
      </c>
      <c r="AL5" s="33">
        <f>Üldinfo!AM4</f>
        <v>0</v>
      </c>
      <c r="AM5" s="44" t="e">
        <f t="shared" ref="AM5:AM74" si="1">AK5/AL5</f>
        <v>#DIV/0!</v>
      </c>
      <c r="AO5" s="33">
        <f t="shared" ref="AO5:AO73" si="2">COUNTIF(D5:AI5,"*j*")</f>
        <v>0</v>
      </c>
      <c r="AP5" s="33">
        <f t="shared" ref="AP5:AP73" si="3">COUNTIF(D5:AI5,"*p*")</f>
        <v>0</v>
      </c>
      <c r="AQ5" s="33">
        <f t="shared" ref="AQ5:AQ73" si="4">COUNTIF(D5:AI5,"*g*")</f>
        <v>0</v>
      </c>
    </row>
    <row r="6" spans="1:43" x14ac:dyDescent="0.25">
      <c r="A6" s="33" t="str">
        <f>Üldinfo!A5</f>
        <v>1b</v>
      </c>
      <c r="B6" s="33" t="str">
        <f>Üldinfo!B5</f>
        <v>Alaealine</v>
      </c>
      <c r="C6" s="33" t="str">
        <f>Üldinfo!C5</f>
        <v>Alaealine</v>
      </c>
      <c r="D6" s="40"/>
      <c r="E6" s="41"/>
      <c r="F6" s="41"/>
      <c r="G6" s="41"/>
      <c r="H6" s="41"/>
      <c r="I6" s="41"/>
      <c r="J6" s="41"/>
      <c r="K6" s="42"/>
      <c r="T6" s="40"/>
      <c r="U6" s="41"/>
      <c r="V6" s="41"/>
      <c r="W6" s="41"/>
      <c r="X6" s="41"/>
      <c r="Y6" s="41"/>
      <c r="Z6" s="41"/>
      <c r="AA6" s="42"/>
      <c r="AB6" s="40"/>
      <c r="AC6" s="41"/>
      <c r="AD6" s="41"/>
      <c r="AE6" s="41"/>
      <c r="AF6" s="41"/>
      <c r="AG6" s="41"/>
      <c r="AH6" s="41"/>
      <c r="AI6" s="42"/>
      <c r="AK6" s="33">
        <f>COUNTA(D6:AI6)</f>
        <v>0</v>
      </c>
      <c r="AL6" s="33">
        <f>Üldinfo!AM5</f>
        <v>0</v>
      </c>
      <c r="AM6" s="44" t="e">
        <f>AK6/AL6</f>
        <v>#DIV/0!</v>
      </c>
      <c r="AO6" s="33">
        <f>COUNTIF(D6:AI6,"*j*")</f>
        <v>0</v>
      </c>
      <c r="AP6" s="33">
        <f>COUNTIF(D6:AI6,"*p*")</f>
        <v>0</v>
      </c>
      <c r="AQ6" s="33">
        <f>COUNTIF(D6:AI6,"*g*")</f>
        <v>0</v>
      </c>
    </row>
    <row r="7" spans="1:43" x14ac:dyDescent="0.25">
      <c r="A7" s="33">
        <f>Üldinfo!A6</f>
        <v>2</v>
      </c>
      <c r="B7" s="33" t="str">
        <f>Üldinfo!B6</f>
        <v>Naine</v>
      </c>
      <c r="C7" s="33" t="str">
        <f>Üldinfo!C6</f>
        <v>Täiskasvanu</v>
      </c>
      <c r="D7" s="40"/>
      <c r="E7" s="41"/>
      <c r="F7" s="41"/>
      <c r="G7" s="41"/>
      <c r="H7" s="41"/>
      <c r="I7" s="41"/>
      <c r="J7" s="41"/>
      <c r="K7" s="42"/>
      <c r="T7" s="40"/>
      <c r="U7" s="41"/>
      <c r="V7" s="41"/>
      <c r="W7" s="41"/>
      <c r="X7" s="41"/>
      <c r="Y7" s="41"/>
      <c r="Z7" s="41"/>
      <c r="AA7" s="42"/>
      <c r="AB7" s="40"/>
      <c r="AC7" s="41"/>
      <c r="AD7" s="41"/>
      <c r="AE7" s="41"/>
      <c r="AF7" s="41"/>
      <c r="AG7" s="41"/>
      <c r="AH7" s="41"/>
      <c r="AI7" s="42"/>
      <c r="AK7" s="33">
        <f t="shared" si="0"/>
        <v>0</v>
      </c>
      <c r="AL7" s="33">
        <f>Üldinfo!AM6</f>
        <v>0</v>
      </c>
      <c r="AM7" s="44" t="e">
        <f t="shared" si="1"/>
        <v>#DIV/0!</v>
      </c>
      <c r="AO7" s="33">
        <f t="shared" si="2"/>
        <v>0</v>
      </c>
      <c r="AP7" s="33">
        <f t="shared" si="3"/>
        <v>0</v>
      </c>
      <c r="AQ7" s="33">
        <f t="shared" si="4"/>
        <v>0</v>
      </c>
    </row>
    <row r="8" spans="1:43" x14ac:dyDescent="0.25">
      <c r="A8" s="33">
        <f>Üldinfo!A7</f>
        <v>3</v>
      </c>
      <c r="B8" s="33" t="str">
        <f>Üldinfo!B7</f>
        <v>Alaealine</v>
      </c>
      <c r="C8" s="33" t="str">
        <f>Üldinfo!C7</f>
        <v>12-18 a</v>
      </c>
      <c r="D8" s="40"/>
      <c r="E8" s="41"/>
      <c r="F8" s="41"/>
      <c r="G8" s="41"/>
      <c r="H8" s="41" t="s">
        <v>68</v>
      </c>
      <c r="I8" s="41" t="s">
        <v>97</v>
      </c>
      <c r="J8" s="41" t="s">
        <v>98</v>
      </c>
      <c r="K8" s="42"/>
      <c r="O8" s="43" t="s">
        <v>68</v>
      </c>
      <c r="T8" s="40"/>
      <c r="U8" s="41"/>
      <c r="V8" s="41"/>
      <c r="W8" s="41"/>
      <c r="X8" s="41"/>
      <c r="Y8" s="41" t="s">
        <v>98</v>
      </c>
      <c r="Z8" s="41" t="s">
        <v>68</v>
      </c>
      <c r="AA8" s="42" t="s">
        <v>68</v>
      </c>
      <c r="AB8" s="40" t="s">
        <v>68</v>
      </c>
      <c r="AC8" s="41" t="s">
        <v>68</v>
      </c>
      <c r="AD8" s="41" t="s">
        <v>98</v>
      </c>
      <c r="AE8" s="41" t="s">
        <v>68</v>
      </c>
      <c r="AF8" s="41"/>
      <c r="AG8" s="41"/>
      <c r="AH8" s="41"/>
      <c r="AI8" s="42"/>
      <c r="AK8" s="33">
        <f t="shared" si="0"/>
        <v>11</v>
      </c>
      <c r="AL8" s="33">
        <f>Üldinfo!AM7</f>
        <v>26</v>
      </c>
      <c r="AM8" s="44">
        <f t="shared" si="1"/>
        <v>0.42307692307692307</v>
      </c>
      <c r="AO8" s="33">
        <f t="shared" si="2"/>
        <v>11</v>
      </c>
      <c r="AP8" s="33">
        <f t="shared" si="3"/>
        <v>0</v>
      </c>
      <c r="AQ8" s="33">
        <f t="shared" si="4"/>
        <v>0</v>
      </c>
    </row>
    <row r="9" spans="1:43" x14ac:dyDescent="0.25">
      <c r="A9" s="33">
        <f>Üldinfo!A8</f>
        <v>4</v>
      </c>
      <c r="B9" s="33" t="str">
        <f>Üldinfo!B8</f>
        <v>Täiskasvanu</v>
      </c>
      <c r="C9" s="33" t="str">
        <f>Üldinfo!C8</f>
        <v>Täiskasvanu</v>
      </c>
      <c r="D9" s="40"/>
      <c r="E9" s="41"/>
      <c r="F9" s="41"/>
      <c r="G9" s="41"/>
      <c r="H9" s="41"/>
      <c r="I9" s="41"/>
      <c r="J9" s="41"/>
      <c r="K9" s="42"/>
      <c r="T9" s="40"/>
      <c r="U9" s="41"/>
      <c r="V9" s="41"/>
      <c r="W9" s="41"/>
      <c r="X9" s="41"/>
      <c r="Y9" s="41"/>
      <c r="Z9" s="41"/>
      <c r="AA9" s="42"/>
      <c r="AB9" s="40"/>
      <c r="AC9" s="41"/>
      <c r="AD9" s="41"/>
      <c r="AE9" s="41"/>
      <c r="AF9" s="41"/>
      <c r="AG9" s="41"/>
      <c r="AH9" s="41"/>
      <c r="AI9" s="42"/>
      <c r="AK9" s="33">
        <f t="shared" si="0"/>
        <v>0</v>
      </c>
      <c r="AL9" s="33">
        <f>Üldinfo!AM8</f>
        <v>0</v>
      </c>
      <c r="AM9" s="44" t="e">
        <f t="shared" si="1"/>
        <v>#DIV/0!</v>
      </c>
      <c r="AO9" s="33">
        <f t="shared" si="2"/>
        <v>0</v>
      </c>
      <c r="AP9" s="33">
        <f t="shared" si="3"/>
        <v>0</v>
      </c>
      <c r="AQ9" s="33">
        <f t="shared" si="4"/>
        <v>0</v>
      </c>
    </row>
    <row r="10" spans="1:43" x14ac:dyDescent="0.25">
      <c r="A10" s="33">
        <f>Üldinfo!A9</f>
        <v>5</v>
      </c>
      <c r="B10" s="33" t="str">
        <f>Üldinfo!B9</f>
        <v>Täiskasvanu</v>
      </c>
      <c r="C10" s="33" t="str">
        <f>Üldinfo!C9</f>
        <v>Täiskasvanu</v>
      </c>
      <c r="D10" s="40"/>
      <c r="E10" s="41"/>
      <c r="F10" s="41"/>
      <c r="G10" s="41"/>
      <c r="H10" s="41"/>
      <c r="I10" s="41"/>
      <c r="J10" s="41"/>
      <c r="K10" s="42"/>
      <c r="T10" s="40"/>
      <c r="U10" s="41"/>
      <c r="V10" s="41"/>
      <c r="W10" s="41"/>
      <c r="X10" s="41"/>
      <c r="Y10" s="41"/>
      <c r="Z10" s="41"/>
      <c r="AA10" s="42"/>
      <c r="AB10" s="40"/>
      <c r="AC10" s="41"/>
      <c r="AD10" s="41"/>
      <c r="AE10" s="41"/>
      <c r="AF10" s="41"/>
      <c r="AG10" s="41"/>
      <c r="AH10" s="41"/>
      <c r="AI10" s="42"/>
      <c r="AK10" s="33">
        <f t="shared" si="0"/>
        <v>0</v>
      </c>
      <c r="AL10" s="33">
        <f>Üldinfo!AM9</f>
        <v>0</v>
      </c>
      <c r="AM10" s="44" t="e">
        <f t="shared" si="1"/>
        <v>#DIV/0!</v>
      </c>
      <c r="AO10" s="33">
        <f t="shared" si="2"/>
        <v>0</v>
      </c>
      <c r="AP10" s="33">
        <f t="shared" si="3"/>
        <v>0</v>
      </c>
      <c r="AQ10" s="33">
        <f t="shared" si="4"/>
        <v>0</v>
      </c>
    </row>
    <row r="11" spans="1:43" x14ac:dyDescent="0.25">
      <c r="A11" s="33">
        <f>Üldinfo!A10</f>
        <v>6</v>
      </c>
      <c r="B11" s="33" t="str">
        <f>Üldinfo!B10</f>
        <v>Täiskasvanu</v>
      </c>
      <c r="C11" s="33" t="str">
        <f>Üldinfo!C10</f>
        <v>Täiskasvanu</v>
      </c>
      <c r="D11" s="40"/>
      <c r="E11" s="41"/>
      <c r="F11" s="41"/>
      <c r="G11" s="41"/>
      <c r="H11" s="41"/>
      <c r="I11" s="41"/>
      <c r="J11" s="41"/>
      <c r="K11" s="42"/>
      <c r="T11" s="40"/>
      <c r="U11" s="41"/>
      <c r="V11" s="41"/>
      <c r="W11" s="41"/>
      <c r="X11" s="41"/>
      <c r="Y11" s="41"/>
      <c r="Z11" s="41"/>
      <c r="AA11" s="42"/>
      <c r="AB11" s="40"/>
      <c r="AC11" s="41"/>
      <c r="AD11" s="41"/>
      <c r="AE11" s="41"/>
      <c r="AF11" s="41"/>
      <c r="AG11" s="41"/>
      <c r="AH11" s="41"/>
      <c r="AI11" s="42"/>
      <c r="AK11" s="33">
        <f t="shared" si="0"/>
        <v>0</v>
      </c>
      <c r="AL11" s="33">
        <f>Üldinfo!AM10</f>
        <v>0</v>
      </c>
      <c r="AM11" s="44" t="e">
        <f t="shared" si="1"/>
        <v>#DIV/0!</v>
      </c>
      <c r="AO11" s="33">
        <f t="shared" si="2"/>
        <v>0</v>
      </c>
      <c r="AP11" s="33">
        <f t="shared" si="3"/>
        <v>0</v>
      </c>
      <c r="AQ11" s="33">
        <f t="shared" si="4"/>
        <v>0</v>
      </c>
    </row>
    <row r="12" spans="1:43" x14ac:dyDescent="0.25">
      <c r="A12" s="33">
        <f>Üldinfo!A11</f>
        <v>7</v>
      </c>
      <c r="B12" s="33" t="str">
        <f>Üldinfo!B11</f>
        <v>Mees</v>
      </c>
      <c r="C12" s="33" t="str">
        <f>Üldinfo!C11</f>
        <v>25-35 a</v>
      </c>
      <c r="D12" s="40"/>
      <c r="E12" s="41"/>
      <c r="F12" s="41"/>
      <c r="G12" s="41"/>
      <c r="H12" s="41"/>
      <c r="I12" s="41" t="s">
        <v>68</v>
      </c>
      <c r="J12" s="41"/>
      <c r="K12" s="42"/>
      <c r="N12" s="43" t="s">
        <v>68</v>
      </c>
      <c r="T12" s="40"/>
      <c r="U12" s="41"/>
      <c r="V12" s="41"/>
      <c r="W12" s="41"/>
      <c r="X12" s="41"/>
      <c r="Y12" s="41"/>
      <c r="Z12" s="41"/>
      <c r="AA12" s="42"/>
      <c r="AB12" s="40"/>
      <c r="AC12" s="41"/>
      <c r="AD12" s="41" t="s">
        <v>68</v>
      </c>
      <c r="AE12" s="41"/>
      <c r="AF12" s="41"/>
      <c r="AG12" s="41"/>
      <c r="AH12" s="41"/>
      <c r="AI12" s="42"/>
      <c r="AK12" s="33">
        <f t="shared" si="0"/>
        <v>3</v>
      </c>
      <c r="AL12" s="33">
        <f>Üldinfo!AM11</f>
        <v>32</v>
      </c>
      <c r="AM12" s="44">
        <f t="shared" si="1"/>
        <v>9.375E-2</v>
      </c>
      <c r="AO12" s="33">
        <f t="shared" si="2"/>
        <v>3</v>
      </c>
      <c r="AP12" s="33">
        <f t="shared" si="3"/>
        <v>0</v>
      </c>
      <c r="AQ12" s="33">
        <f t="shared" si="4"/>
        <v>0</v>
      </c>
    </row>
    <row r="13" spans="1:43" x14ac:dyDescent="0.25">
      <c r="A13" s="33">
        <f>Üldinfo!A12</f>
        <v>8</v>
      </c>
      <c r="B13" s="33" t="str">
        <f>Üldinfo!B12</f>
        <v>Täiskasvanu</v>
      </c>
      <c r="C13" s="33" t="str">
        <f>Üldinfo!C12</f>
        <v>Täiskasvanu</v>
      </c>
      <c r="D13" s="40"/>
      <c r="E13" s="41"/>
      <c r="F13" s="41"/>
      <c r="G13" s="41"/>
      <c r="H13" s="41"/>
      <c r="I13" s="41"/>
      <c r="J13" s="41"/>
      <c r="K13" s="42"/>
      <c r="T13" s="40"/>
      <c r="U13" s="41"/>
      <c r="V13" s="41"/>
      <c r="W13" s="41"/>
      <c r="X13" s="41"/>
      <c r="Y13" s="41"/>
      <c r="Z13" s="41"/>
      <c r="AA13" s="42"/>
      <c r="AB13" s="40"/>
      <c r="AC13" s="41"/>
      <c r="AD13" s="41"/>
      <c r="AE13" s="41"/>
      <c r="AF13" s="41"/>
      <c r="AG13" s="41"/>
      <c r="AH13" s="41"/>
      <c r="AI13" s="42"/>
      <c r="AK13" s="33">
        <f t="shared" si="0"/>
        <v>0</v>
      </c>
      <c r="AL13" s="33">
        <f>Üldinfo!AM12</f>
        <v>0</v>
      </c>
      <c r="AM13" s="44" t="e">
        <f t="shared" si="1"/>
        <v>#DIV/0!</v>
      </c>
      <c r="AO13" s="33">
        <f t="shared" si="2"/>
        <v>0</v>
      </c>
      <c r="AP13" s="33">
        <f t="shared" si="3"/>
        <v>0</v>
      </c>
      <c r="AQ13" s="33">
        <f t="shared" si="4"/>
        <v>0</v>
      </c>
    </row>
    <row r="14" spans="1:43" x14ac:dyDescent="0.25">
      <c r="A14" s="33">
        <f>Üldinfo!A13</f>
        <v>9</v>
      </c>
      <c r="B14" s="33" t="str">
        <f>Üldinfo!B13</f>
        <v>Naine</v>
      </c>
      <c r="C14" s="33" t="str">
        <f>Üldinfo!C13</f>
        <v>25-35 a</v>
      </c>
      <c r="D14" s="40"/>
      <c r="E14" s="41"/>
      <c r="F14" s="41"/>
      <c r="G14" s="41"/>
      <c r="H14" s="41"/>
      <c r="I14" s="41"/>
      <c r="J14" s="41" t="s">
        <v>98</v>
      </c>
      <c r="K14" s="42" t="s">
        <v>97</v>
      </c>
      <c r="L14" s="43" t="s">
        <v>97</v>
      </c>
      <c r="M14" s="43" t="s">
        <v>98</v>
      </c>
      <c r="N14" s="43" t="s">
        <v>98</v>
      </c>
      <c r="T14" s="40"/>
      <c r="U14" s="41"/>
      <c r="V14" s="41"/>
      <c r="W14" s="41"/>
      <c r="X14" s="41"/>
      <c r="Y14" s="41" t="s">
        <v>98</v>
      </c>
      <c r="Z14" s="41"/>
      <c r="AA14" s="42"/>
      <c r="AB14" s="40" t="s">
        <v>98</v>
      </c>
      <c r="AC14" s="41"/>
      <c r="AD14" s="41" t="s">
        <v>98</v>
      </c>
      <c r="AE14" s="41"/>
      <c r="AF14" s="41"/>
      <c r="AG14" s="41"/>
      <c r="AH14" s="41"/>
      <c r="AI14" s="42"/>
      <c r="AK14" s="33">
        <f t="shared" si="0"/>
        <v>8</v>
      </c>
      <c r="AL14" s="33">
        <f>Üldinfo!AM13</f>
        <v>31</v>
      </c>
      <c r="AM14" s="44">
        <f t="shared" si="1"/>
        <v>0.25806451612903225</v>
      </c>
      <c r="AO14" s="33">
        <f t="shared" si="2"/>
        <v>8</v>
      </c>
      <c r="AP14" s="33">
        <f t="shared" si="3"/>
        <v>0</v>
      </c>
      <c r="AQ14" s="33">
        <f t="shared" si="4"/>
        <v>0</v>
      </c>
    </row>
    <row r="15" spans="1:43" x14ac:dyDescent="0.25">
      <c r="A15" s="33">
        <f>Üldinfo!A14</f>
        <v>10</v>
      </c>
      <c r="B15" s="33" t="str">
        <f>Üldinfo!B14</f>
        <v>Täiskasvanu</v>
      </c>
      <c r="C15" s="33" t="str">
        <f>Üldinfo!C14</f>
        <v>Täiskasvanu</v>
      </c>
      <c r="D15" s="40"/>
      <c r="E15" s="41"/>
      <c r="F15" s="41"/>
      <c r="G15" s="41"/>
      <c r="H15" s="41"/>
      <c r="I15" s="41"/>
      <c r="J15" s="41"/>
      <c r="K15" s="42"/>
      <c r="T15" s="40"/>
      <c r="U15" s="41"/>
      <c r="V15" s="41"/>
      <c r="W15" s="41"/>
      <c r="X15" s="41"/>
      <c r="Y15" s="41"/>
      <c r="Z15" s="41"/>
      <c r="AA15" s="42"/>
      <c r="AB15" s="40"/>
      <c r="AC15" s="41"/>
      <c r="AD15" s="41"/>
      <c r="AE15" s="41"/>
      <c r="AF15" s="41"/>
      <c r="AG15" s="41"/>
      <c r="AH15" s="41"/>
      <c r="AI15" s="42"/>
      <c r="AK15" s="33">
        <f t="shared" si="0"/>
        <v>0</v>
      </c>
      <c r="AL15" s="33">
        <f>Üldinfo!AM14</f>
        <v>0</v>
      </c>
      <c r="AM15" s="44" t="e">
        <f t="shared" si="1"/>
        <v>#DIV/0!</v>
      </c>
      <c r="AO15" s="33">
        <f t="shared" si="2"/>
        <v>0</v>
      </c>
      <c r="AP15" s="33">
        <f t="shared" si="3"/>
        <v>0</v>
      </c>
      <c r="AQ15" s="33">
        <f t="shared" si="4"/>
        <v>0</v>
      </c>
    </row>
    <row r="16" spans="1:43" x14ac:dyDescent="0.25">
      <c r="A16" s="33">
        <f>Üldinfo!A15</f>
        <v>11</v>
      </c>
      <c r="B16" s="33" t="str">
        <f>Üldinfo!B15</f>
        <v>Täiskasvanu</v>
      </c>
      <c r="C16" s="33" t="str">
        <f>Üldinfo!C15</f>
        <v>Täiskasvanu</v>
      </c>
      <c r="D16" s="40"/>
      <c r="E16" s="41"/>
      <c r="F16" s="41"/>
      <c r="G16" s="41"/>
      <c r="H16" s="41"/>
      <c r="I16" s="41"/>
      <c r="J16" s="41"/>
      <c r="K16" s="42"/>
      <c r="T16" s="40"/>
      <c r="U16" s="41"/>
      <c r="V16" s="41"/>
      <c r="W16" s="41"/>
      <c r="X16" s="41"/>
      <c r="Y16" s="41"/>
      <c r="Z16" s="41"/>
      <c r="AA16" s="42"/>
      <c r="AB16" s="40"/>
      <c r="AC16" s="41"/>
      <c r="AD16" s="41"/>
      <c r="AE16" s="41"/>
      <c r="AF16" s="41"/>
      <c r="AG16" s="41"/>
      <c r="AH16" s="41"/>
      <c r="AI16" s="42"/>
      <c r="AK16" s="33">
        <f t="shared" si="0"/>
        <v>0</v>
      </c>
      <c r="AL16" s="33">
        <f>Üldinfo!AM15</f>
        <v>0</v>
      </c>
      <c r="AM16" s="44" t="e">
        <f t="shared" si="1"/>
        <v>#DIV/0!</v>
      </c>
      <c r="AO16" s="33">
        <f t="shared" si="2"/>
        <v>0</v>
      </c>
      <c r="AP16" s="33">
        <f t="shared" si="3"/>
        <v>0</v>
      </c>
      <c r="AQ16" s="33">
        <f t="shared" si="4"/>
        <v>0</v>
      </c>
    </row>
    <row r="17" spans="1:43" x14ac:dyDescent="0.25">
      <c r="A17" s="33">
        <f>Üldinfo!A16</f>
        <v>12</v>
      </c>
      <c r="B17" s="33" t="str">
        <f>Üldinfo!B16</f>
        <v>Naine</v>
      </c>
      <c r="C17" s="33" t="str">
        <f>Üldinfo!C16</f>
        <v>25-30 a</v>
      </c>
      <c r="D17" s="40"/>
      <c r="E17" s="41"/>
      <c r="F17" s="41"/>
      <c r="G17" s="41"/>
      <c r="H17" s="41"/>
      <c r="I17" s="41"/>
      <c r="J17" s="41"/>
      <c r="K17" s="42"/>
      <c r="L17" s="40"/>
      <c r="M17" s="41"/>
      <c r="N17" s="41"/>
      <c r="O17" s="41"/>
      <c r="P17" s="41"/>
      <c r="Q17" s="41"/>
      <c r="R17" s="41"/>
      <c r="S17" s="42"/>
      <c r="T17" s="40"/>
      <c r="U17" s="41"/>
      <c r="V17" s="41"/>
      <c r="W17" s="41"/>
      <c r="X17" s="41"/>
      <c r="Y17" s="41"/>
      <c r="Z17" s="41"/>
      <c r="AA17" s="42"/>
      <c r="AB17" s="41"/>
      <c r="AC17" s="41"/>
      <c r="AD17" s="41"/>
      <c r="AE17" s="41"/>
      <c r="AF17" s="41"/>
      <c r="AG17" s="41"/>
      <c r="AH17" s="41"/>
      <c r="AI17" s="42"/>
      <c r="AK17" s="33">
        <f t="shared" si="0"/>
        <v>0</v>
      </c>
      <c r="AL17" s="33">
        <f>Üldinfo!AM16</f>
        <v>19</v>
      </c>
      <c r="AM17" s="44">
        <f t="shared" si="1"/>
        <v>0</v>
      </c>
      <c r="AO17" s="33">
        <f t="shared" si="2"/>
        <v>0</v>
      </c>
      <c r="AP17" s="33">
        <f t="shared" si="3"/>
        <v>0</v>
      </c>
      <c r="AQ17" s="33">
        <f t="shared" si="4"/>
        <v>0</v>
      </c>
    </row>
    <row r="18" spans="1:43" x14ac:dyDescent="0.25">
      <c r="A18" s="33">
        <f>Üldinfo!A17</f>
        <v>14</v>
      </c>
      <c r="B18" s="33" t="str">
        <f>Üldinfo!B17</f>
        <v>Alaealine</v>
      </c>
      <c r="C18" s="33" t="str">
        <f>Üldinfo!C17</f>
        <v>Alaealine</v>
      </c>
      <c r="D18" s="40"/>
      <c r="E18" s="41"/>
      <c r="F18" s="41"/>
      <c r="G18" s="41"/>
      <c r="H18" s="41"/>
      <c r="I18" s="41"/>
      <c r="J18" s="41"/>
      <c r="K18" s="42"/>
      <c r="L18" s="40"/>
      <c r="M18" s="41"/>
      <c r="N18" s="41"/>
      <c r="O18" s="41"/>
      <c r="P18" s="41"/>
      <c r="Q18" s="41"/>
      <c r="R18" s="41"/>
      <c r="S18" s="42"/>
      <c r="T18" s="40"/>
      <c r="U18" s="41"/>
      <c r="V18" s="41"/>
      <c r="W18" s="41"/>
      <c r="X18" s="41"/>
      <c r="Y18" s="41"/>
      <c r="Z18" s="41"/>
      <c r="AA18" s="42"/>
      <c r="AB18" s="41"/>
      <c r="AC18" s="41"/>
      <c r="AD18" s="41"/>
      <c r="AE18" s="41"/>
      <c r="AF18" s="41"/>
      <c r="AG18" s="41"/>
      <c r="AH18" s="41"/>
      <c r="AI18" s="42"/>
      <c r="AK18" s="33">
        <f t="shared" si="0"/>
        <v>0</v>
      </c>
      <c r="AL18" s="33">
        <f>Üldinfo!AM17</f>
        <v>0</v>
      </c>
      <c r="AM18" s="44" t="e">
        <f t="shared" si="1"/>
        <v>#DIV/0!</v>
      </c>
      <c r="AO18" s="33">
        <f t="shared" si="2"/>
        <v>0</v>
      </c>
      <c r="AP18" s="33">
        <f t="shared" si="3"/>
        <v>0</v>
      </c>
      <c r="AQ18" s="33">
        <f t="shared" si="4"/>
        <v>0</v>
      </c>
    </row>
    <row r="19" spans="1:43" x14ac:dyDescent="0.25">
      <c r="A19" s="33">
        <f>Üldinfo!A18</f>
        <v>15</v>
      </c>
      <c r="B19" s="33" t="str">
        <f>Üldinfo!B18</f>
        <v>Täiskasvanu</v>
      </c>
      <c r="C19" s="33" t="str">
        <f>Üldinfo!C18</f>
        <v>Täiskasvanu</v>
      </c>
      <c r="D19" s="40"/>
      <c r="E19" s="41"/>
      <c r="F19" s="41"/>
      <c r="G19" s="41"/>
      <c r="H19" s="41"/>
      <c r="I19" s="41"/>
      <c r="J19" s="41"/>
      <c r="K19" s="42"/>
      <c r="L19" s="40"/>
      <c r="M19" s="41"/>
      <c r="N19" s="41"/>
      <c r="O19" s="41"/>
      <c r="P19" s="41"/>
      <c r="Q19" s="41"/>
      <c r="R19" s="41"/>
      <c r="S19" s="42"/>
      <c r="T19" s="40"/>
      <c r="U19" s="41"/>
      <c r="V19" s="41"/>
      <c r="W19" s="41"/>
      <c r="X19" s="41"/>
      <c r="Y19" s="41"/>
      <c r="Z19" s="41"/>
      <c r="AA19" s="42"/>
      <c r="AB19" s="41"/>
      <c r="AC19" s="41"/>
      <c r="AD19" s="41"/>
      <c r="AE19" s="41"/>
      <c r="AF19" s="41"/>
      <c r="AG19" s="41"/>
      <c r="AH19" s="41"/>
      <c r="AI19" s="42"/>
      <c r="AK19" s="33">
        <f t="shared" si="0"/>
        <v>0</v>
      </c>
      <c r="AL19" s="33">
        <f>Üldinfo!AM18</f>
        <v>0</v>
      </c>
      <c r="AM19" s="44" t="e">
        <f t="shared" si="1"/>
        <v>#DIV/0!</v>
      </c>
      <c r="AO19" s="33">
        <f t="shared" si="2"/>
        <v>0</v>
      </c>
      <c r="AP19" s="33">
        <f t="shared" si="3"/>
        <v>0</v>
      </c>
      <c r="AQ19" s="33">
        <f t="shared" si="4"/>
        <v>0</v>
      </c>
    </row>
    <row r="20" spans="1:43" x14ac:dyDescent="0.25">
      <c r="A20" s="33">
        <f>Üldinfo!A19</f>
        <v>16</v>
      </c>
      <c r="B20" s="33" t="str">
        <f>Üldinfo!B19</f>
        <v>Täiskasvanu</v>
      </c>
      <c r="C20" s="33" t="str">
        <f>Üldinfo!C19</f>
        <v>Täiskasvanu</v>
      </c>
      <c r="D20" s="40"/>
      <c r="E20" s="41"/>
      <c r="F20" s="41"/>
      <c r="G20" s="41"/>
      <c r="H20" s="41"/>
      <c r="I20" s="41"/>
      <c r="J20" s="41"/>
      <c r="K20" s="42"/>
      <c r="L20" s="40"/>
      <c r="M20" s="41"/>
      <c r="N20" s="41"/>
      <c r="O20" s="41"/>
      <c r="P20" s="41"/>
      <c r="Q20" s="41"/>
      <c r="R20" s="41"/>
      <c r="S20" s="42"/>
      <c r="T20" s="40"/>
      <c r="U20" s="41"/>
      <c r="V20" s="41"/>
      <c r="W20" s="41"/>
      <c r="X20" s="41"/>
      <c r="Y20" s="41"/>
      <c r="Z20" s="41"/>
      <c r="AA20" s="42"/>
      <c r="AB20" s="41"/>
      <c r="AC20" s="41"/>
      <c r="AD20" s="41"/>
      <c r="AE20" s="41"/>
      <c r="AF20" s="41"/>
      <c r="AG20" s="41"/>
      <c r="AH20" s="41"/>
      <c r="AI20" s="42"/>
      <c r="AK20" s="33">
        <f t="shared" si="0"/>
        <v>0</v>
      </c>
      <c r="AL20" s="33">
        <f>Üldinfo!AM19</f>
        <v>0</v>
      </c>
      <c r="AM20" s="44" t="e">
        <f t="shared" si="1"/>
        <v>#DIV/0!</v>
      </c>
      <c r="AO20" s="33">
        <f t="shared" si="2"/>
        <v>0</v>
      </c>
      <c r="AP20" s="33">
        <f t="shared" si="3"/>
        <v>0</v>
      </c>
      <c r="AQ20" s="33">
        <f t="shared" si="4"/>
        <v>0</v>
      </c>
    </row>
    <row r="21" spans="1:43" x14ac:dyDescent="0.25">
      <c r="A21" s="33">
        <f>Üldinfo!A20</f>
        <v>17</v>
      </c>
      <c r="B21" s="33" t="str">
        <f>Üldinfo!B20</f>
        <v>Täiskasvanu</v>
      </c>
      <c r="C21" s="33" t="str">
        <f>Üldinfo!C20</f>
        <v>Täiskasvanu</v>
      </c>
      <c r="D21" s="40"/>
      <c r="E21" s="41"/>
      <c r="F21" s="41"/>
      <c r="G21" s="41"/>
      <c r="H21" s="41"/>
      <c r="I21" s="41"/>
      <c r="J21" s="41"/>
      <c r="K21" s="42"/>
      <c r="L21" s="40"/>
      <c r="M21" s="41"/>
      <c r="N21" s="41"/>
      <c r="O21" s="41"/>
      <c r="P21" s="41"/>
      <c r="Q21" s="41"/>
      <c r="R21" s="41"/>
      <c r="S21" s="42"/>
      <c r="T21" s="40"/>
      <c r="U21" s="41"/>
      <c r="V21" s="41"/>
      <c r="W21" s="41"/>
      <c r="X21" s="41"/>
      <c r="Y21" s="41"/>
      <c r="Z21" s="41"/>
      <c r="AA21" s="42"/>
      <c r="AB21" s="41"/>
      <c r="AC21" s="41"/>
      <c r="AD21" s="41"/>
      <c r="AE21" s="41"/>
      <c r="AF21" s="41"/>
      <c r="AG21" s="41"/>
      <c r="AH21" s="41"/>
      <c r="AI21" s="42"/>
      <c r="AK21" s="33">
        <f t="shared" si="0"/>
        <v>0</v>
      </c>
      <c r="AL21" s="33">
        <f>Üldinfo!AM20</f>
        <v>0</v>
      </c>
      <c r="AM21" s="44" t="e">
        <f t="shared" si="1"/>
        <v>#DIV/0!</v>
      </c>
      <c r="AO21" s="33">
        <f t="shared" si="2"/>
        <v>0</v>
      </c>
      <c r="AP21" s="33">
        <f t="shared" si="3"/>
        <v>0</v>
      </c>
      <c r="AQ21" s="33">
        <f t="shared" si="4"/>
        <v>0</v>
      </c>
    </row>
    <row r="22" spans="1:43" x14ac:dyDescent="0.25">
      <c r="A22" s="33">
        <f>Üldinfo!A21</f>
        <v>19</v>
      </c>
      <c r="B22" s="33" t="str">
        <f>Üldinfo!B21</f>
        <v>Mees</v>
      </c>
      <c r="C22" s="33" t="str">
        <f>Üldinfo!C21</f>
        <v>Täiskasvanu</v>
      </c>
      <c r="D22" s="40"/>
      <c r="E22" s="41"/>
      <c r="F22" s="41"/>
      <c r="G22" s="41"/>
      <c r="H22" s="41"/>
      <c r="I22" s="41"/>
      <c r="J22" s="41"/>
      <c r="K22" s="42"/>
      <c r="L22" s="40"/>
      <c r="M22" s="41"/>
      <c r="N22" s="41"/>
      <c r="O22" s="41"/>
      <c r="P22" s="41"/>
      <c r="Q22" s="41"/>
      <c r="R22" s="41"/>
      <c r="S22" s="42"/>
      <c r="T22" s="40"/>
      <c r="U22" s="41"/>
      <c r="V22" s="41"/>
      <c r="W22" s="41"/>
      <c r="X22" s="41"/>
      <c r="Y22" s="41"/>
      <c r="Z22" s="41"/>
      <c r="AA22" s="42"/>
      <c r="AB22" s="41"/>
      <c r="AC22" s="41"/>
      <c r="AD22" s="41"/>
      <c r="AE22" s="41"/>
      <c r="AF22" s="41"/>
      <c r="AG22" s="41"/>
      <c r="AH22" s="41"/>
      <c r="AI22" s="42"/>
      <c r="AK22" s="33">
        <f t="shared" si="0"/>
        <v>0</v>
      </c>
      <c r="AL22" s="33">
        <f>Üldinfo!AM21</f>
        <v>1</v>
      </c>
      <c r="AM22" s="44">
        <f t="shared" si="1"/>
        <v>0</v>
      </c>
      <c r="AO22" s="33">
        <f t="shared" si="2"/>
        <v>0</v>
      </c>
      <c r="AP22" s="33">
        <f t="shared" si="3"/>
        <v>0</v>
      </c>
      <c r="AQ22" s="33">
        <f t="shared" si="4"/>
        <v>0</v>
      </c>
    </row>
    <row r="23" spans="1:43" x14ac:dyDescent="0.25">
      <c r="A23" s="33">
        <f>Üldinfo!A22</f>
        <v>20</v>
      </c>
      <c r="B23" s="33" t="str">
        <f>Üldinfo!B22</f>
        <v>Mees</v>
      </c>
      <c r="C23" s="33" t="str">
        <f>Üldinfo!C22</f>
        <v>Täiskasvanu</v>
      </c>
      <c r="D23" s="40"/>
      <c r="E23" s="41"/>
      <c r="F23" s="41"/>
      <c r="G23" s="41"/>
      <c r="H23" s="41"/>
      <c r="I23" s="41"/>
      <c r="J23" s="41"/>
      <c r="K23" s="42"/>
      <c r="L23" s="40"/>
      <c r="M23" s="41"/>
      <c r="N23" s="41"/>
      <c r="O23" s="41"/>
      <c r="P23" s="41"/>
      <c r="Q23" s="41"/>
      <c r="R23" s="41"/>
      <c r="S23" s="42"/>
      <c r="T23" s="40"/>
      <c r="U23" s="41"/>
      <c r="V23" s="41"/>
      <c r="W23" s="41"/>
      <c r="X23" s="41"/>
      <c r="Y23" s="41"/>
      <c r="Z23" s="41"/>
      <c r="AA23" s="42"/>
      <c r="AB23" s="41"/>
      <c r="AC23" s="41"/>
      <c r="AD23" s="41"/>
      <c r="AE23" s="41"/>
      <c r="AF23" s="41"/>
      <c r="AG23" s="41"/>
      <c r="AH23" s="41"/>
      <c r="AI23" s="42"/>
      <c r="AK23" s="33">
        <f t="shared" si="0"/>
        <v>0</v>
      </c>
      <c r="AL23" s="33">
        <f>Üldinfo!AM22</f>
        <v>1</v>
      </c>
      <c r="AM23" s="44">
        <f t="shared" si="1"/>
        <v>0</v>
      </c>
      <c r="AO23" s="33">
        <f t="shared" si="2"/>
        <v>0</v>
      </c>
      <c r="AP23" s="33">
        <f t="shared" si="3"/>
        <v>0</v>
      </c>
      <c r="AQ23" s="33">
        <f t="shared" si="4"/>
        <v>0</v>
      </c>
    </row>
    <row r="24" spans="1:43" x14ac:dyDescent="0.25">
      <c r="A24" s="33">
        <f>Üldinfo!A23</f>
        <v>21</v>
      </c>
      <c r="B24" s="33" t="str">
        <f>Üldinfo!B23</f>
        <v>Naine</v>
      </c>
      <c r="C24" s="33" t="str">
        <f>Üldinfo!C23</f>
        <v>20-25 a</v>
      </c>
      <c r="D24" s="40"/>
      <c r="E24" s="41"/>
      <c r="F24" s="41"/>
      <c r="G24" s="41"/>
      <c r="H24" s="41"/>
      <c r="I24" s="41"/>
      <c r="J24" s="41"/>
      <c r="K24" s="42"/>
      <c r="L24" s="40"/>
      <c r="M24" s="41"/>
      <c r="N24" s="41"/>
      <c r="O24" s="41"/>
      <c r="P24" s="41"/>
      <c r="Q24" s="41"/>
      <c r="R24" s="41"/>
      <c r="S24" s="42"/>
      <c r="T24" s="40"/>
      <c r="U24" s="41"/>
      <c r="V24" s="41"/>
      <c r="W24" s="41"/>
      <c r="X24" s="41"/>
      <c r="Y24" s="41" t="s">
        <v>98</v>
      </c>
      <c r="Z24" s="41" t="s">
        <v>98</v>
      </c>
      <c r="AA24" s="42" t="s">
        <v>98</v>
      </c>
      <c r="AB24" s="41"/>
      <c r="AC24" s="41" t="s">
        <v>98</v>
      </c>
      <c r="AD24" s="41" t="s">
        <v>98</v>
      </c>
      <c r="AE24" s="41"/>
      <c r="AF24" s="41"/>
      <c r="AG24" s="41"/>
      <c r="AH24" s="41"/>
      <c r="AI24" s="42"/>
      <c r="AK24" s="33">
        <f t="shared" si="0"/>
        <v>5</v>
      </c>
      <c r="AL24" s="33">
        <f>Üldinfo!AM23</f>
        <v>30</v>
      </c>
      <c r="AM24" s="44">
        <f t="shared" si="1"/>
        <v>0.16666666666666666</v>
      </c>
      <c r="AO24" s="33">
        <f t="shared" si="2"/>
        <v>5</v>
      </c>
      <c r="AP24" s="33">
        <f t="shared" si="3"/>
        <v>0</v>
      </c>
      <c r="AQ24" s="33">
        <f t="shared" si="4"/>
        <v>0</v>
      </c>
    </row>
    <row r="25" spans="1:43" x14ac:dyDescent="0.25">
      <c r="A25" s="33">
        <f>Üldinfo!A24</f>
        <v>22</v>
      </c>
      <c r="B25" s="33" t="str">
        <f>Üldinfo!B24</f>
        <v>Naine</v>
      </c>
      <c r="C25" s="33" t="str">
        <f>Üldinfo!C24</f>
        <v>17-20 a</v>
      </c>
      <c r="D25" s="40"/>
      <c r="E25" s="41"/>
      <c r="F25" s="41"/>
      <c r="G25" s="41"/>
      <c r="H25" s="41"/>
      <c r="I25" s="41"/>
      <c r="J25" s="41"/>
      <c r="K25" s="42"/>
      <c r="L25" s="40"/>
      <c r="M25" s="41"/>
      <c r="N25" s="41"/>
      <c r="O25" s="41"/>
      <c r="P25" s="41"/>
      <c r="Q25" s="41"/>
      <c r="R25" s="41"/>
      <c r="S25" s="42"/>
      <c r="T25" s="40"/>
      <c r="U25" s="41"/>
      <c r="V25" s="41"/>
      <c r="W25" s="41"/>
      <c r="X25" s="41"/>
      <c r="Y25" s="41"/>
      <c r="Z25" s="41"/>
      <c r="AA25" s="42"/>
      <c r="AB25" s="41"/>
      <c r="AC25" s="41"/>
      <c r="AD25" s="41"/>
      <c r="AE25" s="41"/>
      <c r="AF25" s="41"/>
      <c r="AG25" s="41"/>
      <c r="AH25" s="41"/>
      <c r="AI25" s="42"/>
      <c r="AK25" s="33">
        <f t="shared" si="0"/>
        <v>0</v>
      </c>
      <c r="AL25" s="33">
        <f>Üldinfo!AM24</f>
        <v>29</v>
      </c>
      <c r="AM25" s="44">
        <f t="shared" si="1"/>
        <v>0</v>
      </c>
      <c r="AO25" s="33">
        <f t="shared" si="2"/>
        <v>0</v>
      </c>
      <c r="AP25" s="33">
        <f t="shared" si="3"/>
        <v>0</v>
      </c>
      <c r="AQ25" s="33">
        <f t="shared" si="4"/>
        <v>0</v>
      </c>
    </row>
    <row r="26" spans="1:43" x14ac:dyDescent="0.25">
      <c r="A26" s="33">
        <f>Üldinfo!A25</f>
        <v>23</v>
      </c>
      <c r="B26" s="33" t="str">
        <f>Üldinfo!B25</f>
        <v>Alaealine</v>
      </c>
      <c r="C26" s="33" t="str">
        <f>Üldinfo!C25</f>
        <v>10 a ± 30k</v>
      </c>
      <c r="D26" s="40"/>
      <c r="E26" s="41"/>
      <c r="F26" s="41"/>
      <c r="G26" s="41"/>
      <c r="H26" s="41"/>
      <c r="I26" s="41"/>
      <c r="J26" s="41"/>
      <c r="K26" s="42" t="s">
        <v>68</v>
      </c>
      <c r="L26" s="40"/>
      <c r="M26" s="41"/>
      <c r="N26" s="41"/>
      <c r="O26" s="41"/>
      <c r="P26" s="41"/>
      <c r="Q26" s="41"/>
      <c r="R26" s="41"/>
      <c r="S26" s="42"/>
      <c r="T26" s="40"/>
      <c r="U26" s="41"/>
      <c r="V26" s="41"/>
      <c r="W26" s="41"/>
      <c r="X26" s="41"/>
      <c r="Y26" s="41"/>
      <c r="Z26" s="41"/>
      <c r="AA26" s="42"/>
      <c r="AB26" s="41"/>
      <c r="AC26" s="41"/>
      <c r="AD26" s="41"/>
      <c r="AE26" s="41"/>
      <c r="AF26" s="41"/>
      <c r="AG26" s="41"/>
      <c r="AH26" s="41"/>
      <c r="AI26" s="42"/>
      <c r="AK26" s="33">
        <f t="shared" si="0"/>
        <v>1</v>
      </c>
      <c r="AL26" s="33">
        <f>Üldinfo!AM25</f>
        <v>20</v>
      </c>
      <c r="AM26" s="44">
        <f t="shared" si="1"/>
        <v>0.05</v>
      </c>
      <c r="AO26" s="33">
        <f t="shared" si="2"/>
        <v>1</v>
      </c>
      <c r="AP26" s="33">
        <f t="shared" si="3"/>
        <v>0</v>
      </c>
      <c r="AQ26" s="33">
        <f t="shared" si="4"/>
        <v>0</v>
      </c>
    </row>
    <row r="27" spans="1:43" x14ac:dyDescent="0.25">
      <c r="A27" s="33">
        <f>Üldinfo!A26</f>
        <v>24</v>
      </c>
      <c r="B27" s="33" t="str">
        <f>Üldinfo!B26</f>
        <v>Mees</v>
      </c>
      <c r="C27" s="33" t="str">
        <f>Üldinfo!C26</f>
        <v>39-44 a</v>
      </c>
      <c r="D27" s="40"/>
      <c r="E27" s="41"/>
      <c r="F27" s="41"/>
      <c r="G27" s="41"/>
      <c r="H27" s="41"/>
      <c r="I27" s="41"/>
      <c r="J27" s="41"/>
      <c r="K27" s="42"/>
      <c r="L27" s="40"/>
      <c r="M27" s="41"/>
      <c r="N27" s="41"/>
      <c r="O27" s="41"/>
      <c r="P27" s="41"/>
      <c r="Q27" s="41"/>
      <c r="R27" s="41"/>
      <c r="S27" s="42"/>
      <c r="T27" s="40"/>
      <c r="U27" s="41"/>
      <c r="V27" s="41"/>
      <c r="W27" s="41"/>
      <c r="X27" s="41"/>
      <c r="Y27" s="41"/>
      <c r="Z27" s="41"/>
      <c r="AA27" s="42"/>
      <c r="AB27" s="41"/>
      <c r="AC27" s="41"/>
      <c r="AD27" s="41"/>
      <c r="AE27" s="41"/>
      <c r="AF27" s="41"/>
      <c r="AG27" s="41"/>
      <c r="AH27" s="41"/>
      <c r="AI27" s="42"/>
      <c r="AK27" s="33">
        <f t="shared" si="0"/>
        <v>0</v>
      </c>
      <c r="AL27" s="33">
        <f>Üldinfo!AM26</f>
        <v>0</v>
      </c>
      <c r="AM27" s="44" t="e">
        <f t="shared" si="1"/>
        <v>#DIV/0!</v>
      </c>
      <c r="AO27" s="33">
        <f t="shared" si="2"/>
        <v>0</v>
      </c>
      <c r="AP27" s="33">
        <f t="shared" si="3"/>
        <v>0</v>
      </c>
      <c r="AQ27" s="33">
        <f t="shared" si="4"/>
        <v>0</v>
      </c>
    </row>
    <row r="28" spans="1:43" x14ac:dyDescent="0.25">
      <c r="A28" s="33">
        <f>Üldinfo!A27</f>
        <v>25</v>
      </c>
      <c r="B28" s="33" t="str">
        <f>Üldinfo!B27</f>
        <v>Alaealine</v>
      </c>
      <c r="C28" s="33" t="str">
        <f>Üldinfo!C27</f>
        <v>7-11 a</v>
      </c>
      <c r="D28" s="40"/>
      <c r="E28" s="41"/>
      <c r="F28" s="41"/>
      <c r="G28" s="41"/>
      <c r="H28" s="41"/>
      <c r="I28" s="41"/>
      <c r="J28" s="41" t="s">
        <v>68</v>
      </c>
      <c r="K28" s="42" t="s">
        <v>98</v>
      </c>
      <c r="L28" s="40" t="s">
        <v>98</v>
      </c>
      <c r="M28" s="41" t="s">
        <v>68</v>
      </c>
      <c r="N28" s="41"/>
      <c r="O28" s="41"/>
      <c r="P28" s="41"/>
      <c r="Q28" s="41"/>
      <c r="R28" s="41"/>
      <c r="S28" s="42"/>
      <c r="T28" s="40"/>
      <c r="U28" s="41"/>
      <c r="V28" s="41"/>
      <c r="W28" s="41"/>
      <c r="X28" s="41"/>
      <c r="Y28" s="41"/>
      <c r="Z28" s="41" t="s">
        <v>97</v>
      </c>
      <c r="AA28" s="42" t="s">
        <v>98</v>
      </c>
      <c r="AB28" s="41" t="s">
        <v>98</v>
      </c>
      <c r="AC28" s="41" t="s">
        <v>97</v>
      </c>
      <c r="AD28" s="41" t="s">
        <v>69</v>
      </c>
      <c r="AE28" s="41"/>
      <c r="AF28" s="41"/>
      <c r="AG28" s="41"/>
      <c r="AH28" s="41"/>
      <c r="AI28" s="42"/>
      <c r="AK28" s="33">
        <f t="shared" si="0"/>
        <v>9</v>
      </c>
      <c r="AL28" s="33">
        <f>Üldinfo!AM27</f>
        <v>24</v>
      </c>
      <c r="AM28" s="44">
        <f t="shared" si="1"/>
        <v>0.375</v>
      </c>
      <c r="AO28" s="33">
        <f t="shared" si="2"/>
        <v>8</v>
      </c>
      <c r="AP28" s="33">
        <f t="shared" si="3"/>
        <v>1</v>
      </c>
      <c r="AQ28" s="33">
        <f t="shared" si="4"/>
        <v>0</v>
      </c>
    </row>
    <row r="29" spans="1:43" x14ac:dyDescent="0.25">
      <c r="A29" s="33" t="str">
        <f>Üldinfo!A28</f>
        <v>26a</v>
      </c>
      <c r="B29" s="33" t="str">
        <f>Üldinfo!B28</f>
        <v>Alaealine</v>
      </c>
      <c r="C29" s="33" t="str">
        <f>Üldinfo!C28</f>
        <v>12-18 a</v>
      </c>
      <c r="D29" s="40"/>
      <c r="E29" s="41"/>
      <c r="F29" s="41"/>
      <c r="G29" s="41"/>
      <c r="H29" s="41"/>
      <c r="I29" s="41"/>
      <c r="J29" s="41"/>
      <c r="K29" s="42"/>
      <c r="L29" s="40"/>
      <c r="M29" s="41"/>
      <c r="N29" s="41"/>
      <c r="O29" s="41"/>
      <c r="P29" s="41"/>
      <c r="Q29" s="41"/>
      <c r="R29" s="41"/>
      <c r="S29" s="42"/>
      <c r="T29" s="40"/>
      <c r="U29" s="41"/>
      <c r="V29" s="41"/>
      <c r="W29" s="41"/>
      <c r="X29" s="41"/>
      <c r="Y29" s="41"/>
      <c r="Z29" s="41"/>
      <c r="AA29" s="42"/>
      <c r="AB29" s="41"/>
      <c r="AC29" s="41"/>
      <c r="AD29" s="41"/>
      <c r="AE29" s="41"/>
      <c r="AF29" s="41"/>
      <c r="AG29" s="41"/>
      <c r="AH29" s="41"/>
      <c r="AI29" s="42"/>
      <c r="AK29" s="33">
        <f t="shared" si="0"/>
        <v>0</v>
      </c>
      <c r="AL29" s="33">
        <f>Üldinfo!AM28</f>
        <v>0</v>
      </c>
      <c r="AM29" s="44" t="e">
        <f t="shared" si="1"/>
        <v>#DIV/0!</v>
      </c>
      <c r="AO29" s="33">
        <f t="shared" si="2"/>
        <v>0</v>
      </c>
      <c r="AP29" s="33">
        <f t="shared" si="3"/>
        <v>0</v>
      </c>
      <c r="AQ29" s="33">
        <f t="shared" si="4"/>
        <v>0</v>
      </c>
    </row>
    <row r="30" spans="1:43" x14ac:dyDescent="0.25">
      <c r="A30" s="33" t="str">
        <f>Üldinfo!A29</f>
        <v>26b</v>
      </c>
      <c r="B30" s="33" t="str">
        <f>Üldinfo!B29</f>
        <v>Täiskasvanu</v>
      </c>
      <c r="C30" s="33" t="str">
        <f>Üldinfo!C29</f>
        <v>Täiskasvanu</v>
      </c>
      <c r="D30" s="40"/>
      <c r="E30" s="41"/>
      <c r="F30" s="41"/>
      <c r="G30" s="41"/>
      <c r="H30" s="41"/>
      <c r="I30" s="41"/>
      <c r="J30" s="41"/>
      <c r="K30" s="42"/>
      <c r="L30" s="40"/>
      <c r="M30" s="41"/>
      <c r="N30" s="41"/>
      <c r="O30" s="41"/>
      <c r="P30" s="41"/>
      <c r="Q30" s="41"/>
      <c r="R30" s="41"/>
      <c r="S30" s="42"/>
      <c r="T30" s="40"/>
      <c r="U30" s="41"/>
      <c r="V30" s="41"/>
      <c r="W30" s="41"/>
      <c r="X30" s="41"/>
      <c r="Y30" s="41"/>
      <c r="Z30" s="41"/>
      <c r="AA30" s="42"/>
      <c r="AB30" s="41"/>
      <c r="AC30" s="41"/>
      <c r="AD30" s="41"/>
      <c r="AE30" s="41"/>
      <c r="AF30" s="41"/>
      <c r="AG30" s="41"/>
      <c r="AH30" s="41"/>
      <c r="AI30" s="42"/>
      <c r="AK30" s="33">
        <f t="shared" si="0"/>
        <v>0</v>
      </c>
      <c r="AL30" s="33">
        <f>Üldinfo!AM29</f>
        <v>0</v>
      </c>
      <c r="AM30" s="44" t="e">
        <f t="shared" si="1"/>
        <v>#DIV/0!</v>
      </c>
      <c r="AO30" s="33">
        <f t="shared" si="2"/>
        <v>0</v>
      </c>
      <c r="AP30" s="33">
        <f t="shared" si="3"/>
        <v>0</v>
      </c>
      <c r="AQ30" s="33">
        <f t="shared" si="4"/>
        <v>0</v>
      </c>
    </row>
    <row r="31" spans="1:43" x14ac:dyDescent="0.25">
      <c r="A31" s="33">
        <f>Üldinfo!A30</f>
        <v>27</v>
      </c>
      <c r="B31" s="33" t="str">
        <f>Üldinfo!B30</f>
        <v>Mees</v>
      </c>
      <c r="C31" s="33" t="str">
        <f>Üldinfo!C30</f>
        <v>40-50 a</v>
      </c>
      <c r="D31" s="40"/>
      <c r="E31" s="41"/>
      <c r="F31" s="41"/>
      <c r="G31" s="41"/>
      <c r="H31" s="41"/>
      <c r="I31" s="41"/>
      <c r="J31" s="41"/>
      <c r="K31" s="42"/>
      <c r="L31" s="40"/>
      <c r="M31" s="41"/>
      <c r="N31" s="41"/>
      <c r="O31" s="41"/>
      <c r="P31" s="41"/>
      <c r="Q31" s="41"/>
      <c r="R31" s="41"/>
      <c r="S31" s="42"/>
      <c r="T31" s="40"/>
      <c r="U31" s="41"/>
      <c r="V31" s="41"/>
      <c r="W31" s="41"/>
      <c r="X31" s="41"/>
      <c r="Y31" s="41"/>
      <c r="Z31" s="41"/>
      <c r="AA31" s="42"/>
      <c r="AB31" s="41"/>
      <c r="AC31" s="41"/>
      <c r="AD31" s="41"/>
      <c r="AE31" s="41"/>
      <c r="AF31" s="41"/>
      <c r="AG31" s="41"/>
      <c r="AH31" s="41"/>
      <c r="AI31" s="42"/>
      <c r="AK31" s="33">
        <f t="shared" si="0"/>
        <v>0</v>
      </c>
      <c r="AL31" s="33">
        <f>Üldinfo!AM30</f>
        <v>0</v>
      </c>
      <c r="AM31" s="44" t="e">
        <f t="shared" si="1"/>
        <v>#DIV/0!</v>
      </c>
      <c r="AO31" s="33">
        <f t="shared" si="2"/>
        <v>0</v>
      </c>
      <c r="AP31" s="33">
        <f t="shared" si="3"/>
        <v>0</v>
      </c>
      <c r="AQ31" s="33">
        <f t="shared" si="4"/>
        <v>0</v>
      </c>
    </row>
    <row r="32" spans="1:43" x14ac:dyDescent="0.25">
      <c r="A32" s="33">
        <f>Üldinfo!A31</f>
        <v>28</v>
      </c>
      <c r="B32" s="33" t="str">
        <f>Üldinfo!B31</f>
        <v>Naine</v>
      </c>
      <c r="C32" s="33" t="str">
        <f>Üldinfo!C31</f>
        <v>25-50 a</v>
      </c>
      <c r="D32" s="40"/>
      <c r="E32" s="41"/>
      <c r="F32" s="41"/>
      <c r="G32" s="41"/>
      <c r="H32" s="41"/>
      <c r="I32" s="41" t="s">
        <v>68</v>
      </c>
      <c r="J32" s="41"/>
      <c r="K32" s="42" t="s">
        <v>68</v>
      </c>
      <c r="L32" s="40"/>
      <c r="M32" s="41" t="s">
        <v>68</v>
      </c>
      <c r="N32" s="41"/>
      <c r="O32" s="41"/>
      <c r="P32" s="41"/>
      <c r="Q32" s="41"/>
      <c r="R32" s="41"/>
      <c r="S32" s="42"/>
      <c r="T32" s="40"/>
      <c r="U32" s="41"/>
      <c r="V32" s="41"/>
      <c r="W32" s="41"/>
      <c r="X32" s="41"/>
      <c r="Y32" s="41"/>
      <c r="Z32" s="41"/>
      <c r="AA32" s="42"/>
      <c r="AB32" s="41"/>
      <c r="AC32" s="41"/>
      <c r="AD32" s="41"/>
      <c r="AE32" s="41"/>
      <c r="AF32" s="41"/>
      <c r="AG32" s="41"/>
      <c r="AH32" s="41"/>
      <c r="AI32" s="42"/>
      <c r="AK32" s="33">
        <f t="shared" si="0"/>
        <v>3</v>
      </c>
      <c r="AL32" s="33">
        <f>Üldinfo!AM31</f>
        <v>30</v>
      </c>
      <c r="AM32" s="44">
        <f t="shared" si="1"/>
        <v>0.1</v>
      </c>
      <c r="AO32" s="33">
        <f t="shared" si="2"/>
        <v>3</v>
      </c>
      <c r="AP32" s="33">
        <f t="shared" si="3"/>
        <v>0</v>
      </c>
      <c r="AQ32" s="33">
        <f t="shared" si="4"/>
        <v>0</v>
      </c>
    </row>
    <row r="33" spans="1:43" x14ac:dyDescent="0.25">
      <c r="A33" s="33">
        <f>Üldinfo!A32</f>
        <v>29</v>
      </c>
      <c r="B33" s="33" t="str">
        <f>Üldinfo!B32</f>
        <v>Mees</v>
      </c>
      <c r="C33" s="33" t="str">
        <f>Üldinfo!C32</f>
        <v>25-30a</v>
      </c>
      <c r="D33" s="40"/>
      <c r="E33" s="41"/>
      <c r="F33" s="41"/>
      <c r="G33" s="41"/>
      <c r="H33" s="41" t="s">
        <v>68</v>
      </c>
      <c r="I33" s="41" t="s">
        <v>97</v>
      </c>
      <c r="J33" s="41" t="s">
        <v>68</v>
      </c>
      <c r="K33" s="42" t="s">
        <v>98</v>
      </c>
      <c r="L33" s="40" t="s">
        <v>98</v>
      </c>
      <c r="M33" s="41" t="s">
        <v>98</v>
      </c>
      <c r="N33" s="41" t="s">
        <v>97</v>
      </c>
      <c r="O33" s="41"/>
      <c r="P33" s="41"/>
      <c r="Q33" s="41"/>
      <c r="R33" s="41"/>
      <c r="S33" s="42"/>
      <c r="T33" s="40"/>
      <c r="U33" s="41"/>
      <c r="V33" s="41"/>
      <c r="W33" s="41"/>
      <c r="X33" s="41" t="s">
        <v>98</v>
      </c>
      <c r="Y33" s="41" t="s">
        <v>97</v>
      </c>
      <c r="Z33" s="41" t="s">
        <v>98</v>
      </c>
      <c r="AA33" s="42"/>
      <c r="AB33" s="41"/>
      <c r="AC33" s="41" t="s">
        <v>98</v>
      </c>
      <c r="AD33" s="41" t="s">
        <v>97</v>
      </c>
      <c r="AE33" s="41" t="s">
        <v>98</v>
      </c>
      <c r="AF33" s="41"/>
      <c r="AG33" s="41"/>
      <c r="AH33" s="41"/>
      <c r="AI33" s="42"/>
      <c r="AK33" s="33">
        <f t="shared" si="0"/>
        <v>13</v>
      </c>
      <c r="AL33" s="33">
        <f>Üldinfo!AM32</f>
        <v>32</v>
      </c>
      <c r="AM33" s="44">
        <f t="shared" si="1"/>
        <v>0.40625</v>
      </c>
      <c r="AO33" s="33">
        <f t="shared" si="2"/>
        <v>13</v>
      </c>
      <c r="AP33" s="33">
        <f t="shared" si="3"/>
        <v>0</v>
      </c>
      <c r="AQ33" s="33">
        <f t="shared" si="4"/>
        <v>0</v>
      </c>
    </row>
    <row r="34" spans="1:43" x14ac:dyDescent="0.25">
      <c r="A34" s="33">
        <f>Üldinfo!A33</f>
        <v>30</v>
      </c>
      <c r="B34" s="33" t="str">
        <f>Üldinfo!B33</f>
        <v>Naine</v>
      </c>
      <c r="C34" s="33" t="str">
        <f>Üldinfo!C33</f>
        <v>17-25 a</v>
      </c>
      <c r="D34" s="40"/>
      <c r="E34" s="41"/>
      <c r="F34" s="41"/>
      <c r="G34" s="41"/>
      <c r="H34" s="41"/>
      <c r="I34" s="41" t="s">
        <v>68</v>
      </c>
      <c r="J34" s="41"/>
      <c r="K34" s="42"/>
      <c r="L34" s="40"/>
      <c r="M34" s="41"/>
      <c r="N34" s="41" t="s">
        <v>97</v>
      </c>
      <c r="O34" s="41"/>
      <c r="P34" s="41"/>
      <c r="Q34" s="41"/>
      <c r="R34" s="41"/>
      <c r="S34" s="42"/>
      <c r="T34" s="40"/>
      <c r="U34" s="41"/>
      <c r="V34" s="41"/>
      <c r="W34" s="41"/>
      <c r="X34" s="41"/>
      <c r="Y34" s="41"/>
      <c r="Z34" s="41"/>
      <c r="AA34" s="42"/>
      <c r="AB34" s="41"/>
      <c r="AC34" s="41"/>
      <c r="AD34" s="41"/>
      <c r="AE34" s="41"/>
      <c r="AF34" s="41"/>
      <c r="AG34" s="41"/>
      <c r="AH34" s="41"/>
      <c r="AI34" s="42"/>
      <c r="AK34" s="33">
        <f t="shared" si="0"/>
        <v>2</v>
      </c>
      <c r="AL34" s="33">
        <f>Üldinfo!AM33</f>
        <v>17</v>
      </c>
      <c r="AM34" s="44">
        <f t="shared" si="1"/>
        <v>0.11764705882352941</v>
      </c>
      <c r="AO34" s="33">
        <f t="shared" si="2"/>
        <v>2</v>
      </c>
      <c r="AP34" s="33">
        <f t="shared" si="3"/>
        <v>0</v>
      </c>
      <c r="AQ34" s="33">
        <f t="shared" si="4"/>
        <v>0</v>
      </c>
    </row>
    <row r="35" spans="1:43" x14ac:dyDescent="0.25">
      <c r="A35" s="33">
        <f>Üldinfo!A34</f>
        <v>31</v>
      </c>
      <c r="B35" s="33" t="str">
        <f>Üldinfo!B34</f>
        <v>Alaealine</v>
      </c>
      <c r="C35" s="33" t="str">
        <f>Üldinfo!C34</f>
        <v>5+ a</v>
      </c>
      <c r="D35" s="40"/>
      <c r="E35" s="41"/>
      <c r="F35" s="41"/>
      <c r="G35" s="41"/>
      <c r="H35" s="41"/>
      <c r="I35" s="41"/>
      <c r="J35" s="41"/>
      <c r="K35" s="42"/>
      <c r="L35" s="40"/>
      <c r="M35" s="41"/>
      <c r="N35" s="41"/>
      <c r="O35" s="41"/>
      <c r="P35" s="41"/>
      <c r="Q35" s="41"/>
      <c r="R35" s="41"/>
      <c r="S35" s="42"/>
      <c r="T35" s="40"/>
      <c r="U35" s="41"/>
      <c r="V35" s="41"/>
      <c r="W35" s="41"/>
      <c r="X35" s="41"/>
      <c r="Y35" s="41"/>
      <c r="Z35" s="41"/>
      <c r="AA35" s="42"/>
      <c r="AB35" s="41"/>
      <c r="AC35" s="41"/>
      <c r="AD35" s="41"/>
      <c r="AE35" s="41"/>
      <c r="AF35" s="41"/>
      <c r="AG35" s="41"/>
      <c r="AH35" s="41"/>
      <c r="AI35" s="42"/>
      <c r="AK35" s="33">
        <f t="shared" si="0"/>
        <v>0</v>
      </c>
      <c r="AL35" s="33">
        <f>Üldinfo!AM34</f>
        <v>0</v>
      </c>
      <c r="AM35" s="44" t="e">
        <f t="shared" si="1"/>
        <v>#DIV/0!</v>
      </c>
      <c r="AO35" s="33">
        <f t="shared" si="2"/>
        <v>0</v>
      </c>
      <c r="AP35" s="33">
        <f t="shared" si="3"/>
        <v>0</v>
      </c>
      <c r="AQ35" s="33">
        <f t="shared" si="4"/>
        <v>0</v>
      </c>
    </row>
    <row r="36" spans="1:43" x14ac:dyDescent="0.25">
      <c r="A36" s="33">
        <f>Üldinfo!A35</f>
        <v>32</v>
      </c>
      <c r="B36" s="33" t="str">
        <f>Üldinfo!B35</f>
        <v>Alaealine</v>
      </c>
      <c r="C36" s="33" t="str">
        <f>Üldinfo!C35</f>
        <v>3-5 a</v>
      </c>
      <c r="D36" s="40"/>
      <c r="E36" s="41"/>
      <c r="F36" s="41"/>
      <c r="G36" s="41"/>
      <c r="H36" s="41"/>
      <c r="I36" s="41"/>
      <c r="J36" s="41"/>
      <c r="K36" s="42"/>
      <c r="L36" s="40"/>
      <c r="M36" s="41"/>
      <c r="N36" s="41"/>
      <c r="O36" s="41"/>
      <c r="P36" s="41"/>
      <c r="Q36" s="41"/>
      <c r="R36" s="41"/>
      <c r="S36" s="42"/>
      <c r="T36" s="40"/>
      <c r="U36" s="41"/>
      <c r="V36" s="41"/>
      <c r="W36" s="41"/>
      <c r="X36" s="41"/>
      <c r="Y36" s="41"/>
      <c r="Z36" s="41"/>
      <c r="AA36" s="42"/>
      <c r="AB36" s="41"/>
      <c r="AC36" s="41"/>
      <c r="AD36" s="41"/>
      <c r="AE36" s="41"/>
      <c r="AF36" s="41"/>
      <c r="AG36" s="41"/>
      <c r="AH36" s="41"/>
      <c r="AI36" s="42"/>
      <c r="AK36" s="33">
        <f t="shared" si="0"/>
        <v>0</v>
      </c>
      <c r="AL36" s="33">
        <f>Üldinfo!AM35</f>
        <v>0</v>
      </c>
      <c r="AM36" s="44" t="e">
        <f t="shared" si="1"/>
        <v>#DIV/0!</v>
      </c>
      <c r="AO36" s="33">
        <f t="shared" si="2"/>
        <v>0</v>
      </c>
      <c r="AP36" s="33">
        <f t="shared" si="3"/>
        <v>0</v>
      </c>
      <c r="AQ36" s="33">
        <f t="shared" si="4"/>
        <v>0</v>
      </c>
    </row>
    <row r="37" spans="1:43" x14ac:dyDescent="0.25">
      <c r="A37" s="33">
        <f>Üldinfo!A36</f>
        <v>33</v>
      </c>
      <c r="B37" s="33" t="str">
        <f>Üldinfo!B36</f>
        <v>Alaealine</v>
      </c>
      <c r="C37" s="33" t="str">
        <f>Üldinfo!C36</f>
        <v>1-2 a</v>
      </c>
      <c r="D37" s="40"/>
      <c r="E37" s="41"/>
      <c r="F37" s="41"/>
      <c r="G37" s="41"/>
      <c r="H37" s="41"/>
      <c r="I37" s="41"/>
      <c r="J37" s="41"/>
      <c r="K37" s="42"/>
      <c r="L37" s="40"/>
      <c r="M37" s="41"/>
      <c r="N37" s="41"/>
      <c r="O37" s="41"/>
      <c r="P37" s="41"/>
      <c r="Q37" s="41"/>
      <c r="R37" s="41"/>
      <c r="S37" s="42"/>
      <c r="T37" s="40"/>
      <c r="U37" s="41"/>
      <c r="V37" s="41"/>
      <c r="W37" s="41"/>
      <c r="X37" s="41"/>
      <c r="Y37" s="41"/>
      <c r="Z37" s="41"/>
      <c r="AA37" s="42"/>
      <c r="AB37" s="41"/>
      <c r="AC37" s="41"/>
      <c r="AD37" s="41"/>
      <c r="AE37" s="41"/>
      <c r="AF37" s="41"/>
      <c r="AG37" s="41"/>
      <c r="AH37" s="41"/>
      <c r="AI37" s="42"/>
      <c r="AK37" s="33">
        <f t="shared" si="0"/>
        <v>0</v>
      </c>
      <c r="AL37" s="33">
        <f>Üldinfo!AM36</f>
        <v>1</v>
      </c>
      <c r="AM37" s="44">
        <f t="shared" si="1"/>
        <v>0</v>
      </c>
      <c r="AO37" s="33">
        <f t="shared" si="2"/>
        <v>0</v>
      </c>
      <c r="AP37" s="33">
        <f t="shared" si="3"/>
        <v>0</v>
      </c>
      <c r="AQ37" s="33">
        <f t="shared" si="4"/>
        <v>0</v>
      </c>
    </row>
    <row r="38" spans="1:43" x14ac:dyDescent="0.25">
      <c r="A38" s="33">
        <f>Üldinfo!A37</f>
        <v>34</v>
      </c>
      <c r="B38" s="33" t="str">
        <f>Üldinfo!B37</f>
        <v>Mees ?</v>
      </c>
      <c r="C38" s="33" t="str">
        <f>Üldinfo!C37</f>
        <v>Täiskasvanu</v>
      </c>
      <c r="D38" s="40"/>
      <c r="E38" s="41"/>
      <c r="F38" s="41"/>
      <c r="G38" s="41"/>
      <c r="H38" s="41"/>
      <c r="I38" s="41"/>
      <c r="J38" s="41"/>
      <c r="K38" s="42"/>
      <c r="L38" s="40"/>
      <c r="M38" s="41"/>
      <c r="N38" s="41"/>
      <c r="O38" s="41"/>
      <c r="P38" s="41"/>
      <c r="Q38" s="41"/>
      <c r="R38" s="41"/>
      <c r="S38" s="42"/>
      <c r="T38" s="40"/>
      <c r="U38" s="41"/>
      <c r="V38" s="41"/>
      <c r="W38" s="41"/>
      <c r="X38" s="41"/>
      <c r="Y38" s="41"/>
      <c r="Z38" s="41"/>
      <c r="AA38" s="42"/>
      <c r="AB38" s="41"/>
      <c r="AC38" s="41"/>
      <c r="AD38" s="41"/>
      <c r="AE38" s="41"/>
      <c r="AF38" s="41"/>
      <c r="AG38" s="41"/>
      <c r="AH38" s="41"/>
      <c r="AI38" s="42"/>
      <c r="AK38" s="33">
        <f t="shared" si="0"/>
        <v>0</v>
      </c>
      <c r="AL38" s="33">
        <f>Üldinfo!AM37</f>
        <v>0</v>
      </c>
      <c r="AM38" s="44" t="e">
        <f t="shared" si="1"/>
        <v>#DIV/0!</v>
      </c>
      <c r="AO38" s="33">
        <f t="shared" si="2"/>
        <v>0</v>
      </c>
      <c r="AP38" s="33">
        <f t="shared" si="3"/>
        <v>0</v>
      </c>
      <c r="AQ38" s="33">
        <f t="shared" si="4"/>
        <v>0</v>
      </c>
    </row>
    <row r="39" spans="1:43" x14ac:dyDescent="0.25">
      <c r="A39" s="33">
        <f>Üldinfo!A38</f>
        <v>35</v>
      </c>
      <c r="B39" s="33" t="str">
        <f>Üldinfo!B38</f>
        <v>Naine</v>
      </c>
      <c r="C39" s="33" t="str">
        <f>Üldinfo!C38</f>
        <v>Täiskasvanu</v>
      </c>
      <c r="D39" s="40"/>
      <c r="E39" s="41"/>
      <c r="F39" s="41"/>
      <c r="G39" s="41"/>
      <c r="H39" s="41"/>
      <c r="I39" s="41"/>
      <c r="J39" s="41"/>
      <c r="K39" s="42"/>
      <c r="L39" s="40"/>
      <c r="M39" s="41"/>
      <c r="N39" s="41"/>
      <c r="O39" s="41"/>
      <c r="P39" s="41"/>
      <c r="Q39" s="41"/>
      <c r="R39" s="41"/>
      <c r="S39" s="42"/>
      <c r="T39" s="40"/>
      <c r="U39" s="41"/>
      <c r="V39" s="41"/>
      <c r="W39" s="41"/>
      <c r="X39" s="41"/>
      <c r="Y39" s="41"/>
      <c r="Z39" s="41"/>
      <c r="AA39" s="42"/>
      <c r="AB39" s="41"/>
      <c r="AC39" s="41"/>
      <c r="AD39" s="41"/>
      <c r="AE39" s="41"/>
      <c r="AF39" s="41"/>
      <c r="AG39" s="41"/>
      <c r="AH39" s="41"/>
      <c r="AI39" s="42"/>
      <c r="AK39" s="33">
        <f t="shared" si="0"/>
        <v>0</v>
      </c>
      <c r="AL39" s="33">
        <f>Üldinfo!AM38</f>
        <v>0</v>
      </c>
      <c r="AM39" s="44" t="e">
        <f t="shared" si="1"/>
        <v>#DIV/0!</v>
      </c>
      <c r="AO39" s="33">
        <f t="shared" si="2"/>
        <v>0</v>
      </c>
      <c r="AP39" s="33">
        <f t="shared" si="3"/>
        <v>0</v>
      </c>
      <c r="AQ39" s="33">
        <f t="shared" si="4"/>
        <v>0</v>
      </c>
    </row>
    <row r="40" spans="1:43" x14ac:dyDescent="0.25">
      <c r="A40" s="33">
        <f>Üldinfo!A39</f>
        <v>36</v>
      </c>
      <c r="B40" s="33" t="str">
        <f>Üldinfo!B39</f>
        <v>Mees ?</v>
      </c>
      <c r="C40" s="33" t="str">
        <f>Üldinfo!C39</f>
        <v>40-50 a</v>
      </c>
      <c r="D40" s="40"/>
      <c r="E40" s="41"/>
      <c r="F40" s="41"/>
      <c r="G40" s="41"/>
      <c r="H40" s="41"/>
      <c r="I40" s="41"/>
      <c r="J40" s="41"/>
      <c r="K40" s="42"/>
      <c r="L40" s="40"/>
      <c r="M40" s="41"/>
      <c r="N40" s="41"/>
      <c r="O40" s="41"/>
      <c r="P40" s="41"/>
      <c r="Q40" s="41"/>
      <c r="R40" s="41"/>
      <c r="S40" s="42"/>
      <c r="T40" s="40"/>
      <c r="U40" s="41"/>
      <c r="V40" s="41"/>
      <c r="W40" s="41"/>
      <c r="X40" s="41"/>
      <c r="Y40" s="41"/>
      <c r="Z40" s="41"/>
      <c r="AA40" s="42"/>
      <c r="AB40" s="41"/>
      <c r="AC40" s="41"/>
      <c r="AD40" s="41"/>
      <c r="AE40" s="41"/>
      <c r="AF40" s="41"/>
      <c r="AG40" s="41"/>
      <c r="AH40" s="41"/>
      <c r="AI40" s="42"/>
      <c r="AK40" s="33">
        <f t="shared" si="0"/>
        <v>0</v>
      </c>
      <c r="AL40" s="33">
        <f>Üldinfo!AM39</f>
        <v>0</v>
      </c>
      <c r="AM40" s="44" t="e">
        <f t="shared" si="1"/>
        <v>#DIV/0!</v>
      </c>
      <c r="AO40" s="33">
        <f t="shared" si="2"/>
        <v>0</v>
      </c>
      <c r="AP40" s="33">
        <f t="shared" si="3"/>
        <v>0</v>
      </c>
      <c r="AQ40" s="33">
        <f t="shared" si="4"/>
        <v>0</v>
      </c>
    </row>
    <row r="41" spans="1:43" x14ac:dyDescent="0.25">
      <c r="A41" s="33">
        <f>Üldinfo!A40</f>
        <v>37</v>
      </c>
      <c r="B41" s="33" t="str">
        <f>Üldinfo!B40</f>
        <v>Alaealine</v>
      </c>
      <c r="C41" s="33" t="str">
        <f>Üldinfo!C40</f>
        <v>12-18 a</v>
      </c>
      <c r="D41" s="40"/>
      <c r="E41" s="41"/>
      <c r="F41" s="41"/>
      <c r="G41" s="41"/>
      <c r="H41" s="41"/>
      <c r="I41" s="41"/>
      <c r="J41" s="41"/>
      <c r="K41" s="42"/>
      <c r="L41" s="40" t="s">
        <v>151</v>
      </c>
      <c r="M41" s="41" t="s">
        <v>98</v>
      </c>
      <c r="N41" s="41" t="s">
        <v>97</v>
      </c>
      <c r="O41" s="41"/>
      <c r="P41" s="41"/>
      <c r="Q41" s="41"/>
      <c r="R41" s="41"/>
      <c r="S41" s="42"/>
      <c r="T41" s="40"/>
      <c r="U41" s="41"/>
      <c r="V41" s="41"/>
      <c r="W41" s="41"/>
      <c r="X41" s="41"/>
      <c r="Y41" s="41"/>
      <c r="Z41" s="41"/>
      <c r="AA41" s="42" t="s">
        <v>98</v>
      </c>
      <c r="AB41" s="41" t="s">
        <v>98</v>
      </c>
      <c r="AC41" s="41"/>
      <c r="AD41" s="41" t="s">
        <v>97</v>
      </c>
      <c r="AE41" s="41"/>
      <c r="AF41" s="41"/>
      <c r="AG41" s="41"/>
      <c r="AH41" s="41"/>
      <c r="AI41" s="42"/>
      <c r="AK41" s="33">
        <f t="shared" si="0"/>
        <v>6</v>
      </c>
      <c r="AL41" s="33">
        <f>Üldinfo!AM40</f>
        <v>12</v>
      </c>
      <c r="AM41" s="44">
        <f t="shared" si="1"/>
        <v>0.5</v>
      </c>
      <c r="AO41" s="33">
        <f t="shared" si="2"/>
        <v>6</v>
      </c>
      <c r="AP41" s="33">
        <f t="shared" si="3"/>
        <v>0</v>
      </c>
      <c r="AQ41" s="33">
        <f t="shared" si="4"/>
        <v>0</v>
      </c>
    </row>
    <row r="42" spans="1:43" x14ac:dyDescent="0.25">
      <c r="A42" s="33">
        <f>Üldinfo!A41</f>
        <v>38</v>
      </c>
      <c r="B42" s="33" t="str">
        <f>Üldinfo!B41</f>
        <v>Naine</v>
      </c>
      <c r="C42" s="33" t="str">
        <f>Üldinfo!C41</f>
        <v>40-50 a</v>
      </c>
      <c r="D42" s="40"/>
      <c r="E42" s="41"/>
      <c r="F42" s="41"/>
      <c r="G42" s="41"/>
      <c r="H42" s="41"/>
      <c r="I42" s="41"/>
      <c r="J42" s="41"/>
      <c r="K42" s="42"/>
      <c r="L42" s="40" t="s">
        <v>68</v>
      </c>
      <c r="M42" s="41" t="s">
        <v>68</v>
      </c>
      <c r="N42" s="41" t="s">
        <v>68</v>
      </c>
      <c r="O42" s="41"/>
      <c r="P42" s="41" t="s">
        <v>68</v>
      </c>
      <c r="Q42" s="41"/>
      <c r="R42" s="41"/>
      <c r="S42" s="42"/>
      <c r="T42" s="40"/>
      <c r="U42" s="41"/>
      <c r="V42" s="41"/>
      <c r="W42" s="41" t="s">
        <v>68</v>
      </c>
      <c r="X42" s="41"/>
      <c r="Y42" s="41" t="s">
        <v>98</v>
      </c>
      <c r="Z42" s="41"/>
      <c r="AA42" s="42"/>
      <c r="AB42" s="40"/>
      <c r="AC42" s="41" t="s">
        <v>68</v>
      </c>
      <c r="AD42" s="41"/>
      <c r="AE42" s="41"/>
      <c r="AF42" s="41"/>
      <c r="AG42" s="41"/>
      <c r="AH42" s="41"/>
      <c r="AI42" s="42"/>
      <c r="AK42" s="33">
        <f t="shared" si="0"/>
        <v>7</v>
      </c>
      <c r="AL42" s="33">
        <f>Üldinfo!AM41</f>
        <v>27</v>
      </c>
      <c r="AM42" s="44">
        <f t="shared" si="1"/>
        <v>0.25925925925925924</v>
      </c>
      <c r="AO42" s="33">
        <f t="shared" si="2"/>
        <v>7</v>
      </c>
      <c r="AP42" s="33">
        <f t="shared" si="3"/>
        <v>0</v>
      </c>
      <c r="AQ42" s="33">
        <f t="shared" si="4"/>
        <v>0</v>
      </c>
    </row>
    <row r="43" spans="1:43" x14ac:dyDescent="0.25">
      <c r="A43" s="33">
        <f>Üldinfo!A42</f>
        <v>39</v>
      </c>
      <c r="B43" s="33" t="str">
        <f>Üldinfo!B42</f>
        <v>Alaealine</v>
      </c>
      <c r="C43" s="33" t="str">
        <f>Üldinfo!C42</f>
        <v>6-11 a</v>
      </c>
      <c r="D43" s="40"/>
      <c r="E43" s="41"/>
      <c r="F43" s="41"/>
      <c r="G43" s="41"/>
      <c r="H43" s="41"/>
      <c r="I43" s="41"/>
      <c r="J43" s="41"/>
      <c r="K43" s="42"/>
      <c r="L43" s="40"/>
      <c r="M43" s="41"/>
      <c r="N43" s="41"/>
      <c r="O43" s="41"/>
      <c r="P43" s="41"/>
      <c r="Q43" s="41"/>
      <c r="R43" s="41"/>
      <c r="S43" s="42"/>
      <c r="T43" s="40"/>
      <c r="U43" s="41"/>
      <c r="V43" s="41"/>
      <c r="W43" s="41"/>
      <c r="X43" s="41"/>
      <c r="Y43" s="41"/>
      <c r="Z43" s="41"/>
      <c r="AA43" s="42"/>
      <c r="AB43" s="40"/>
      <c r="AC43" s="41"/>
      <c r="AD43" s="41"/>
      <c r="AE43" s="41"/>
      <c r="AF43" s="41"/>
      <c r="AG43" s="41"/>
      <c r="AH43" s="41"/>
      <c r="AI43" s="42"/>
      <c r="AK43" s="33">
        <f t="shared" si="0"/>
        <v>0</v>
      </c>
      <c r="AL43" s="33">
        <f>Üldinfo!AM42</f>
        <v>0</v>
      </c>
      <c r="AM43" s="44" t="e">
        <f t="shared" si="1"/>
        <v>#DIV/0!</v>
      </c>
      <c r="AO43" s="33">
        <f t="shared" si="2"/>
        <v>0</v>
      </c>
      <c r="AP43" s="33">
        <f t="shared" si="3"/>
        <v>0</v>
      </c>
      <c r="AQ43" s="33">
        <f t="shared" si="4"/>
        <v>0</v>
      </c>
    </row>
    <row r="44" spans="1:43" x14ac:dyDescent="0.25">
      <c r="A44" s="33">
        <f>Üldinfo!A43</f>
        <v>40</v>
      </c>
      <c r="B44" s="33" t="str">
        <f>Üldinfo!B43</f>
        <v>Mees</v>
      </c>
      <c r="C44" s="33" t="str">
        <f>Üldinfo!C43</f>
        <v>40+ a</v>
      </c>
      <c r="D44" s="40"/>
      <c r="E44" s="41"/>
      <c r="F44" s="41"/>
      <c r="G44" s="41"/>
      <c r="H44" s="41"/>
      <c r="I44" s="41"/>
      <c r="J44" s="41"/>
      <c r="K44" s="42"/>
      <c r="L44" s="40"/>
      <c r="M44" s="41"/>
      <c r="N44" s="41"/>
      <c r="O44" s="41"/>
      <c r="P44" s="41"/>
      <c r="Q44" s="41"/>
      <c r="R44" s="41"/>
      <c r="S44" s="42"/>
      <c r="T44" s="40"/>
      <c r="U44" s="41"/>
      <c r="V44" s="41"/>
      <c r="W44" s="41"/>
      <c r="X44" s="41"/>
      <c r="Y44" s="41"/>
      <c r="Z44" s="41"/>
      <c r="AA44" s="42"/>
      <c r="AB44" s="40"/>
      <c r="AC44" s="41"/>
      <c r="AD44" s="41"/>
      <c r="AE44" s="41"/>
      <c r="AF44" s="41"/>
      <c r="AG44" s="41"/>
      <c r="AH44" s="41"/>
      <c r="AI44" s="42"/>
      <c r="AK44" s="33">
        <f t="shared" si="0"/>
        <v>0</v>
      </c>
      <c r="AL44" s="33">
        <f>Üldinfo!AM43</f>
        <v>0</v>
      </c>
      <c r="AM44" s="44" t="e">
        <f t="shared" si="1"/>
        <v>#DIV/0!</v>
      </c>
      <c r="AO44" s="33">
        <f t="shared" si="2"/>
        <v>0</v>
      </c>
      <c r="AP44" s="33">
        <f t="shared" si="3"/>
        <v>0</v>
      </c>
      <c r="AQ44" s="33">
        <f t="shared" si="4"/>
        <v>0</v>
      </c>
    </row>
    <row r="45" spans="1:43" x14ac:dyDescent="0.25">
      <c r="A45" s="33">
        <f>Üldinfo!A44</f>
        <v>41</v>
      </c>
      <c r="B45" s="33" t="str">
        <f>Üldinfo!B44</f>
        <v>Alaealine</v>
      </c>
      <c r="C45" s="33" t="str">
        <f>Üldinfo!C44</f>
        <v>12-15 a</v>
      </c>
      <c r="D45" s="40"/>
      <c r="E45" s="41"/>
      <c r="F45" s="41"/>
      <c r="G45" s="41"/>
      <c r="H45" s="41"/>
      <c r="I45" s="41"/>
      <c r="J45" s="41"/>
      <c r="K45" s="42"/>
      <c r="L45" s="40"/>
      <c r="M45" s="41"/>
      <c r="N45" s="41"/>
      <c r="O45" s="41"/>
      <c r="P45" s="41"/>
      <c r="Q45" s="41"/>
      <c r="R45" s="41"/>
      <c r="S45" s="42"/>
      <c r="T45" s="40"/>
      <c r="U45" s="41"/>
      <c r="V45" s="41"/>
      <c r="W45" s="41"/>
      <c r="X45" s="41"/>
      <c r="Y45" s="41"/>
      <c r="Z45" s="41"/>
      <c r="AA45" s="42"/>
      <c r="AB45" s="40"/>
      <c r="AC45" s="41"/>
      <c r="AD45" s="41"/>
      <c r="AE45" s="41"/>
      <c r="AF45" s="41"/>
      <c r="AG45" s="41"/>
      <c r="AH45" s="41"/>
      <c r="AI45" s="42"/>
      <c r="AK45" s="33">
        <f t="shared" si="0"/>
        <v>0</v>
      </c>
      <c r="AL45" s="33">
        <f>Üldinfo!AM44</f>
        <v>0</v>
      </c>
      <c r="AM45" s="44" t="e">
        <f t="shared" si="1"/>
        <v>#DIV/0!</v>
      </c>
      <c r="AO45" s="33">
        <f t="shared" si="2"/>
        <v>0</v>
      </c>
      <c r="AP45" s="33">
        <f t="shared" si="3"/>
        <v>0</v>
      </c>
      <c r="AQ45" s="33">
        <f t="shared" si="4"/>
        <v>0</v>
      </c>
    </row>
    <row r="46" spans="1:43" x14ac:dyDescent="0.25">
      <c r="A46" s="33">
        <f>Üldinfo!A45</f>
        <v>42</v>
      </c>
      <c r="B46" s="33" t="str">
        <f>Üldinfo!B45</f>
        <v>Alaealine</v>
      </c>
      <c r="C46" s="33" t="str">
        <f>Üldinfo!C45</f>
        <v>24-32 k</v>
      </c>
      <c r="D46" s="40"/>
      <c r="E46" s="41"/>
      <c r="F46" s="41"/>
      <c r="G46" s="41"/>
      <c r="H46" s="41"/>
      <c r="I46" s="41"/>
      <c r="J46" s="41"/>
      <c r="K46" s="42"/>
      <c r="L46" s="40"/>
      <c r="M46" s="41"/>
      <c r="N46" s="41"/>
      <c r="O46" s="41"/>
      <c r="P46" s="41"/>
      <c r="Q46" s="41"/>
      <c r="R46" s="41"/>
      <c r="S46" s="42"/>
      <c r="T46" s="40"/>
      <c r="U46" s="41"/>
      <c r="V46" s="41"/>
      <c r="W46" s="41"/>
      <c r="X46" s="41"/>
      <c r="Y46" s="41"/>
      <c r="Z46" s="41"/>
      <c r="AA46" s="42"/>
      <c r="AB46" s="40"/>
      <c r="AC46" s="41"/>
      <c r="AD46" s="41"/>
      <c r="AE46" s="41"/>
      <c r="AF46" s="41"/>
      <c r="AG46" s="41"/>
      <c r="AH46" s="41"/>
      <c r="AI46" s="42"/>
      <c r="AK46" s="33">
        <f t="shared" si="0"/>
        <v>0</v>
      </c>
      <c r="AL46" s="33">
        <f>Üldinfo!AM45</f>
        <v>7</v>
      </c>
      <c r="AM46" s="44">
        <f t="shared" si="1"/>
        <v>0</v>
      </c>
      <c r="AO46" s="33">
        <f t="shared" si="2"/>
        <v>0</v>
      </c>
      <c r="AP46" s="33">
        <f t="shared" si="3"/>
        <v>0</v>
      </c>
      <c r="AQ46" s="33">
        <f t="shared" si="4"/>
        <v>0</v>
      </c>
    </row>
    <row r="47" spans="1:43" x14ac:dyDescent="0.25">
      <c r="A47" s="33">
        <f>Üldinfo!A46</f>
        <v>43</v>
      </c>
      <c r="B47" s="33" t="str">
        <f>Üldinfo!B46</f>
        <v>Naine ?</v>
      </c>
      <c r="C47" s="33" t="str">
        <f>Üldinfo!C46</f>
        <v>18-19 a</v>
      </c>
      <c r="D47" s="40"/>
      <c r="E47" s="41"/>
      <c r="F47" s="41"/>
      <c r="G47" s="41"/>
      <c r="H47" s="41"/>
      <c r="I47" s="41"/>
      <c r="J47" s="41"/>
      <c r="K47" s="42"/>
      <c r="L47" s="40"/>
      <c r="M47" s="41"/>
      <c r="N47" s="41"/>
      <c r="O47" s="41"/>
      <c r="P47" s="41"/>
      <c r="Q47" s="41"/>
      <c r="R47" s="41"/>
      <c r="S47" s="42"/>
      <c r="T47" s="40"/>
      <c r="U47" s="41"/>
      <c r="V47" s="41"/>
      <c r="W47" s="41"/>
      <c r="X47" s="41"/>
      <c r="Y47" s="41"/>
      <c r="Z47" s="41"/>
      <c r="AA47" s="42"/>
      <c r="AB47" s="40"/>
      <c r="AC47" s="41"/>
      <c r="AD47" s="41"/>
      <c r="AE47" s="41"/>
      <c r="AF47" s="41"/>
      <c r="AG47" s="41"/>
      <c r="AH47" s="41"/>
      <c r="AI47" s="42"/>
      <c r="AK47" s="33">
        <f t="shared" si="0"/>
        <v>0</v>
      </c>
      <c r="AL47" s="33">
        <f>Üldinfo!AM46</f>
        <v>0</v>
      </c>
      <c r="AM47" s="44" t="e">
        <f t="shared" si="1"/>
        <v>#DIV/0!</v>
      </c>
      <c r="AO47" s="33">
        <f t="shared" si="2"/>
        <v>0</v>
      </c>
      <c r="AP47" s="33">
        <f t="shared" si="3"/>
        <v>0</v>
      </c>
      <c r="AQ47" s="33">
        <f t="shared" si="4"/>
        <v>0</v>
      </c>
    </row>
    <row r="48" spans="1:43" x14ac:dyDescent="0.25">
      <c r="A48" s="33">
        <f>Üldinfo!A47</f>
        <v>44</v>
      </c>
      <c r="B48" s="33" t="str">
        <f>Üldinfo!B47</f>
        <v>Mees</v>
      </c>
      <c r="C48" s="33" t="str">
        <f>Üldinfo!C47</f>
        <v>40+ a</v>
      </c>
      <c r="D48" s="40"/>
      <c r="E48" s="41"/>
      <c r="F48" s="41"/>
      <c r="G48" s="41"/>
      <c r="H48" s="41"/>
      <c r="I48" s="41"/>
      <c r="J48" s="41"/>
      <c r="K48" s="42"/>
      <c r="L48" s="40"/>
      <c r="M48" s="41"/>
      <c r="N48" s="41"/>
      <c r="O48" s="41"/>
      <c r="P48" s="41"/>
      <c r="Q48" s="41"/>
      <c r="R48" s="41"/>
      <c r="S48" s="42"/>
      <c r="T48" s="40"/>
      <c r="U48" s="41"/>
      <c r="V48" s="41"/>
      <c r="W48" s="41"/>
      <c r="X48" s="41"/>
      <c r="Y48" s="41"/>
      <c r="Z48" s="41"/>
      <c r="AA48" s="42"/>
      <c r="AB48" s="40"/>
      <c r="AC48" s="41"/>
      <c r="AD48" s="41"/>
      <c r="AE48" s="41"/>
      <c r="AF48" s="41"/>
      <c r="AG48" s="41"/>
      <c r="AH48" s="41"/>
      <c r="AI48" s="42"/>
      <c r="AK48" s="33">
        <f t="shared" si="0"/>
        <v>0</v>
      </c>
      <c r="AL48" s="33">
        <f>Üldinfo!AM47</f>
        <v>0</v>
      </c>
      <c r="AM48" s="44" t="e">
        <f t="shared" si="1"/>
        <v>#DIV/0!</v>
      </c>
      <c r="AO48" s="33">
        <f t="shared" si="2"/>
        <v>0</v>
      </c>
      <c r="AP48" s="33">
        <f t="shared" si="3"/>
        <v>0</v>
      </c>
      <c r="AQ48" s="33">
        <f t="shared" si="4"/>
        <v>0</v>
      </c>
    </row>
    <row r="49" spans="1:43" x14ac:dyDescent="0.25">
      <c r="A49" s="33">
        <f>Üldinfo!A48</f>
        <v>45</v>
      </c>
      <c r="B49" s="33" t="str">
        <f>Üldinfo!B48</f>
        <v>Mees</v>
      </c>
      <c r="C49" s="33" t="str">
        <f>Üldinfo!C48</f>
        <v>40+ a</v>
      </c>
      <c r="D49" s="41"/>
      <c r="E49" s="41"/>
      <c r="F49" s="41"/>
      <c r="G49" s="41"/>
      <c r="H49" s="41"/>
      <c r="I49" s="41"/>
      <c r="J49" s="41"/>
      <c r="K49" s="42"/>
      <c r="L49" s="40"/>
      <c r="M49" s="41"/>
      <c r="N49" s="41"/>
      <c r="O49" s="41"/>
      <c r="P49" s="41"/>
      <c r="Q49" s="41"/>
      <c r="R49" s="41"/>
      <c r="S49" s="42"/>
      <c r="T49" s="40"/>
      <c r="U49" s="41"/>
      <c r="V49" s="41"/>
      <c r="W49" s="41"/>
      <c r="X49" s="41"/>
      <c r="Y49" s="41"/>
      <c r="Z49" s="41"/>
      <c r="AA49" s="42"/>
      <c r="AB49" s="40"/>
      <c r="AC49" s="41"/>
      <c r="AD49" s="41"/>
      <c r="AE49" s="41"/>
      <c r="AF49" s="41"/>
      <c r="AG49" s="41"/>
      <c r="AH49" s="41"/>
      <c r="AI49" s="42"/>
      <c r="AK49" s="33">
        <f t="shared" si="0"/>
        <v>0</v>
      </c>
      <c r="AL49" s="33">
        <f>Üldinfo!AM48</f>
        <v>0</v>
      </c>
      <c r="AM49" s="44" t="e">
        <f t="shared" si="1"/>
        <v>#DIV/0!</v>
      </c>
      <c r="AO49" s="33">
        <f t="shared" si="2"/>
        <v>0</v>
      </c>
      <c r="AP49" s="33">
        <f t="shared" si="3"/>
        <v>0</v>
      </c>
      <c r="AQ49" s="33">
        <f t="shared" si="4"/>
        <v>0</v>
      </c>
    </row>
    <row r="50" spans="1:43" x14ac:dyDescent="0.25">
      <c r="A50" s="33">
        <f>Üldinfo!A49</f>
        <v>46</v>
      </c>
      <c r="B50" s="33" t="str">
        <f>Üldinfo!B49</f>
        <v>Täiskasvanu</v>
      </c>
      <c r="C50" s="33" t="str">
        <f>Üldinfo!C49</f>
        <v>Täiskasvanu</v>
      </c>
      <c r="D50" s="41"/>
      <c r="E50" s="41"/>
      <c r="F50" s="41"/>
      <c r="G50" s="41"/>
      <c r="H50" s="41"/>
      <c r="I50" s="41"/>
      <c r="J50" s="41"/>
      <c r="K50" s="42"/>
      <c r="L50" s="40"/>
      <c r="M50" s="41"/>
      <c r="N50" s="41"/>
      <c r="O50" s="41"/>
      <c r="P50" s="41"/>
      <c r="Q50" s="41"/>
      <c r="R50" s="41"/>
      <c r="S50" s="42"/>
      <c r="T50" s="40"/>
      <c r="U50" s="41"/>
      <c r="V50" s="41"/>
      <c r="W50" s="41"/>
      <c r="X50" s="41"/>
      <c r="Y50" s="41"/>
      <c r="Z50" s="41"/>
      <c r="AA50" s="42"/>
      <c r="AB50" s="40"/>
      <c r="AC50" s="41"/>
      <c r="AD50" s="41"/>
      <c r="AE50" s="41"/>
      <c r="AF50" s="41"/>
      <c r="AG50" s="41"/>
      <c r="AH50" s="41"/>
      <c r="AI50" s="42"/>
      <c r="AK50" s="33">
        <f t="shared" si="0"/>
        <v>0</v>
      </c>
      <c r="AL50" s="33">
        <f>Üldinfo!AM49</f>
        <v>0</v>
      </c>
      <c r="AM50" s="44" t="e">
        <f t="shared" si="1"/>
        <v>#DIV/0!</v>
      </c>
      <c r="AO50" s="33">
        <f t="shared" si="2"/>
        <v>0</v>
      </c>
      <c r="AP50" s="33">
        <f t="shared" si="3"/>
        <v>0</v>
      </c>
      <c r="AQ50" s="33">
        <f t="shared" si="4"/>
        <v>0</v>
      </c>
    </row>
    <row r="51" spans="1:43" x14ac:dyDescent="0.25">
      <c r="A51" s="33">
        <f>Üldinfo!A50</f>
        <v>47</v>
      </c>
      <c r="B51" s="33" t="str">
        <f>Üldinfo!B50</f>
        <v>Mees</v>
      </c>
      <c r="C51" s="33" t="str">
        <f>Üldinfo!C50</f>
        <v>40+ a</v>
      </c>
      <c r="D51" s="41"/>
      <c r="E51" s="41"/>
      <c r="F51" s="41"/>
      <c r="G51" s="41"/>
      <c r="H51" s="41"/>
      <c r="I51" s="41"/>
      <c r="J51" s="41"/>
      <c r="K51" s="42"/>
      <c r="L51" s="40"/>
      <c r="M51" s="41"/>
      <c r="N51" s="41"/>
      <c r="O51" s="41"/>
      <c r="P51" s="41"/>
      <c r="Q51" s="41"/>
      <c r="R51" s="41"/>
      <c r="S51" s="42"/>
      <c r="T51" s="40"/>
      <c r="U51" s="41"/>
      <c r="V51" s="41"/>
      <c r="W51" s="41"/>
      <c r="X51" s="41"/>
      <c r="Y51" s="41"/>
      <c r="Z51" s="41"/>
      <c r="AA51" s="42"/>
      <c r="AB51" s="40"/>
      <c r="AC51" s="41"/>
      <c r="AD51" s="41"/>
      <c r="AE51" s="41"/>
      <c r="AF51" s="41"/>
      <c r="AG51" s="41"/>
      <c r="AH51" s="41"/>
      <c r="AI51" s="42"/>
      <c r="AK51" s="33">
        <f t="shared" si="0"/>
        <v>0</v>
      </c>
      <c r="AL51" s="33">
        <f>Üldinfo!AM50</f>
        <v>0</v>
      </c>
      <c r="AM51" s="44" t="e">
        <f t="shared" si="1"/>
        <v>#DIV/0!</v>
      </c>
      <c r="AO51" s="33">
        <f t="shared" si="2"/>
        <v>0</v>
      </c>
      <c r="AP51" s="33">
        <f t="shared" si="3"/>
        <v>0</v>
      </c>
      <c r="AQ51" s="33">
        <f t="shared" si="4"/>
        <v>0</v>
      </c>
    </row>
    <row r="52" spans="1:43" x14ac:dyDescent="0.25">
      <c r="A52" s="33">
        <f>Üldinfo!A51</f>
        <v>48</v>
      </c>
      <c r="B52" s="33" t="str">
        <f>Üldinfo!B51</f>
        <v>Alaealine</v>
      </c>
      <c r="C52" s="33" t="str">
        <f>Üldinfo!C51</f>
        <v>2-5 a</v>
      </c>
      <c r="D52" s="41"/>
      <c r="E52" s="41"/>
      <c r="F52" s="41"/>
      <c r="G52" s="41"/>
      <c r="H52" s="41"/>
      <c r="I52" s="41"/>
      <c r="J52" s="41"/>
      <c r="K52" s="42"/>
      <c r="L52" s="40"/>
      <c r="M52" s="41"/>
      <c r="N52" s="41"/>
      <c r="O52" s="41"/>
      <c r="P52" s="41"/>
      <c r="Q52" s="41"/>
      <c r="R52" s="41"/>
      <c r="S52" s="42"/>
      <c r="T52" s="40"/>
      <c r="U52" s="41"/>
      <c r="V52" s="41"/>
      <c r="W52" s="41"/>
      <c r="X52" s="41"/>
      <c r="Y52" s="41"/>
      <c r="Z52" s="41"/>
      <c r="AA52" s="42"/>
      <c r="AB52" s="40"/>
      <c r="AC52" s="41"/>
      <c r="AD52" s="41"/>
      <c r="AE52" s="41"/>
      <c r="AF52" s="41"/>
      <c r="AG52" s="41"/>
      <c r="AH52" s="41"/>
      <c r="AI52" s="42"/>
      <c r="AK52" s="33">
        <f t="shared" si="0"/>
        <v>0</v>
      </c>
      <c r="AL52" s="33">
        <f>Üldinfo!AM51</f>
        <v>0</v>
      </c>
      <c r="AM52" s="44" t="e">
        <f t="shared" si="1"/>
        <v>#DIV/0!</v>
      </c>
      <c r="AO52" s="33">
        <f t="shared" si="2"/>
        <v>0</v>
      </c>
      <c r="AP52" s="33">
        <f t="shared" si="3"/>
        <v>0</v>
      </c>
      <c r="AQ52" s="33">
        <f t="shared" si="4"/>
        <v>0</v>
      </c>
    </row>
    <row r="53" spans="1:43" x14ac:dyDescent="0.25">
      <c r="A53" s="33">
        <f>Üldinfo!A52</f>
        <v>49</v>
      </c>
      <c r="B53" s="33" t="str">
        <f>Üldinfo!B52</f>
        <v>Alaealine</v>
      </c>
      <c r="C53" s="33" t="str">
        <f>Üldinfo!C52</f>
        <v>12-15 a</v>
      </c>
      <c r="D53" s="41"/>
      <c r="E53" s="41"/>
      <c r="F53" s="41"/>
      <c r="G53" s="41"/>
      <c r="H53" s="41"/>
      <c r="I53" s="41"/>
      <c r="J53" s="41"/>
      <c r="K53" s="42"/>
      <c r="L53" s="40"/>
      <c r="M53" s="41"/>
      <c r="N53" s="41"/>
      <c r="O53" s="41"/>
      <c r="P53" s="41"/>
      <c r="Q53" s="41"/>
      <c r="R53" s="41"/>
      <c r="S53" s="42"/>
      <c r="T53" s="40"/>
      <c r="U53" s="41"/>
      <c r="V53" s="41"/>
      <c r="W53" s="41"/>
      <c r="X53" s="41"/>
      <c r="Y53" s="41"/>
      <c r="Z53" s="41"/>
      <c r="AA53" s="42"/>
      <c r="AB53" s="40"/>
      <c r="AC53" s="41"/>
      <c r="AD53" s="41"/>
      <c r="AE53" s="41"/>
      <c r="AF53" s="41"/>
      <c r="AG53" s="41"/>
      <c r="AH53" s="41"/>
      <c r="AI53" s="42"/>
      <c r="AK53" s="33">
        <f t="shared" si="0"/>
        <v>0</v>
      </c>
      <c r="AL53" s="33">
        <f>Üldinfo!AM52</f>
        <v>4</v>
      </c>
      <c r="AM53" s="44">
        <f t="shared" si="1"/>
        <v>0</v>
      </c>
      <c r="AO53" s="33">
        <f t="shared" si="2"/>
        <v>0</v>
      </c>
      <c r="AP53" s="33">
        <f t="shared" si="3"/>
        <v>0</v>
      </c>
      <c r="AQ53" s="33">
        <f t="shared" si="4"/>
        <v>0</v>
      </c>
    </row>
    <row r="54" spans="1:43" x14ac:dyDescent="0.25">
      <c r="A54" s="33">
        <f>Üldinfo!A53</f>
        <v>50</v>
      </c>
      <c r="B54" s="33" t="str">
        <f>Üldinfo!B53</f>
        <v>Mees</v>
      </c>
      <c r="C54" s="33" t="str">
        <f>Üldinfo!C53</f>
        <v>40+ a</v>
      </c>
      <c r="D54" s="41"/>
      <c r="E54" s="41"/>
      <c r="F54" s="41"/>
      <c r="G54" s="41"/>
      <c r="H54" s="41"/>
      <c r="I54" s="41"/>
      <c r="J54" s="41"/>
      <c r="K54" s="42" t="s">
        <v>98</v>
      </c>
      <c r="L54" s="40"/>
      <c r="M54" s="41" t="s">
        <v>98</v>
      </c>
      <c r="N54" s="41"/>
      <c r="O54" s="41"/>
      <c r="P54" s="41"/>
      <c r="Q54" s="41"/>
      <c r="R54" s="41"/>
      <c r="S54" s="42"/>
      <c r="T54" s="40"/>
      <c r="U54" s="41"/>
      <c r="V54" s="41"/>
      <c r="W54" s="41"/>
      <c r="X54" s="41"/>
      <c r="Y54" s="41" t="s">
        <v>98</v>
      </c>
      <c r="Z54" s="41"/>
      <c r="AA54" s="42" t="s">
        <v>98</v>
      </c>
      <c r="AB54" s="40"/>
      <c r="AC54" s="41" t="s">
        <v>98</v>
      </c>
      <c r="AD54" s="41" t="s">
        <v>98</v>
      </c>
      <c r="AE54" s="41" t="s">
        <v>68</v>
      </c>
      <c r="AF54" s="41"/>
      <c r="AG54" s="41"/>
      <c r="AH54" s="41"/>
      <c r="AI54" s="42"/>
      <c r="AK54" s="33">
        <f t="shared" si="0"/>
        <v>7</v>
      </c>
      <c r="AL54" s="33">
        <f>Üldinfo!AM53</f>
        <v>13</v>
      </c>
      <c r="AM54" s="44">
        <f t="shared" si="1"/>
        <v>0.53846153846153844</v>
      </c>
      <c r="AO54" s="33">
        <f t="shared" si="2"/>
        <v>7</v>
      </c>
      <c r="AP54" s="33">
        <f t="shared" si="3"/>
        <v>0</v>
      </c>
      <c r="AQ54" s="33">
        <f t="shared" si="4"/>
        <v>0</v>
      </c>
    </row>
    <row r="55" spans="1:43" x14ac:dyDescent="0.25">
      <c r="A55" s="33">
        <f>Üldinfo!A54</f>
        <v>51</v>
      </c>
      <c r="B55" s="33" t="str">
        <f>Üldinfo!B54</f>
        <v>Naine</v>
      </c>
      <c r="C55" s="33" t="str">
        <f>Üldinfo!C54</f>
        <v>40+ a</v>
      </c>
      <c r="D55" s="41"/>
      <c r="E55" s="41"/>
      <c r="F55" s="41"/>
      <c r="G55" s="41"/>
      <c r="H55" s="41"/>
      <c r="I55" s="41"/>
      <c r="J55" s="41"/>
      <c r="K55" s="42"/>
      <c r="L55" s="40"/>
      <c r="M55" s="41"/>
      <c r="N55" s="41"/>
      <c r="O55" s="41"/>
      <c r="P55" s="41"/>
      <c r="Q55" s="41"/>
      <c r="R55" s="41"/>
      <c r="S55" s="42"/>
      <c r="T55" s="40"/>
      <c r="U55" s="41"/>
      <c r="V55" s="41"/>
      <c r="W55" s="41"/>
      <c r="X55" s="41"/>
      <c r="Y55" s="41"/>
      <c r="Z55" s="41"/>
      <c r="AA55" s="42"/>
      <c r="AB55" s="40"/>
      <c r="AC55" s="41"/>
      <c r="AD55" s="41"/>
      <c r="AE55" s="41"/>
      <c r="AF55" s="41"/>
      <c r="AG55" s="41"/>
      <c r="AH55" s="41"/>
      <c r="AI55" s="42"/>
      <c r="AK55" s="33">
        <f t="shared" si="0"/>
        <v>0</v>
      </c>
      <c r="AL55" s="33">
        <f>Üldinfo!AM54</f>
        <v>0</v>
      </c>
      <c r="AM55" s="44" t="e">
        <f t="shared" si="1"/>
        <v>#DIV/0!</v>
      </c>
      <c r="AO55" s="33">
        <f t="shared" si="2"/>
        <v>0</v>
      </c>
      <c r="AP55" s="33">
        <f t="shared" si="3"/>
        <v>0</v>
      </c>
      <c r="AQ55" s="33">
        <f t="shared" si="4"/>
        <v>0</v>
      </c>
    </row>
    <row r="56" spans="1:43" x14ac:dyDescent="0.25">
      <c r="A56" s="33">
        <f>Üldinfo!A55</f>
        <v>52</v>
      </c>
      <c r="B56" s="33" t="str">
        <f>Üldinfo!B55</f>
        <v>Naine</v>
      </c>
      <c r="C56" s="33" t="str">
        <f>Üldinfo!C55</f>
        <v>17-25 a</v>
      </c>
      <c r="D56" s="41"/>
      <c r="E56" s="41"/>
      <c r="F56" s="41"/>
      <c r="G56" s="41"/>
      <c r="H56" s="41"/>
      <c r="I56" s="41" t="s">
        <v>98</v>
      </c>
      <c r="J56" s="41"/>
      <c r="K56" s="42"/>
      <c r="L56" s="40"/>
      <c r="M56" s="41"/>
      <c r="N56" s="41" t="s">
        <v>98</v>
      </c>
      <c r="O56" s="41"/>
      <c r="P56" s="41"/>
      <c r="Q56" s="41"/>
      <c r="R56" s="41"/>
      <c r="S56" s="42"/>
      <c r="T56" s="40"/>
      <c r="U56" s="41"/>
      <c r="V56" s="41"/>
      <c r="W56" s="41"/>
      <c r="X56" s="41" t="s">
        <v>68</v>
      </c>
      <c r="Y56" s="41" t="s">
        <v>98</v>
      </c>
      <c r="Z56" s="41"/>
      <c r="AA56" s="42"/>
      <c r="AB56" s="40"/>
      <c r="AC56" s="41"/>
      <c r="AD56" s="41"/>
      <c r="AE56" s="41" t="s">
        <v>68</v>
      </c>
      <c r="AF56" s="41"/>
      <c r="AG56" s="41"/>
      <c r="AH56" s="41"/>
      <c r="AI56" s="42"/>
      <c r="AK56" s="33">
        <f t="shared" si="0"/>
        <v>5</v>
      </c>
      <c r="AL56" s="33">
        <f>Üldinfo!AM55</f>
        <v>17</v>
      </c>
      <c r="AM56" s="44">
        <f t="shared" si="1"/>
        <v>0.29411764705882354</v>
      </c>
      <c r="AO56" s="33">
        <f t="shared" si="2"/>
        <v>5</v>
      </c>
      <c r="AP56" s="33">
        <f t="shared" si="3"/>
        <v>0</v>
      </c>
      <c r="AQ56" s="33">
        <f t="shared" si="4"/>
        <v>0</v>
      </c>
    </row>
    <row r="57" spans="1:43" x14ac:dyDescent="0.25">
      <c r="A57" s="33">
        <f>Üldinfo!A56</f>
        <v>53</v>
      </c>
      <c r="B57" s="33" t="str">
        <f>Üldinfo!B56</f>
        <v>Täiskasvanu</v>
      </c>
      <c r="C57" s="33" t="str">
        <f>Üldinfo!C56</f>
        <v>Täiskasvanu</v>
      </c>
      <c r="D57" s="41"/>
      <c r="E57" s="41"/>
      <c r="F57" s="41"/>
      <c r="G57" s="41"/>
      <c r="H57" s="41"/>
      <c r="I57" s="41"/>
      <c r="J57" s="41"/>
      <c r="K57" s="42"/>
      <c r="L57" s="40"/>
      <c r="M57" s="41"/>
      <c r="N57" s="41"/>
      <c r="O57" s="41"/>
      <c r="P57" s="41"/>
      <c r="Q57" s="41"/>
      <c r="R57" s="41"/>
      <c r="S57" s="42"/>
      <c r="T57" s="40"/>
      <c r="U57" s="41"/>
      <c r="V57" s="41"/>
      <c r="W57" s="41"/>
      <c r="X57" s="41"/>
      <c r="Y57" s="41"/>
      <c r="Z57" s="41"/>
      <c r="AA57" s="42"/>
      <c r="AB57" s="40"/>
      <c r="AC57" s="41"/>
      <c r="AD57" s="41"/>
      <c r="AE57" s="41"/>
      <c r="AF57" s="41"/>
      <c r="AG57" s="41"/>
      <c r="AH57" s="41"/>
      <c r="AI57" s="42"/>
      <c r="AK57" s="33">
        <f t="shared" si="0"/>
        <v>0</v>
      </c>
      <c r="AL57" s="33">
        <f>Üldinfo!AM56</f>
        <v>0</v>
      </c>
      <c r="AM57" s="44" t="e">
        <f t="shared" si="1"/>
        <v>#DIV/0!</v>
      </c>
      <c r="AO57" s="33">
        <f t="shared" si="2"/>
        <v>0</v>
      </c>
      <c r="AP57" s="33">
        <f t="shared" si="3"/>
        <v>0</v>
      </c>
      <c r="AQ57" s="33">
        <f t="shared" si="4"/>
        <v>0</v>
      </c>
    </row>
    <row r="58" spans="1:43" x14ac:dyDescent="0.25">
      <c r="A58" s="33">
        <f>Üldinfo!A57</f>
        <v>54</v>
      </c>
      <c r="B58" s="33" t="str">
        <f>Üldinfo!B57</f>
        <v>Täiskasvanu</v>
      </c>
      <c r="C58" s="33" t="str">
        <f>Üldinfo!C57</f>
        <v>Täiskasvanu</v>
      </c>
      <c r="D58" s="41"/>
      <c r="E58" s="41"/>
      <c r="F58" s="41"/>
      <c r="G58" s="41"/>
      <c r="H58" s="41"/>
      <c r="I58" s="41"/>
      <c r="J58" s="41"/>
      <c r="K58" s="42"/>
      <c r="L58" s="40"/>
      <c r="M58" s="41"/>
      <c r="N58" s="41"/>
      <c r="O58" s="41"/>
      <c r="P58" s="41"/>
      <c r="Q58" s="41"/>
      <c r="R58" s="41"/>
      <c r="S58" s="42"/>
      <c r="T58" s="40"/>
      <c r="U58" s="41"/>
      <c r="V58" s="41"/>
      <c r="W58" s="41"/>
      <c r="X58" s="41"/>
      <c r="Y58" s="41"/>
      <c r="Z58" s="41"/>
      <c r="AA58" s="42"/>
      <c r="AB58" s="40"/>
      <c r="AC58" s="41"/>
      <c r="AD58" s="41"/>
      <c r="AE58" s="41"/>
      <c r="AF58" s="41"/>
      <c r="AG58" s="41"/>
      <c r="AH58" s="41"/>
      <c r="AI58" s="42"/>
      <c r="AK58" s="33">
        <f t="shared" si="0"/>
        <v>0</v>
      </c>
      <c r="AL58" s="33">
        <f>Üldinfo!AM57</f>
        <v>0</v>
      </c>
      <c r="AM58" s="44" t="e">
        <f t="shared" si="1"/>
        <v>#DIV/0!</v>
      </c>
      <c r="AO58" s="33">
        <f t="shared" si="2"/>
        <v>0</v>
      </c>
      <c r="AP58" s="33">
        <f t="shared" si="3"/>
        <v>0</v>
      </c>
      <c r="AQ58" s="33">
        <f t="shared" si="4"/>
        <v>0</v>
      </c>
    </row>
    <row r="59" spans="1:43" x14ac:dyDescent="0.25">
      <c r="A59" s="33">
        <f>Üldinfo!A58</f>
        <v>55</v>
      </c>
      <c r="B59" s="33" t="str">
        <f>Üldinfo!B58</f>
        <v>Naine</v>
      </c>
      <c r="C59" s="33" t="str">
        <f>Üldinfo!C58</f>
        <v>18-19 a</v>
      </c>
      <c r="D59" s="41"/>
      <c r="E59" s="41"/>
      <c r="F59" s="41"/>
      <c r="G59" s="41"/>
      <c r="H59" s="41"/>
      <c r="I59" s="41"/>
      <c r="J59" s="41"/>
      <c r="K59" s="42"/>
      <c r="L59" s="40"/>
      <c r="M59" s="41"/>
      <c r="N59" s="41"/>
      <c r="O59" s="41"/>
      <c r="P59" s="41"/>
      <c r="Q59" s="41"/>
      <c r="R59" s="41"/>
      <c r="S59" s="42"/>
      <c r="T59" s="40"/>
      <c r="U59" s="41"/>
      <c r="V59" s="41"/>
      <c r="W59" s="41"/>
      <c r="X59" s="41"/>
      <c r="Y59" s="41"/>
      <c r="Z59" s="41"/>
      <c r="AA59" s="42"/>
      <c r="AB59" s="40"/>
      <c r="AC59" s="41"/>
      <c r="AD59" s="41" t="s">
        <v>68</v>
      </c>
      <c r="AE59" s="41" t="s">
        <v>68</v>
      </c>
      <c r="AF59" s="41"/>
      <c r="AG59" s="41"/>
      <c r="AH59" s="41"/>
      <c r="AI59" s="42"/>
      <c r="AK59" s="33">
        <f t="shared" si="0"/>
        <v>2</v>
      </c>
      <c r="AL59" s="33">
        <f>Üldinfo!AM58</f>
        <v>7</v>
      </c>
      <c r="AM59" s="44">
        <f t="shared" si="1"/>
        <v>0.2857142857142857</v>
      </c>
      <c r="AO59" s="33">
        <f t="shared" si="2"/>
        <v>2</v>
      </c>
      <c r="AP59" s="33">
        <f t="shared" si="3"/>
        <v>0</v>
      </c>
      <c r="AQ59" s="33">
        <f t="shared" si="4"/>
        <v>0</v>
      </c>
    </row>
    <row r="60" spans="1:43" x14ac:dyDescent="0.25">
      <c r="A60" s="33">
        <f>Üldinfo!A59</f>
        <v>56</v>
      </c>
      <c r="B60" s="33" t="str">
        <f>Üldinfo!B59</f>
        <v>Naine</v>
      </c>
      <c r="C60" s="33" t="str">
        <f>Üldinfo!C59</f>
        <v>40+ a</v>
      </c>
      <c r="D60" s="41"/>
      <c r="E60" s="41"/>
      <c r="F60" s="41"/>
      <c r="G60" s="41"/>
      <c r="H60" s="41"/>
      <c r="I60" s="41"/>
      <c r="J60" s="41"/>
      <c r="K60" s="42"/>
      <c r="L60" s="40"/>
      <c r="M60" s="41"/>
      <c r="N60" s="41"/>
      <c r="O60" s="41"/>
      <c r="P60" s="41"/>
      <c r="Q60" s="41"/>
      <c r="R60" s="41"/>
      <c r="S60" s="42"/>
      <c r="T60" s="40"/>
      <c r="U60" s="41"/>
      <c r="V60" s="41"/>
      <c r="W60" s="41"/>
      <c r="X60" s="41"/>
      <c r="Y60" s="41"/>
      <c r="Z60" s="41"/>
      <c r="AA60" s="42"/>
      <c r="AB60" s="40"/>
      <c r="AC60" s="41"/>
      <c r="AD60" s="41"/>
      <c r="AE60" s="41"/>
      <c r="AF60" s="41"/>
      <c r="AG60" s="41"/>
      <c r="AH60" s="41"/>
      <c r="AI60" s="42"/>
      <c r="AK60" s="33">
        <f t="shared" si="0"/>
        <v>0</v>
      </c>
      <c r="AL60" s="33">
        <f>Üldinfo!AM59</f>
        <v>0</v>
      </c>
      <c r="AM60" s="44" t="e">
        <f t="shared" si="1"/>
        <v>#DIV/0!</v>
      </c>
      <c r="AO60" s="33">
        <f t="shared" si="2"/>
        <v>0</v>
      </c>
      <c r="AP60" s="33">
        <f t="shared" si="3"/>
        <v>0</v>
      </c>
      <c r="AQ60" s="33">
        <f t="shared" si="4"/>
        <v>0</v>
      </c>
    </row>
    <row r="61" spans="1:43" x14ac:dyDescent="0.25">
      <c r="A61" s="33">
        <f>Üldinfo!A60</f>
        <v>57</v>
      </c>
      <c r="B61" s="33" t="str">
        <f>Üldinfo!B60</f>
        <v>Alaealine</v>
      </c>
      <c r="C61" s="33" t="str">
        <f>Üldinfo!C60</f>
        <v>7-11 a</v>
      </c>
      <c r="D61" s="41"/>
      <c r="E61" s="41"/>
      <c r="F61" s="41"/>
      <c r="G61" s="41"/>
      <c r="H61" s="41"/>
      <c r="I61" s="41"/>
      <c r="J61" s="41" t="s">
        <v>68</v>
      </c>
      <c r="K61" s="42" t="s">
        <v>68</v>
      </c>
      <c r="L61" s="40" t="s">
        <v>68</v>
      </c>
      <c r="M61" s="41"/>
      <c r="N61" s="41"/>
      <c r="O61" s="41"/>
      <c r="P61" s="41"/>
      <c r="Q61" s="41"/>
      <c r="R61" s="41"/>
      <c r="S61" s="42"/>
      <c r="T61" s="40"/>
      <c r="U61" s="41"/>
      <c r="V61" s="41"/>
      <c r="W61" s="41"/>
      <c r="X61" s="41"/>
      <c r="Y61" s="41"/>
      <c r="Z61" s="41"/>
      <c r="AA61" s="42"/>
      <c r="AB61" s="40"/>
      <c r="AC61" s="41" t="s">
        <v>68</v>
      </c>
      <c r="AD61" s="41"/>
      <c r="AE61" s="41"/>
      <c r="AF61" s="41"/>
      <c r="AG61" s="41"/>
      <c r="AH61" s="41"/>
      <c r="AI61" s="42"/>
      <c r="AK61" s="33">
        <f t="shared" si="0"/>
        <v>4</v>
      </c>
      <c r="AL61" s="33">
        <f>Üldinfo!AM60</f>
        <v>22</v>
      </c>
      <c r="AM61" s="44">
        <f t="shared" si="1"/>
        <v>0.18181818181818182</v>
      </c>
      <c r="AO61" s="33">
        <f t="shared" si="2"/>
        <v>4</v>
      </c>
      <c r="AP61" s="33">
        <f t="shared" si="3"/>
        <v>0</v>
      </c>
      <c r="AQ61" s="33">
        <f t="shared" si="4"/>
        <v>0</v>
      </c>
    </row>
    <row r="62" spans="1:43" x14ac:dyDescent="0.25">
      <c r="A62" s="33">
        <f>Üldinfo!A61</f>
        <v>58</v>
      </c>
      <c r="B62" s="33" t="str">
        <f>Üldinfo!B61</f>
        <v>Alaealine</v>
      </c>
      <c r="C62" s="33" t="str">
        <f>Üldinfo!C61</f>
        <v>1 a ± 4 k</v>
      </c>
      <c r="D62" s="41"/>
      <c r="E62" s="41"/>
      <c r="F62" s="41"/>
      <c r="G62" s="41"/>
      <c r="H62" s="41"/>
      <c r="I62" s="41"/>
      <c r="J62" s="41"/>
      <c r="K62" s="42"/>
      <c r="L62" s="40"/>
      <c r="M62" s="41"/>
      <c r="N62" s="41"/>
      <c r="O62" s="41"/>
      <c r="P62" s="41"/>
      <c r="Q62" s="41"/>
      <c r="R62" s="41"/>
      <c r="S62" s="42"/>
      <c r="T62" s="40"/>
      <c r="U62" s="41"/>
      <c r="V62" s="41"/>
      <c r="W62" s="41"/>
      <c r="X62" s="41"/>
      <c r="Y62" s="41"/>
      <c r="Z62" s="41"/>
      <c r="AA62" s="42"/>
      <c r="AB62" s="40"/>
      <c r="AC62" s="41"/>
      <c r="AD62" s="41"/>
      <c r="AE62" s="41"/>
      <c r="AF62" s="41"/>
      <c r="AG62" s="41"/>
      <c r="AH62" s="41"/>
      <c r="AI62" s="42"/>
      <c r="AK62" s="33">
        <f t="shared" si="0"/>
        <v>0</v>
      </c>
      <c r="AL62" s="33">
        <f>Üldinfo!AM61</f>
        <v>1</v>
      </c>
      <c r="AM62" s="44">
        <f t="shared" si="1"/>
        <v>0</v>
      </c>
      <c r="AO62" s="33">
        <f t="shared" si="2"/>
        <v>0</v>
      </c>
      <c r="AP62" s="33">
        <f t="shared" si="3"/>
        <v>0</v>
      </c>
      <c r="AQ62" s="33">
        <f t="shared" si="4"/>
        <v>0</v>
      </c>
    </row>
    <row r="63" spans="1:43" x14ac:dyDescent="0.25">
      <c r="A63" s="33">
        <f>Üldinfo!A62</f>
        <v>59</v>
      </c>
      <c r="B63" s="33" t="str">
        <f>Üldinfo!B62</f>
        <v>Mees</v>
      </c>
      <c r="C63" s="33" t="str">
        <f>Üldinfo!C62</f>
        <v>17-22 a</v>
      </c>
      <c r="D63" s="41"/>
      <c r="E63" s="41"/>
      <c r="F63" s="41"/>
      <c r="G63" s="41"/>
      <c r="H63" s="41"/>
      <c r="I63" s="41"/>
      <c r="J63" s="41"/>
      <c r="K63" s="42"/>
      <c r="L63" s="40"/>
      <c r="M63" s="41"/>
      <c r="N63" s="41"/>
      <c r="O63" s="41"/>
      <c r="P63" s="41"/>
      <c r="Q63" s="41"/>
      <c r="R63" s="41"/>
      <c r="S63" s="42"/>
      <c r="T63" s="40"/>
      <c r="U63" s="41"/>
      <c r="V63" s="41"/>
      <c r="W63" s="41"/>
      <c r="X63" s="41"/>
      <c r="Y63" s="41" t="s">
        <v>68</v>
      </c>
      <c r="Z63" s="41"/>
      <c r="AA63" s="42"/>
      <c r="AB63" s="40"/>
      <c r="AC63" s="41"/>
      <c r="AD63" s="41"/>
      <c r="AE63" s="41"/>
      <c r="AF63" s="41"/>
      <c r="AG63" s="41"/>
      <c r="AH63" s="41"/>
      <c r="AI63" s="42"/>
      <c r="AK63" s="33">
        <f t="shared" si="0"/>
        <v>1</v>
      </c>
      <c r="AL63" s="33">
        <f>Üldinfo!AM62</f>
        <v>32</v>
      </c>
      <c r="AM63" s="44">
        <f t="shared" si="1"/>
        <v>3.125E-2</v>
      </c>
      <c r="AO63" s="33">
        <f t="shared" si="2"/>
        <v>1</v>
      </c>
      <c r="AP63" s="33">
        <f t="shared" si="3"/>
        <v>0</v>
      </c>
      <c r="AQ63" s="33">
        <f t="shared" si="4"/>
        <v>0</v>
      </c>
    </row>
    <row r="64" spans="1:43" x14ac:dyDescent="0.25">
      <c r="A64" s="33">
        <f>Üldinfo!A63</f>
        <v>60</v>
      </c>
      <c r="B64" s="33" t="str">
        <f>Üldinfo!B63</f>
        <v>Täiskasvanu</v>
      </c>
      <c r="C64" s="33" t="str">
        <f>Üldinfo!C63</f>
        <v>Täiskasvanu</v>
      </c>
      <c r="D64" s="41"/>
      <c r="E64" s="41"/>
      <c r="F64" s="41"/>
      <c r="G64" s="41"/>
      <c r="H64" s="41"/>
      <c r="I64" s="41"/>
      <c r="J64" s="41"/>
      <c r="K64" s="42"/>
      <c r="L64" s="40"/>
      <c r="M64" s="41"/>
      <c r="N64" s="41"/>
      <c r="O64" s="41"/>
      <c r="P64" s="41"/>
      <c r="Q64" s="41"/>
      <c r="R64" s="41"/>
      <c r="S64" s="42"/>
      <c r="T64" s="40"/>
      <c r="U64" s="41"/>
      <c r="V64" s="41"/>
      <c r="W64" s="41"/>
      <c r="X64" s="41"/>
      <c r="Y64" s="41"/>
      <c r="Z64" s="41"/>
      <c r="AA64" s="42"/>
      <c r="AB64" s="40"/>
      <c r="AC64" s="41"/>
      <c r="AD64" s="41"/>
      <c r="AE64" s="41"/>
      <c r="AF64" s="41"/>
      <c r="AG64" s="41"/>
      <c r="AH64" s="41"/>
      <c r="AI64" s="42"/>
      <c r="AK64" s="33">
        <f t="shared" si="0"/>
        <v>0</v>
      </c>
      <c r="AL64" s="33">
        <f>Üldinfo!AM63</f>
        <v>0</v>
      </c>
      <c r="AM64" s="44" t="e">
        <f t="shared" si="1"/>
        <v>#DIV/0!</v>
      </c>
      <c r="AO64" s="33">
        <f t="shared" si="2"/>
        <v>0</v>
      </c>
      <c r="AP64" s="33">
        <f t="shared" si="3"/>
        <v>0</v>
      </c>
      <c r="AQ64" s="33">
        <f t="shared" si="4"/>
        <v>0</v>
      </c>
    </row>
    <row r="65" spans="1:43" x14ac:dyDescent="0.25">
      <c r="A65" s="33">
        <f>Üldinfo!A64</f>
        <v>61</v>
      </c>
      <c r="B65" s="33" t="str">
        <f>Üldinfo!B64</f>
        <v>Mees</v>
      </c>
      <c r="C65" s="33" t="str">
        <f>Üldinfo!C64</f>
        <v>50+ a</v>
      </c>
      <c r="D65" s="41"/>
      <c r="E65" s="41"/>
      <c r="F65" s="41"/>
      <c r="G65" s="41"/>
      <c r="H65" s="41"/>
      <c r="I65" s="41"/>
      <c r="J65" s="41"/>
      <c r="K65" s="42"/>
      <c r="L65" s="40"/>
      <c r="M65" s="41"/>
      <c r="N65" s="41"/>
      <c r="O65" s="41"/>
      <c r="P65" s="41"/>
      <c r="Q65" s="41"/>
      <c r="R65" s="41"/>
      <c r="S65" s="42"/>
      <c r="T65" s="40"/>
      <c r="U65" s="41"/>
      <c r="V65" s="41"/>
      <c r="W65" s="41"/>
      <c r="X65" s="41"/>
      <c r="Y65" s="41"/>
      <c r="Z65" s="41"/>
      <c r="AA65" s="42"/>
      <c r="AB65" s="40"/>
      <c r="AC65" s="41"/>
      <c r="AD65" s="41"/>
      <c r="AE65" s="41"/>
      <c r="AF65" s="41"/>
      <c r="AG65" s="41"/>
      <c r="AH65" s="41"/>
      <c r="AI65" s="42"/>
      <c r="AK65" s="33">
        <f t="shared" si="0"/>
        <v>0</v>
      </c>
      <c r="AL65" s="33">
        <f>Üldinfo!AM64</f>
        <v>10</v>
      </c>
      <c r="AM65" s="44">
        <f t="shared" si="1"/>
        <v>0</v>
      </c>
      <c r="AO65" s="33">
        <f t="shared" si="2"/>
        <v>0</v>
      </c>
      <c r="AP65" s="33">
        <f t="shared" si="3"/>
        <v>0</v>
      </c>
      <c r="AQ65" s="33">
        <f t="shared" si="4"/>
        <v>0</v>
      </c>
    </row>
    <row r="66" spans="1:43" x14ac:dyDescent="0.25">
      <c r="A66" s="33">
        <f>Üldinfo!A65</f>
        <v>62</v>
      </c>
      <c r="B66" s="33" t="str">
        <f>Üldinfo!B65</f>
        <v>Mees</v>
      </c>
      <c r="C66" s="33" t="str">
        <f>Üldinfo!C65</f>
        <v>Täiskasvanu</v>
      </c>
      <c r="D66" s="41"/>
      <c r="E66" s="41"/>
      <c r="F66" s="41"/>
      <c r="G66" s="41"/>
      <c r="H66" s="41"/>
      <c r="I66" s="41"/>
      <c r="J66" s="41"/>
      <c r="K66" s="42"/>
      <c r="L66" s="40"/>
      <c r="M66" s="41"/>
      <c r="N66" s="41"/>
      <c r="O66" s="41"/>
      <c r="P66" s="41"/>
      <c r="Q66" s="41"/>
      <c r="R66" s="41"/>
      <c r="S66" s="42"/>
      <c r="T66" s="40"/>
      <c r="U66" s="41"/>
      <c r="V66" s="41"/>
      <c r="W66" s="41"/>
      <c r="X66" s="41"/>
      <c r="Y66" s="41"/>
      <c r="Z66" s="41"/>
      <c r="AA66" s="42"/>
      <c r="AB66" s="40"/>
      <c r="AC66" s="41"/>
      <c r="AD66" s="41"/>
      <c r="AE66" s="41"/>
      <c r="AF66" s="41"/>
      <c r="AG66" s="41"/>
      <c r="AH66" s="41"/>
      <c r="AI66" s="42"/>
      <c r="AK66" s="33">
        <f t="shared" si="0"/>
        <v>0</v>
      </c>
      <c r="AL66" s="33">
        <f>Üldinfo!AM65</f>
        <v>0</v>
      </c>
      <c r="AM66" s="44" t="e">
        <f t="shared" si="1"/>
        <v>#DIV/0!</v>
      </c>
      <c r="AO66" s="33">
        <f t="shared" si="2"/>
        <v>0</v>
      </c>
      <c r="AP66" s="33">
        <f t="shared" si="3"/>
        <v>0</v>
      </c>
      <c r="AQ66" s="33">
        <f t="shared" si="4"/>
        <v>0</v>
      </c>
    </row>
    <row r="67" spans="1:43" x14ac:dyDescent="0.25">
      <c r="A67" s="33">
        <f>Üldinfo!A66</f>
        <v>63</v>
      </c>
      <c r="B67" s="33" t="str">
        <f>Üldinfo!B66</f>
        <v>Mees</v>
      </c>
      <c r="C67" s="33" t="str">
        <f>Üldinfo!C66</f>
        <v>Täiskasvanu</v>
      </c>
      <c r="D67" s="41"/>
      <c r="E67" s="41"/>
      <c r="F67" s="41"/>
      <c r="G67" s="41"/>
      <c r="H67" s="41"/>
      <c r="I67" s="41"/>
      <c r="J67" s="41"/>
      <c r="K67" s="42"/>
      <c r="L67" s="40"/>
      <c r="M67" s="41"/>
      <c r="N67" s="41"/>
      <c r="O67" s="41"/>
      <c r="P67" s="41"/>
      <c r="Q67" s="41"/>
      <c r="R67" s="41"/>
      <c r="S67" s="42"/>
      <c r="T67" s="40"/>
      <c r="U67" s="41"/>
      <c r="V67" s="41"/>
      <c r="W67" s="41"/>
      <c r="X67" s="41"/>
      <c r="Y67" s="41"/>
      <c r="Z67" s="41"/>
      <c r="AA67" s="42"/>
      <c r="AB67" s="40"/>
      <c r="AC67" s="41"/>
      <c r="AD67" s="41"/>
      <c r="AE67" s="41"/>
      <c r="AF67" s="41"/>
      <c r="AG67" s="41"/>
      <c r="AH67" s="41"/>
      <c r="AI67" s="42"/>
      <c r="AK67" s="33">
        <f t="shared" si="0"/>
        <v>0</v>
      </c>
      <c r="AL67" s="33">
        <f>Üldinfo!AM66</f>
        <v>0</v>
      </c>
      <c r="AM67" s="44" t="e">
        <f t="shared" si="1"/>
        <v>#DIV/0!</v>
      </c>
      <c r="AO67" s="33">
        <f t="shared" si="2"/>
        <v>0</v>
      </c>
      <c r="AP67" s="33">
        <f t="shared" si="3"/>
        <v>0</v>
      </c>
      <c r="AQ67" s="33">
        <f t="shared" si="4"/>
        <v>0</v>
      </c>
    </row>
    <row r="68" spans="1:43" x14ac:dyDescent="0.25">
      <c r="A68" s="33">
        <f>Üldinfo!A67</f>
        <v>64</v>
      </c>
      <c r="B68" s="33" t="str">
        <f>Üldinfo!B67</f>
        <v>Mees</v>
      </c>
      <c r="C68" s="33" t="str">
        <f>Üldinfo!C67</f>
        <v>Täiskasvanu</v>
      </c>
      <c r="D68" s="41"/>
      <c r="E68" s="41"/>
      <c r="F68" s="41"/>
      <c r="G68" s="41"/>
      <c r="H68" s="41"/>
      <c r="I68" s="41"/>
      <c r="J68" s="41"/>
      <c r="K68" s="42"/>
      <c r="L68" s="40"/>
      <c r="M68" s="41"/>
      <c r="N68" s="41"/>
      <c r="O68" s="41"/>
      <c r="P68" s="41"/>
      <c r="Q68" s="41"/>
      <c r="R68" s="41"/>
      <c r="S68" s="42"/>
      <c r="T68" s="40"/>
      <c r="U68" s="41"/>
      <c r="V68" s="41"/>
      <c r="W68" s="41"/>
      <c r="X68" s="41"/>
      <c r="Y68" s="41"/>
      <c r="Z68" s="41"/>
      <c r="AA68" s="42"/>
      <c r="AB68" s="40"/>
      <c r="AC68" s="41"/>
      <c r="AD68" s="41"/>
      <c r="AE68" s="41"/>
      <c r="AF68" s="41"/>
      <c r="AG68" s="41"/>
      <c r="AH68" s="41"/>
      <c r="AI68" s="42"/>
      <c r="AK68" s="33">
        <f t="shared" si="0"/>
        <v>0</v>
      </c>
      <c r="AL68" s="33">
        <f>Üldinfo!AM67</f>
        <v>0</v>
      </c>
      <c r="AM68" s="44" t="e">
        <f t="shared" si="1"/>
        <v>#DIV/0!</v>
      </c>
      <c r="AO68" s="33">
        <f t="shared" si="2"/>
        <v>0</v>
      </c>
      <c r="AP68" s="33">
        <f t="shared" si="3"/>
        <v>0</v>
      </c>
      <c r="AQ68" s="33">
        <f t="shared" si="4"/>
        <v>0</v>
      </c>
    </row>
    <row r="69" spans="1:43" x14ac:dyDescent="0.25">
      <c r="A69" s="33">
        <f>Üldinfo!A68</f>
        <v>65</v>
      </c>
      <c r="B69" s="33" t="str">
        <f>Üldinfo!B68</f>
        <v>Mees</v>
      </c>
      <c r="C69" s="33" t="str">
        <f>Üldinfo!C68</f>
        <v>39-44 a</v>
      </c>
      <c r="D69" s="41"/>
      <c r="E69" s="41"/>
      <c r="F69" s="41"/>
      <c r="G69" s="41"/>
      <c r="H69" s="41"/>
      <c r="I69" s="41"/>
      <c r="J69" s="41"/>
      <c r="K69" s="42"/>
      <c r="L69" s="40"/>
      <c r="M69" s="41"/>
      <c r="N69" s="41"/>
      <c r="O69" s="41"/>
      <c r="P69" s="41"/>
      <c r="Q69" s="41"/>
      <c r="R69" s="41"/>
      <c r="S69" s="42"/>
      <c r="T69" s="40"/>
      <c r="U69" s="41"/>
      <c r="V69" s="41"/>
      <c r="W69" s="41"/>
      <c r="X69" s="41"/>
      <c r="Y69" s="41"/>
      <c r="Z69" s="41"/>
      <c r="AA69" s="42"/>
      <c r="AB69" s="40"/>
      <c r="AC69" s="41"/>
      <c r="AD69" s="41"/>
      <c r="AE69" s="41"/>
      <c r="AF69" s="41"/>
      <c r="AG69" s="41"/>
      <c r="AH69" s="41"/>
      <c r="AI69" s="42"/>
      <c r="AK69" s="33">
        <f t="shared" si="0"/>
        <v>0</v>
      </c>
      <c r="AL69" s="33">
        <f>Üldinfo!AM68</f>
        <v>0</v>
      </c>
      <c r="AM69" s="44" t="e">
        <f t="shared" si="1"/>
        <v>#DIV/0!</v>
      </c>
      <c r="AO69" s="33">
        <f t="shared" si="2"/>
        <v>0</v>
      </c>
      <c r="AP69" s="33">
        <f t="shared" si="3"/>
        <v>0</v>
      </c>
      <c r="AQ69" s="33">
        <f t="shared" si="4"/>
        <v>0</v>
      </c>
    </row>
    <row r="70" spans="1:43" x14ac:dyDescent="0.25">
      <c r="A70" s="33">
        <f>Üldinfo!A69</f>
        <v>66</v>
      </c>
      <c r="B70" s="33" t="str">
        <f>Üldinfo!B69</f>
        <v>Täiskasvanu</v>
      </c>
      <c r="C70" s="33" t="str">
        <f>Üldinfo!C69</f>
        <v>Täiskasvanu</v>
      </c>
      <c r="D70" s="41"/>
      <c r="E70" s="41"/>
      <c r="F70" s="41"/>
      <c r="G70" s="41"/>
      <c r="H70" s="41"/>
      <c r="I70" s="41"/>
      <c r="J70" s="41"/>
      <c r="K70" s="42"/>
      <c r="L70" s="40"/>
      <c r="M70" s="41"/>
      <c r="N70" s="41"/>
      <c r="O70" s="41"/>
      <c r="P70" s="41"/>
      <c r="Q70" s="41"/>
      <c r="R70" s="41"/>
      <c r="S70" s="42"/>
      <c r="T70" s="40"/>
      <c r="U70" s="41"/>
      <c r="V70" s="41"/>
      <c r="W70" s="41"/>
      <c r="X70" s="41"/>
      <c r="Y70" s="41"/>
      <c r="Z70" s="41"/>
      <c r="AA70" s="42"/>
      <c r="AB70" s="40"/>
      <c r="AC70" s="41"/>
      <c r="AD70" s="41"/>
      <c r="AE70" s="41"/>
      <c r="AF70" s="41"/>
      <c r="AG70" s="41"/>
      <c r="AH70" s="41"/>
      <c r="AI70" s="42"/>
      <c r="AK70" s="33">
        <f t="shared" si="0"/>
        <v>0</v>
      </c>
      <c r="AL70" s="33">
        <f>Üldinfo!AM69</f>
        <v>0</v>
      </c>
      <c r="AM70" s="44" t="e">
        <f t="shared" si="1"/>
        <v>#DIV/0!</v>
      </c>
      <c r="AO70" s="33">
        <f t="shared" si="2"/>
        <v>0</v>
      </c>
      <c r="AP70" s="33">
        <f t="shared" si="3"/>
        <v>0</v>
      </c>
      <c r="AQ70" s="33">
        <f t="shared" si="4"/>
        <v>0</v>
      </c>
    </row>
    <row r="71" spans="1:43" x14ac:dyDescent="0.25">
      <c r="A71" s="33">
        <f>Üldinfo!A70</f>
        <v>67</v>
      </c>
      <c r="B71" s="33" t="str">
        <f>Üldinfo!B70</f>
        <v>Alaealine</v>
      </c>
      <c r="C71" s="33" t="str">
        <f>Üldinfo!C70</f>
        <v>7-11 a</v>
      </c>
      <c r="D71" s="41"/>
      <c r="E71" s="41"/>
      <c r="F71" s="41"/>
      <c r="G71" s="41"/>
      <c r="H71" s="41"/>
      <c r="I71" s="41"/>
      <c r="J71" s="41"/>
      <c r="K71" s="42"/>
      <c r="L71" s="40"/>
      <c r="M71" s="41"/>
      <c r="N71" s="41"/>
      <c r="O71" s="41"/>
      <c r="P71" s="41"/>
      <c r="Q71" s="41"/>
      <c r="R71" s="41"/>
      <c r="S71" s="42"/>
      <c r="T71" s="40"/>
      <c r="U71" s="41"/>
      <c r="V71" s="41"/>
      <c r="W71" s="41"/>
      <c r="X71" s="41"/>
      <c r="Y71" s="41"/>
      <c r="Z71" s="41"/>
      <c r="AA71" s="42"/>
      <c r="AB71" s="40"/>
      <c r="AC71" s="41"/>
      <c r="AD71" s="41"/>
      <c r="AE71" s="41"/>
      <c r="AF71" s="41"/>
      <c r="AG71" s="41"/>
      <c r="AH71" s="41"/>
      <c r="AI71" s="42"/>
      <c r="AK71" s="33">
        <f t="shared" si="0"/>
        <v>0</v>
      </c>
      <c r="AL71" s="33">
        <f>Üldinfo!AM70</f>
        <v>13</v>
      </c>
      <c r="AM71" s="44">
        <f t="shared" si="1"/>
        <v>0</v>
      </c>
      <c r="AO71" s="33">
        <f t="shared" si="2"/>
        <v>0</v>
      </c>
      <c r="AP71" s="33">
        <f t="shared" si="3"/>
        <v>0</v>
      </c>
      <c r="AQ71" s="33">
        <f t="shared" si="4"/>
        <v>0</v>
      </c>
    </row>
    <row r="72" spans="1:43" x14ac:dyDescent="0.25">
      <c r="A72" s="33">
        <f>Üldinfo!A71</f>
        <v>68</v>
      </c>
      <c r="B72" s="33" t="str">
        <f>Üldinfo!B71</f>
        <v>Naine</v>
      </c>
      <c r="C72" s="33" t="str">
        <f>Üldinfo!C71</f>
        <v>40+ a</v>
      </c>
      <c r="D72" s="41"/>
      <c r="E72" s="41"/>
      <c r="F72" s="41"/>
      <c r="G72" s="41"/>
      <c r="H72" s="41"/>
      <c r="I72" s="41"/>
      <c r="J72" s="41"/>
      <c r="K72" s="42"/>
      <c r="L72" s="40"/>
      <c r="M72" s="41"/>
      <c r="N72" s="41"/>
      <c r="O72" s="41"/>
      <c r="P72" s="41"/>
      <c r="Q72" s="41"/>
      <c r="R72" s="41"/>
      <c r="S72" s="42"/>
      <c r="T72" s="40"/>
      <c r="U72" s="41"/>
      <c r="V72" s="41"/>
      <c r="W72" s="41"/>
      <c r="X72" s="41"/>
      <c r="Y72" s="41"/>
      <c r="Z72" s="41"/>
      <c r="AA72" s="42"/>
      <c r="AB72" s="40"/>
      <c r="AC72" s="41"/>
      <c r="AD72" s="41"/>
      <c r="AE72" s="41"/>
      <c r="AF72" s="41"/>
      <c r="AG72" s="41"/>
      <c r="AH72" s="41"/>
      <c r="AI72" s="42"/>
      <c r="AK72" s="33">
        <f t="shared" si="0"/>
        <v>0</v>
      </c>
      <c r="AL72" s="33">
        <f>Üldinfo!AM71</f>
        <v>0</v>
      </c>
      <c r="AM72" s="44" t="e">
        <f t="shared" si="1"/>
        <v>#DIV/0!</v>
      </c>
      <c r="AO72" s="33">
        <f t="shared" si="2"/>
        <v>0</v>
      </c>
      <c r="AP72" s="33">
        <f t="shared" si="3"/>
        <v>0</v>
      </c>
      <c r="AQ72" s="33">
        <f t="shared" si="4"/>
        <v>0</v>
      </c>
    </row>
    <row r="73" spans="1:43" x14ac:dyDescent="0.25">
      <c r="A73" s="33">
        <f>Üldinfo!A72</f>
        <v>69</v>
      </c>
      <c r="B73" s="33" t="str">
        <f>Üldinfo!B72</f>
        <v>Mees</v>
      </c>
      <c r="C73" s="33" t="str">
        <f>Üldinfo!C72</f>
        <v>25-40 a</v>
      </c>
      <c r="D73" s="41"/>
      <c r="E73" s="41"/>
      <c r="F73" s="41"/>
      <c r="G73" s="41"/>
      <c r="H73" s="41"/>
      <c r="I73" s="41"/>
      <c r="J73" s="41"/>
      <c r="K73" s="42"/>
      <c r="L73" s="40"/>
      <c r="M73" s="41"/>
      <c r="N73" s="41"/>
      <c r="O73" s="41"/>
      <c r="P73" s="41"/>
      <c r="Q73" s="41"/>
      <c r="R73" s="41"/>
      <c r="S73" s="42"/>
      <c r="T73" s="40"/>
      <c r="U73" s="41"/>
      <c r="V73" s="41"/>
      <c r="W73" s="41"/>
      <c r="X73" s="41"/>
      <c r="Y73" s="41"/>
      <c r="Z73" s="41"/>
      <c r="AA73" s="42"/>
      <c r="AB73" s="40"/>
      <c r="AC73" s="41"/>
      <c r="AD73" s="41"/>
      <c r="AE73" s="41"/>
      <c r="AF73" s="41"/>
      <c r="AG73" s="41"/>
      <c r="AH73" s="41"/>
      <c r="AI73" s="42"/>
      <c r="AK73" s="33">
        <f t="shared" si="0"/>
        <v>0</v>
      </c>
      <c r="AL73" s="33">
        <f>Üldinfo!AM72</f>
        <v>0</v>
      </c>
      <c r="AM73" s="44" t="e">
        <f t="shared" si="1"/>
        <v>#DIV/0!</v>
      </c>
      <c r="AO73" s="33">
        <f t="shared" si="2"/>
        <v>0</v>
      </c>
      <c r="AP73" s="33">
        <f t="shared" si="3"/>
        <v>0</v>
      </c>
      <c r="AQ73" s="33">
        <f t="shared" si="4"/>
        <v>0</v>
      </c>
    </row>
    <row r="74" spans="1:43" x14ac:dyDescent="0.25">
      <c r="D74" s="45">
        <f t="shared" ref="D74:AI74" si="5">COUNTA(D$5:D$73)</f>
        <v>0</v>
      </c>
      <c r="E74" s="45">
        <f t="shared" si="5"/>
        <v>0</v>
      </c>
      <c r="F74" s="45">
        <f t="shared" si="5"/>
        <v>0</v>
      </c>
      <c r="G74" s="45">
        <f t="shared" si="5"/>
        <v>0</v>
      </c>
      <c r="H74" s="45">
        <f t="shared" si="5"/>
        <v>2</v>
      </c>
      <c r="I74" s="45">
        <f t="shared" si="5"/>
        <v>6</v>
      </c>
      <c r="J74" s="45">
        <f t="shared" si="5"/>
        <v>5</v>
      </c>
      <c r="K74" s="46">
        <f t="shared" si="5"/>
        <v>7</v>
      </c>
      <c r="L74" s="47">
        <f t="shared" si="5"/>
        <v>6</v>
      </c>
      <c r="M74" s="45">
        <f t="shared" si="5"/>
        <v>7</v>
      </c>
      <c r="N74" s="45">
        <f t="shared" si="5"/>
        <v>7</v>
      </c>
      <c r="O74" s="45">
        <f t="shared" si="5"/>
        <v>1</v>
      </c>
      <c r="P74" s="45">
        <f t="shared" si="5"/>
        <v>1</v>
      </c>
      <c r="Q74" s="45">
        <f t="shared" si="5"/>
        <v>0</v>
      </c>
      <c r="R74" s="45">
        <f t="shared" si="5"/>
        <v>0</v>
      </c>
      <c r="S74" s="46">
        <f t="shared" si="5"/>
        <v>0</v>
      </c>
      <c r="T74" s="47">
        <f t="shared" si="5"/>
        <v>0</v>
      </c>
      <c r="U74" s="45">
        <f t="shared" si="5"/>
        <v>0</v>
      </c>
      <c r="V74" s="45">
        <f t="shared" si="5"/>
        <v>0</v>
      </c>
      <c r="W74" s="45">
        <f t="shared" si="5"/>
        <v>1</v>
      </c>
      <c r="X74" s="45">
        <f t="shared" si="5"/>
        <v>2</v>
      </c>
      <c r="Y74" s="45">
        <f t="shared" si="5"/>
        <v>8</v>
      </c>
      <c r="Z74" s="45">
        <f t="shared" si="5"/>
        <v>4</v>
      </c>
      <c r="AA74" s="46">
        <f t="shared" si="5"/>
        <v>5</v>
      </c>
      <c r="AB74" s="47">
        <f t="shared" si="5"/>
        <v>4</v>
      </c>
      <c r="AC74" s="45">
        <f t="shared" si="5"/>
        <v>7</v>
      </c>
      <c r="AD74" s="45">
        <f t="shared" si="5"/>
        <v>9</v>
      </c>
      <c r="AE74" s="45">
        <f t="shared" si="5"/>
        <v>5</v>
      </c>
      <c r="AF74" s="45">
        <f t="shared" si="5"/>
        <v>0</v>
      </c>
      <c r="AG74" s="45">
        <f t="shared" si="5"/>
        <v>0</v>
      </c>
      <c r="AH74" s="45">
        <f t="shared" si="5"/>
        <v>0</v>
      </c>
      <c r="AI74" s="46">
        <f t="shared" si="5"/>
        <v>0</v>
      </c>
      <c r="AJ74" s="48">
        <f>SUM(AJ5:AJ73)</f>
        <v>0</v>
      </c>
      <c r="AK74" s="48">
        <f>SUM(AK5:AK73)</f>
        <v>87</v>
      </c>
      <c r="AL74" s="48">
        <f>SUM(AL5:AL73)</f>
        <v>458</v>
      </c>
      <c r="AM74" s="49">
        <f t="shared" si="1"/>
        <v>0.18995633187772926</v>
      </c>
      <c r="AO74" s="48">
        <f>SUM(AO5:AO73)</f>
        <v>86</v>
      </c>
      <c r="AP74" s="48">
        <f>SUM(AP5:AP73)</f>
        <v>1</v>
      </c>
      <c r="AQ74" s="48">
        <f>SUM(AQ5:AQ73)</f>
        <v>0</v>
      </c>
    </row>
    <row r="75" spans="1:43" x14ac:dyDescent="0.25">
      <c r="C75" s="33" t="s">
        <v>59</v>
      </c>
      <c r="D75" s="50">
        <f>Üldinfo!E74</f>
        <v>8</v>
      </c>
      <c r="E75" s="50">
        <f>Üldinfo!F74</f>
        <v>9</v>
      </c>
      <c r="F75" s="50">
        <f>Üldinfo!G74</f>
        <v>12</v>
      </c>
      <c r="G75" s="50">
        <f>Üldinfo!H74</f>
        <v>12</v>
      </c>
      <c r="H75" s="50">
        <f>Üldinfo!I74</f>
        <v>12</v>
      </c>
      <c r="I75" s="50">
        <f>Üldinfo!J74</f>
        <v>14</v>
      </c>
      <c r="J75" s="50">
        <f>Üldinfo!K74</f>
        <v>14</v>
      </c>
      <c r="K75" s="51">
        <f>Üldinfo!L74</f>
        <v>11</v>
      </c>
      <c r="L75" s="50">
        <f>Üldinfo!M74</f>
        <v>12</v>
      </c>
      <c r="M75" s="50">
        <f>Üldinfo!N74</f>
        <v>14</v>
      </c>
      <c r="N75" s="50">
        <f>Üldinfo!O74</f>
        <v>15</v>
      </c>
      <c r="O75" s="50">
        <f>Üldinfo!P74</f>
        <v>14</v>
      </c>
      <c r="P75" s="50">
        <f>Üldinfo!Q74</f>
        <v>13</v>
      </c>
      <c r="Q75" s="50">
        <f>Üldinfo!R74</f>
        <v>15</v>
      </c>
      <c r="R75" s="50">
        <f>Üldinfo!S74</f>
        <v>9</v>
      </c>
      <c r="S75" s="50">
        <f>Üldinfo!T74</f>
        <v>8</v>
      </c>
      <c r="T75" s="52">
        <f>Üldinfo!U74</f>
        <v>10</v>
      </c>
      <c r="U75" s="50">
        <f>Üldinfo!V74</f>
        <v>13</v>
      </c>
      <c r="V75" s="50">
        <f>Üldinfo!W74</f>
        <v>16</v>
      </c>
      <c r="W75" s="50">
        <f>Üldinfo!X74</f>
        <v>18</v>
      </c>
      <c r="X75" s="50">
        <f>Üldinfo!Y74</f>
        <v>18</v>
      </c>
      <c r="Y75" s="50">
        <f>Üldinfo!Z74</f>
        <v>17</v>
      </c>
      <c r="Z75" s="50">
        <f>Üldinfo!AA74</f>
        <v>18</v>
      </c>
      <c r="AA75" s="51">
        <f>Üldinfo!AB74</f>
        <v>20</v>
      </c>
      <c r="AB75" s="50">
        <f>Üldinfo!AC74</f>
        <v>16</v>
      </c>
      <c r="AC75" s="50">
        <f>Üldinfo!AD74</f>
        <v>19</v>
      </c>
      <c r="AD75" s="50">
        <f>Üldinfo!AE74</f>
        <v>18</v>
      </c>
      <c r="AE75" s="50">
        <f>Üldinfo!AF74</f>
        <v>19</v>
      </c>
      <c r="AF75" s="50">
        <f>Üldinfo!AG74</f>
        <v>21</v>
      </c>
      <c r="AG75" s="50">
        <f>Üldinfo!AH74</f>
        <v>19</v>
      </c>
      <c r="AH75" s="50">
        <f>Üldinfo!AI74</f>
        <v>14</v>
      </c>
      <c r="AI75" s="51">
        <f>Üldinfo!AJ74</f>
        <v>10</v>
      </c>
      <c r="AJ75" s="48">
        <f>SUM(D75:AI75)</f>
        <v>458</v>
      </c>
      <c r="AO75" s="53"/>
      <c r="AP75" s="53"/>
      <c r="AQ75" s="53"/>
    </row>
    <row r="76" spans="1:43" x14ac:dyDescent="0.25">
      <c r="C76" s="33" t="s">
        <v>60</v>
      </c>
      <c r="D76" s="50">
        <f t="shared" ref="D76:AJ76" si="6">D74/D75*100</f>
        <v>0</v>
      </c>
      <c r="E76" s="50">
        <f t="shared" si="6"/>
        <v>0</v>
      </c>
      <c r="F76" s="50">
        <f t="shared" si="6"/>
        <v>0</v>
      </c>
      <c r="G76" s="50">
        <f t="shared" si="6"/>
        <v>0</v>
      </c>
      <c r="H76" s="50">
        <f t="shared" si="6"/>
        <v>16.666666666666664</v>
      </c>
      <c r="I76" s="50">
        <f t="shared" si="6"/>
        <v>42.857142857142854</v>
      </c>
      <c r="J76" s="50">
        <f t="shared" si="6"/>
        <v>35.714285714285715</v>
      </c>
      <c r="K76" s="51">
        <f t="shared" si="6"/>
        <v>63.636363636363633</v>
      </c>
      <c r="L76" s="50">
        <f t="shared" si="6"/>
        <v>50</v>
      </c>
      <c r="M76" s="50">
        <f t="shared" si="6"/>
        <v>50</v>
      </c>
      <c r="N76" s="50">
        <f t="shared" si="6"/>
        <v>46.666666666666664</v>
      </c>
      <c r="O76" s="50">
        <f t="shared" si="6"/>
        <v>7.1428571428571423</v>
      </c>
      <c r="P76" s="50">
        <f t="shared" si="6"/>
        <v>7.6923076923076925</v>
      </c>
      <c r="Q76" s="50">
        <f t="shared" si="6"/>
        <v>0</v>
      </c>
      <c r="R76" s="50">
        <f t="shared" si="6"/>
        <v>0</v>
      </c>
      <c r="S76" s="51">
        <f t="shared" si="6"/>
        <v>0</v>
      </c>
      <c r="T76" s="50">
        <f t="shared" si="6"/>
        <v>0</v>
      </c>
      <c r="U76" s="50">
        <f t="shared" si="6"/>
        <v>0</v>
      </c>
      <c r="V76" s="50">
        <f t="shared" si="6"/>
        <v>0</v>
      </c>
      <c r="W76" s="50">
        <f t="shared" si="6"/>
        <v>5.5555555555555554</v>
      </c>
      <c r="X76" s="50">
        <f t="shared" si="6"/>
        <v>11.111111111111111</v>
      </c>
      <c r="Y76" s="50">
        <f t="shared" si="6"/>
        <v>47.058823529411761</v>
      </c>
      <c r="Z76" s="50">
        <f t="shared" si="6"/>
        <v>22.222222222222221</v>
      </c>
      <c r="AA76" s="51">
        <f t="shared" si="6"/>
        <v>25</v>
      </c>
      <c r="AB76" s="50">
        <f t="shared" si="6"/>
        <v>25</v>
      </c>
      <c r="AC76" s="50">
        <f t="shared" si="6"/>
        <v>36.84210526315789</v>
      </c>
      <c r="AD76" s="50">
        <f t="shared" si="6"/>
        <v>50</v>
      </c>
      <c r="AE76" s="50">
        <f t="shared" si="6"/>
        <v>26.315789473684209</v>
      </c>
      <c r="AF76" s="50">
        <f t="shared" si="6"/>
        <v>0</v>
      </c>
      <c r="AG76" s="50">
        <f t="shared" si="6"/>
        <v>0</v>
      </c>
      <c r="AH76" s="50">
        <f t="shared" si="6"/>
        <v>0</v>
      </c>
      <c r="AI76" s="51">
        <f t="shared" si="6"/>
        <v>0</v>
      </c>
      <c r="AJ76" s="45">
        <f t="shared" si="6"/>
        <v>0</v>
      </c>
      <c r="AO76" s="53"/>
      <c r="AP76" s="53"/>
      <c r="AQ76" s="53"/>
    </row>
    <row r="77" spans="1:43" x14ac:dyDescent="0.25">
      <c r="D77" s="41"/>
      <c r="E77" s="41"/>
      <c r="F77" s="41"/>
      <c r="G77" s="41"/>
      <c r="H77" s="41"/>
      <c r="I77" s="41"/>
      <c r="J77" s="41"/>
      <c r="K77" s="42"/>
      <c r="L77" s="40"/>
      <c r="M77" s="41"/>
      <c r="N77" s="41"/>
      <c r="O77" s="41"/>
      <c r="P77" s="41"/>
      <c r="Q77" s="41"/>
      <c r="R77" s="41"/>
      <c r="S77" s="42"/>
      <c r="T77" s="40"/>
      <c r="U77" s="41"/>
      <c r="V77" s="41"/>
      <c r="W77" s="41"/>
      <c r="X77" s="41"/>
      <c r="Y77" s="41"/>
      <c r="Z77" s="41"/>
      <c r="AA77" s="42"/>
      <c r="AB77" s="40"/>
      <c r="AC77" s="41"/>
      <c r="AD77" s="41"/>
      <c r="AE77" s="41"/>
      <c r="AF77" s="41"/>
      <c r="AG77" s="41"/>
      <c r="AH77" s="41"/>
      <c r="AI77" s="42"/>
      <c r="AJ77" s="48"/>
    </row>
    <row r="78" spans="1:43" x14ac:dyDescent="0.25">
      <c r="D78" s="41">
        <f t="shared" ref="D78:AI78" si="7">COUNTIF(D$5:D$73,"*j*")</f>
        <v>0</v>
      </c>
      <c r="E78" s="41">
        <f t="shared" si="7"/>
        <v>0</v>
      </c>
      <c r="F78" s="41">
        <f t="shared" si="7"/>
        <v>0</v>
      </c>
      <c r="G78" s="41">
        <f t="shared" si="7"/>
        <v>0</v>
      </c>
      <c r="H78" s="41">
        <f t="shared" si="7"/>
        <v>2</v>
      </c>
      <c r="I78" s="41">
        <f t="shared" si="7"/>
        <v>6</v>
      </c>
      <c r="J78" s="41">
        <f t="shared" si="7"/>
        <v>5</v>
      </c>
      <c r="K78" s="42">
        <f t="shared" si="7"/>
        <v>7</v>
      </c>
      <c r="L78" s="40">
        <f t="shared" si="7"/>
        <v>6</v>
      </c>
      <c r="M78" s="41">
        <f t="shared" si="7"/>
        <v>7</v>
      </c>
      <c r="N78" s="41">
        <f t="shared" si="7"/>
        <v>7</v>
      </c>
      <c r="O78" s="41">
        <f t="shared" si="7"/>
        <v>1</v>
      </c>
      <c r="P78" s="41">
        <f t="shared" si="7"/>
        <v>1</v>
      </c>
      <c r="Q78" s="41">
        <f t="shared" si="7"/>
        <v>0</v>
      </c>
      <c r="R78" s="41">
        <f t="shared" si="7"/>
        <v>0</v>
      </c>
      <c r="S78" s="42">
        <f t="shared" si="7"/>
        <v>0</v>
      </c>
      <c r="T78" s="40">
        <f t="shared" si="7"/>
        <v>0</v>
      </c>
      <c r="U78" s="41">
        <f t="shared" si="7"/>
        <v>0</v>
      </c>
      <c r="V78" s="41">
        <f t="shared" si="7"/>
        <v>0</v>
      </c>
      <c r="W78" s="41">
        <f t="shared" si="7"/>
        <v>1</v>
      </c>
      <c r="X78" s="41">
        <f t="shared" si="7"/>
        <v>2</v>
      </c>
      <c r="Y78" s="41">
        <f t="shared" si="7"/>
        <v>8</v>
      </c>
      <c r="Z78" s="41">
        <f t="shared" si="7"/>
        <v>4</v>
      </c>
      <c r="AA78" s="42">
        <f t="shared" si="7"/>
        <v>5</v>
      </c>
      <c r="AB78" s="40">
        <f t="shared" si="7"/>
        <v>4</v>
      </c>
      <c r="AC78" s="41">
        <f t="shared" si="7"/>
        <v>7</v>
      </c>
      <c r="AD78" s="41">
        <f t="shared" si="7"/>
        <v>8</v>
      </c>
      <c r="AE78" s="41">
        <f t="shared" si="7"/>
        <v>5</v>
      </c>
      <c r="AF78" s="41">
        <f t="shared" si="7"/>
        <v>0</v>
      </c>
      <c r="AG78" s="41">
        <f t="shared" si="7"/>
        <v>0</v>
      </c>
      <c r="AH78" s="41">
        <f t="shared" si="7"/>
        <v>0</v>
      </c>
      <c r="AI78" s="42">
        <f t="shared" si="7"/>
        <v>0</v>
      </c>
      <c r="AJ78" s="48"/>
    </row>
    <row r="79" spans="1:43" x14ac:dyDescent="0.25">
      <c r="D79" s="41">
        <f t="shared" ref="D79:AI79" si="8">COUNTIF(D$5:D$73,"*p*")</f>
        <v>0</v>
      </c>
      <c r="E79" s="41">
        <f t="shared" si="8"/>
        <v>0</v>
      </c>
      <c r="F79" s="41">
        <f t="shared" si="8"/>
        <v>0</v>
      </c>
      <c r="G79" s="41">
        <f t="shared" si="8"/>
        <v>0</v>
      </c>
      <c r="H79" s="41">
        <f t="shared" si="8"/>
        <v>0</v>
      </c>
      <c r="I79" s="41">
        <f t="shared" si="8"/>
        <v>0</v>
      </c>
      <c r="J79" s="41">
        <f t="shared" si="8"/>
        <v>0</v>
      </c>
      <c r="K79" s="42">
        <f t="shared" si="8"/>
        <v>0</v>
      </c>
      <c r="L79" s="40">
        <f t="shared" si="8"/>
        <v>0</v>
      </c>
      <c r="M79" s="41">
        <f t="shared" si="8"/>
        <v>0</v>
      </c>
      <c r="N79" s="41">
        <f t="shared" si="8"/>
        <v>0</v>
      </c>
      <c r="O79" s="41">
        <f t="shared" si="8"/>
        <v>0</v>
      </c>
      <c r="P79" s="41">
        <f t="shared" si="8"/>
        <v>0</v>
      </c>
      <c r="Q79" s="41">
        <f t="shared" si="8"/>
        <v>0</v>
      </c>
      <c r="R79" s="41">
        <f t="shared" si="8"/>
        <v>0</v>
      </c>
      <c r="S79" s="42">
        <f t="shared" si="8"/>
        <v>0</v>
      </c>
      <c r="T79" s="40">
        <f t="shared" si="8"/>
        <v>0</v>
      </c>
      <c r="U79" s="41">
        <f t="shared" si="8"/>
        <v>0</v>
      </c>
      <c r="V79" s="41">
        <f t="shared" si="8"/>
        <v>0</v>
      </c>
      <c r="W79" s="41">
        <f t="shared" si="8"/>
        <v>0</v>
      </c>
      <c r="X79" s="41">
        <f t="shared" si="8"/>
        <v>0</v>
      </c>
      <c r="Y79" s="41">
        <f t="shared" si="8"/>
        <v>0</v>
      </c>
      <c r="Z79" s="41">
        <f t="shared" si="8"/>
        <v>0</v>
      </c>
      <c r="AA79" s="42">
        <f t="shared" si="8"/>
        <v>0</v>
      </c>
      <c r="AB79" s="40">
        <f t="shared" si="8"/>
        <v>0</v>
      </c>
      <c r="AC79" s="41">
        <f t="shared" si="8"/>
        <v>0</v>
      </c>
      <c r="AD79" s="41">
        <f t="shared" si="8"/>
        <v>1</v>
      </c>
      <c r="AE79" s="41">
        <f t="shared" si="8"/>
        <v>0</v>
      </c>
      <c r="AF79" s="41">
        <f t="shared" si="8"/>
        <v>0</v>
      </c>
      <c r="AG79" s="41">
        <f t="shared" si="8"/>
        <v>0</v>
      </c>
      <c r="AH79" s="41">
        <f t="shared" si="8"/>
        <v>0</v>
      </c>
      <c r="AI79" s="42">
        <f t="shared" si="8"/>
        <v>0</v>
      </c>
      <c r="AJ79" s="48"/>
    </row>
    <row r="80" spans="1:43" x14ac:dyDescent="0.25">
      <c r="D80" s="41">
        <f t="shared" ref="D80:AI80" si="9">COUNTIF(D$5:D$73,"*g*")</f>
        <v>0</v>
      </c>
      <c r="E80" s="41">
        <f t="shared" si="9"/>
        <v>0</v>
      </c>
      <c r="F80" s="41">
        <f t="shared" si="9"/>
        <v>0</v>
      </c>
      <c r="G80" s="41">
        <f t="shared" si="9"/>
        <v>0</v>
      </c>
      <c r="H80" s="41">
        <f t="shared" si="9"/>
        <v>0</v>
      </c>
      <c r="I80" s="41">
        <f t="shared" si="9"/>
        <v>0</v>
      </c>
      <c r="J80" s="41">
        <f t="shared" si="9"/>
        <v>0</v>
      </c>
      <c r="K80" s="42">
        <f t="shared" si="9"/>
        <v>0</v>
      </c>
      <c r="L80" s="40">
        <f t="shared" si="9"/>
        <v>0</v>
      </c>
      <c r="M80" s="41">
        <f t="shared" si="9"/>
        <v>0</v>
      </c>
      <c r="N80" s="41">
        <f t="shared" si="9"/>
        <v>0</v>
      </c>
      <c r="O80" s="41">
        <f t="shared" si="9"/>
        <v>0</v>
      </c>
      <c r="P80" s="41">
        <f t="shared" si="9"/>
        <v>0</v>
      </c>
      <c r="Q80" s="41">
        <f t="shared" si="9"/>
        <v>0</v>
      </c>
      <c r="R80" s="41">
        <f t="shared" si="9"/>
        <v>0</v>
      </c>
      <c r="S80" s="42">
        <f t="shared" si="9"/>
        <v>0</v>
      </c>
      <c r="T80" s="40">
        <f t="shared" si="9"/>
        <v>0</v>
      </c>
      <c r="U80" s="41">
        <f t="shared" si="9"/>
        <v>0</v>
      </c>
      <c r="V80" s="41">
        <f t="shared" si="9"/>
        <v>0</v>
      </c>
      <c r="W80" s="41">
        <f t="shared" si="9"/>
        <v>0</v>
      </c>
      <c r="X80" s="41">
        <f t="shared" si="9"/>
        <v>0</v>
      </c>
      <c r="Y80" s="41">
        <f t="shared" si="9"/>
        <v>0</v>
      </c>
      <c r="Z80" s="41">
        <f t="shared" si="9"/>
        <v>0</v>
      </c>
      <c r="AA80" s="42">
        <f t="shared" si="9"/>
        <v>0</v>
      </c>
      <c r="AB80" s="40">
        <f t="shared" si="9"/>
        <v>0</v>
      </c>
      <c r="AC80" s="41">
        <f t="shared" si="9"/>
        <v>0</v>
      </c>
      <c r="AD80" s="41">
        <f t="shared" si="9"/>
        <v>0</v>
      </c>
      <c r="AE80" s="41">
        <f t="shared" si="9"/>
        <v>0</v>
      </c>
      <c r="AF80" s="41">
        <f t="shared" si="9"/>
        <v>0</v>
      </c>
      <c r="AG80" s="41">
        <f t="shared" si="9"/>
        <v>0</v>
      </c>
      <c r="AH80" s="41">
        <f t="shared" si="9"/>
        <v>0</v>
      </c>
      <c r="AI80" s="42">
        <f t="shared" si="9"/>
        <v>0</v>
      </c>
      <c r="AJ80" s="48"/>
    </row>
    <row r="81" spans="2:36" x14ac:dyDescent="0.25">
      <c r="D81" s="41"/>
      <c r="E81" s="41"/>
      <c r="F81" s="41"/>
      <c r="G81" s="41"/>
      <c r="H81" s="41"/>
      <c r="I81" s="41"/>
      <c r="J81" s="41"/>
      <c r="K81" s="42"/>
      <c r="L81" s="40"/>
      <c r="M81" s="41"/>
      <c r="N81" s="41"/>
      <c r="O81" s="41"/>
      <c r="P81" s="41"/>
      <c r="Q81" s="41"/>
      <c r="R81" s="41"/>
      <c r="S81" s="42"/>
      <c r="T81" s="40"/>
      <c r="U81" s="41"/>
      <c r="V81" s="41"/>
      <c r="W81" s="41"/>
      <c r="X81" s="41"/>
      <c r="Y81" s="41"/>
      <c r="Z81" s="41"/>
      <c r="AA81" s="42"/>
      <c r="AB81" s="40"/>
      <c r="AC81" s="41"/>
      <c r="AD81" s="41"/>
      <c r="AE81" s="41"/>
      <c r="AF81" s="41"/>
      <c r="AG81" s="41"/>
      <c r="AH81" s="41"/>
      <c r="AI81" s="42"/>
      <c r="AJ81" s="48"/>
    </row>
    <row r="82" spans="2:36" x14ac:dyDescent="0.25">
      <c r="B82" s="88" t="s">
        <v>68</v>
      </c>
      <c r="C82" s="33">
        <v>1</v>
      </c>
      <c r="D82" s="41">
        <f t="shared" ref="D82:AI82" si="10">COUNTIF(D$5:D$73,"j")</f>
        <v>0</v>
      </c>
      <c r="E82" s="41">
        <f t="shared" si="10"/>
        <v>0</v>
      </c>
      <c r="F82" s="41">
        <f t="shared" si="10"/>
        <v>0</v>
      </c>
      <c r="G82" s="41">
        <f t="shared" si="10"/>
        <v>0</v>
      </c>
      <c r="H82" s="41">
        <f t="shared" si="10"/>
        <v>2</v>
      </c>
      <c r="I82" s="41">
        <f t="shared" si="10"/>
        <v>3</v>
      </c>
      <c r="J82" s="41">
        <f t="shared" si="10"/>
        <v>3</v>
      </c>
      <c r="K82" s="42">
        <f t="shared" si="10"/>
        <v>3</v>
      </c>
      <c r="L82" s="40">
        <f t="shared" si="10"/>
        <v>2</v>
      </c>
      <c r="M82" s="41">
        <f t="shared" si="10"/>
        <v>3</v>
      </c>
      <c r="N82" s="41">
        <f t="shared" si="10"/>
        <v>2</v>
      </c>
      <c r="O82" s="41">
        <f t="shared" si="10"/>
        <v>1</v>
      </c>
      <c r="P82" s="41">
        <f t="shared" si="10"/>
        <v>1</v>
      </c>
      <c r="Q82" s="41">
        <f t="shared" si="10"/>
        <v>0</v>
      </c>
      <c r="R82" s="41">
        <f t="shared" si="10"/>
        <v>0</v>
      </c>
      <c r="S82" s="42">
        <f t="shared" si="10"/>
        <v>0</v>
      </c>
      <c r="T82" s="40">
        <f t="shared" si="10"/>
        <v>0</v>
      </c>
      <c r="U82" s="41">
        <f t="shared" si="10"/>
        <v>0</v>
      </c>
      <c r="V82" s="41">
        <f t="shared" si="10"/>
        <v>0</v>
      </c>
      <c r="W82" s="41">
        <f t="shared" si="10"/>
        <v>1</v>
      </c>
      <c r="X82" s="41">
        <f t="shared" si="10"/>
        <v>1</v>
      </c>
      <c r="Y82" s="41">
        <f t="shared" si="10"/>
        <v>1</v>
      </c>
      <c r="Z82" s="41">
        <f t="shared" si="10"/>
        <v>1</v>
      </c>
      <c r="AA82" s="42">
        <f t="shared" si="10"/>
        <v>1</v>
      </c>
      <c r="AB82" s="40">
        <f t="shared" si="10"/>
        <v>1</v>
      </c>
      <c r="AC82" s="41">
        <f t="shared" si="10"/>
        <v>3</v>
      </c>
      <c r="AD82" s="41">
        <f t="shared" si="10"/>
        <v>2</v>
      </c>
      <c r="AE82" s="41">
        <f t="shared" si="10"/>
        <v>4</v>
      </c>
      <c r="AF82" s="41">
        <f t="shared" si="10"/>
        <v>0</v>
      </c>
      <c r="AG82" s="41">
        <f t="shared" si="10"/>
        <v>0</v>
      </c>
      <c r="AH82" s="41">
        <f t="shared" si="10"/>
        <v>0</v>
      </c>
      <c r="AI82" s="42">
        <f t="shared" si="10"/>
        <v>0</v>
      </c>
      <c r="AJ82" s="48"/>
    </row>
    <row r="83" spans="2:36" x14ac:dyDescent="0.25">
      <c r="B83" s="88"/>
      <c r="C83" s="33">
        <v>2</v>
      </c>
      <c r="D83" s="41">
        <f t="shared" ref="D83:AI83" si="11">COUNTIF(D$5:D$73,"jj")</f>
        <v>0</v>
      </c>
      <c r="E83" s="41">
        <f t="shared" si="11"/>
        <v>0</v>
      </c>
      <c r="F83" s="41">
        <f t="shared" si="11"/>
        <v>0</v>
      </c>
      <c r="G83" s="41">
        <f t="shared" si="11"/>
        <v>0</v>
      </c>
      <c r="H83" s="41">
        <f t="shared" si="11"/>
        <v>0</v>
      </c>
      <c r="I83" s="41">
        <f t="shared" si="11"/>
        <v>1</v>
      </c>
      <c r="J83" s="41">
        <f t="shared" si="11"/>
        <v>2</v>
      </c>
      <c r="K83" s="42">
        <f t="shared" si="11"/>
        <v>3</v>
      </c>
      <c r="L83" s="40">
        <f t="shared" si="11"/>
        <v>2</v>
      </c>
      <c r="M83" s="41">
        <f t="shared" si="11"/>
        <v>4</v>
      </c>
      <c r="N83" s="41">
        <f t="shared" si="11"/>
        <v>2</v>
      </c>
      <c r="O83" s="41">
        <f t="shared" si="11"/>
        <v>0</v>
      </c>
      <c r="P83" s="41">
        <f t="shared" si="11"/>
        <v>0</v>
      </c>
      <c r="Q83" s="41">
        <f t="shared" si="11"/>
        <v>0</v>
      </c>
      <c r="R83" s="41">
        <f t="shared" si="11"/>
        <v>0</v>
      </c>
      <c r="S83" s="42">
        <f t="shared" si="11"/>
        <v>0</v>
      </c>
      <c r="T83" s="40">
        <f t="shared" si="11"/>
        <v>0</v>
      </c>
      <c r="U83" s="41">
        <f t="shared" si="11"/>
        <v>0</v>
      </c>
      <c r="V83" s="41">
        <f t="shared" si="11"/>
        <v>0</v>
      </c>
      <c r="W83" s="41">
        <f t="shared" si="11"/>
        <v>0</v>
      </c>
      <c r="X83" s="41">
        <f t="shared" si="11"/>
        <v>1</v>
      </c>
      <c r="Y83" s="41">
        <f t="shared" si="11"/>
        <v>6</v>
      </c>
      <c r="Z83" s="41">
        <f t="shared" si="11"/>
        <v>2</v>
      </c>
      <c r="AA83" s="42">
        <f t="shared" si="11"/>
        <v>4</v>
      </c>
      <c r="AB83" s="40">
        <f t="shared" si="11"/>
        <v>3</v>
      </c>
      <c r="AC83" s="41">
        <f t="shared" si="11"/>
        <v>3</v>
      </c>
      <c r="AD83" s="41">
        <f t="shared" si="11"/>
        <v>4</v>
      </c>
      <c r="AE83" s="41">
        <f t="shared" si="11"/>
        <v>1</v>
      </c>
      <c r="AF83" s="41">
        <f t="shared" si="11"/>
        <v>0</v>
      </c>
      <c r="AG83" s="41">
        <f t="shared" si="11"/>
        <v>0</v>
      </c>
      <c r="AH83" s="41">
        <f t="shared" si="11"/>
        <v>0</v>
      </c>
      <c r="AI83" s="42">
        <f t="shared" si="11"/>
        <v>0</v>
      </c>
      <c r="AJ83" s="48"/>
    </row>
    <row r="84" spans="2:36" x14ac:dyDescent="0.25">
      <c r="B84" s="88"/>
      <c r="C84" s="33">
        <v>3</v>
      </c>
      <c r="D84" s="41">
        <f t="shared" ref="D84:AI84" si="12">COUNTIF(D$5:D$73,"jjj")</f>
        <v>0</v>
      </c>
      <c r="E84" s="41">
        <f t="shared" si="12"/>
        <v>0</v>
      </c>
      <c r="F84" s="41">
        <f t="shared" si="12"/>
        <v>0</v>
      </c>
      <c r="G84" s="41">
        <f t="shared" si="12"/>
        <v>0</v>
      </c>
      <c r="H84" s="41">
        <f t="shared" si="12"/>
        <v>0</v>
      </c>
      <c r="I84" s="41">
        <f t="shared" si="12"/>
        <v>2</v>
      </c>
      <c r="J84" s="41">
        <f t="shared" si="12"/>
        <v>0</v>
      </c>
      <c r="K84" s="42">
        <f t="shared" si="12"/>
        <v>1</v>
      </c>
      <c r="L84" s="40">
        <f t="shared" si="12"/>
        <v>1</v>
      </c>
      <c r="M84" s="41">
        <f t="shared" si="12"/>
        <v>0</v>
      </c>
      <c r="N84" s="41">
        <f t="shared" si="12"/>
        <v>3</v>
      </c>
      <c r="O84" s="41">
        <f t="shared" si="12"/>
        <v>0</v>
      </c>
      <c r="P84" s="41">
        <f t="shared" si="12"/>
        <v>0</v>
      </c>
      <c r="Q84" s="41">
        <f t="shared" si="12"/>
        <v>0</v>
      </c>
      <c r="R84" s="41">
        <f t="shared" si="12"/>
        <v>0</v>
      </c>
      <c r="S84" s="42">
        <f t="shared" si="12"/>
        <v>0</v>
      </c>
      <c r="T84" s="40">
        <f t="shared" si="12"/>
        <v>0</v>
      </c>
      <c r="U84" s="41">
        <f t="shared" si="12"/>
        <v>0</v>
      </c>
      <c r="V84" s="41">
        <f t="shared" si="12"/>
        <v>0</v>
      </c>
      <c r="W84" s="41">
        <f t="shared" si="12"/>
        <v>0</v>
      </c>
      <c r="X84" s="41">
        <f t="shared" si="12"/>
        <v>0</v>
      </c>
      <c r="Y84" s="41">
        <f t="shared" si="12"/>
        <v>1</v>
      </c>
      <c r="Z84" s="41">
        <f t="shared" si="12"/>
        <v>1</v>
      </c>
      <c r="AA84" s="42">
        <f t="shared" si="12"/>
        <v>0</v>
      </c>
      <c r="AB84" s="40">
        <f t="shared" si="12"/>
        <v>0</v>
      </c>
      <c r="AC84" s="41">
        <f t="shared" si="12"/>
        <v>1</v>
      </c>
      <c r="AD84" s="41">
        <f t="shared" si="12"/>
        <v>2</v>
      </c>
      <c r="AE84" s="41">
        <f t="shared" si="12"/>
        <v>0</v>
      </c>
      <c r="AF84" s="41">
        <f t="shared" si="12"/>
        <v>0</v>
      </c>
      <c r="AG84" s="41">
        <f t="shared" si="12"/>
        <v>0</v>
      </c>
      <c r="AH84" s="41">
        <f t="shared" si="12"/>
        <v>0</v>
      </c>
      <c r="AI84" s="42">
        <f t="shared" si="12"/>
        <v>0</v>
      </c>
      <c r="AJ84" s="48"/>
    </row>
    <row r="85" spans="2:36" x14ac:dyDescent="0.25">
      <c r="B85" s="88"/>
      <c r="C85" s="33">
        <v>4</v>
      </c>
      <c r="D85" s="41">
        <f t="shared" ref="D85:AI85" si="13">COUNTIF(D$5:D$73,"jjjj")</f>
        <v>0</v>
      </c>
      <c r="E85" s="41">
        <f t="shared" si="13"/>
        <v>0</v>
      </c>
      <c r="F85" s="41">
        <f t="shared" si="13"/>
        <v>0</v>
      </c>
      <c r="G85" s="41">
        <f t="shared" si="13"/>
        <v>0</v>
      </c>
      <c r="H85" s="41">
        <f t="shared" si="13"/>
        <v>0</v>
      </c>
      <c r="I85" s="41">
        <f t="shared" si="13"/>
        <v>0</v>
      </c>
      <c r="J85" s="41">
        <f t="shared" si="13"/>
        <v>0</v>
      </c>
      <c r="K85" s="42">
        <f t="shared" si="13"/>
        <v>0</v>
      </c>
      <c r="L85" s="40">
        <f t="shared" si="13"/>
        <v>1</v>
      </c>
      <c r="M85" s="41">
        <f t="shared" si="13"/>
        <v>0</v>
      </c>
      <c r="N85" s="41">
        <f t="shared" si="13"/>
        <v>0</v>
      </c>
      <c r="O85" s="41">
        <f t="shared" si="13"/>
        <v>0</v>
      </c>
      <c r="P85" s="41">
        <f t="shared" si="13"/>
        <v>0</v>
      </c>
      <c r="Q85" s="41">
        <f t="shared" si="13"/>
        <v>0</v>
      </c>
      <c r="R85" s="41">
        <f t="shared" si="13"/>
        <v>0</v>
      </c>
      <c r="S85" s="42">
        <f t="shared" si="13"/>
        <v>0</v>
      </c>
      <c r="T85" s="40">
        <f t="shared" si="13"/>
        <v>0</v>
      </c>
      <c r="U85" s="41">
        <f t="shared" si="13"/>
        <v>0</v>
      </c>
      <c r="V85" s="41">
        <f t="shared" si="13"/>
        <v>0</v>
      </c>
      <c r="W85" s="41">
        <f t="shared" si="13"/>
        <v>0</v>
      </c>
      <c r="X85" s="41">
        <f t="shared" si="13"/>
        <v>0</v>
      </c>
      <c r="Y85" s="41">
        <f t="shared" si="13"/>
        <v>0</v>
      </c>
      <c r="Z85" s="41">
        <f t="shared" si="13"/>
        <v>0</v>
      </c>
      <c r="AA85" s="42">
        <f t="shared" si="13"/>
        <v>0</v>
      </c>
      <c r="AB85" s="40">
        <f t="shared" si="13"/>
        <v>0</v>
      </c>
      <c r="AC85" s="41">
        <f t="shared" si="13"/>
        <v>0</v>
      </c>
      <c r="AD85" s="41">
        <f t="shared" si="13"/>
        <v>0</v>
      </c>
      <c r="AE85" s="41">
        <f t="shared" si="13"/>
        <v>0</v>
      </c>
      <c r="AF85" s="41">
        <f t="shared" si="13"/>
        <v>0</v>
      </c>
      <c r="AG85" s="41">
        <f t="shared" si="13"/>
        <v>0</v>
      </c>
      <c r="AH85" s="41">
        <f t="shared" si="13"/>
        <v>0</v>
      </c>
      <c r="AI85" s="42">
        <f t="shared" si="13"/>
        <v>0</v>
      </c>
      <c r="AJ85" s="48"/>
    </row>
    <row r="86" spans="2:36" x14ac:dyDescent="0.25">
      <c r="B86" s="88"/>
      <c r="C86" s="33">
        <v>5</v>
      </c>
      <c r="D86" s="41">
        <f t="shared" ref="D86:AI86" si="14">COUNTIF(D$5:D$73,"jjjjj")</f>
        <v>0</v>
      </c>
      <c r="E86" s="41">
        <f t="shared" si="14"/>
        <v>0</v>
      </c>
      <c r="F86" s="41">
        <f t="shared" si="14"/>
        <v>0</v>
      </c>
      <c r="G86" s="41">
        <f t="shared" si="14"/>
        <v>0</v>
      </c>
      <c r="H86" s="41">
        <f t="shared" si="14"/>
        <v>0</v>
      </c>
      <c r="I86" s="41">
        <f t="shared" si="14"/>
        <v>0</v>
      </c>
      <c r="J86" s="41">
        <f t="shared" si="14"/>
        <v>0</v>
      </c>
      <c r="K86" s="42">
        <f t="shared" si="14"/>
        <v>0</v>
      </c>
      <c r="L86" s="40">
        <f t="shared" si="14"/>
        <v>0</v>
      </c>
      <c r="M86" s="41">
        <f t="shared" si="14"/>
        <v>0</v>
      </c>
      <c r="N86" s="41">
        <f t="shared" si="14"/>
        <v>0</v>
      </c>
      <c r="O86" s="41">
        <f t="shared" si="14"/>
        <v>0</v>
      </c>
      <c r="P86" s="41">
        <f t="shared" si="14"/>
        <v>0</v>
      </c>
      <c r="Q86" s="41">
        <f t="shared" si="14"/>
        <v>0</v>
      </c>
      <c r="R86" s="41">
        <f t="shared" si="14"/>
        <v>0</v>
      </c>
      <c r="S86" s="42">
        <f t="shared" si="14"/>
        <v>0</v>
      </c>
      <c r="T86" s="40">
        <f t="shared" si="14"/>
        <v>0</v>
      </c>
      <c r="U86" s="41">
        <f t="shared" si="14"/>
        <v>0</v>
      </c>
      <c r="V86" s="41">
        <f t="shared" si="14"/>
        <v>0</v>
      </c>
      <c r="W86" s="41">
        <f t="shared" si="14"/>
        <v>0</v>
      </c>
      <c r="X86" s="41">
        <f t="shared" si="14"/>
        <v>0</v>
      </c>
      <c r="Y86" s="41">
        <f t="shared" si="14"/>
        <v>0</v>
      </c>
      <c r="Z86" s="41">
        <f t="shared" si="14"/>
        <v>0</v>
      </c>
      <c r="AA86" s="42">
        <f t="shared" si="14"/>
        <v>0</v>
      </c>
      <c r="AB86" s="40">
        <f t="shared" si="14"/>
        <v>0</v>
      </c>
      <c r="AC86" s="41">
        <f t="shared" si="14"/>
        <v>0</v>
      </c>
      <c r="AD86" s="41">
        <f t="shared" si="14"/>
        <v>0</v>
      </c>
      <c r="AE86" s="41">
        <f t="shared" si="14"/>
        <v>0</v>
      </c>
      <c r="AF86" s="41">
        <f t="shared" si="14"/>
        <v>0</v>
      </c>
      <c r="AG86" s="41">
        <f t="shared" si="14"/>
        <v>0</v>
      </c>
      <c r="AH86" s="41">
        <f t="shared" si="14"/>
        <v>0</v>
      </c>
      <c r="AI86" s="42">
        <f t="shared" si="14"/>
        <v>0</v>
      </c>
      <c r="AJ86" s="48"/>
    </row>
    <row r="87" spans="2:36" x14ac:dyDescent="0.25">
      <c r="D87" s="41"/>
      <c r="E87" s="41"/>
      <c r="F87" s="41"/>
      <c r="G87" s="41"/>
      <c r="H87" s="41"/>
      <c r="I87" s="41"/>
      <c r="J87" s="41"/>
      <c r="K87" s="42"/>
      <c r="L87" s="40"/>
      <c r="M87" s="41"/>
      <c r="N87" s="41"/>
      <c r="O87" s="41"/>
      <c r="P87" s="41"/>
      <c r="Q87" s="41"/>
      <c r="R87" s="41"/>
      <c r="S87" s="42"/>
      <c r="T87" s="40"/>
      <c r="U87" s="41"/>
      <c r="V87" s="41"/>
      <c r="W87" s="41"/>
      <c r="X87" s="41"/>
      <c r="Y87" s="41"/>
      <c r="Z87" s="41"/>
      <c r="AA87" s="42"/>
      <c r="AB87" s="40"/>
      <c r="AC87" s="41"/>
      <c r="AD87" s="41"/>
      <c r="AE87" s="41"/>
      <c r="AF87" s="41"/>
      <c r="AG87" s="41"/>
      <c r="AH87" s="41"/>
      <c r="AI87" s="42"/>
      <c r="AJ87" s="48"/>
    </row>
    <row r="88" spans="2:36" x14ac:dyDescent="0.25">
      <c r="B88" s="88" t="s">
        <v>69</v>
      </c>
      <c r="C88" s="33">
        <v>1</v>
      </c>
      <c r="D88" s="41">
        <f t="shared" ref="D88:AI88" si="15">COUNTIF(D$5:D$73,"p")</f>
        <v>0</v>
      </c>
      <c r="E88" s="41">
        <f t="shared" si="15"/>
        <v>0</v>
      </c>
      <c r="F88" s="41">
        <f t="shared" si="15"/>
        <v>0</v>
      </c>
      <c r="G88" s="41">
        <f t="shared" si="15"/>
        <v>0</v>
      </c>
      <c r="H88" s="41">
        <f t="shared" si="15"/>
        <v>0</v>
      </c>
      <c r="I88" s="41">
        <f t="shared" si="15"/>
        <v>0</v>
      </c>
      <c r="J88" s="41">
        <f t="shared" si="15"/>
        <v>0</v>
      </c>
      <c r="K88" s="42">
        <f t="shared" si="15"/>
        <v>0</v>
      </c>
      <c r="L88" s="40">
        <f t="shared" si="15"/>
        <v>0</v>
      </c>
      <c r="M88" s="41">
        <f t="shared" si="15"/>
        <v>0</v>
      </c>
      <c r="N88" s="41">
        <f t="shared" si="15"/>
        <v>0</v>
      </c>
      <c r="O88" s="41">
        <f t="shared" si="15"/>
        <v>0</v>
      </c>
      <c r="P88" s="41">
        <f t="shared" si="15"/>
        <v>0</v>
      </c>
      <c r="Q88" s="41">
        <f t="shared" si="15"/>
        <v>0</v>
      </c>
      <c r="R88" s="41">
        <f t="shared" si="15"/>
        <v>0</v>
      </c>
      <c r="S88" s="42">
        <f t="shared" si="15"/>
        <v>0</v>
      </c>
      <c r="T88" s="40">
        <f t="shared" si="15"/>
        <v>0</v>
      </c>
      <c r="U88" s="41">
        <f t="shared" si="15"/>
        <v>0</v>
      </c>
      <c r="V88" s="41">
        <f t="shared" si="15"/>
        <v>0</v>
      </c>
      <c r="W88" s="41">
        <f t="shared" si="15"/>
        <v>0</v>
      </c>
      <c r="X88" s="41">
        <f t="shared" si="15"/>
        <v>0</v>
      </c>
      <c r="Y88" s="41">
        <f t="shared" si="15"/>
        <v>0</v>
      </c>
      <c r="Z88" s="41">
        <f t="shared" si="15"/>
        <v>0</v>
      </c>
      <c r="AA88" s="42">
        <f t="shared" si="15"/>
        <v>0</v>
      </c>
      <c r="AB88" s="40">
        <f t="shared" si="15"/>
        <v>0</v>
      </c>
      <c r="AC88" s="41">
        <f t="shared" si="15"/>
        <v>0</v>
      </c>
      <c r="AD88" s="41">
        <f t="shared" si="15"/>
        <v>1</v>
      </c>
      <c r="AE88" s="41">
        <f t="shared" si="15"/>
        <v>0</v>
      </c>
      <c r="AF88" s="41">
        <f t="shared" si="15"/>
        <v>0</v>
      </c>
      <c r="AG88" s="41">
        <f t="shared" si="15"/>
        <v>0</v>
      </c>
      <c r="AH88" s="41">
        <f t="shared" si="15"/>
        <v>0</v>
      </c>
      <c r="AI88" s="42">
        <f t="shared" si="15"/>
        <v>0</v>
      </c>
      <c r="AJ88" s="48"/>
    </row>
    <row r="89" spans="2:36" x14ac:dyDescent="0.25">
      <c r="B89" s="88"/>
      <c r="C89" s="33">
        <v>2</v>
      </c>
      <c r="D89" s="41">
        <f t="shared" ref="D89:AI89" si="16">COUNTIF(D$5:D$73,"pp")</f>
        <v>0</v>
      </c>
      <c r="E89" s="41">
        <f t="shared" si="16"/>
        <v>0</v>
      </c>
      <c r="F89" s="41">
        <f t="shared" si="16"/>
        <v>0</v>
      </c>
      <c r="G89" s="41">
        <f t="shared" si="16"/>
        <v>0</v>
      </c>
      <c r="H89" s="41">
        <f t="shared" si="16"/>
        <v>0</v>
      </c>
      <c r="I89" s="41">
        <f t="shared" si="16"/>
        <v>0</v>
      </c>
      <c r="J89" s="41">
        <f t="shared" si="16"/>
        <v>0</v>
      </c>
      <c r="K89" s="42">
        <f t="shared" si="16"/>
        <v>0</v>
      </c>
      <c r="L89" s="40">
        <f t="shared" si="16"/>
        <v>0</v>
      </c>
      <c r="M89" s="41">
        <f t="shared" si="16"/>
        <v>0</v>
      </c>
      <c r="N89" s="41">
        <f t="shared" si="16"/>
        <v>0</v>
      </c>
      <c r="O89" s="41">
        <f t="shared" si="16"/>
        <v>0</v>
      </c>
      <c r="P89" s="41">
        <f t="shared" si="16"/>
        <v>0</v>
      </c>
      <c r="Q89" s="41">
        <f t="shared" si="16"/>
        <v>0</v>
      </c>
      <c r="R89" s="41">
        <f t="shared" si="16"/>
        <v>0</v>
      </c>
      <c r="S89" s="42">
        <f t="shared" si="16"/>
        <v>0</v>
      </c>
      <c r="T89" s="40">
        <f t="shared" si="16"/>
        <v>0</v>
      </c>
      <c r="U89" s="41">
        <f t="shared" si="16"/>
        <v>0</v>
      </c>
      <c r="V89" s="41">
        <f t="shared" si="16"/>
        <v>0</v>
      </c>
      <c r="W89" s="41">
        <f t="shared" si="16"/>
        <v>0</v>
      </c>
      <c r="X89" s="41">
        <f t="shared" si="16"/>
        <v>0</v>
      </c>
      <c r="Y89" s="41">
        <f t="shared" si="16"/>
        <v>0</v>
      </c>
      <c r="Z89" s="41">
        <f t="shared" si="16"/>
        <v>0</v>
      </c>
      <c r="AA89" s="42">
        <f t="shared" si="16"/>
        <v>0</v>
      </c>
      <c r="AB89" s="40">
        <f t="shared" si="16"/>
        <v>0</v>
      </c>
      <c r="AC89" s="41">
        <f t="shared" si="16"/>
        <v>0</v>
      </c>
      <c r="AD89" s="41">
        <f t="shared" si="16"/>
        <v>0</v>
      </c>
      <c r="AE89" s="41">
        <f t="shared" si="16"/>
        <v>0</v>
      </c>
      <c r="AF89" s="41">
        <f t="shared" si="16"/>
        <v>0</v>
      </c>
      <c r="AG89" s="41">
        <f t="shared" si="16"/>
        <v>0</v>
      </c>
      <c r="AH89" s="41">
        <f t="shared" si="16"/>
        <v>0</v>
      </c>
      <c r="AI89" s="42">
        <f t="shared" si="16"/>
        <v>0</v>
      </c>
      <c r="AJ89" s="48"/>
    </row>
    <row r="90" spans="2:36" x14ac:dyDescent="0.25">
      <c r="B90" s="88"/>
      <c r="C90" s="33">
        <v>3</v>
      </c>
      <c r="D90" s="41">
        <f t="shared" ref="D90:AI90" si="17">COUNTIF(D$5:D$73,"ppp")</f>
        <v>0</v>
      </c>
      <c r="E90" s="41">
        <f t="shared" si="17"/>
        <v>0</v>
      </c>
      <c r="F90" s="41">
        <f t="shared" si="17"/>
        <v>0</v>
      </c>
      <c r="G90" s="41">
        <f t="shared" si="17"/>
        <v>0</v>
      </c>
      <c r="H90" s="41">
        <f t="shared" si="17"/>
        <v>0</v>
      </c>
      <c r="I90" s="41">
        <f t="shared" si="17"/>
        <v>0</v>
      </c>
      <c r="J90" s="41">
        <f t="shared" si="17"/>
        <v>0</v>
      </c>
      <c r="K90" s="42">
        <f t="shared" si="17"/>
        <v>0</v>
      </c>
      <c r="L90" s="40">
        <f t="shared" si="17"/>
        <v>0</v>
      </c>
      <c r="M90" s="41">
        <f t="shared" si="17"/>
        <v>0</v>
      </c>
      <c r="N90" s="41">
        <f t="shared" si="17"/>
        <v>0</v>
      </c>
      <c r="O90" s="41">
        <f t="shared" si="17"/>
        <v>0</v>
      </c>
      <c r="P90" s="41">
        <f t="shared" si="17"/>
        <v>0</v>
      </c>
      <c r="Q90" s="41">
        <f t="shared" si="17"/>
        <v>0</v>
      </c>
      <c r="R90" s="41">
        <f t="shared" si="17"/>
        <v>0</v>
      </c>
      <c r="S90" s="42">
        <f t="shared" si="17"/>
        <v>0</v>
      </c>
      <c r="T90" s="40">
        <f t="shared" si="17"/>
        <v>0</v>
      </c>
      <c r="U90" s="41">
        <f t="shared" si="17"/>
        <v>0</v>
      </c>
      <c r="V90" s="41">
        <f t="shared" si="17"/>
        <v>0</v>
      </c>
      <c r="W90" s="41">
        <f t="shared" si="17"/>
        <v>0</v>
      </c>
      <c r="X90" s="41">
        <f t="shared" si="17"/>
        <v>0</v>
      </c>
      <c r="Y90" s="41">
        <f t="shared" si="17"/>
        <v>0</v>
      </c>
      <c r="Z90" s="41">
        <f t="shared" si="17"/>
        <v>0</v>
      </c>
      <c r="AA90" s="42">
        <f t="shared" si="17"/>
        <v>0</v>
      </c>
      <c r="AB90" s="40">
        <f t="shared" si="17"/>
        <v>0</v>
      </c>
      <c r="AC90" s="41">
        <f t="shared" si="17"/>
        <v>0</v>
      </c>
      <c r="AD90" s="41">
        <f t="shared" si="17"/>
        <v>0</v>
      </c>
      <c r="AE90" s="41">
        <f t="shared" si="17"/>
        <v>0</v>
      </c>
      <c r="AF90" s="41">
        <f t="shared" si="17"/>
        <v>0</v>
      </c>
      <c r="AG90" s="41">
        <f t="shared" si="17"/>
        <v>0</v>
      </c>
      <c r="AH90" s="41">
        <f t="shared" si="17"/>
        <v>0</v>
      </c>
      <c r="AI90" s="42">
        <f t="shared" si="17"/>
        <v>0</v>
      </c>
      <c r="AJ90" s="48"/>
    </row>
    <row r="91" spans="2:36" x14ac:dyDescent="0.25">
      <c r="B91" s="88"/>
      <c r="C91" s="33">
        <v>4</v>
      </c>
      <c r="D91" s="41">
        <f t="shared" ref="D91:AI91" si="18">COUNTIF(D$5:D$73,"pppp")</f>
        <v>0</v>
      </c>
      <c r="E91" s="41">
        <f t="shared" si="18"/>
        <v>0</v>
      </c>
      <c r="F91" s="41">
        <f t="shared" si="18"/>
        <v>0</v>
      </c>
      <c r="G91" s="41">
        <f t="shared" si="18"/>
        <v>0</v>
      </c>
      <c r="H91" s="41">
        <f t="shared" si="18"/>
        <v>0</v>
      </c>
      <c r="I91" s="41">
        <f t="shared" si="18"/>
        <v>0</v>
      </c>
      <c r="J91" s="41">
        <f t="shared" si="18"/>
        <v>0</v>
      </c>
      <c r="K91" s="42">
        <f t="shared" si="18"/>
        <v>0</v>
      </c>
      <c r="L91" s="40">
        <f t="shared" si="18"/>
        <v>0</v>
      </c>
      <c r="M91" s="41">
        <f t="shared" si="18"/>
        <v>0</v>
      </c>
      <c r="N91" s="41">
        <f t="shared" si="18"/>
        <v>0</v>
      </c>
      <c r="O91" s="41">
        <f t="shared" si="18"/>
        <v>0</v>
      </c>
      <c r="P91" s="41">
        <f t="shared" si="18"/>
        <v>0</v>
      </c>
      <c r="Q91" s="41">
        <f t="shared" si="18"/>
        <v>0</v>
      </c>
      <c r="R91" s="41">
        <f t="shared" si="18"/>
        <v>0</v>
      </c>
      <c r="S91" s="42">
        <f t="shared" si="18"/>
        <v>0</v>
      </c>
      <c r="T91" s="40">
        <f t="shared" si="18"/>
        <v>0</v>
      </c>
      <c r="U91" s="41">
        <f t="shared" si="18"/>
        <v>0</v>
      </c>
      <c r="V91" s="41">
        <f t="shared" si="18"/>
        <v>0</v>
      </c>
      <c r="W91" s="41">
        <f t="shared" si="18"/>
        <v>0</v>
      </c>
      <c r="X91" s="41">
        <f t="shared" si="18"/>
        <v>0</v>
      </c>
      <c r="Y91" s="41">
        <f t="shared" si="18"/>
        <v>0</v>
      </c>
      <c r="Z91" s="41">
        <f t="shared" si="18"/>
        <v>0</v>
      </c>
      <c r="AA91" s="42">
        <f t="shared" si="18"/>
        <v>0</v>
      </c>
      <c r="AB91" s="40">
        <f t="shared" si="18"/>
        <v>0</v>
      </c>
      <c r="AC91" s="41">
        <f t="shared" si="18"/>
        <v>0</v>
      </c>
      <c r="AD91" s="41">
        <f t="shared" si="18"/>
        <v>0</v>
      </c>
      <c r="AE91" s="41">
        <f t="shared" si="18"/>
        <v>0</v>
      </c>
      <c r="AF91" s="41">
        <f t="shared" si="18"/>
        <v>0</v>
      </c>
      <c r="AG91" s="41">
        <f t="shared" si="18"/>
        <v>0</v>
      </c>
      <c r="AH91" s="41">
        <f t="shared" si="18"/>
        <v>0</v>
      </c>
      <c r="AI91" s="42">
        <f t="shared" si="18"/>
        <v>0</v>
      </c>
      <c r="AJ91" s="48"/>
    </row>
    <row r="92" spans="2:36" x14ac:dyDescent="0.25">
      <c r="B92" s="88"/>
      <c r="C92" s="33">
        <v>5</v>
      </c>
      <c r="D92" s="41">
        <f t="shared" ref="D92:AI92" si="19">COUNTIF(D$5:D$73,"ppppp")</f>
        <v>0</v>
      </c>
      <c r="E92" s="41">
        <f t="shared" si="19"/>
        <v>0</v>
      </c>
      <c r="F92" s="41">
        <f t="shared" si="19"/>
        <v>0</v>
      </c>
      <c r="G92" s="41">
        <f t="shared" si="19"/>
        <v>0</v>
      </c>
      <c r="H92" s="41">
        <f t="shared" si="19"/>
        <v>0</v>
      </c>
      <c r="I92" s="41">
        <f t="shared" si="19"/>
        <v>0</v>
      </c>
      <c r="J92" s="41">
        <f t="shared" si="19"/>
        <v>0</v>
      </c>
      <c r="K92" s="42">
        <f t="shared" si="19"/>
        <v>0</v>
      </c>
      <c r="L92" s="40">
        <f t="shared" si="19"/>
        <v>0</v>
      </c>
      <c r="M92" s="41">
        <f t="shared" si="19"/>
        <v>0</v>
      </c>
      <c r="N92" s="41">
        <f t="shared" si="19"/>
        <v>0</v>
      </c>
      <c r="O92" s="41">
        <f t="shared" si="19"/>
        <v>0</v>
      </c>
      <c r="P92" s="41">
        <f t="shared" si="19"/>
        <v>0</v>
      </c>
      <c r="Q92" s="41">
        <f t="shared" si="19"/>
        <v>0</v>
      </c>
      <c r="R92" s="41">
        <f t="shared" si="19"/>
        <v>0</v>
      </c>
      <c r="S92" s="42">
        <f t="shared" si="19"/>
        <v>0</v>
      </c>
      <c r="T92" s="40">
        <f t="shared" si="19"/>
        <v>0</v>
      </c>
      <c r="U92" s="41">
        <f t="shared" si="19"/>
        <v>0</v>
      </c>
      <c r="V92" s="41">
        <f t="shared" si="19"/>
        <v>0</v>
      </c>
      <c r="W92" s="41">
        <f t="shared" si="19"/>
        <v>0</v>
      </c>
      <c r="X92" s="41">
        <f t="shared" si="19"/>
        <v>0</v>
      </c>
      <c r="Y92" s="41">
        <f t="shared" si="19"/>
        <v>0</v>
      </c>
      <c r="Z92" s="41">
        <f t="shared" si="19"/>
        <v>0</v>
      </c>
      <c r="AA92" s="42">
        <f t="shared" si="19"/>
        <v>0</v>
      </c>
      <c r="AB92" s="40">
        <f t="shared" si="19"/>
        <v>0</v>
      </c>
      <c r="AC92" s="41">
        <f t="shared" si="19"/>
        <v>0</v>
      </c>
      <c r="AD92" s="41">
        <f t="shared" si="19"/>
        <v>0</v>
      </c>
      <c r="AE92" s="41">
        <f t="shared" si="19"/>
        <v>0</v>
      </c>
      <c r="AF92" s="41">
        <f t="shared" si="19"/>
        <v>0</v>
      </c>
      <c r="AG92" s="41">
        <f t="shared" si="19"/>
        <v>0</v>
      </c>
      <c r="AH92" s="41">
        <f t="shared" si="19"/>
        <v>0</v>
      </c>
      <c r="AI92" s="42">
        <f t="shared" si="19"/>
        <v>0</v>
      </c>
      <c r="AJ92" s="48"/>
    </row>
    <row r="93" spans="2:36" x14ac:dyDescent="0.25">
      <c r="D93" s="41"/>
      <c r="E93" s="41"/>
      <c r="F93" s="41"/>
      <c r="G93" s="41"/>
      <c r="H93" s="41"/>
      <c r="I93" s="41"/>
      <c r="J93" s="41"/>
      <c r="K93" s="42"/>
      <c r="L93" s="40"/>
      <c r="M93" s="41"/>
      <c r="N93" s="41"/>
      <c r="O93" s="41"/>
      <c r="P93" s="41"/>
      <c r="Q93" s="41"/>
      <c r="R93" s="41"/>
      <c r="S93" s="42"/>
      <c r="T93" s="40"/>
      <c r="U93" s="41"/>
      <c r="V93" s="41"/>
      <c r="W93" s="41"/>
      <c r="X93" s="41"/>
      <c r="Y93" s="41"/>
      <c r="Z93" s="41"/>
      <c r="AA93" s="42"/>
      <c r="AB93" s="40"/>
      <c r="AC93" s="41"/>
      <c r="AD93" s="41"/>
      <c r="AE93" s="41"/>
      <c r="AF93" s="41"/>
      <c r="AG93" s="41"/>
      <c r="AH93" s="41"/>
      <c r="AI93" s="42"/>
      <c r="AJ93" s="48"/>
    </row>
    <row r="94" spans="2:36" x14ac:dyDescent="0.25">
      <c r="B94" s="88" t="s">
        <v>70</v>
      </c>
      <c r="C94" s="33">
        <v>1</v>
      </c>
      <c r="D94" s="41">
        <f t="shared" ref="D94:AI94" si="20">COUNTIF(D$5:D$73,"g")</f>
        <v>0</v>
      </c>
      <c r="E94" s="41">
        <f t="shared" si="20"/>
        <v>0</v>
      </c>
      <c r="F94" s="41">
        <f t="shared" si="20"/>
        <v>0</v>
      </c>
      <c r="G94" s="41">
        <f t="shared" si="20"/>
        <v>0</v>
      </c>
      <c r="H94" s="41">
        <f t="shared" si="20"/>
        <v>0</v>
      </c>
      <c r="I94" s="41">
        <f t="shared" si="20"/>
        <v>0</v>
      </c>
      <c r="J94" s="41">
        <f t="shared" si="20"/>
        <v>0</v>
      </c>
      <c r="K94" s="42">
        <f t="shared" si="20"/>
        <v>0</v>
      </c>
      <c r="L94" s="40">
        <f t="shared" si="20"/>
        <v>0</v>
      </c>
      <c r="M94" s="41">
        <f t="shared" si="20"/>
        <v>0</v>
      </c>
      <c r="N94" s="41">
        <f t="shared" si="20"/>
        <v>0</v>
      </c>
      <c r="O94" s="41">
        <f t="shared" si="20"/>
        <v>0</v>
      </c>
      <c r="P94" s="41">
        <f t="shared" si="20"/>
        <v>0</v>
      </c>
      <c r="Q94" s="41">
        <f t="shared" si="20"/>
        <v>0</v>
      </c>
      <c r="R94" s="41">
        <f t="shared" si="20"/>
        <v>0</v>
      </c>
      <c r="S94" s="42">
        <f t="shared" si="20"/>
        <v>0</v>
      </c>
      <c r="T94" s="40">
        <f t="shared" si="20"/>
        <v>0</v>
      </c>
      <c r="U94" s="41">
        <f t="shared" si="20"/>
        <v>0</v>
      </c>
      <c r="V94" s="41">
        <f t="shared" si="20"/>
        <v>0</v>
      </c>
      <c r="W94" s="41">
        <f t="shared" si="20"/>
        <v>0</v>
      </c>
      <c r="X94" s="41">
        <f t="shared" si="20"/>
        <v>0</v>
      </c>
      <c r="Y94" s="41">
        <f t="shared" si="20"/>
        <v>0</v>
      </c>
      <c r="Z94" s="41">
        <f t="shared" si="20"/>
        <v>0</v>
      </c>
      <c r="AA94" s="42">
        <f t="shared" si="20"/>
        <v>0</v>
      </c>
      <c r="AB94" s="40">
        <f t="shared" si="20"/>
        <v>0</v>
      </c>
      <c r="AC94" s="41">
        <f t="shared" si="20"/>
        <v>0</v>
      </c>
      <c r="AD94" s="41">
        <f t="shared" si="20"/>
        <v>0</v>
      </c>
      <c r="AE94" s="41">
        <f t="shared" si="20"/>
        <v>0</v>
      </c>
      <c r="AF94" s="41">
        <f t="shared" si="20"/>
        <v>0</v>
      </c>
      <c r="AG94" s="41">
        <f t="shared" si="20"/>
        <v>0</v>
      </c>
      <c r="AH94" s="41">
        <f t="shared" si="20"/>
        <v>0</v>
      </c>
      <c r="AI94" s="42">
        <f t="shared" si="20"/>
        <v>0</v>
      </c>
      <c r="AJ94" s="48"/>
    </row>
    <row r="95" spans="2:36" x14ac:dyDescent="0.25">
      <c r="B95" s="88"/>
      <c r="C95" s="33">
        <v>2</v>
      </c>
      <c r="D95" s="41">
        <f t="shared" ref="D95:AI95" si="21">COUNTIF(D$5:D$73,"gg")</f>
        <v>0</v>
      </c>
      <c r="E95" s="41">
        <f t="shared" si="21"/>
        <v>0</v>
      </c>
      <c r="F95" s="41">
        <f t="shared" si="21"/>
        <v>0</v>
      </c>
      <c r="G95" s="41">
        <f t="shared" si="21"/>
        <v>0</v>
      </c>
      <c r="H95" s="41">
        <f t="shared" si="21"/>
        <v>0</v>
      </c>
      <c r="I95" s="41">
        <f t="shared" si="21"/>
        <v>0</v>
      </c>
      <c r="J95" s="41">
        <f t="shared" si="21"/>
        <v>0</v>
      </c>
      <c r="K95" s="42">
        <f t="shared" si="21"/>
        <v>0</v>
      </c>
      <c r="L95" s="40">
        <f t="shared" si="21"/>
        <v>0</v>
      </c>
      <c r="M95" s="41">
        <f t="shared" si="21"/>
        <v>0</v>
      </c>
      <c r="N95" s="41">
        <f t="shared" si="21"/>
        <v>0</v>
      </c>
      <c r="O95" s="41">
        <f t="shared" si="21"/>
        <v>0</v>
      </c>
      <c r="P95" s="41">
        <f t="shared" si="21"/>
        <v>0</v>
      </c>
      <c r="Q95" s="41">
        <f t="shared" si="21"/>
        <v>0</v>
      </c>
      <c r="R95" s="41">
        <f t="shared" si="21"/>
        <v>0</v>
      </c>
      <c r="S95" s="42">
        <f t="shared" si="21"/>
        <v>0</v>
      </c>
      <c r="T95" s="40">
        <f t="shared" si="21"/>
        <v>0</v>
      </c>
      <c r="U95" s="41">
        <f t="shared" si="21"/>
        <v>0</v>
      </c>
      <c r="V95" s="41">
        <f t="shared" si="21"/>
        <v>0</v>
      </c>
      <c r="W95" s="41">
        <f t="shared" si="21"/>
        <v>0</v>
      </c>
      <c r="X95" s="41">
        <f t="shared" si="21"/>
        <v>0</v>
      </c>
      <c r="Y95" s="41">
        <f t="shared" si="21"/>
        <v>0</v>
      </c>
      <c r="Z95" s="41">
        <f t="shared" si="21"/>
        <v>0</v>
      </c>
      <c r="AA95" s="42">
        <f t="shared" si="21"/>
        <v>0</v>
      </c>
      <c r="AB95" s="40">
        <f t="shared" si="21"/>
        <v>0</v>
      </c>
      <c r="AC95" s="41">
        <f t="shared" si="21"/>
        <v>0</v>
      </c>
      <c r="AD95" s="41">
        <f t="shared" si="21"/>
        <v>0</v>
      </c>
      <c r="AE95" s="41">
        <f t="shared" si="21"/>
        <v>0</v>
      </c>
      <c r="AF95" s="41">
        <f t="shared" si="21"/>
        <v>0</v>
      </c>
      <c r="AG95" s="41">
        <f t="shared" si="21"/>
        <v>0</v>
      </c>
      <c r="AH95" s="41">
        <f t="shared" si="21"/>
        <v>0</v>
      </c>
      <c r="AI95" s="42">
        <f t="shared" si="21"/>
        <v>0</v>
      </c>
      <c r="AJ95" s="48"/>
    </row>
    <row r="96" spans="2:36" x14ac:dyDescent="0.25">
      <c r="B96" s="88"/>
      <c r="C96" s="33">
        <v>3</v>
      </c>
      <c r="D96" s="41">
        <f t="shared" ref="D96:AI96" si="22">COUNTIF(D$5:D$73,"ggg")</f>
        <v>0</v>
      </c>
      <c r="E96" s="41">
        <f t="shared" si="22"/>
        <v>0</v>
      </c>
      <c r="F96" s="41">
        <f t="shared" si="22"/>
        <v>0</v>
      </c>
      <c r="G96" s="41">
        <f t="shared" si="22"/>
        <v>0</v>
      </c>
      <c r="H96" s="41">
        <f t="shared" si="22"/>
        <v>0</v>
      </c>
      <c r="I96" s="41">
        <f t="shared" si="22"/>
        <v>0</v>
      </c>
      <c r="J96" s="41">
        <f t="shared" si="22"/>
        <v>0</v>
      </c>
      <c r="K96" s="42">
        <f t="shared" si="22"/>
        <v>0</v>
      </c>
      <c r="L96" s="40">
        <f t="shared" si="22"/>
        <v>0</v>
      </c>
      <c r="M96" s="41">
        <f t="shared" si="22"/>
        <v>0</v>
      </c>
      <c r="N96" s="41">
        <f t="shared" si="22"/>
        <v>0</v>
      </c>
      <c r="O96" s="41">
        <f t="shared" si="22"/>
        <v>0</v>
      </c>
      <c r="P96" s="41">
        <f t="shared" si="22"/>
        <v>0</v>
      </c>
      <c r="Q96" s="41">
        <f t="shared" si="22"/>
        <v>0</v>
      </c>
      <c r="R96" s="41">
        <f t="shared" si="22"/>
        <v>0</v>
      </c>
      <c r="S96" s="42">
        <f t="shared" si="22"/>
        <v>0</v>
      </c>
      <c r="T96" s="40">
        <f t="shared" si="22"/>
        <v>0</v>
      </c>
      <c r="U96" s="41">
        <f t="shared" si="22"/>
        <v>0</v>
      </c>
      <c r="V96" s="41">
        <f t="shared" si="22"/>
        <v>0</v>
      </c>
      <c r="W96" s="41">
        <f t="shared" si="22"/>
        <v>0</v>
      </c>
      <c r="X96" s="41">
        <f t="shared" si="22"/>
        <v>0</v>
      </c>
      <c r="Y96" s="41">
        <f t="shared" si="22"/>
        <v>0</v>
      </c>
      <c r="Z96" s="41">
        <f t="shared" si="22"/>
        <v>0</v>
      </c>
      <c r="AA96" s="42">
        <f t="shared" si="22"/>
        <v>0</v>
      </c>
      <c r="AB96" s="40">
        <f t="shared" si="22"/>
        <v>0</v>
      </c>
      <c r="AC96" s="41">
        <f t="shared" si="22"/>
        <v>0</v>
      </c>
      <c r="AD96" s="41">
        <f t="shared" si="22"/>
        <v>0</v>
      </c>
      <c r="AE96" s="41">
        <f t="shared" si="22"/>
        <v>0</v>
      </c>
      <c r="AF96" s="41">
        <f t="shared" si="22"/>
        <v>0</v>
      </c>
      <c r="AG96" s="41">
        <f t="shared" si="22"/>
        <v>0</v>
      </c>
      <c r="AH96" s="41">
        <f t="shared" si="22"/>
        <v>0</v>
      </c>
      <c r="AI96" s="42">
        <f t="shared" si="22"/>
        <v>0</v>
      </c>
      <c r="AJ96" s="48"/>
    </row>
    <row r="97" spans="2:36" x14ac:dyDescent="0.25">
      <c r="B97" s="88"/>
      <c r="C97" s="33">
        <v>4</v>
      </c>
      <c r="D97" s="41">
        <f t="shared" ref="D97:AI97" si="23">COUNTIF(D$5:D$73,"gggg")</f>
        <v>0</v>
      </c>
      <c r="E97" s="41">
        <f t="shared" si="23"/>
        <v>0</v>
      </c>
      <c r="F97" s="41">
        <f t="shared" si="23"/>
        <v>0</v>
      </c>
      <c r="G97" s="41">
        <f t="shared" si="23"/>
        <v>0</v>
      </c>
      <c r="H97" s="41">
        <f t="shared" si="23"/>
        <v>0</v>
      </c>
      <c r="I97" s="41">
        <f t="shared" si="23"/>
        <v>0</v>
      </c>
      <c r="J97" s="41">
        <f t="shared" si="23"/>
        <v>0</v>
      </c>
      <c r="K97" s="42">
        <f t="shared" si="23"/>
        <v>0</v>
      </c>
      <c r="L97" s="40">
        <f t="shared" si="23"/>
        <v>0</v>
      </c>
      <c r="M97" s="41">
        <f t="shared" si="23"/>
        <v>0</v>
      </c>
      <c r="N97" s="41">
        <f t="shared" si="23"/>
        <v>0</v>
      </c>
      <c r="O97" s="41">
        <f t="shared" si="23"/>
        <v>0</v>
      </c>
      <c r="P97" s="41">
        <f t="shared" si="23"/>
        <v>0</v>
      </c>
      <c r="Q97" s="41">
        <f t="shared" si="23"/>
        <v>0</v>
      </c>
      <c r="R97" s="41">
        <f t="shared" si="23"/>
        <v>0</v>
      </c>
      <c r="S97" s="42">
        <f t="shared" si="23"/>
        <v>0</v>
      </c>
      <c r="T97" s="40">
        <f t="shared" si="23"/>
        <v>0</v>
      </c>
      <c r="U97" s="41">
        <f t="shared" si="23"/>
        <v>0</v>
      </c>
      <c r="V97" s="41">
        <f t="shared" si="23"/>
        <v>0</v>
      </c>
      <c r="W97" s="41">
        <f t="shared" si="23"/>
        <v>0</v>
      </c>
      <c r="X97" s="41">
        <f t="shared" si="23"/>
        <v>0</v>
      </c>
      <c r="Y97" s="41">
        <f t="shared" si="23"/>
        <v>0</v>
      </c>
      <c r="Z97" s="41">
        <f t="shared" si="23"/>
        <v>0</v>
      </c>
      <c r="AA97" s="42">
        <f t="shared" si="23"/>
        <v>0</v>
      </c>
      <c r="AB97" s="40">
        <f t="shared" si="23"/>
        <v>0</v>
      </c>
      <c r="AC97" s="41">
        <f t="shared" si="23"/>
        <v>0</v>
      </c>
      <c r="AD97" s="41">
        <f t="shared" si="23"/>
        <v>0</v>
      </c>
      <c r="AE97" s="41">
        <f t="shared" si="23"/>
        <v>0</v>
      </c>
      <c r="AF97" s="41">
        <f t="shared" si="23"/>
        <v>0</v>
      </c>
      <c r="AG97" s="41">
        <f t="shared" si="23"/>
        <v>0</v>
      </c>
      <c r="AH97" s="41">
        <f t="shared" si="23"/>
        <v>0</v>
      </c>
      <c r="AI97" s="42">
        <f t="shared" si="23"/>
        <v>0</v>
      </c>
      <c r="AJ97" s="48"/>
    </row>
    <row r="98" spans="2:36" x14ac:dyDescent="0.25">
      <c r="B98" s="88"/>
      <c r="C98" s="33">
        <v>5</v>
      </c>
      <c r="D98" s="41">
        <f t="shared" ref="D98:AI98" si="24">COUNTIF(D$5:D$73,"ggggg")</f>
        <v>0</v>
      </c>
      <c r="E98" s="41">
        <f t="shared" si="24"/>
        <v>0</v>
      </c>
      <c r="F98" s="41">
        <f t="shared" si="24"/>
        <v>0</v>
      </c>
      <c r="G98" s="41">
        <f t="shared" si="24"/>
        <v>0</v>
      </c>
      <c r="H98" s="41">
        <f t="shared" si="24"/>
        <v>0</v>
      </c>
      <c r="I98" s="41">
        <f t="shared" si="24"/>
        <v>0</v>
      </c>
      <c r="J98" s="41">
        <f t="shared" si="24"/>
        <v>0</v>
      </c>
      <c r="K98" s="42">
        <f t="shared" si="24"/>
        <v>0</v>
      </c>
      <c r="L98" s="40">
        <f t="shared" si="24"/>
        <v>0</v>
      </c>
      <c r="M98" s="41">
        <f t="shared" si="24"/>
        <v>0</v>
      </c>
      <c r="N98" s="41">
        <f t="shared" si="24"/>
        <v>0</v>
      </c>
      <c r="O98" s="41">
        <f t="shared" si="24"/>
        <v>0</v>
      </c>
      <c r="P98" s="41">
        <f t="shared" si="24"/>
        <v>0</v>
      </c>
      <c r="Q98" s="41">
        <f t="shared" si="24"/>
        <v>0</v>
      </c>
      <c r="R98" s="41">
        <f t="shared" si="24"/>
        <v>0</v>
      </c>
      <c r="S98" s="42">
        <f t="shared" si="24"/>
        <v>0</v>
      </c>
      <c r="T98" s="40">
        <f t="shared" si="24"/>
        <v>0</v>
      </c>
      <c r="U98" s="41">
        <f t="shared" si="24"/>
        <v>0</v>
      </c>
      <c r="V98" s="41">
        <f t="shared" si="24"/>
        <v>0</v>
      </c>
      <c r="W98" s="41">
        <f t="shared" si="24"/>
        <v>0</v>
      </c>
      <c r="X98" s="41">
        <f t="shared" si="24"/>
        <v>0</v>
      </c>
      <c r="Y98" s="41">
        <f t="shared" si="24"/>
        <v>0</v>
      </c>
      <c r="Z98" s="41">
        <f t="shared" si="24"/>
        <v>0</v>
      </c>
      <c r="AA98" s="42">
        <f t="shared" si="24"/>
        <v>0</v>
      </c>
      <c r="AB98" s="40">
        <f t="shared" si="24"/>
        <v>0</v>
      </c>
      <c r="AC98" s="41">
        <f t="shared" si="24"/>
        <v>0</v>
      </c>
      <c r="AD98" s="41">
        <f t="shared" si="24"/>
        <v>0</v>
      </c>
      <c r="AE98" s="41">
        <f t="shared" si="24"/>
        <v>0</v>
      </c>
      <c r="AF98" s="41">
        <f t="shared" si="24"/>
        <v>0</v>
      </c>
      <c r="AG98" s="41">
        <f t="shared" si="24"/>
        <v>0</v>
      </c>
      <c r="AH98" s="41">
        <f t="shared" si="24"/>
        <v>0</v>
      </c>
      <c r="AI98" s="42">
        <f t="shared" si="24"/>
        <v>0</v>
      </c>
      <c r="AJ98" s="48"/>
    </row>
  </sheetData>
  <sheetProtection selectLockedCells="1" selectUnlockedCells="1"/>
  <mergeCells count="11">
    <mergeCell ref="AB3:AI3"/>
    <mergeCell ref="B94:B98"/>
    <mergeCell ref="B88:B92"/>
    <mergeCell ref="B82:B86"/>
    <mergeCell ref="AO3:AQ3"/>
    <mergeCell ref="D1:AI1"/>
    <mergeCell ref="D2:S2"/>
    <mergeCell ref="T2:AI2"/>
    <mergeCell ref="D3:K3"/>
    <mergeCell ref="L3:S3"/>
    <mergeCell ref="T3:AA3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C7B6-0127-41A0-B684-31234F206364}">
  <dimension ref="A1:AN74"/>
  <sheetViews>
    <sheetView workbookViewId="0">
      <pane xSplit="1" ySplit="4" topLeftCell="B5" activePane="bottomRight" state="frozen"/>
      <selection pane="topRight" activeCell="B1" sqref="B1"/>
      <selection pane="bottomLeft" activeCell="A128" sqref="A128"/>
      <selection pane="bottomRight" activeCell="I23" sqref="I23"/>
    </sheetView>
  </sheetViews>
  <sheetFormatPr defaultColWidth="11.5703125" defaultRowHeight="15" x14ac:dyDescent="0.25"/>
  <cols>
    <col min="1" max="1" width="4" style="20" customWidth="1"/>
    <col min="2" max="2" width="12.5703125" style="20" customWidth="1"/>
    <col min="3" max="3" width="13.140625" style="20" customWidth="1"/>
    <col min="4" max="4" width="4" style="20" customWidth="1"/>
    <col min="5" max="7" width="4" style="28" customWidth="1"/>
    <col min="8" max="9" width="5.140625" style="28" customWidth="1"/>
    <col min="10" max="10" width="2.7109375" style="28" customWidth="1"/>
    <col min="11" max="14" width="3" style="28" customWidth="1"/>
    <col min="15" max="15" width="2.7109375" style="28" customWidth="1"/>
    <col min="16" max="17" width="5.140625" style="28" customWidth="1"/>
    <col min="18" max="23" width="4" style="28" customWidth="1"/>
    <col min="24" max="25" width="5.140625" style="28" customWidth="1"/>
    <col min="26" max="26" width="2.7109375" style="28" customWidth="1"/>
    <col min="27" max="30" width="3" style="28" customWidth="1"/>
    <col min="31" max="31" width="2.7109375" style="28" customWidth="1"/>
    <col min="32" max="33" width="5.140625" style="28" customWidth="1"/>
    <col min="34" max="37" width="4" style="28" customWidth="1"/>
    <col min="38" max="38" width="7.85546875" style="20" customWidth="1"/>
    <col min="39" max="39" width="19.5703125" style="20" customWidth="1"/>
    <col min="40" max="16384" width="11.5703125" style="20"/>
  </cols>
  <sheetData>
    <row r="1" spans="1:40" x14ac:dyDescent="0.25">
      <c r="E1" s="80" t="s">
        <v>71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22"/>
      <c r="AL1" s="20" t="s">
        <v>62</v>
      </c>
      <c r="AM1" s="54"/>
    </row>
    <row r="2" spans="1:40" x14ac:dyDescent="0.25">
      <c r="E2" s="80" t="s">
        <v>0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 t="s">
        <v>1</v>
      </c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22"/>
    </row>
    <row r="3" spans="1:40" x14ac:dyDescent="0.25">
      <c r="E3" s="82" t="s">
        <v>3</v>
      </c>
      <c r="F3" s="82"/>
      <c r="G3" s="82"/>
      <c r="H3" s="82"/>
      <c r="I3" s="82"/>
      <c r="J3" s="82"/>
      <c r="K3" s="82"/>
      <c r="L3" s="82"/>
      <c r="M3" s="80" t="s">
        <v>4</v>
      </c>
      <c r="N3" s="80"/>
      <c r="O3" s="80"/>
      <c r="P3" s="80"/>
      <c r="Q3" s="80"/>
      <c r="R3" s="80"/>
      <c r="S3" s="80"/>
      <c r="T3" s="80"/>
      <c r="U3" s="82" t="s">
        <v>3</v>
      </c>
      <c r="V3" s="82"/>
      <c r="W3" s="82"/>
      <c r="X3" s="82"/>
      <c r="Y3" s="82"/>
      <c r="Z3" s="82"/>
      <c r="AA3" s="82"/>
      <c r="AB3" s="82"/>
      <c r="AC3" s="82" t="s">
        <v>4</v>
      </c>
      <c r="AD3" s="82"/>
      <c r="AE3" s="82"/>
      <c r="AF3" s="82"/>
      <c r="AG3" s="82"/>
      <c r="AH3" s="82"/>
      <c r="AI3" s="82"/>
      <c r="AJ3" s="82"/>
      <c r="AK3" s="22"/>
      <c r="AL3" s="22"/>
    </row>
    <row r="4" spans="1:40" x14ac:dyDescent="0.25">
      <c r="A4" s="7" t="s">
        <v>8</v>
      </c>
      <c r="B4" s="7" t="s">
        <v>9</v>
      </c>
      <c r="C4" s="7" t="s">
        <v>10</v>
      </c>
      <c r="D4" s="7" t="s">
        <v>72</v>
      </c>
      <c r="E4" s="10">
        <v>8</v>
      </c>
      <c r="F4" s="8">
        <v>7</v>
      </c>
      <c r="G4" s="8">
        <v>6</v>
      </c>
      <c r="H4" s="8">
        <v>5</v>
      </c>
      <c r="I4" s="8">
        <v>4</v>
      </c>
      <c r="J4" s="8">
        <v>3</v>
      </c>
      <c r="K4" s="8">
        <v>2</v>
      </c>
      <c r="L4" s="9">
        <v>1</v>
      </c>
      <c r="M4" s="8">
        <v>1</v>
      </c>
      <c r="N4" s="8">
        <v>2</v>
      </c>
      <c r="O4" s="8">
        <v>3</v>
      </c>
      <c r="P4" s="8">
        <v>4</v>
      </c>
      <c r="Q4" s="8">
        <v>5</v>
      </c>
      <c r="R4" s="8">
        <v>6</v>
      </c>
      <c r="S4" s="8">
        <v>7</v>
      </c>
      <c r="T4" s="8">
        <v>8</v>
      </c>
      <c r="U4" s="10">
        <v>8</v>
      </c>
      <c r="V4" s="8">
        <v>7</v>
      </c>
      <c r="W4" s="8">
        <v>6</v>
      </c>
      <c r="X4" s="8">
        <v>5</v>
      </c>
      <c r="Y4" s="8">
        <v>4</v>
      </c>
      <c r="Z4" s="8">
        <v>3</v>
      </c>
      <c r="AA4" s="8">
        <v>2</v>
      </c>
      <c r="AB4" s="9">
        <v>1</v>
      </c>
      <c r="AC4" s="10">
        <v>1</v>
      </c>
      <c r="AD4" s="8">
        <v>2</v>
      </c>
      <c r="AE4" s="8">
        <v>3</v>
      </c>
      <c r="AF4" s="8">
        <v>4</v>
      </c>
      <c r="AG4" s="8">
        <v>5</v>
      </c>
      <c r="AH4" s="8">
        <v>6</v>
      </c>
      <c r="AI4" s="8">
        <v>7</v>
      </c>
      <c r="AJ4" s="9">
        <v>8</v>
      </c>
      <c r="AK4" s="8"/>
      <c r="AL4" s="7" t="s">
        <v>73</v>
      </c>
      <c r="AM4" s="7" t="s">
        <v>74</v>
      </c>
      <c r="AN4" s="7" t="s">
        <v>75</v>
      </c>
    </row>
    <row r="5" spans="1:40" x14ac:dyDescent="0.25">
      <c r="A5" s="20" t="str">
        <f>Üldinfo!A4</f>
        <v>1a</v>
      </c>
      <c r="B5" s="20" t="str">
        <f>Üldinfo!B4</f>
        <v>Mees</v>
      </c>
      <c r="C5" s="20" t="str">
        <f>Üldinfo!C4</f>
        <v>Täiskasvanu</v>
      </c>
      <c r="D5" s="20">
        <f>Üldinfo!D4</f>
        <v>0</v>
      </c>
      <c r="E5" s="30"/>
      <c r="L5" s="29"/>
      <c r="U5" s="30"/>
      <c r="AB5" s="29"/>
      <c r="AC5" s="30"/>
      <c r="AJ5" s="29"/>
      <c r="AL5" s="20">
        <f t="shared" ref="AL5:AL73" si="0">COUNTIF(E5:AJ5,"1")</f>
        <v>0</v>
      </c>
      <c r="AM5" s="20">
        <f>Üldinfo!AS4</f>
        <v>0</v>
      </c>
      <c r="AN5" s="58" t="e">
        <f t="shared" ref="AN5:AN74" si="1">AL5/AM5</f>
        <v>#DIV/0!</v>
      </c>
    </row>
    <row r="6" spans="1:40" x14ac:dyDescent="0.25">
      <c r="A6" s="20" t="str">
        <f>Üldinfo!A5</f>
        <v>1b</v>
      </c>
      <c r="B6" s="20" t="str">
        <f>Üldinfo!B5</f>
        <v>Alaealine</v>
      </c>
      <c r="C6" s="20" t="str">
        <f>Üldinfo!C5</f>
        <v>Alaealine</v>
      </c>
      <c r="D6" s="20">
        <f>Üldinfo!D5</f>
        <v>0</v>
      </c>
      <c r="E6" s="30"/>
      <c r="L6" s="29"/>
      <c r="U6" s="30"/>
      <c r="AB6" s="29"/>
      <c r="AC6" s="30"/>
      <c r="AJ6" s="29"/>
      <c r="AL6" s="20">
        <f>COUNTIF(E6:AJ6,"1")</f>
        <v>0</v>
      </c>
      <c r="AM6" s="20">
        <f>Üldinfo!AS5</f>
        <v>0</v>
      </c>
      <c r="AN6" s="58" t="e">
        <f>AL6/AM6</f>
        <v>#DIV/0!</v>
      </c>
    </row>
    <row r="7" spans="1:40" x14ac:dyDescent="0.25">
      <c r="A7" s="20">
        <f>Üldinfo!A6</f>
        <v>2</v>
      </c>
      <c r="B7" s="20" t="str">
        <f>Üldinfo!B6</f>
        <v>Naine</v>
      </c>
      <c r="C7" s="20" t="str">
        <f>Üldinfo!C6</f>
        <v>Täiskasvanu</v>
      </c>
      <c r="D7" s="20">
        <f>Üldinfo!D6</f>
        <v>0</v>
      </c>
      <c r="E7" s="30"/>
      <c r="L7" s="29"/>
      <c r="U7" s="30"/>
      <c r="AB7" s="29"/>
      <c r="AC7" s="30"/>
      <c r="AJ7" s="29"/>
      <c r="AL7" s="20">
        <f t="shared" si="0"/>
        <v>0</v>
      </c>
      <c r="AM7" s="20">
        <f>Üldinfo!AS6</f>
        <v>0</v>
      </c>
      <c r="AN7" s="58" t="e">
        <f t="shared" si="1"/>
        <v>#DIV/0!</v>
      </c>
    </row>
    <row r="8" spans="1:40" x14ac:dyDescent="0.25">
      <c r="A8" s="20">
        <f>Üldinfo!A7</f>
        <v>3</v>
      </c>
      <c r="B8" s="20" t="str">
        <f>Üldinfo!B7</f>
        <v>Alaealine</v>
      </c>
      <c r="C8" s="20" t="str">
        <f>Üldinfo!C7</f>
        <v>12-18 a</v>
      </c>
      <c r="D8" s="20">
        <f>Üldinfo!D7</f>
        <v>1</v>
      </c>
      <c r="E8" s="30"/>
      <c r="L8" s="29"/>
      <c r="U8" s="30"/>
      <c r="AB8" s="29"/>
      <c r="AC8" s="30"/>
      <c r="AJ8" s="29"/>
      <c r="AL8" s="20">
        <f t="shared" si="0"/>
        <v>0</v>
      </c>
      <c r="AM8" s="20">
        <f>Üldinfo!AS7</f>
        <v>32</v>
      </c>
      <c r="AN8" s="58">
        <f t="shared" si="1"/>
        <v>0</v>
      </c>
    </row>
    <row r="9" spans="1:40" x14ac:dyDescent="0.25">
      <c r="A9" s="20">
        <f>Üldinfo!A8</f>
        <v>4</v>
      </c>
      <c r="B9" s="20" t="str">
        <f>Üldinfo!B8</f>
        <v>Täiskasvanu</v>
      </c>
      <c r="C9" s="20" t="str">
        <f>Üldinfo!C8</f>
        <v>Täiskasvanu</v>
      </c>
      <c r="D9" s="20">
        <f>Üldinfo!D8</f>
        <v>0</v>
      </c>
      <c r="E9" s="30"/>
      <c r="L9" s="29"/>
      <c r="U9" s="30"/>
      <c r="AB9" s="29"/>
      <c r="AC9" s="30"/>
      <c r="AJ9" s="29"/>
      <c r="AL9" s="20">
        <f t="shared" si="0"/>
        <v>0</v>
      </c>
      <c r="AM9" s="20">
        <f>Üldinfo!AS8</f>
        <v>0</v>
      </c>
      <c r="AN9" s="58" t="e">
        <f t="shared" si="1"/>
        <v>#DIV/0!</v>
      </c>
    </row>
    <row r="10" spans="1:40" x14ac:dyDescent="0.25">
      <c r="A10" s="20">
        <f>Üldinfo!A9</f>
        <v>5</v>
      </c>
      <c r="B10" s="20" t="str">
        <f>Üldinfo!B9</f>
        <v>Täiskasvanu</v>
      </c>
      <c r="C10" s="20" t="str">
        <f>Üldinfo!C9</f>
        <v>Täiskasvanu</v>
      </c>
      <c r="D10" s="20">
        <f>Üldinfo!D9</f>
        <v>0</v>
      </c>
      <c r="E10" s="30"/>
      <c r="L10" s="29"/>
      <c r="U10" s="30"/>
      <c r="AB10" s="29"/>
      <c r="AC10" s="30"/>
      <c r="AJ10" s="29"/>
      <c r="AL10" s="20">
        <f t="shared" si="0"/>
        <v>0</v>
      </c>
      <c r="AM10" s="20">
        <f>Üldinfo!AS9</f>
        <v>0</v>
      </c>
      <c r="AN10" s="58" t="e">
        <f t="shared" si="1"/>
        <v>#DIV/0!</v>
      </c>
    </row>
    <row r="11" spans="1:40" x14ac:dyDescent="0.25">
      <c r="A11" s="20">
        <f>Üldinfo!A10</f>
        <v>6</v>
      </c>
      <c r="B11" s="20" t="str">
        <f>Üldinfo!B10</f>
        <v>Täiskasvanu</v>
      </c>
      <c r="C11" s="20" t="str">
        <f>Üldinfo!C10</f>
        <v>Täiskasvanu</v>
      </c>
      <c r="D11" s="20">
        <f>Üldinfo!D10</f>
        <v>0</v>
      </c>
      <c r="E11" s="30"/>
      <c r="L11" s="29"/>
      <c r="U11" s="30"/>
      <c r="AB11" s="29"/>
      <c r="AC11" s="30"/>
      <c r="AJ11" s="29"/>
      <c r="AL11" s="20">
        <f t="shared" si="0"/>
        <v>0</v>
      </c>
      <c r="AM11" s="20">
        <f>Üldinfo!AS10</f>
        <v>0</v>
      </c>
      <c r="AN11" s="58" t="e">
        <f t="shared" si="1"/>
        <v>#DIV/0!</v>
      </c>
    </row>
    <row r="12" spans="1:40" x14ac:dyDescent="0.25">
      <c r="A12" s="20">
        <f>Üldinfo!A11</f>
        <v>7</v>
      </c>
      <c r="B12" s="20" t="str">
        <f>Üldinfo!B11</f>
        <v>Mees</v>
      </c>
      <c r="C12" s="20" t="str">
        <f>Üldinfo!C11</f>
        <v>25-35 a</v>
      </c>
      <c r="D12" s="20">
        <f>Üldinfo!D11</f>
        <v>1</v>
      </c>
      <c r="E12" s="30"/>
      <c r="L12" s="29"/>
      <c r="U12" s="30"/>
      <c r="AB12" s="29"/>
      <c r="AC12" s="30"/>
      <c r="AJ12" s="29"/>
      <c r="AL12" s="20">
        <f t="shared" si="0"/>
        <v>0</v>
      </c>
      <c r="AM12" s="20">
        <f>Üldinfo!AS11</f>
        <v>32</v>
      </c>
      <c r="AN12" s="58">
        <f t="shared" si="1"/>
        <v>0</v>
      </c>
    </row>
    <row r="13" spans="1:40" x14ac:dyDescent="0.25">
      <c r="A13" s="20">
        <f>Üldinfo!A12</f>
        <v>8</v>
      </c>
      <c r="B13" s="20" t="str">
        <f>Üldinfo!B12</f>
        <v>Täiskasvanu</v>
      </c>
      <c r="C13" s="20" t="str">
        <f>Üldinfo!C12</f>
        <v>Täiskasvanu</v>
      </c>
      <c r="D13" s="20">
        <f>Üldinfo!D12</f>
        <v>0</v>
      </c>
      <c r="E13" s="30"/>
      <c r="L13" s="29"/>
      <c r="U13" s="30"/>
      <c r="AB13" s="29"/>
      <c r="AC13" s="30"/>
      <c r="AJ13" s="29"/>
      <c r="AL13" s="20">
        <f t="shared" si="0"/>
        <v>0</v>
      </c>
      <c r="AM13" s="20">
        <f>Üldinfo!AS12</f>
        <v>0</v>
      </c>
      <c r="AN13" s="58" t="e">
        <f t="shared" si="1"/>
        <v>#DIV/0!</v>
      </c>
    </row>
    <row r="14" spans="1:40" x14ac:dyDescent="0.25">
      <c r="A14" s="20">
        <f>Üldinfo!A13</f>
        <v>9</v>
      </c>
      <c r="B14" s="20" t="str">
        <f>Üldinfo!B13</f>
        <v>Naine</v>
      </c>
      <c r="C14" s="20" t="str">
        <f>Üldinfo!C13</f>
        <v>25-35 a</v>
      </c>
      <c r="D14" s="20">
        <f>Üldinfo!D13</f>
        <v>1</v>
      </c>
      <c r="E14" s="30"/>
      <c r="L14" s="29"/>
      <c r="P14" s="28">
        <v>1</v>
      </c>
      <c r="U14" s="30"/>
      <c r="AB14" s="29"/>
      <c r="AC14" s="30"/>
      <c r="AJ14" s="29"/>
      <c r="AL14" s="20">
        <f t="shared" si="0"/>
        <v>1</v>
      </c>
      <c r="AM14" s="20">
        <f>Üldinfo!AS13</f>
        <v>32</v>
      </c>
      <c r="AN14" s="58">
        <f t="shared" si="1"/>
        <v>3.125E-2</v>
      </c>
    </row>
    <row r="15" spans="1:40" x14ac:dyDescent="0.25">
      <c r="A15" s="20">
        <f>Üldinfo!A14</f>
        <v>10</v>
      </c>
      <c r="B15" s="20" t="str">
        <f>Üldinfo!B14</f>
        <v>Täiskasvanu</v>
      </c>
      <c r="C15" s="20" t="str">
        <f>Üldinfo!C14</f>
        <v>Täiskasvanu</v>
      </c>
      <c r="D15" s="20">
        <f>Üldinfo!D14</f>
        <v>0</v>
      </c>
      <c r="E15" s="30"/>
      <c r="L15" s="29"/>
      <c r="U15" s="30"/>
      <c r="AB15" s="29"/>
      <c r="AC15" s="30"/>
      <c r="AJ15" s="29"/>
      <c r="AL15" s="20">
        <f t="shared" si="0"/>
        <v>0</v>
      </c>
      <c r="AM15" s="20">
        <f>Üldinfo!AS14</f>
        <v>0</v>
      </c>
      <c r="AN15" s="58" t="e">
        <f t="shared" si="1"/>
        <v>#DIV/0!</v>
      </c>
    </row>
    <row r="16" spans="1:40" x14ac:dyDescent="0.25">
      <c r="A16" s="20">
        <f>Üldinfo!A15</f>
        <v>11</v>
      </c>
      <c r="B16" s="20" t="str">
        <f>Üldinfo!B15</f>
        <v>Täiskasvanu</v>
      </c>
      <c r="C16" s="20" t="str">
        <f>Üldinfo!C15</f>
        <v>Täiskasvanu</v>
      </c>
      <c r="D16" s="20">
        <f>Üldinfo!D15</f>
        <v>0</v>
      </c>
      <c r="E16" s="30"/>
      <c r="L16" s="29"/>
      <c r="U16" s="30"/>
      <c r="AB16" s="29"/>
      <c r="AC16" s="30"/>
      <c r="AJ16" s="29"/>
      <c r="AL16" s="20">
        <f t="shared" si="0"/>
        <v>0</v>
      </c>
      <c r="AM16" s="20">
        <f>Üldinfo!AS15</f>
        <v>0</v>
      </c>
      <c r="AN16" s="58" t="e">
        <f t="shared" si="1"/>
        <v>#DIV/0!</v>
      </c>
    </row>
    <row r="17" spans="1:40" x14ac:dyDescent="0.25">
      <c r="A17" s="20">
        <f>Üldinfo!A16</f>
        <v>12</v>
      </c>
      <c r="B17" s="20" t="str">
        <f>Üldinfo!B16</f>
        <v>Naine</v>
      </c>
      <c r="C17" s="20" t="str">
        <f>Üldinfo!C16</f>
        <v>25-30 a</v>
      </c>
      <c r="D17" s="20">
        <f>Üldinfo!D16</f>
        <v>1</v>
      </c>
      <c r="E17" s="30"/>
      <c r="L17" s="29"/>
      <c r="U17" s="30"/>
      <c r="AB17" s="29"/>
      <c r="AC17" s="30"/>
      <c r="AJ17" s="29"/>
      <c r="AL17" s="20">
        <f t="shared" si="0"/>
        <v>0</v>
      </c>
      <c r="AM17" s="20">
        <f>Üldinfo!AS16</f>
        <v>20</v>
      </c>
      <c r="AN17" s="58">
        <f t="shared" si="1"/>
        <v>0</v>
      </c>
    </row>
    <row r="18" spans="1:40" x14ac:dyDescent="0.25">
      <c r="A18" s="20">
        <f>Üldinfo!A17</f>
        <v>14</v>
      </c>
      <c r="B18" s="20" t="str">
        <f>Üldinfo!B17</f>
        <v>Alaealine</v>
      </c>
      <c r="C18" s="20" t="str">
        <f>Üldinfo!C17</f>
        <v>Alaealine</v>
      </c>
      <c r="D18" s="20">
        <f>Üldinfo!D17</f>
        <v>0</v>
      </c>
      <c r="E18" s="30"/>
      <c r="L18" s="29"/>
      <c r="U18" s="30"/>
      <c r="AB18" s="29"/>
      <c r="AC18" s="30"/>
      <c r="AJ18" s="29"/>
      <c r="AL18" s="20">
        <f t="shared" si="0"/>
        <v>0</v>
      </c>
      <c r="AM18" s="20">
        <f>Üldinfo!AS17</f>
        <v>0</v>
      </c>
      <c r="AN18" s="58" t="e">
        <f t="shared" si="1"/>
        <v>#DIV/0!</v>
      </c>
    </row>
    <row r="19" spans="1:40" x14ac:dyDescent="0.25">
      <c r="A19" s="20">
        <f>Üldinfo!A18</f>
        <v>15</v>
      </c>
      <c r="B19" s="20" t="str">
        <f>Üldinfo!B18</f>
        <v>Täiskasvanu</v>
      </c>
      <c r="C19" s="20" t="str">
        <f>Üldinfo!C18</f>
        <v>Täiskasvanu</v>
      </c>
      <c r="D19" s="20">
        <f>Üldinfo!D18</f>
        <v>0</v>
      </c>
      <c r="E19" s="30"/>
      <c r="L19" s="29"/>
      <c r="U19" s="30"/>
      <c r="AB19" s="29"/>
      <c r="AC19" s="30"/>
      <c r="AJ19" s="29"/>
      <c r="AL19" s="20">
        <f t="shared" si="0"/>
        <v>0</v>
      </c>
      <c r="AM19" s="20">
        <f>Üldinfo!AS18</f>
        <v>0</v>
      </c>
      <c r="AN19" s="58" t="e">
        <f t="shared" si="1"/>
        <v>#DIV/0!</v>
      </c>
    </row>
    <row r="20" spans="1:40" x14ac:dyDescent="0.25">
      <c r="A20" s="20">
        <f>Üldinfo!A19</f>
        <v>16</v>
      </c>
      <c r="B20" s="20" t="str">
        <f>Üldinfo!B19</f>
        <v>Täiskasvanu</v>
      </c>
      <c r="C20" s="20" t="str">
        <f>Üldinfo!C19</f>
        <v>Täiskasvanu</v>
      </c>
      <c r="D20" s="20">
        <f>Üldinfo!D19</f>
        <v>0</v>
      </c>
      <c r="E20" s="30"/>
      <c r="L20" s="29"/>
      <c r="U20" s="30"/>
      <c r="AB20" s="29"/>
      <c r="AC20" s="30"/>
      <c r="AJ20" s="29"/>
      <c r="AL20" s="20">
        <f t="shared" si="0"/>
        <v>0</v>
      </c>
      <c r="AM20" s="20">
        <f>Üldinfo!AS19</f>
        <v>0</v>
      </c>
      <c r="AN20" s="58" t="e">
        <f t="shared" si="1"/>
        <v>#DIV/0!</v>
      </c>
    </row>
    <row r="21" spans="1:40" x14ac:dyDescent="0.25">
      <c r="A21" s="20">
        <f>Üldinfo!A20</f>
        <v>17</v>
      </c>
      <c r="B21" s="20" t="str">
        <f>Üldinfo!B20</f>
        <v>Täiskasvanu</v>
      </c>
      <c r="C21" s="20" t="str">
        <f>Üldinfo!C20</f>
        <v>Täiskasvanu</v>
      </c>
      <c r="D21" s="20">
        <f>Üldinfo!D20</f>
        <v>0</v>
      </c>
      <c r="E21" s="30"/>
      <c r="L21" s="29"/>
      <c r="U21" s="30"/>
      <c r="AB21" s="29"/>
      <c r="AC21" s="30"/>
      <c r="AJ21" s="29"/>
      <c r="AL21" s="20">
        <f t="shared" si="0"/>
        <v>0</v>
      </c>
      <c r="AM21" s="20">
        <f>Üldinfo!AS20</f>
        <v>0</v>
      </c>
      <c r="AN21" s="58" t="e">
        <f t="shared" si="1"/>
        <v>#DIV/0!</v>
      </c>
    </row>
    <row r="22" spans="1:40" x14ac:dyDescent="0.25">
      <c r="A22" s="20">
        <f>Üldinfo!A21</f>
        <v>19</v>
      </c>
      <c r="B22" s="20" t="str">
        <f>Üldinfo!B21</f>
        <v>Mees</v>
      </c>
      <c r="C22" s="20" t="str">
        <f>Üldinfo!C21</f>
        <v>Täiskasvanu</v>
      </c>
      <c r="D22" s="20">
        <f>Üldinfo!D21</f>
        <v>1</v>
      </c>
      <c r="E22" s="30"/>
      <c r="L22" s="29"/>
      <c r="U22" s="30"/>
      <c r="AB22" s="29"/>
      <c r="AC22" s="30"/>
      <c r="AJ22" s="29"/>
      <c r="AL22" s="20">
        <f t="shared" si="0"/>
        <v>0</v>
      </c>
      <c r="AM22" s="20">
        <f>Üldinfo!AS21</f>
        <v>1</v>
      </c>
      <c r="AN22" s="58">
        <f t="shared" si="1"/>
        <v>0</v>
      </c>
    </row>
    <row r="23" spans="1:40" x14ac:dyDescent="0.25">
      <c r="A23" s="20">
        <f>Üldinfo!A22</f>
        <v>20</v>
      </c>
      <c r="B23" s="20" t="str">
        <f>Üldinfo!B22</f>
        <v>Mees</v>
      </c>
      <c r="C23" s="20" t="str">
        <f>Üldinfo!C22</f>
        <v>Täiskasvanu</v>
      </c>
      <c r="D23" s="20">
        <f>Üldinfo!D22</f>
        <v>1</v>
      </c>
      <c r="E23" s="30"/>
      <c r="L23" s="29"/>
      <c r="U23" s="30"/>
      <c r="AB23" s="29"/>
      <c r="AC23" s="30"/>
      <c r="AJ23" s="29"/>
      <c r="AL23" s="20">
        <f t="shared" si="0"/>
        <v>0</v>
      </c>
      <c r="AM23" s="20">
        <f>Üldinfo!AS22</f>
        <v>1</v>
      </c>
      <c r="AN23" s="58">
        <f t="shared" si="1"/>
        <v>0</v>
      </c>
    </row>
    <row r="24" spans="1:40" x14ac:dyDescent="0.25">
      <c r="A24" s="20">
        <f>Üldinfo!A23</f>
        <v>21</v>
      </c>
      <c r="B24" s="20" t="str">
        <f>Üldinfo!B23</f>
        <v>Naine</v>
      </c>
      <c r="C24" s="20" t="str">
        <f>Üldinfo!C23</f>
        <v>20-25 a</v>
      </c>
      <c r="D24" s="20">
        <f>Üldinfo!D23</f>
        <v>1</v>
      </c>
      <c r="E24" s="30"/>
      <c r="L24" s="29"/>
      <c r="U24" s="30"/>
      <c r="AB24" s="29"/>
      <c r="AC24" s="30"/>
      <c r="AJ24" s="29"/>
      <c r="AL24" s="20">
        <f t="shared" si="0"/>
        <v>0</v>
      </c>
      <c r="AM24" s="20">
        <f>Üldinfo!AS23</f>
        <v>32</v>
      </c>
      <c r="AN24" s="58">
        <f t="shared" si="1"/>
        <v>0</v>
      </c>
    </row>
    <row r="25" spans="1:40" x14ac:dyDescent="0.25">
      <c r="A25" s="20">
        <f>Üldinfo!A24</f>
        <v>22</v>
      </c>
      <c r="B25" s="20" t="str">
        <f>Üldinfo!B24</f>
        <v>Naine</v>
      </c>
      <c r="C25" s="20" t="str">
        <f>Üldinfo!C24</f>
        <v>17-20 a</v>
      </c>
      <c r="D25" s="20">
        <f>Üldinfo!D24</f>
        <v>1</v>
      </c>
      <c r="E25" s="30"/>
      <c r="L25" s="29"/>
      <c r="U25" s="30"/>
      <c r="AB25" s="29"/>
      <c r="AC25" s="30"/>
      <c r="AJ25" s="29"/>
      <c r="AL25" s="20">
        <f t="shared" si="0"/>
        <v>0</v>
      </c>
      <c r="AM25" s="20">
        <f>Üldinfo!AS24</f>
        <v>32</v>
      </c>
      <c r="AN25" s="58">
        <f t="shared" si="1"/>
        <v>0</v>
      </c>
    </row>
    <row r="26" spans="1:40" x14ac:dyDescent="0.25">
      <c r="A26" s="20">
        <f>Üldinfo!A25</f>
        <v>23</v>
      </c>
      <c r="B26" s="20" t="str">
        <f>Üldinfo!B25</f>
        <v>Alaealine</v>
      </c>
      <c r="C26" s="20" t="str">
        <f>Üldinfo!C25</f>
        <v>10 a ± 30k</v>
      </c>
      <c r="D26" s="20">
        <f>Üldinfo!D25</f>
        <v>1</v>
      </c>
      <c r="E26" s="30"/>
      <c r="L26" s="29"/>
      <c r="U26" s="30"/>
      <c r="AB26" s="29"/>
      <c r="AC26" s="30"/>
      <c r="AJ26" s="29"/>
      <c r="AL26" s="20">
        <f t="shared" si="0"/>
        <v>0</v>
      </c>
      <c r="AM26" s="20">
        <f>Üldinfo!AS25</f>
        <v>32</v>
      </c>
      <c r="AN26" s="58">
        <f t="shared" si="1"/>
        <v>0</v>
      </c>
    </row>
    <row r="27" spans="1:40" x14ac:dyDescent="0.25">
      <c r="A27" s="20">
        <f>Üldinfo!A26</f>
        <v>24</v>
      </c>
      <c r="B27" s="20" t="str">
        <f>Üldinfo!B26</f>
        <v>Mees</v>
      </c>
      <c r="C27" s="20" t="str">
        <f>Üldinfo!C26</f>
        <v>39-44 a</v>
      </c>
      <c r="D27" s="20">
        <f>Üldinfo!D26</f>
        <v>0</v>
      </c>
      <c r="E27" s="30"/>
      <c r="L27" s="29"/>
      <c r="U27" s="30"/>
      <c r="AB27" s="29"/>
      <c r="AC27" s="30"/>
      <c r="AJ27" s="29"/>
      <c r="AL27" s="20">
        <f t="shared" si="0"/>
        <v>0</v>
      </c>
      <c r="AM27" s="20">
        <f>Üldinfo!AS26</f>
        <v>0</v>
      </c>
      <c r="AN27" s="58" t="e">
        <f t="shared" si="1"/>
        <v>#DIV/0!</v>
      </c>
    </row>
    <row r="28" spans="1:40" x14ac:dyDescent="0.25">
      <c r="A28" s="20">
        <f>Üldinfo!A27</f>
        <v>25</v>
      </c>
      <c r="B28" s="20" t="str">
        <f>Üldinfo!B27</f>
        <v>Alaealine</v>
      </c>
      <c r="C28" s="20" t="str">
        <f>Üldinfo!C27</f>
        <v>7-11 a</v>
      </c>
      <c r="D28" s="20">
        <f>Üldinfo!D27</f>
        <v>1</v>
      </c>
      <c r="E28" s="30"/>
      <c r="L28" s="29"/>
      <c r="U28" s="30"/>
      <c r="AB28" s="29"/>
      <c r="AC28" s="30"/>
      <c r="AJ28" s="29"/>
      <c r="AL28" s="20">
        <f t="shared" si="0"/>
        <v>0</v>
      </c>
      <c r="AM28" s="20">
        <f>Üldinfo!AS27</f>
        <v>20</v>
      </c>
      <c r="AN28" s="58">
        <f t="shared" si="1"/>
        <v>0</v>
      </c>
    </row>
    <row r="29" spans="1:40" x14ac:dyDescent="0.25">
      <c r="A29" s="20" t="str">
        <f>Üldinfo!A28</f>
        <v>26a</v>
      </c>
      <c r="B29" s="20" t="str">
        <f>Üldinfo!B28</f>
        <v>Alaealine</v>
      </c>
      <c r="C29" s="20" t="str">
        <f>Üldinfo!C28</f>
        <v>12-18 a</v>
      </c>
      <c r="D29" s="20">
        <f>Üldinfo!D28</f>
        <v>0</v>
      </c>
      <c r="E29" s="30"/>
      <c r="L29" s="29"/>
      <c r="U29" s="30"/>
      <c r="AB29" s="29"/>
      <c r="AC29" s="30"/>
      <c r="AJ29" s="29"/>
      <c r="AL29" s="20">
        <f t="shared" si="0"/>
        <v>0</v>
      </c>
      <c r="AM29" s="20">
        <f>Üldinfo!AS28</f>
        <v>0</v>
      </c>
      <c r="AN29" s="58" t="e">
        <f t="shared" si="1"/>
        <v>#DIV/0!</v>
      </c>
    </row>
    <row r="30" spans="1:40" x14ac:dyDescent="0.25">
      <c r="A30" s="20" t="str">
        <f>Üldinfo!A29</f>
        <v>26b</v>
      </c>
      <c r="B30" s="20" t="str">
        <f>Üldinfo!B29</f>
        <v>Täiskasvanu</v>
      </c>
      <c r="C30" s="20" t="str">
        <f>Üldinfo!C29</f>
        <v>Täiskasvanu</v>
      </c>
      <c r="D30" s="20">
        <f>Üldinfo!D29</f>
        <v>0</v>
      </c>
      <c r="E30" s="30"/>
      <c r="L30" s="29"/>
      <c r="U30" s="30"/>
      <c r="AB30" s="29"/>
      <c r="AC30" s="30"/>
      <c r="AJ30" s="29"/>
      <c r="AL30" s="20">
        <f t="shared" si="0"/>
        <v>0</v>
      </c>
      <c r="AM30" s="20">
        <f>Üldinfo!AS29</f>
        <v>0</v>
      </c>
      <c r="AN30" s="58" t="e">
        <f t="shared" si="1"/>
        <v>#DIV/0!</v>
      </c>
    </row>
    <row r="31" spans="1:40" x14ac:dyDescent="0.25">
      <c r="A31" s="20">
        <f>Üldinfo!A30</f>
        <v>27</v>
      </c>
      <c r="B31" s="20" t="str">
        <f>Üldinfo!B30</f>
        <v>Mees</v>
      </c>
      <c r="C31" s="20" t="str">
        <f>Üldinfo!C30</f>
        <v>40-50 a</v>
      </c>
      <c r="D31" s="20">
        <f>Üldinfo!D30</f>
        <v>0</v>
      </c>
      <c r="E31" s="30"/>
      <c r="L31" s="29"/>
      <c r="U31" s="30"/>
      <c r="AB31" s="29"/>
      <c r="AC31" s="30"/>
      <c r="AJ31" s="29"/>
      <c r="AL31" s="20">
        <f t="shared" si="0"/>
        <v>0</v>
      </c>
      <c r="AM31" s="20">
        <f>Üldinfo!AS30</f>
        <v>0</v>
      </c>
      <c r="AN31" s="58" t="e">
        <f t="shared" si="1"/>
        <v>#DIV/0!</v>
      </c>
    </row>
    <row r="32" spans="1:40" x14ac:dyDescent="0.25">
      <c r="A32" s="20">
        <f>Üldinfo!A31</f>
        <v>28</v>
      </c>
      <c r="B32" s="20" t="str">
        <f>Üldinfo!B31</f>
        <v>Naine</v>
      </c>
      <c r="C32" s="20" t="str">
        <f>Üldinfo!C31</f>
        <v>25-50 a</v>
      </c>
      <c r="D32" s="20">
        <f>Üldinfo!D31</f>
        <v>1</v>
      </c>
      <c r="E32" s="30"/>
      <c r="L32" s="29"/>
      <c r="U32" s="30"/>
      <c r="AB32" s="29"/>
      <c r="AC32" s="30"/>
      <c r="AJ32" s="29"/>
      <c r="AL32" s="20">
        <f t="shared" si="0"/>
        <v>0</v>
      </c>
      <c r="AM32" s="20">
        <f>Üldinfo!AS31</f>
        <v>30</v>
      </c>
      <c r="AN32" s="58">
        <f t="shared" si="1"/>
        <v>0</v>
      </c>
    </row>
    <row r="33" spans="1:40" x14ac:dyDescent="0.25">
      <c r="A33" s="20">
        <f>Üldinfo!A32</f>
        <v>29</v>
      </c>
      <c r="B33" s="20" t="str">
        <f>Üldinfo!B32</f>
        <v>Mees</v>
      </c>
      <c r="C33" s="20" t="str">
        <f>Üldinfo!C32</f>
        <v>25-30a</v>
      </c>
      <c r="D33" s="20">
        <f>Üldinfo!D32</f>
        <v>1</v>
      </c>
      <c r="E33" s="30"/>
      <c r="L33" s="29"/>
      <c r="U33" s="30"/>
      <c r="AB33" s="29"/>
      <c r="AC33" s="30"/>
      <c r="AJ33" s="29"/>
      <c r="AL33" s="20">
        <f t="shared" si="0"/>
        <v>0</v>
      </c>
      <c r="AM33" s="20">
        <f>Üldinfo!AS32</f>
        <v>32</v>
      </c>
      <c r="AN33" s="58">
        <f t="shared" si="1"/>
        <v>0</v>
      </c>
    </row>
    <row r="34" spans="1:40" x14ac:dyDescent="0.25">
      <c r="A34" s="20">
        <f>Üldinfo!A33</f>
        <v>30</v>
      </c>
      <c r="B34" s="20" t="str">
        <f>Üldinfo!B33</f>
        <v>Naine</v>
      </c>
      <c r="C34" s="20" t="str">
        <f>Üldinfo!C33</f>
        <v>17-25 a</v>
      </c>
      <c r="D34" s="20">
        <f>Üldinfo!D33</f>
        <v>1</v>
      </c>
      <c r="E34" s="30"/>
      <c r="L34" s="29"/>
      <c r="U34" s="30"/>
      <c r="AB34" s="29"/>
      <c r="AC34" s="30"/>
      <c r="AI34" s="28">
        <v>1</v>
      </c>
      <c r="AJ34" s="29"/>
      <c r="AL34" s="20">
        <f t="shared" si="0"/>
        <v>1</v>
      </c>
      <c r="AM34" s="20">
        <f>Üldinfo!AS33</f>
        <v>25</v>
      </c>
      <c r="AN34" s="58">
        <f t="shared" si="1"/>
        <v>0.04</v>
      </c>
    </row>
    <row r="35" spans="1:40" x14ac:dyDescent="0.25">
      <c r="A35" s="20">
        <f>Üldinfo!A34</f>
        <v>31</v>
      </c>
      <c r="B35" s="20" t="str">
        <f>Üldinfo!B34</f>
        <v>Alaealine</v>
      </c>
      <c r="C35" s="20" t="str">
        <f>Üldinfo!C34</f>
        <v>5+ a</v>
      </c>
      <c r="D35" s="20">
        <f>Üldinfo!D34</f>
        <v>0</v>
      </c>
      <c r="E35" s="30"/>
      <c r="L35" s="29"/>
      <c r="U35" s="30"/>
      <c r="AB35" s="29"/>
      <c r="AC35" s="30"/>
      <c r="AJ35" s="29"/>
      <c r="AL35" s="20">
        <f t="shared" si="0"/>
        <v>0</v>
      </c>
      <c r="AM35" s="20">
        <f>Üldinfo!AS34</f>
        <v>0</v>
      </c>
      <c r="AN35" s="58" t="e">
        <f t="shared" si="1"/>
        <v>#DIV/0!</v>
      </c>
    </row>
    <row r="36" spans="1:40" x14ac:dyDescent="0.25">
      <c r="A36" s="20">
        <f>Üldinfo!A35</f>
        <v>32</v>
      </c>
      <c r="B36" s="20" t="str">
        <f>Üldinfo!B35</f>
        <v>Alaealine</v>
      </c>
      <c r="C36" s="20" t="str">
        <f>Üldinfo!C35</f>
        <v>3-5 a</v>
      </c>
      <c r="D36" s="20">
        <f>Üldinfo!D35</f>
        <v>0</v>
      </c>
      <c r="E36" s="30"/>
      <c r="L36" s="29"/>
      <c r="U36" s="30"/>
      <c r="AB36" s="29"/>
      <c r="AC36" s="30"/>
      <c r="AJ36" s="29"/>
      <c r="AL36" s="20">
        <f t="shared" si="0"/>
        <v>0</v>
      </c>
      <c r="AM36" s="20">
        <f>Üldinfo!AS35</f>
        <v>0</v>
      </c>
      <c r="AN36" s="58" t="e">
        <f t="shared" si="1"/>
        <v>#DIV/0!</v>
      </c>
    </row>
    <row r="37" spans="1:40" x14ac:dyDescent="0.25">
      <c r="A37" s="20">
        <f>Üldinfo!A36</f>
        <v>33</v>
      </c>
      <c r="B37" s="20" t="str">
        <f>Üldinfo!B36</f>
        <v>Alaealine</v>
      </c>
      <c r="C37" s="20" t="str">
        <f>Üldinfo!C36</f>
        <v>1-2 a</v>
      </c>
      <c r="D37" s="20">
        <f>Üldinfo!D36</f>
        <v>1</v>
      </c>
      <c r="E37" s="30"/>
      <c r="L37" s="29"/>
      <c r="U37" s="30"/>
      <c r="AB37" s="29"/>
      <c r="AC37" s="30"/>
      <c r="AJ37" s="29"/>
      <c r="AL37" s="20">
        <f t="shared" si="0"/>
        <v>0</v>
      </c>
      <c r="AM37" s="20">
        <f>Üldinfo!AS36</f>
        <v>0</v>
      </c>
      <c r="AN37" s="58" t="e">
        <f t="shared" si="1"/>
        <v>#DIV/0!</v>
      </c>
    </row>
    <row r="38" spans="1:40" x14ac:dyDescent="0.25">
      <c r="A38" s="20">
        <f>Üldinfo!A37</f>
        <v>34</v>
      </c>
      <c r="B38" s="20" t="str">
        <f>Üldinfo!B37</f>
        <v>Mees ?</v>
      </c>
      <c r="C38" s="20" t="str">
        <f>Üldinfo!C37</f>
        <v>Täiskasvanu</v>
      </c>
      <c r="D38" s="20">
        <f>Üldinfo!D37</f>
        <v>0</v>
      </c>
      <c r="E38" s="30"/>
      <c r="L38" s="29"/>
      <c r="U38" s="30"/>
      <c r="AB38" s="29"/>
      <c r="AC38" s="30"/>
      <c r="AJ38" s="29"/>
      <c r="AL38" s="20">
        <f t="shared" si="0"/>
        <v>0</v>
      </c>
      <c r="AM38" s="20">
        <f>Üldinfo!AS37</f>
        <v>0</v>
      </c>
      <c r="AN38" s="58" t="e">
        <f t="shared" si="1"/>
        <v>#DIV/0!</v>
      </c>
    </row>
    <row r="39" spans="1:40" x14ac:dyDescent="0.25">
      <c r="A39" s="20">
        <f>Üldinfo!A38</f>
        <v>35</v>
      </c>
      <c r="B39" s="20" t="str">
        <f>Üldinfo!B38</f>
        <v>Naine</v>
      </c>
      <c r="C39" s="20" t="str">
        <f>Üldinfo!C38</f>
        <v>Täiskasvanu</v>
      </c>
      <c r="D39" s="20">
        <f>Üldinfo!D38</f>
        <v>0</v>
      </c>
      <c r="E39" s="30"/>
      <c r="L39" s="29"/>
      <c r="U39" s="30"/>
      <c r="AB39" s="29"/>
      <c r="AC39" s="30"/>
      <c r="AJ39" s="29"/>
      <c r="AL39" s="20">
        <f t="shared" si="0"/>
        <v>0</v>
      </c>
      <c r="AM39" s="20">
        <f>Üldinfo!AS38</f>
        <v>0</v>
      </c>
      <c r="AN39" s="58" t="e">
        <f t="shared" si="1"/>
        <v>#DIV/0!</v>
      </c>
    </row>
    <row r="40" spans="1:40" x14ac:dyDescent="0.25">
      <c r="A40" s="20">
        <f>Üldinfo!A39</f>
        <v>36</v>
      </c>
      <c r="B40" s="20" t="str">
        <f>Üldinfo!B39</f>
        <v>Mees ?</v>
      </c>
      <c r="C40" s="20" t="str">
        <f>Üldinfo!C39</f>
        <v>40-50 a</v>
      </c>
      <c r="D40" s="20">
        <f>Üldinfo!D39</f>
        <v>0</v>
      </c>
      <c r="E40" s="30"/>
      <c r="L40" s="29"/>
      <c r="U40" s="30"/>
      <c r="AB40" s="29"/>
      <c r="AC40" s="30"/>
      <c r="AJ40" s="29"/>
      <c r="AL40" s="20">
        <f t="shared" si="0"/>
        <v>0</v>
      </c>
      <c r="AM40" s="20">
        <f>Üldinfo!AS39</f>
        <v>0</v>
      </c>
      <c r="AN40" s="58" t="e">
        <f t="shared" si="1"/>
        <v>#DIV/0!</v>
      </c>
    </row>
    <row r="41" spans="1:40" x14ac:dyDescent="0.25">
      <c r="A41" s="20">
        <f>Üldinfo!A40</f>
        <v>37</v>
      </c>
      <c r="B41" s="20" t="str">
        <f>Üldinfo!B40</f>
        <v>Alaealine</v>
      </c>
      <c r="C41" s="20" t="str">
        <f>Üldinfo!C40</f>
        <v>12-18 a</v>
      </c>
      <c r="D41" s="20">
        <f>Üldinfo!D40</f>
        <v>1</v>
      </c>
      <c r="E41" s="30"/>
      <c r="L41" s="29"/>
      <c r="U41" s="30"/>
      <c r="AB41" s="29"/>
      <c r="AJ41" s="29"/>
      <c r="AL41" s="20">
        <f t="shared" si="0"/>
        <v>0</v>
      </c>
      <c r="AM41" s="20">
        <f>Üldinfo!AS40</f>
        <v>15</v>
      </c>
      <c r="AN41" s="58">
        <f t="shared" si="1"/>
        <v>0</v>
      </c>
    </row>
    <row r="42" spans="1:40" x14ac:dyDescent="0.25">
      <c r="A42" s="20">
        <f>Üldinfo!A41</f>
        <v>38</v>
      </c>
      <c r="B42" s="20" t="str">
        <f>Üldinfo!B41</f>
        <v>Naine</v>
      </c>
      <c r="C42" s="20" t="str">
        <f>Üldinfo!C41</f>
        <v>40-50 a</v>
      </c>
      <c r="D42" s="20">
        <f>Üldinfo!D41</f>
        <v>1</v>
      </c>
      <c r="E42" s="30"/>
      <c r="F42" s="28">
        <v>1</v>
      </c>
      <c r="L42" s="29"/>
      <c r="S42" s="28">
        <v>1</v>
      </c>
      <c r="U42" s="30"/>
      <c r="AB42" s="29"/>
      <c r="AJ42" s="29"/>
      <c r="AL42" s="20">
        <f t="shared" si="0"/>
        <v>2</v>
      </c>
      <c r="AM42" s="20">
        <f>Üldinfo!AS41</f>
        <v>32</v>
      </c>
      <c r="AN42" s="58">
        <f t="shared" si="1"/>
        <v>6.25E-2</v>
      </c>
    </row>
    <row r="43" spans="1:40" x14ac:dyDescent="0.25">
      <c r="A43" s="20">
        <f>Üldinfo!A42</f>
        <v>39</v>
      </c>
      <c r="B43" s="20" t="str">
        <f>Üldinfo!B42</f>
        <v>Alaealine</v>
      </c>
      <c r="C43" s="20" t="str">
        <f>Üldinfo!C42</f>
        <v>6-11 a</v>
      </c>
      <c r="D43" s="20">
        <f>Üldinfo!D42</f>
        <v>0</v>
      </c>
      <c r="E43" s="30"/>
      <c r="L43" s="29"/>
      <c r="U43" s="30"/>
      <c r="AB43" s="29"/>
      <c r="AJ43" s="29"/>
      <c r="AL43" s="20">
        <f t="shared" si="0"/>
        <v>0</v>
      </c>
      <c r="AM43" s="20">
        <f>Üldinfo!AS42</f>
        <v>0</v>
      </c>
      <c r="AN43" s="58" t="e">
        <f t="shared" si="1"/>
        <v>#DIV/0!</v>
      </c>
    </row>
    <row r="44" spans="1:40" x14ac:dyDescent="0.25">
      <c r="A44" s="20">
        <f>Üldinfo!A43</f>
        <v>40</v>
      </c>
      <c r="B44" s="20" t="str">
        <f>Üldinfo!B43</f>
        <v>Mees</v>
      </c>
      <c r="C44" s="20" t="str">
        <f>Üldinfo!C43</f>
        <v>40+ a</v>
      </c>
      <c r="D44" s="20">
        <f>Üldinfo!D43</f>
        <v>0</v>
      </c>
      <c r="E44" s="30"/>
      <c r="L44" s="29"/>
      <c r="U44" s="30"/>
      <c r="AB44" s="29"/>
      <c r="AJ44" s="29"/>
      <c r="AL44" s="20">
        <f t="shared" si="0"/>
        <v>0</v>
      </c>
      <c r="AM44" s="20">
        <f>Üldinfo!AS43</f>
        <v>0</v>
      </c>
      <c r="AN44" s="58" t="e">
        <f t="shared" si="1"/>
        <v>#DIV/0!</v>
      </c>
    </row>
    <row r="45" spans="1:40" x14ac:dyDescent="0.25">
      <c r="A45" s="20">
        <f>Üldinfo!A44</f>
        <v>41</v>
      </c>
      <c r="B45" s="20" t="str">
        <f>Üldinfo!B44</f>
        <v>Alaealine</v>
      </c>
      <c r="C45" s="20" t="str">
        <f>Üldinfo!C44</f>
        <v>12-15 a</v>
      </c>
      <c r="D45" s="20">
        <f>Üldinfo!D44</f>
        <v>0</v>
      </c>
      <c r="E45" s="30"/>
      <c r="L45" s="29"/>
      <c r="U45" s="30"/>
      <c r="AB45" s="29"/>
      <c r="AJ45" s="29"/>
      <c r="AL45" s="20">
        <f t="shared" si="0"/>
        <v>0</v>
      </c>
      <c r="AM45" s="20">
        <f>Üldinfo!AS44</f>
        <v>0</v>
      </c>
      <c r="AN45" s="58" t="e">
        <f t="shared" si="1"/>
        <v>#DIV/0!</v>
      </c>
    </row>
    <row r="46" spans="1:40" x14ac:dyDescent="0.25">
      <c r="A46" s="20">
        <f>Üldinfo!A45</f>
        <v>42</v>
      </c>
      <c r="B46" s="20" t="str">
        <f>Üldinfo!B45</f>
        <v>Alaealine</v>
      </c>
      <c r="C46" s="20" t="str">
        <f>Üldinfo!C45</f>
        <v>24-32 k</v>
      </c>
      <c r="D46" s="20">
        <f>Üldinfo!D45</f>
        <v>1</v>
      </c>
      <c r="E46" s="30"/>
      <c r="L46" s="29"/>
      <c r="U46" s="30"/>
      <c r="AB46" s="29"/>
      <c r="AJ46" s="29"/>
      <c r="AL46" s="20">
        <f t="shared" si="0"/>
        <v>0</v>
      </c>
      <c r="AM46" s="20">
        <f>Üldinfo!AS45</f>
        <v>16</v>
      </c>
      <c r="AN46" s="58">
        <f t="shared" si="1"/>
        <v>0</v>
      </c>
    </row>
    <row r="47" spans="1:40" x14ac:dyDescent="0.25">
      <c r="A47" s="20">
        <f>Üldinfo!A46</f>
        <v>43</v>
      </c>
      <c r="B47" s="20" t="str">
        <f>Üldinfo!B46</f>
        <v>Naine ?</v>
      </c>
      <c r="C47" s="20" t="str">
        <f>Üldinfo!C46</f>
        <v>18-19 a</v>
      </c>
      <c r="D47" s="20">
        <f>Üldinfo!D46</f>
        <v>0</v>
      </c>
      <c r="E47" s="30"/>
      <c r="L47" s="29"/>
      <c r="U47" s="30"/>
      <c r="AB47" s="29"/>
      <c r="AJ47" s="29"/>
      <c r="AL47" s="20">
        <f t="shared" si="0"/>
        <v>0</v>
      </c>
      <c r="AM47" s="20">
        <f>Üldinfo!AS46</f>
        <v>0</v>
      </c>
      <c r="AN47" s="58" t="e">
        <f t="shared" si="1"/>
        <v>#DIV/0!</v>
      </c>
    </row>
    <row r="48" spans="1:40" x14ac:dyDescent="0.25">
      <c r="A48" s="20">
        <f>Üldinfo!A47</f>
        <v>44</v>
      </c>
      <c r="B48" s="20" t="str">
        <f>Üldinfo!B47</f>
        <v>Mees</v>
      </c>
      <c r="C48" s="20" t="str">
        <f>Üldinfo!C47</f>
        <v>40+ a</v>
      </c>
      <c r="D48" s="20">
        <f>Üldinfo!D47</f>
        <v>0</v>
      </c>
      <c r="E48" s="30"/>
      <c r="L48" s="29"/>
      <c r="U48" s="30"/>
      <c r="AB48" s="29"/>
      <c r="AJ48" s="29"/>
      <c r="AL48" s="20">
        <f t="shared" si="0"/>
        <v>0</v>
      </c>
      <c r="AM48" s="20">
        <f>Üldinfo!AS47</f>
        <v>0</v>
      </c>
      <c r="AN48" s="58" t="e">
        <f t="shared" si="1"/>
        <v>#DIV/0!</v>
      </c>
    </row>
    <row r="49" spans="1:40" x14ac:dyDescent="0.25">
      <c r="A49" s="20">
        <f>Üldinfo!A48</f>
        <v>45</v>
      </c>
      <c r="B49" s="20" t="str">
        <f>Üldinfo!B48</f>
        <v>Mees</v>
      </c>
      <c r="C49" s="20" t="str">
        <f>Üldinfo!C48</f>
        <v>40+ a</v>
      </c>
      <c r="D49" s="20">
        <f>Üldinfo!D48</f>
        <v>0</v>
      </c>
      <c r="E49" s="30"/>
      <c r="L49" s="29"/>
      <c r="U49" s="30"/>
      <c r="AB49" s="29"/>
      <c r="AJ49" s="29"/>
      <c r="AL49" s="20">
        <f t="shared" si="0"/>
        <v>0</v>
      </c>
      <c r="AM49" s="20">
        <f>Üldinfo!AS48</f>
        <v>0</v>
      </c>
      <c r="AN49" s="58" t="e">
        <f t="shared" si="1"/>
        <v>#DIV/0!</v>
      </c>
    </row>
    <row r="50" spans="1:40" x14ac:dyDescent="0.25">
      <c r="A50" s="20">
        <f>Üldinfo!A49</f>
        <v>46</v>
      </c>
      <c r="B50" s="20" t="str">
        <f>Üldinfo!B49</f>
        <v>Täiskasvanu</v>
      </c>
      <c r="C50" s="20" t="str">
        <f>Üldinfo!C49</f>
        <v>Täiskasvanu</v>
      </c>
      <c r="D50" s="20">
        <f>Üldinfo!D49</f>
        <v>0</v>
      </c>
      <c r="E50" s="30"/>
      <c r="L50" s="29"/>
      <c r="U50" s="30"/>
      <c r="AB50" s="29"/>
      <c r="AC50" s="30"/>
      <c r="AJ50" s="29"/>
      <c r="AL50" s="20">
        <f t="shared" si="0"/>
        <v>0</v>
      </c>
      <c r="AM50" s="20">
        <f>Üldinfo!AS49</f>
        <v>0</v>
      </c>
      <c r="AN50" s="58" t="e">
        <f t="shared" si="1"/>
        <v>#DIV/0!</v>
      </c>
    </row>
    <row r="51" spans="1:40" x14ac:dyDescent="0.25">
      <c r="A51" s="20">
        <f>Üldinfo!A50</f>
        <v>47</v>
      </c>
      <c r="B51" s="20" t="str">
        <f>Üldinfo!B50</f>
        <v>Mees</v>
      </c>
      <c r="C51" s="20" t="str">
        <f>Üldinfo!C50</f>
        <v>40+ a</v>
      </c>
      <c r="D51" s="20">
        <f>Üldinfo!D50</f>
        <v>0</v>
      </c>
      <c r="E51" s="30"/>
      <c r="L51" s="29"/>
      <c r="M51" s="30"/>
      <c r="T51" s="29"/>
      <c r="U51" s="30"/>
      <c r="AB51" s="29"/>
      <c r="AC51" s="30"/>
      <c r="AJ51" s="29"/>
      <c r="AL51" s="20">
        <f t="shared" si="0"/>
        <v>0</v>
      </c>
      <c r="AM51" s="20">
        <f>Üldinfo!AS50</f>
        <v>0</v>
      </c>
      <c r="AN51" s="58" t="e">
        <f t="shared" si="1"/>
        <v>#DIV/0!</v>
      </c>
    </row>
    <row r="52" spans="1:40" x14ac:dyDescent="0.25">
      <c r="A52" s="20">
        <f>Üldinfo!A51</f>
        <v>48</v>
      </c>
      <c r="B52" s="20" t="str">
        <f>Üldinfo!B51</f>
        <v>Alaealine</v>
      </c>
      <c r="C52" s="20" t="str">
        <f>Üldinfo!C51</f>
        <v>2-5 a</v>
      </c>
      <c r="D52" s="20">
        <f>Üldinfo!D51</f>
        <v>0</v>
      </c>
      <c r="E52" s="30"/>
      <c r="L52" s="29"/>
      <c r="M52" s="30"/>
      <c r="T52" s="29"/>
      <c r="U52" s="30"/>
      <c r="AB52" s="29"/>
      <c r="AC52" s="30"/>
      <c r="AJ52" s="29"/>
      <c r="AL52" s="20">
        <f t="shared" si="0"/>
        <v>0</v>
      </c>
      <c r="AM52" s="20">
        <f>Üldinfo!AS51</f>
        <v>0</v>
      </c>
      <c r="AN52" s="58" t="e">
        <f t="shared" si="1"/>
        <v>#DIV/0!</v>
      </c>
    </row>
    <row r="53" spans="1:40" x14ac:dyDescent="0.25">
      <c r="A53" s="20">
        <f>Üldinfo!A52</f>
        <v>49</v>
      </c>
      <c r="B53" s="20" t="str">
        <f>Üldinfo!B52</f>
        <v>Alaealine</v>
      </c>
      <c r="C53" s="20" t="str">
        <f>Üldinfo!C52</f>
        <v>12-15 a</v>
      </c>
      <c r="D53" s="20">
        <f>Üldinfo!D52</f>
        <v>1</v>
      </c>
      <c r="E53" s="30"/>
      <c r="L53" s="29"/>
      <c r="M53" s="30"/>
      <c r="T53" s="29"/>
      <c r="U53" s="30"/>
      <c r="AB53" s="29"/>
      <c r="AC53" s="30"/>
      <c r="AJ53" s="29"/>
      <c r="AL53" s="20">
        <f t="shared" si="0"/>
        <v>0</v>
      </c>
      <c r="AM53" s="20">
        <f>Üldinfo!AS52</f>
        <v>8</v>
      </c>
      <c r="AN53" s="58">
        <f t="shared" si="1"/>
        <v>0</v>
      </c>
    </row>
    <row r="54" spans="1:40" x14ac:dyDescent="0.25">
      <c r="A54" s="20">
        <f>Üldinfo!A53</f>
        <v>50</v>
      </c>
      <c r="B54" s="20" t="str">
        <f>Üldinfo!B53</f>
        <v>Mees</v>
      </c>
      <c r="C54" s="20" t="str">
        <f>Üldinfo!C53</f>
        <v>40+ a</v>
      </c>
      <c r="D54" s="20">
        <f>Üldinfo!D53</f>
        <v>1</v>
      </c>
      <c r="E54" s="30"/>
      <c r="L54" s="29"/>
      <c r="M54" s="30"/>
      <c r="T54" s="29"/>
      <c r="U54" s="30"/>
      <c r="W54" s="28">
        <v>1</v>
      </c>
      <c r="AB54" s="29"/>
      <c r="AC54" s="30">
        <v>1</v>
      </c>
      <c r="AH54" s="28">
        <v>1</v>
      </c>
      <c r="AI54" s="28">
        <v>1</v>
      </c>
      <c r="AJ54" s="29">
        <v>1</v>
      </c>
      <c r="AL54" s="20">
        <f t="shared" si="0"/>
        <v>5</v>
      </c>
      <c r="AM54" s="20">
        <f>Üldinfo!AS53</f>
        <v>28</v>
      </c>
      <c r="AN54" s="58">
        <f t="shared" si="1"/>
        <v>0.17857142857142858</v>
      </c>
    </row>
    <row r="55" spans="1:40" x14ac:dyDescent="0.25">
      <c r="A55" s="20">
        <f>Üldinfo!A54</f>
        <v>51</v>
      </c>
      <c r="B55" s="20" t="str">
        <f>Üldinfo!B54</f>
        <v>Naine</v>
      </c>
      <c r="C55" s="20" t="str">
        <f>Üldinfo!C54</f>
        <v>40+ a</v>
      </c>
      <c r="D55" s="20">
        <f>Üldinfo!D54</f>
        <v>0</v>
      </c>
      <c r="E55" s="30"/>
      <c r="L55" s="29"/>
      <c r="M55" s="30"/>
      <c r="T55" s="29"/>
      <c r="U55" s="30"/>
      <c r="AB55" s="29"/>
      <c r="AC55" s="30"/>
      <c r="AJ55" s="29"/>
      <c r="AL55" s="20">
        <f t="shared" si="0"/>
        <v>0</v>
      </c>
      <c r="AM55" s="20">
        <f>Üldinfo!AS54</f>
        <v>0</v>
      </c>
      <c r="AN55" s="58" t="e">
        <f t="shared" si="1"/>
        <v>#DIV/0!</v>
      </c>
    </row>
    <row r="56" spans="1:40" x14ac:dyDescent="0.25">
      <c r="A56" s="20">
        <f>Üldinfo!A55</f>
        <v>52</v>
      </c>
      <c r="B56" s="20" t="str">
        <f>Üldinfo!B55</f>
        <v>Naine</v>
      </c>
      <c r="C56" s="20" t="str">
        <f>Üldinfo!C55</f>
        <v>17-25 a</v>
      </c>
      <c r="D56" s="20">
        <f>Üldinfo!D55</f>
        <v>1</v>
      </c>
      <c r="E56" s="30"/>
      <c r="L56" s="29"/>
      <c r="M56" s="30"/>
      <c r="T56" s="29"/>
      <c r="U56" s="30"/>
      <c r="AB56" s="29"/>
      <c r="AC56" s="30"/>
      <c r="AJ56" s="29"/>
      <c r="AL56" s="20">
        <f t="shared" si="0"/>
        <v>0</v>
      </c>
      <c r="AM56" s="20">
        <f>Üldinfo!AS55</f>
        <v>28</v>
      </c>
      <c r="AN56" s="58">
        <f t="shared" si="1"/>
        <v>0</v>
      </c>
    </row>
    <row r="57" spans="1:40" x14ac:dyDescent="0.25">
      <c r="A57" s="20">
        <f>Üldinfo!A56</f>
        <v>53</v>
      </c>
      <c r="B57" s="20" t="str">
        <f>Üldinfo!B56</f>
        <v>Täiskasvanu</v>
      </c>
      <c r="C57" s="20" t="str">
        <f>Üldinfo!C56</f>
        <v>Täiskasvanu</v>
      </c>
      <c r="D57" s="20">
        <f>Üldinfo!D56</f>
        <v>0</v>
      </c>
      <c r="E57" s="30"/>
      <c r="L57" s="29"/>
      <c r="M57" s="30"/>
      <c r="T57" s="29"/>
      <c r="U57" s="30"/>
      <c r="AB57" s="29"/>
      <c r="AC57" s="30"/>
      <c r="AJ57" s="29"/>
      <c r="AL57" s="20">
        <f t="shared" si="0"/>
        <v>0</v>
      </c>
      <c r="AM57" s="20">
        <f>Üldinfo!AS56</f>
        <v>0</v>
      </c>
      <c r="AN57" s="58" t="e">
        <f t="shared" si="1"/>
        <v>#DIV/0!</v>
      </c>
    </row>
    <row r="58" spans="1:40" x14ac:dyDescent="0.25">
      <c r="A58" s="20">
        <f>Üldinfo!A57</f>
        <v>54</v>
      </c>
      <c r="B58" s="20" t="str">
        <f>Üldinfo!B57</f>
        <v>Täiskasvanu</v>
      </c>
      <c r="C58" s="20" t="str">
        <f>Üldinfo!C57</f>
        <v>Täiskasvanu</v>
      </c>
      <c r="D58" s="20">
        <f>Üldinfo!D57</f>
        <v>0</v>
      </c>
      <c r="E58" s="30"/>
      <c r="L58" s="29"/>
      <c r="M58" s="30"/>
      <c r="T58" s="29"/>
      <c r="U58" s="30"/>
      <c r="AB58" s="29"/>
      <c r="AC58" s="30"/>
      <c r="AJ58" s="29"/>
      <c r="AL58" s="20">
        <f t="shared" si="0"/>
        <v>0</v>
      </c>
      <c r="AM58" s="20">
        <f>Üldinfo!AS57</f>
        <v>0</v>
      </c>
      <c r="AN58" s="58" t="e">
        <f t="shared" si="1"/>
        <v>#DIV/0!</v>
      </c>
    </row>
    <row r="59" spans="1:40" x14ac:dyDescent="0.25">
      <c r="A59" s="20">
        <f>Üldinfo!A58</f>
        <v>55</v>
      </c>
      <c r="B59" s="20" t="str">
        <f>Üldinfo!B58</f>
        <v>Naine</v>
      </c>
      <c r="C59" s="20" t="str">
        <f>Üldinfo!C58</f>
        <v>18-19 a</v>
      </c>
      <c r="D59" s="20">
        <f>Üldinfo!D58</f>
        <v>1</v>
      </c>
      <c r="E59" s="30"/>
      <c r="L59" s="29"/>
      <c r="M59" s="30"/>
      <c r="T59" s="29"/>
      <c r="U59" s="30"/>
      <c r="AB59" s="29"/>
      <c r="AC59" s="30"/>
      <c r="AJ59" s="29"/>
      <c r="AL59" s="20">
        <f t="shared" si="0"/>
        <v>0</v>
      </c>
      <c r="AM59" s="20">
        <f>Üldinfo!AS58</f>
        <v>8</v>
      </c>
      <c r="AN59" s="58">
        <f t="shared" si="1"/>
        <v>0</v>
      </c>
    </row>
    <row r="60" spans="1:40" x14ac:dyDescent="0.25">
      <c r="A60" s="20">
        <f>Üldinfo!A59</f>
        <v>56</v>
      </c>
      <c r="B60" s="20" t="str">
        <f>Üldinfo!B59</f>
        <v>Naine</v>
      </c>
      <c r="C60" s="20" t="str">
        <f>Üldinfo!C59</f>
        <v>40+ a</v>
      </c>
      <c r="D60" s="20">
        <f>Üldinfo!D59</f>
        <v>0</v>
      </c>
      <c r="E60" s="30"/>
      <c r="L60" s="29"/>
      <c r="M60" s="30"/>
      <c r="T60" s="29"/>
      <c r="U60" s="30"/>
      <c r="AB60" s="29"/>
      <c r="AC60" s="30"/>
      <c r="AJ60" s="29"/>
      <c r="AL60" s="20">
        <f t="shared" si="0"/>
        <v>0</v>
      </c>
      <c r="AM60" s="20">
        <f>Üldinfo!AS59</f>
        <v>0</v>
      </c>
      <c r="AN60" s="58" t="e">
        <f t="shared" si="1"/>
        <v>#DIV/0!</v>
      </c>
    </row>
    <row r="61" spans="1:40" x14ac:dyDescent="0.25">
      <c r="A61" s="20">
        <f>Üldinfo!A60</f>
        <v>57</v>
      </c>
      <c r="B61" s="20" t="str">
        <f>Üldinfo!B60</f>
        <v>Alaealine</v>
      </c>
      <c r="C61" s="20" t="str">
        <f>Üldinfo!C60</f>
        <v>7-11 a</v>
      </c>
      <c r="D61" s="20">
        <f>Üldinfo!D60</f>
        <v>1</v>
      </c>
      <c r="E61" s="30"/>
      <c r="L61" s="29"/>
      <c r="M61" s="30"/>
      <c r="T61" s="29"/>
      <c r="U61" s="30"/>
      <c r="AB61" s="29"/>
      <c r="AC61" s="30"/>
      <c r="AJ61" s="29"/>
      <c r="AL61" s="20">
        <f t="shared" si="0"/>
        <v>0</v>
      </c>
      <c r="AM61" s="20">
        <f>Üldinfo!AS60</f>
        <v>21</v>
      </c>
      <c r="AN61" s="58">
        <f t="shared" si="1"/>
        <v>0</v>
      </c>
    </row>
    <row r="62" spans="1:40" x14ac:dyDescent="0.25">
      <c r="A62" s="20">
        <f>Üldinfo!A61</f>
        <v>58</v>
      </c>
      <c r="B62" s="20" t="str">
        <f>Üldinfo!B61</f>
        <v>Alaealine</v>
      </c>
      <c r="C62" s="20" t="str">
        <f>Üldinfo!C61</f>
        <v>1 a ± 4 k</v>
      </c>
      <c r="D62" s="20">
        <f>Üldinfo!D61</f>
        <v>1</v>
      </c>
      <c r="E62" s="30"/>
      <c r="L62" s="29"/>
      <c r="M62" s="30"/>
      <c r="T62" s="29"/>
      <c r="U62" s="30"/>
      <c r="AB62" s="29"/>
      <c r="AC62" s="30"/>
      <c r="AJ62" s="29"/>
      <c r="AL62" s="20">
        <f t="shared" si="0"/>
        <v>0</v>
      </c>
      <c r="AM62" s="20">
        <f>Üldinfo!AS61</f>
        <v>9</v>
      </c>
      <c r="AN62" s="58">
        <f t="shared" si="1"/>
        <v>0</v>
      </c>
    </row>
    <row r="63" spans="1:40" x14ac:dyDescent="0.25">
      <c r="A63" s="20">
        <f>Üldinfo!A62</f>
        <v>59</v>
      </c>
      <c r="B63" s="20" t="str">
        <f>Üldinfo!B62</f>
        <v>Mees</v>
      </c>
      <c r="C63" s="20" t="str">
        <f>Üldinfo!C62</f>
        <v>17-22 a</v>
      </c>
      <c r="D63" s="20">
        <f>Üldinfo!D62</f>
        <v>1</v>
      </c>
      <c r="E63" s="30"/>
      <c r="L63" s="29"/>
      <c r="M63" s="30"/>
      <c r="T63" s="29"/>
      <c r="U63" s="30"/>
      <c r="AB63" s="29"/>
      <c r="AC63" s="30"/>
      <c r="AJ63" s="29"/>
      <c r="AL63" s="20">
        <f t="shared" si="0"/>
        <v>0</v>
      </c>
      <c r="AM63" s="20">
        <f>Üldinfo!AS62</f>
        <v>32</v>
      </c>
      <c r="AN63" s="58">
        <f t="shared" si="1"/>
        <v>0</v>
      </c>
    </row>
    <row r="64" spans="1:40" x14ac:dyDescent="0.25">
      <c r="A64" s="20">
        <f>Üldinfo!A63</f>
        <v>60</v>
      </c>
      <c r="B64" s="20" t="str">
        <f>Üldinfo!B63</f>
        <v>Täiskasvanu</v>
      </c>
      <c r="C64" s="20" t="str">
        <f>Üldinfo!C63</f>
        <v>Täiskasvanu</v>
      </c>
      <c r="D64" s="20">
        <f>Üldinfo!D63</f>
        <v>0</v>
      </c>
      <c r="E64" s="30"/>
      <c r="L64" s="29"/>
      <c r="M64" s="30"/>
      <c r="T64" s="29"/>
      <c r="U64" s="30"/>
      <c r="AB64" s="29"/>
      <c r="AC64" s="30"/>
      <c r="AJ64" s="29"/>
      <c r="AL64" s="20">
        <f t="shared" si="0"/>
        <v>0</v>
      </c>
      <c r="AM64" s="20">
        <f>Üldinfo!AS63</f>
        <v>0</v>
      </c>
      <c r="AN64" s="58" t="e">
        <f t="shared" si="1"/>
        <v>#DIV/0!</v>
      </c>
    </row>
    <row r="65" spans="1:40" x14ac:dyDescent="0.25">
      <c r="A65" s="20">
        <f>Üldinfo!A64</f>
        <v>61</v>
      </c>
      <c r="B65" s="20" t="str">
        <f>Üldinfo!B64</f>
        <v>Mees</v>
      </c>
      <c r="C65" s="20" t="str">
        <f>Üldinfo!C64</f>
        <v>50+ a</v>
      </c>
      <c r="D65" s="20">
        <f>Üldinfo!D64</f>
        <v>1</v>
      </c>
      <c r="E65" s="30"/>
      <c r="L65" s="29"/>
      <c r="M65" s="30"/>
      <c r="T65" s="29"/>
      <c r="U65" s="30"/>
      <c r="AB65" s="29"/>
      <c r="AC65" s="30"/>
      <c r="AD65" s="28">
        <v>1</v>
      </c>
      <c r="AJ65" s="29"/>
      <c r="AL65" s="20">
        <f t="shared" si="0"/>
        <v>1</v>
      </c>
      <c r="AM65" s="20">
        <f>Üldinfo!AS64</f>
        <v>15</v>
      </c>
      <c r="AN65" s="58">
        <f t="shared" si="1"/>
        <v>6.6666666666666666E-2</v>
      </c>
    </row>
    <row r="66" spans="1:40" x14ac:dyDescent="0.25">
      <c r="A66" s="20">
        <f>Üldinfo!A65</f>
        <v>62</v>
      </c>
      <c r="B66" s="20" t="str">
        <f>Üldinfo!B65</f>
        <v>Mees</v>
      </c>
      <c r="C66" s="20" t="str">
        <f>Üldinfo!C65</f>
        <v>Täiskasvanu</v>
      </c>
      <c r="D66" s="20">
        <f>Üldinfo!D65</f>
        <v>0</v>
      </c>
      <c r="E66" s="30"/>
      <c r="L66" s="29"/>
      <c r="M66" s="30"/>
      <c r="T66" s="29"/>
      <c r="U66" s="30"/>
      <c r="AB66" s="29"/>
      <c r="AC66" s="30"/>
      <c r="AJ66" s="29"/>
      <c r="AL66" s="20">
        <f t="shared" si="0"/>
        <v>0</v>
      </c>
      <c r="AM66" s="20">
        <f>Üldinfo!AS65</f>
        <v>0</v>
      </c>
      <c r="AN66" s="58" t="e">
        <f t="shared" si="1"/>
        <v>#DIV/0!</v>
      </c>
    </row>
    <row r="67" spans="1:40" x14ac:dyDescent="0.25">
      <c r="A67" s="20">
        <f>Üldinfo!A66</f>
        <v>63</v>
      </c>
      <c r="B67" s="20" t="str">
        <f>Üldinfo!B66</f>
        <v>Mees</v>
      </c>
      <c r="C67" s="20" t="str">
        <f>Üldinfo!C66</f>
        <v>Täiskasvanu</v>
      </c>
      <c r="D67" s="20">
        <f>Üldinfo!D66</f>
        <v>0</v>
      </c>
      <c r="E67" s="30"/>
      <c r="L67" s="29"/>
      <c r="M67" s="30"/>
      <c r="T67" s="29"/>
      <c r="U67" s="30"/>
      <c r="AB67" s="29"/>
      <c r="AC67" s="30"/>
      <c r="AJ67" s="29"/>
      <c r="AL67" s="20">
        <f t="shared" si="0"/>
        <v>0</v>
      </c>
      <c r="AM67" s="20">
        <f>Üldinfo!AS66</f>
        <v>0</v>
      </c>
      <c r="AN67" s="58" t="e">
        <f t="shared" si="1"/>
        <v>#DIV/0!</v>
      </c>
    </row>
    <row r="68" spans="1:40" x14ac:dyDescent="0.25">
      <c r="A68" s="20">
        <f>Üldinfo!A67</f>
        <v>64</v>
      </c>
      <c r="B68" s="20" t="str">
        <f>Üldinfo!B67</f>
        <v>Mees</v>
      </c>
      <c r="C68" s="20" t="str">
        <f>Üldinfo!C67</f>
        <v>Täiskasvanu</v>
      </c>
      <c r="D68" s="20">
        <f>Üldinfo!D67</f>
        <v>0</v>
      </c>
      <c r="E68" s="30"/>
      <c r="L68" s="29"/>
      <c r="M68" s="30"/>
      <c r="T68" s="29"/>
      <c r="U68" s="30"/>
      <c r="AB68" s="29"/>
      <c r="AC68" s="30"/>
      <c r="AJ68" s="29"/>
      <c r="AL68" s="20">
        <f t="shared" si="0"/>
        <v>0</v>
      </c>
      <c r="AM68" s="20">
        <f>Üldinfo!AS67</f>
        <v>0</v>
      </c>
      <c r="AN68" s="58" t="e">
        <f t="shared" si="1"/>
        <v>#DIV/0!</v>
      </c>
    </row>
    <row r="69" spans="1:40" x14ac:dyDescent="0.25">
      <c r="A69" s="20">
        <f>Üldinfo!A68</f>
        <v>65</v>
      </c>
      <c r="B69" s="20" t="str">
        <f>Üldinfo!B68</f>
        <v>Mees</v>
      </c>
      <c r="C69" s="20" t="str">
        <f>Üldinfo!C68</f>
        <v>39-44 a</v>
      </c>
      <c r="D69" s="20">
        <f>Üldinfo!D68</f>
        <v>0</v>
      </c>
      <c r="E69" s="30"/>
      <c r="L69" s="29"/>
      <c r="M69" s="30"/>
      <c r="T69" s="29"/>
      <c r="U69" s="30"/>
      <c r="AB69" s="29"/>
      <c r="AC69" s="30"/>
      <c r="AJ69" s="29"/>
      <c r="AL69" s="20">
        <f t="shared" si="0"/>
        <v>0</v>
      </c>
      <c r="AM69" s="20">
        <f>Üldinfo!AS68</f>
        <v>0</v>
      </c>
      <c r="AN69" s="58" t="e">
        <f t="shared" si="1"/>
        <v>#DIV/0!</v>
      </c>
    </row>
    <row r="70" spans="1:40" x14ac:dyDescent="0.25">
      <c r="A70" s="20">
        <f>Üldinfo!A69</f>
        <v>66</v>
      </c>
      <c r="B70" s="20" t="str">
        <f>Üldinfo!B69</f>
        <v>Täiskasvanu</v>
      </c>
      <c r="C70" s="20" t="str">
        <f>Üldinfo!C69</f>
        <v>Täiskasvanu</v>
      </c>
      <c r="D70" s="20">
        <f>Üldinfo!D69</f>
        <v>0</v>
      </c>
      <c r="E70" s="30"/>
      <c r="L70" s="29"/>
      <c r="M70" s="30"/>
      <c r="T70" s="29"/>
      <c r="U70" s="30"/>
      <c r="AB70" s="29"/>
      <c r="AC70" s="30"/>
      <c r="AJ70" s="29"/>
      <c r="AL70" s="20">
        <f t="shared" si="0"/>
        <v>0</v>
      </c>
      <c r="AM70" s="20">
        <f>Üldinfo!AS69</f>
        <v>0</v>
      </c>
      <c r="AN70" s="58" t="e">
        <f t="shared" si="1"/>
        <v>#DIV/0!</v>
      </c>
    </row>
    <row r="71" spans="1:40" x14ac:dyDescent="0.25">
      <c r="A71" s="20">
        <f>Üldinfo!A70</f>
        <v>67</v>
      </c>
      <c r="B71" s="20" t="str">
        <f>Üldinfo!B70</f>
        <v>Alaealine</v>
      </c>
      <c r="C71" s="20" t="str">
        <f>Üldinfo!C70</f>
        <v>7-11 a</v>
      </c>
      <c r="D71" s="20">
        <f>Üldinfo!D70</f>
        <v>1</v>
      </c>
      <c r="E71" s="30"/>
      <c r="L71" s="29"/>
      <c r="M71" s="30"/>
      <c r="T71" s="29"/>
      <c r="U71" s="30"/>
      <c r="AB71" s="29"/>
      <c r="AC71" s="30"/>
      <c r="AJ71" s="29"/>
      <c r="AL71" s="20">
        <f t="shared" si="0"/>
        <v>0</v>
      </c>
      <c r="AM71" s="20">
        <f>Üldinfo!AS70</f>
        <v>7</v>
      </c>
      <c r="AN71" s="58">
        <f t="shared" si="1"/>
        <v>0</v>
      </c>
    </row>
    <row r="72" spans="1:40" x14ac:dyDescent="0.25">
      <c r="A72" s="20">
        <f>Üldinfo!A71</f>
        <v>68</v>
      </c>
      <c r="B72" s="20" t="str">
        <f>Üldinfo!B71</f>
        <v>Naine</v>
      </c>
      <c r="C72" s="20" t="str">
        <f>Üldinfo!C71</f>
        <v>40+ a</v>
      </c>
      <c r="D72" s="20">
        <f>Üldinfo!D71</f>
        <v>0</v>
      </c>
      <c r="E72" s="30"/>
      <c r="L72" s="29"/>
      <c r="M72" s="30"/>
      <c r="T72" s="29"/>
      <c r="U72" s="30"/>
      <c r="AB72" s="29"/>
      <c r="AC72" s="30"/>
      <c r="AJ72" s="29"/>
      <c r="AL72" s="20">
        <f t="shared" si="0"/>
        <v>0</v>
      </c>
      <c r="AM72" s="20">
        <f>Üldinfo!AS71</f>
        <v>0</v>
      </c>
      <c r="AN72" s="58" t="e">
        <f t="shared" si="1"/>
        <v>#DIV/0!</v>
      </c>
    </row>
    <row r="73" spans="1:40" x14ac:dyDescent="0.25">
      <c r="A73" s="20">
        <f>Üldinfo!A72</f>
        <v>69</v>
      </c>
      <c r="B73" s="20" t="str">
        <f>Üldinfo!B72</f>
        <v>Mees</v>
      </c>
      <c r="C73" s="20" t="str">
        <f>Üldinfo!C72</f>
        <v>25-40 a</v>
      </c>
      <c r="D73" s="20">
        <f>Üldinfo!D72</f>
        <v>0</v>
      </c>
      <c r="E73" s="30"/>
      <c r="L73" s="29"/>
      <c r="M73" s="30"/>
      <c r="T73" s="29"/>
      <c r="U73" s="30"/>
      <c r="AB73" s="29"/>
      <c r="AC73" s="30"/>
      <c r="AJ73" s="29"/>
      <c r="AL73" s="20">
        <f t="shared" si="0"/>
        <v>0</v>
      </c>
      <c r="AM73" s="20">
        <f>Üldinfo!AS72</f>
        <v>0</v>
      </c>
      <c r="AN73" s="58" t="e">
        <f t="shared" si="1"/>
        <v>#DIV/0!</v>
      </c>
    </row>
    <row r="74" spans="1:40" x14ac:dyDescent="0.25">
      <c r="C74" s="20" t="s">
        <v>36</v>
      </c>
      <c r="E74" s="65">
        <f>SUM(E5:E73)</f>
        <v>0</v>
      </c>
      <c r="F74" s="62">
        <f t="shared" ref="F74:AM74" si="2">SUM(F39:F73)</f>
        <v>1</v>
      </c>
      <c r="G74" s="62">
        <f t="shared" si="2"/>
        <v>0</v>
      </c>
      <c r="H74" s="62">
        <f t="shared" si="2"/>
        <v>0</v>
      </c>
      <c r="I74" s="62">
        <f t="shared" si="2"/>
        <v>0</v>
      </c>
      <c r="J74" s="62">
        <f t="shared" si="2"/>
        <v>0</v>
      </c>
      <c r="K74" s="62">
        <f t="shared" si="2"/>
        <v>0</v>
      </c>
      <c r="L74" s="66">
        <f t="shared" si="2"/>
        <v>0</v>
      </c>
      <c r="M74" s="65">
        <f t="shared" si="2"/>
        <v>0</v>
      </c>
      <c r="N74" s="62">
        <f t="shared" si="2"/>
        <v>0</v>
      </c>
      <c r="O74" s="62">
        <f t="shared" si="2"/>
        <v>0</v>
      </c>
      <c r="P74" s="62">
        <f t="shared" si="2"/>
        <v>0</v>
      </c>
      <c r="Q74" s="62">
        <f t="shared" si="2"/>
        <v>0</v>
      </c>
      <c r="R74" s="62">
        <f t="shared" si="2"/>
        <v>0</v>
      </c>
      <c r="S74" s="62">
        <f t="shared" si="2"/>
        <v>1</v>
      </c>
      <c r="T74" s="66">
        <f t="shared" si="2"/>
        <v>0</v>
      </c>
      <c r="U74" s="65">
        <f t="shared" si="2"/>
        <v>0</v>
      </c>
      <c r="V74" s="62">
        <f t="shared" si="2"/>
        <v>0</v>
      </c>
      <c r="W74" s="62">
        <f t="shared" si="2"/>
        <v>1</v>
      </c>
      <c r="X74" s="62">
        <f t="shared" si="2"/>
        <v>0</v>
      </c>
      <c r="Y74" s="62">
        <f t="shared" si="2"/>
        <v>0</v>
      </c>
      <c r="Z74" s="62">
        <f t="shared" si="2"/>
        <v>0</v>
      </c>
      <c r="AA74" s="62">
        <f t="shared" si="2"/>
        <v>0</v>
      </c>
      <c r="AB74" s="66">
        <f t="shared" si="2"/>
        <v>0</v>
      </c>
      <c r="AC74" s="65">
        <f t="shared" si="2"/>
        <v>1</v>
      </c>
      <c r="AD74" s="62">
        <f t="shared" si="2"/>
        <v>1</v>
      </c>
      <c r="AE74" s="62">
        <f t="shared" si="2"/>
        <v>0</v>
      </c>
      <c r="AF74" s="62">
        <f t="shared" si="2"/>
        <v>0</v>
      </c>
      <c r="AG74" s="62">
        <f t="shared" si="2"/>
        <v>0</v>
      </c>
      <c r="AH74" s="62">
        <f t="shared" si="2"/>
        <v>1</v>
      </c>
      <c r="AI74" s="62">
        <f t="shared" si="2"/>
        <v>1</v>
      </c>
      <c r="AJ74" s="66">
        <f t="shared" si="2"/>
        <v>1</v>
      </c>
      <c r="AK74" s="62">
        <f t="shared" si="2"/>
        <v>0</v>
      </c>
      <c r="AL74" s="31">
        <f t="shared" si="2"/>
        <v>8</v>
      </c>
      <c r="AM74" s="31">
        <f t="shared" si="2"/>
        <v>219</v>
      </c>
      <c r="AN74" s="63">
        <f t="shared" si="1"/>
        <v>3.6529680365296802E-2</v>
      </c>
    </row>
  </sheetData>
  <sheetProtection selectLockedCells="1" selectUnlockedCells="1"/>
  <mergeCells count="7">
    <mergeCell ref="E1:AJ1"/>
    <mergeCell ref="E2:T2"/>
    <mergeCell ref="U2:AJ2"/>
    <mergeCell ref="E3:L3"/>
    <mergeCell ref="M3:T3"/>
    <mergeCell ref="U3:AB3"/>
    <mergeCell ref="AC3:AJ3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93BE-5D8E-4F73-98BF-F945F4DE2585}">
  <dimension ref="A1:AN76"/>
  <sheetViews>
    <sheetView workbookViewId="0">
      <pane xSplit="4" ySplit="4" topLeftCell="E5" activePane="bottomRight" state="frozen"/>
      <selection pane="topRight" activeCell="E1" sqref="E1"/>
      <selection pane="bottomLeft" activeCell="A150" sqref="A150"/>
      <selection pane="bottomRight" activeCell="L36" sqref="L36"/>
    </sheetView>
  </sheetViews>
  <sheetFormatPr defaultColWidth="11.5703125" defaultRowHeight="15" x14ac:dyDescent="0.25"/>
  <cols>
    <col min="1" max="1" width="4" style="20" customWidth="1"/>
    <col min="2" max="2" width="11.7109375" style="20" customWidth="1"/>
    <col min="3" max="3" width="11.5703125" style="20" customWidth="1"/>
    <col min="4" max="4" width="6.7109375" style="20" customWidth="1"/>
    <col min="5" max="7" width="4" style="28" customWidth="1"/>
    <col min="8" max="9" width="5.140625" style="28" customWidth="1"/>
    <col min="10" max="10" width="2.7109375" style="28" customWidth="1"/>
    <col min="11" max="14" width="3" style="28" customWidth="1"/>
    <col min="15" max="15" width="2.7109375" style="28" customWidth="1"/>
    <col min="16" max="17" width="5.140625" style="28" customWidth="1"/>
    <col min="18" max="23" width="4" style="28" customWidth="1"/>
    <col min="24" max="25" width="5.140625" style="28" customWidth="1"/>
    <col min="26" max="26" width="2.7109375" style="28" customWidth="1"/>
    <col min="27" max="30" width="3" style="28" customWidth="1"/>
    <col min="31" max="31" width="2.7109375" style="28" customWidth="1"/>
    <col min="32" max="33" width="5.140625" style="28" customWidth="1"/>
    <col min="34" max="36" width="4" style="28" customWidth="1"/>
    <col min="37" max="37" width="5.7109375" style="28" customWidth="1"/>
    <col min="38" max="38" width="7.85546875" style="20" customWidth="1"/>
    <col min="39" max="39" width="21.42578125" style="20" customWidth="1"/>
    <col min="40" max="16384" width="11.5703125" style="20"/>
  </cols>
  <sheetData>
    <row r="1" spans="1:40" x14ac:dyDescent="0.25">
      <c r="E1" s="80" t="s">
        <v>76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22"/>
      <c r="AL1" s="20" t="s">
        <v>77</v>
      </c>
      <c r="AM1" s="54"/>
    </row>
    <row r="2" spans="1:40" x14ac:dyDescent="0.25">
      <c r="E2" s="80" t="s">
        <v>0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 t="s">
        <v>1</v>
      </c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22"/>
    </row>
    <row r="3" spans="1:40" x14ac:dyDescent="0.25">
      <c r="E3" s="82" t="s">
        <v>3</v>
      </c>
      <c r="F3" s="82"/>
      <c r="G3" s="82"/>
      <c r="H3" s="82"/>
      <c r="I3" s="82"/>
      <c r="J3" s="82"/>
      <c r="K3" s="82"/>
      <c r="L3" s="82"/>
      <c r="M3" s="80" t="s">
        <v>4</v>
      </c>
      <c r="N3" s="80"/>
      <c r="O3" s="80"/>
      <c r="P3" s="80"/>
      <c r="Q3" s="80"/>
      <c r="R3" s="80"/>
      <c r="S3" s="80"/>
      <c r="T3" s="80"/>
      <c r="U3" s="82" t="s">
        <v>3</v>
      </c>
      <c r="V3" s="82"/>
      <c r="W3" s="82"/>
      <c r="X3" s="82"/>
      <c r="Y3" s="82"/>
      <c r="Z3" s="82"/>
      <c r="AA3" s="82"/>
      <c r="AB3" s="82"/>
      <c r="AC3" s="82" t="s">
        <v>4</v>
      </c>
      <c r="AD3" s="82"/>
      <c r="AE3" s="82"/>
      <c r="AF3" s="82"/>
      <c r="AG3" s="82"/>
      <c r="AH3" s="82"/>
      <c r="AI3" s="82"/>
      <c r="AJ3" s="82"/>
      <c r="AK3" s="22"/>
      <c r="AL3" s="22"/>
    </row>
    <row r="4" spans="1:40" x14ac:dyDescent="0.25">
      <c r="A4" s="7" t="s">
        <v>8</v>
      </c>
      <c r="B4" s="7" t="s">
        <v>9</v>
      </c>
      <c r="C4" s="7" t="s">
        <v>10</v>
      </c>
      <c r="D4" s="7"/>
      <c r="E4" s="10">
        <v>8</v>
      </c>
      <c r="F4" s="8">
        <v>7</v>
      </c>
      <c r="G4" s="8">
        <v>6</v>
      </c>
      <c r="H4" s="8">
        <v>5</v>
      </c>
      <c r="I4" s="8">
        <v>4</v>
      </c>
      <c r="J4" s="8">
        <v>3</v>
      </c>
      <c r="K4" s="8">
        <v>2</v>
      </c>
      <c r="L4" s="9">
        <v>1</v>
      </c>
      <c r="M4" s="8">
        <v>1</v>
      </c>
      <c r="N4" s="8">
        <v>2</v>
      </c>
      <c r="O4" s="8">
        <v>3</v>
      </c>
      <c r="P4" s="8">
        <v>4</v>
      </c>
      <c r="Q4" s="8">
        <v>5</v>
      </c>
      <c r="R4" s="8">
        <v>6</v>
      </c>
      <c r="S4" s="8">
        <v>7</v>
      </c>
      <c r="T4" s="8">
        <v>8</v>
      </c>
      <c r="U4" s="10">
        <v>8</v>
      </c>
      <c r="V4" s="8">
        <v>7</v>
      </c>
      <c r="W4" s="8">
        <v>6</v>
      </c>
      <c r="X4" s="8">
        <v>5</v>
      </c>
      <c r="Y4" s="8">
        <v>4</v>
      </c>
      <c r="Z4" s="8">
        <v>3</v>
      </c>
      <c r="AA4" s="8">
        <v>2</v>
      </c>
      <c r="AB4" s="9">
        <v>1</v>
      </c>
      <c r="AC4" s="10">
        <v>1</v>
      </c>
      <c r="AD4" s="8">
        <v>2</v>
      </c>
      <c r="AE4" s="8">
        <v>3</v>
      </c>
      <c r="AF4" s="8">
        <v>4</v>
      </c>
      <c r="AG4" s="8">
        <v>5</v>
      </c>
      <c r="AH4" s="8">
        <v>6</v>
      </c>
      <c r="AI4" s="8">
        <v>7</v>
      </c>
      <c r="AJ4" s="9">
        <v>8</v>
      </c>
      <c r="AK4" s="8"/>
      <c r="AL4" s="7" t="s">
        <v>78</v>
      </c>
      <c r="AM4" s="7" t="s">
        <v>79</v>
      </c>
      <c r="AN4" s="7" t="s">
        <v>80</v>
      </c>
    </row>
    <row r="5" spans="1:40" x14ac:dyDescent="0.25">
      <c r="A5" s="20" t="str">
        <f>Üldinfo!A4</f>
        <v>1a</v>
      </c>
      <c r="B5" s="20" t="str">
        <f>Üldinfo!B4</f>
        <v>Mees</v>
      </c>
      <c r="C5" s="20" t="str">
        <f>Üldinfo!C4</f>
        <v>Täiskasvanu</v>
      </c>
      <c r="D5" s="20">
        <f>Üldinfo!D4</f>
        <v>0</v>
      </c>
      <c r="L5" s="29"/>
      <c r="U5" s="30"/>
      <c r="AB5" s="29"/>
      <c r="AC5" s="30"/>
      <c r="AJ5" s="29"/>
      <c r="AL5" s="20">
        <f t="shared" ref="AL5:AL73" si="0">COUNTIF(E5:AJ5,"1")</f>
        <v>0</v>
      </c>
      <c r="AM5" s="20">
        <f>Üldinfo!AQ4</f>
        <v>0</v>
      </c>
      <c r="AN5" s="58" t="e">
        <f t="shared" ref="AN5:AN74" si="1">AL5/AM5</f>
        <v>#DIV/0!</v>
      </c>
    </row>
    <row r="6" spans="1:40" x14ac:dyDescent="0.25">
      <c r="A6" s="20" t="str">
        <f>Üldinfo!A5</f>
        <v>1b</v>
      </c>
      <c r="B6" s="20" t="str">
        <f>Üldinfo!B5</f>
        <v>Alaealine</v>
      </c>
      <c r="C6" s="20" t="str">
        <f>Üldinfo!C5</f>
        <v>Alaealine</v>
      </c>
      <c r="D6" s="20">
        <f>Üldinfo!D5</f>
        <v>0</v>
      </c>
      <c r="L6" s="29"/>
      <c r="U6" s="30"/>
      <c r="AB6" s="29"/>
      <c r="AC6" s="30"/>
      <c r="AJ6" s="29"/>
      <c r="AL6" s="20">
        <f>COUNTIF(E6:AJ6,"1")</f>
        <v>0</v>
      </c>
      <c r="AM6" s="20">
        <f>Üldinfo!AQ5</f>
        <v>0</v>
      </c>
      <c r="AN6" s="58" t="e">
        <f>AL6/AM6</f>
        <v>#DIV/0!</v>
      </c>
    </row>
    <row r="7" spans="1:40" x14ac:dyDescent="0.25">
      <c r="A7" s="20">
        <f>Üldinfo!A6</f>
        <v>2</v>
      </c>
      <c r="B7" s="20" t="str">
        <f>Üldinfo!B6</f>
        <v>Naine</v>
      </c>
      <c r="C7" s="20" t="str">
        <f>Üldinfo!C6</f>
        <v>Täiskasvanu</v>
      </c>
      <c r="D7" s="20">
        <f>Üldinfo!D6</f>
        <v>0</v>
      </c>
      <c r="L7" s="29"/>
      <c r="U7" s="30"/>
      <c r="AB7" s="29"/>
      <c r="AC7" s="30"/>
      <c r="AJ7" s="29"/>
      <c r="AL7" s="20">
        <f t="shared" si="0"/>
        <v>0</v>
      </c>
      <c r="AM7" s="20">
        <f>Üldinfo!AQ6</f>
        <v>0</v>
      </c>
      <c r="AN7" s="58" t="e">
        <f t="shared" si="1"/>
        <v>#DIV/0!</v>
      </c>
    </row>
    <row r="8" spans="1:40" x14ac:dyDescent="0.25">
      <c r="A8" s="20">
        <f>Üldinfo!A7</f>
        <v>3</v>
      </c>
      <c r="B8" s="20" t="str">
        <f>Üldinfo!B7</f>
        <v>Alaealine</v>
      </c>
      <c r="C8" s="20" t="str">
        <f>Üldinfo!C7</f>
        <v>12-18 a</v>
      </c>
      <c r="D8" s="20">
        <f>Üldinfo!D7</f>
        <v>1</v>
      </c>
      <c r="L8" s="29"/>
      <c r="U8" s="30"/>
      <c r="AB8" s="29"/>
      <c r="AC8" s="30"/>
      <c r="AJ8" s="29"/>
      <c r="AL8" s="20">
        <f t="shared" si="0"/>
        <v>0</v>
      </c>
      <c r="AM8" s="20">
        <f>Üldinfo!AQ7</f>
        <v>28</v>
      </c>
      <c r="AN8" s="58">
        <f t="shared" si="1"/>
        <v>0</v>
      </c>
    </row>
    <row r="9" spans="1:40" x14ac:dyDescent="0.25">
      <c r="A9" s="20">
        <f>Üldinfo!A8</f>
        <v>4</v>
      </c>
      <c r="B9" s="20" t="str">
        <f>Üldinfo!B8</f>
        <v>Täiskasvanu</v>
      </c>
      <c r="C9" s="20" t="str">
        <f>Üldinfo!C8</f>
        <v>Täiskasvanu</v>
      </c>
      <c r="D9" s="20">
        <f>Üldinfo!D8</f>
        <v>0</v>
      </c>
      <c r="L9" s="29"/>
      <c r="U9" s="30"/>
      <c r="AB9" s="29"/>
      <c r="AC9" s="30"/>
      <c r="AJ9" s="29"/>
      <c r="AL9" s="20">
        <f t="shared" si="0"/>
        <v>0</v>
      </c>
      <c r="AM9" s="20">
        <f>Üldinfo!AQ8</f>
        <v>0</v>
      </c>
      <c r="AN9" s="58" t="e">
        <f t="shared" si="1"/>
        <v>#DIV/0!</v>
      </c>
    </row>
    <row r="10" spans="1:40" x14ac:dyDescent="0.25">
      <c r="A10" s="20">
        <f>Üldinfo!A9</f>
        <v>5</v>
      </c>
      <c r="B10" s="20" t="str">
        <f>Üldinfo!B9</f>
        <v>Täiskasvanu</v>
      </c>
      <c r="C10" s="20" t="str">
        <f>Üldinfo!C9</f>
        <v>Täiskasvanu</v>
      </c>
      <c r="D10" s="20">
        <f>Üldinfo!D9</f>
        <v>0</v>
      </c>
      <c r="L10" s="29"/>
      <c r="U10" s="30"/>
      <c r="AB10" s="29"/>
      <c r="AC10" s="30"/>
      <c r="AJ10" s="29"/>
      <c r="AL10" s="20">
        <f t="shared" si="0"/>
        <v>0</v>
      </c>
      <c r="AM10" s="20">
        <f>Üldinfo!AQ9</f>
        <v>0</v>
      </c>
      <c r="AN10" s="58" t="e">
        <f t="shared" si="1"/>
        <v>#DIV/0!</v>
      </c>
    </row>
    <row r="11" spans="1:40" x14ac:dyDescent="0.25">
      <c r="A11" s="20">
        <f>Üldinfo!A10</f>
        <v>6</v>
      </c>
      <c r="B11" s="20" t="str">
        <f>Üldinfo!B10</f>
        <v>Täiskasvanu</v>
      </c>
      <c r="C11" s="20" t="str">
        <f>Üldinfo!C10</f>
        <v>Täiskasvanu</v>
      </c>
      <c r="D11" s="20">
        <f>Üldinfo!D10</f>
        <v>0</v>
      </c>
      <c r="L11" s="29"/>
      <c r="U11" s="30"/>
      <c r="AB11" s="29"/>
      <c r="AC11" s="30"/>
      <c r="AJ11" s="29"/>
      <c r="AL11" s="20">
        <f t="shared" si="0"/>
        <v>0</v>
      </c>
      <c r="AM11" s="20">
        <f>Üldinfo!AQ10</f>
        <v>0</v>
      </c>
      <c r="AN11" s="58" t="e">
        <f t="shared" si="1"/>
        <v>#DIV/0!</v>
      </c>
    </row>
    <row r="12" spans="1:40" x14ac:dyDescent="0.25">
      <c r="A12" s="20">
        <f>Üldinfo!A11</f>
        <v>7</v>
      </c>
      <c r="B12" s="20" t="str">
        <f>Üldinfo!B11</f>
        <v>Mees</v>
      </c>
      <c r="C12" s="20" t="str">
        <f>Üldinfo!C11</f>
        <v>25-35 a</v>
      </c>
      <c r="D12" s="20">
        <f>Üldinfo!D11</f>
        <v>1</v>
      </c>
      <c r="L12" s="29"/>
      <c r="U12" s="30"/>
      <c r="AB12" s="29"/>
      <c r="AC12" s="30"/>
      <c r="AJ12" s="29"/>
      <c r="AL12" s="20">
        <f t="shared" si="0"/>
        <v>0</v>
      </c>
      <c r="AM12" s="20">
        <f>Üldinfo!AQ11</f>
        <v>32</v>
      </c>
      <c r="AN12" s="58">
        <f t="shared" si="1"/>
        <v>0</v>
      </c>
    </row>
    <row r="13" spans="1:40" x14ac:dyDescent="0.25">
      <c r="A13" s="20">
        <f>Üldinfo!A12</f>
        <v>8</v>
      </c>
      <c r="B13" s="20" t="str">
        <f>Üldinfo!B12</f>
        <v>Täiskasvanu</v>
      </c>
      <c r="C13" s="20" t="str">
        <f>Üldinfo!C12</f>
        <v>Täiskasvanu</v>
      </c>
      <c r="D13" s="20">
        <f>Üldinfo!D12</f>
        <v>0</v>
      </c>
      <c r="L13" s="29"/>
      <c r="U13" s="30"/>
      <c r="AB13" s="29"/>
      <c r="AC13" s="30"/>
      <c r="AJ13" s="29"/>
      <c r="AL13" s="20">
        <f t="shared" si="0"/>
        <v>0</v>
      </c>
      <c r="AM13" s="20">
        <f>Üldinfo!AQ12</f>
        <v>0</v>
      </c>
      <c r="AN13" s="58" t="e">
        <f t="shared" si="1"/>
        <v>#DIV/0!</v>
      </c>
    </row>
    <row r="14" spans="1:40" x14ac:dyDescent="0.25">
      <c r="A14" s="20">
        <f>Üldinfo!A13</f>
        <v>9</v>
      </c>
      <c r="B14" s="20" t="str">
        <f>Üldinfo!B13</f>
        <v>Naine</v>
      </c>
      <c r="C14" s="20" t="str">
        <f>Üldinfo!C13</f>
        <v>25-35 a</v>
      </c>
      <c r="D14" s="20">
        <f>Üldinfo!D13</f>
        <v>1</v>
      </c>
      <c r="L14" s="29"/>
      <c r="U14" s="30"/>
      <c r="AB14" s="29"/>
      <c r="AC14" s="30"/>
      <c r="AJ14" s="29"/>
      <c r="AL14" s="20">
        <f t="shared" si="0"/>
        <v>0</v>
      </c>
      <c r="AM14" s="20">
        <f>Üldinfo!AQ13</f>
        <v>32</v>
      </c>
      <c r="AN14" s="58">
        <f t="shared" si="1"/>
        <v>0</v>
      </c>
    </row>
    <row r="15" spans="1:40" x14ac:dyDescent="0.25">
      <c r="A15" s="20">
        <f>Üldinfo!A14</f>
        <v>10</v>
      </c>
      <c r="B15" s="20" t="str">
        <f>Üldinfo!B14</f>
        <v>Täiskasvanu</v>
      </c>
      <c r="C15" s="20" t="str">
        <f>Üldinfo!C14</f>
        <v>Täiskasvanu</v>
      </c>
      <c r="D15" s="20">
        <f>Üldinfo!D14</f>
        <v>0</v>
      </c>
      <c r="L15" s="29"/>
      <c r="U15" s="30"/>
      <c r="AB15" s="29"/>
      <c r="AC15" s="30"/>
      <c r="AJ15" s="29"/>
      <c r="AL15" s="20">
        <f t="shared" si="0"/>
        <v>0</v>
      </c>
      <c r="AM15" s="20">
        <f>Üldinfo!AQ14</f>
        <v>0</v>
      </c>
      <c r="AN15" s="58" t="e">
        <f t="shared" si="1"/>
        <v>#DIV/0!</v>
      </c>
    </row>
    <row r="16" spans="1:40" x14ac:dyDescent="0.25">
      <c r="A16" s="20">
        <f>Üldinfo!A15</f>
        <v>11</v>
      </c>
      <c r="B16" s="20" t="str">
        <f>Üldinfo!B15</f>
        <v>Täiskasvanu</v>
      </c>
      <c r="C16" s="20" t="str">
        <f>Üldinfo!C15</f>
        <v>Täiskasvanu</v>
      </c>
      <c r="D16" s="20">
        <f>Üldinfo!D15</f>
        <v>0</v>
      </c>
      <c r="L16" s="29"/>
      <c r="U16" s="30"/>
      <c r="AB16" s="29"/>
      <c r="AC16" s="30"/>
      <c r="AJ16" s="29"/>
      <c r="AL16" s="20">
        <f t="shared" si="0"/>
        <v>0</v>
      </c>
      <c r="AM16" s="20">
        <f>Üldinfo!AQ15</f>
        <v>0</v>
      </c>
      <c r="AN16" s="58" t="e">
        <f t="shared" si="1"/>
        <v>#DIV/0!</v>
      </c>
    </row>
    <row r="17" spans="1:40" x14ac:dyDescent="0.25">
      <c r="A17" s="20">
        <f>Üldinfo!A16</f>
        <v>12</v>
      </c>
      <c r="B17" s="20" t="str">
        <f>Üldinfo!B16</f>
        <v>Naine</v>
      </c>
      <c r="C17" s="20" t="str">
        <f>Üldinfo!C16</f>
        <v>25-30 a</v>
      </c>
      <c r="D17" s="20">
        <f>Üldinfo!D16</f>
        <v>1</v>
      </c>
      <c r="L17" s="29"/>
      <c r="U17" s="30"/>
      <c r="AB17" s="29"/>
      <c r="AC17" s="30"/>
      <c r="AJ17" s="29"/>
      <c r="AL17" s="20">
        <f t="shared" si="0"/>
        <v>0</v>
      </c>
      <c r="AM17" s="20">
        <f>Üldinfo!AQ16</f>
        <v>20</v>
      </c>
      <c r="AN17" s="58">
        <f t="shared" si="1"/>
        <v>0</v>
      </c>
    </row>
    <row r="18" spans="1:40" x14ac:dyDescent="0.25">
      <c r="A18" s="20">
        <f>Üldinfo!A17</f>
        <v>14</v>
      </c>
      <c r="B18" s="20" t="str">
        <f>Üldinfo!B17</f>
        <v>Alaealine</v>
      </c>
      <c r="C18" s="20" t="str">
        <f>Üldinfo!C17</f>
        <v>Alaealine</v>
      </c>
      <c r="D18" s="20">
        <f>Üldinfo!D17</f>
        <v>0</v>
      </c>
      <c r="L18" s="29"/>
      <c r="U18" s="30"/>
      <c r="AB18" s="29"/>
      <c r="AC18" s="30"/>
      <c r="AJ18" s="29"/>
      <c r="AL18" s="20">
        <f t="shared" si="0"/>
        <v>0</v>
      </c>
      <c r="AM18" s="20">
        <f>Üldinfo!AQ17</f>
        <v>0</v>
      </c>
      <c r="AN18" s="58" t="e">
        <f t="shared" si="1"/>
        <v>#DIV/0!</v>
      </c>
    </row>
    <row r="19" spans="1:40" x14ac:dyDescent="0.25">
      <c r="A19" s="20">
        <f>Üldinfo!A18</f>
        <v>15</v>
      </c>
      <c r="B19" s="20" t="str">
        <f>Üldinfo!B18</f>
        <v>Täiskasvanu</v>
      </c>
      <c r="C19" s="20" t="str">
        <f>Üldinfo!C18</f>
        <v>Täiskasvanu</v>
      </c>
      <c r="D19" s="20">
        <f>Üldinfo!D18</f>
        <v>0</v>
      </c>
      <c r="L19" s="29"/>
      <c r="U19" s="30"/>
      <c r="AB19" s="29"/>
      <c r="AC19" s="30"/>
      <c r="AJ19" s="29"/>
      <c r="AL19" s="20">
        <f t="shared" si="0"/>
        <v>0</v>
      </c>
      <c r="AM19" s="20">
        <f>Üldinfo!AQ18</f>
        <v>0</v>
      </c>
      <c r="AN19" s="58" t="e">
        <f t="shared" si="1"/>
        <v>#DIV/0!</v>
      </c>
    </row>
    <row r="20" spans="1:40" x14ac:dyDescent="0.25">
      <c r="A20" s="20">
        <f>Üldinfo!A19</f>
        <v>16</v>
      </c>
      <c r="B20" s="20" t="str">
        <f>Üldinfo!B19</f>
        <v>Täiskasvanu</v>
      </c>
      <c r="C20" s="20" t="str">
        <f>Üldinfo!C19</f>
        <v>Täiskasvanu</v>
      </c>
      <c r="D20" s="20">
        <f>Üldinfo!D19</f>
        <v>0</v>
      </c>
      <c r="L20" s="29"/>
      <c r="U20" s="30"/>
      <c r="AB20" s="29"/>
      <c r="AC20" s="30"/>
      <c r="AJ20" s="29"/>
      <c r="AL20" s="20">
        <f t="shared" si="0"/>
        <v>0</v>
      </c>
      <c r="AM20" s="20">
        <f>Üldinfo!AQ19</f>
        <v>0</v>
      </c>
      <c r="AN20" s="58" t="e">
        <f t="shared" si="1"/>
        <v>#DIV/0!</v>
      </c>
    </row>
    <row r="21" spans="1:40" x14ac:dyDescent="0.25">
      <c r="A21" s="20">
        <f>Üldinfo!A20</f>
        <v>17</v>
      </c>
      <c r="B21" s="20" t="str">
        <f>Üldinfo!B20</f>
        <v>Täiskasvanu</v>
      </c>
      <c r="C21" s="20" t="str">
        <f>Üldinfo!C20</f>
        <v>Täiskasvanu</v>
      </c>
      <c r="D21" s="20">
        <f>Üldinfo!D20</f>
        <v>0</v>
      </c>
      <c r="L21" s="29"/>
      <c r="U21" s="30"/>
      <c r="AB21" s="29"/>
      <c r="AC21" s="30"/>
      <c r="AJ21" s="29"/>
      <c r="AL21" s="20">
        <f t="shared" si="0"/>
        <v>0</v>
      </c>
      <c r="AM21" s="20">
        <f>Üldinfo!AQ20</f>
        <v>0</v>
      </c>
      <c r="AN21" s="58" t="e">
        <f t="shared" si="1"/>
        <v>#DIV/0!</v>
      </c>
    </row>
    <row r="22" spans="1:40" x14ac:dyDescent="0.25">
      <c r="A22" s="20">
        <f>Üldinfo!A21</f>
        <v>19</v>
      </c>
      <c r="B22" s="20" t="str">
        <f>Üldinfo!B21</f>
        <v>Mees</v>
      </c>
      <c r="C22" s="20" t="str">
        <f>Üldinfo!C21</f>
        <v>Täiskasvanu</v>
      </c>
      <c r="D22" s="20">
        <f>Üldinfo!D21</f>
        <v>1</v>
      </c>
      <c r="L22" s="29"/>
      <c r="U22" s="30"/>
      <c r="AB22" s="29"/>
      <c r="AC22" s="30"/>
      <c r="AJ22" s="29"/>
      <c r="AL22" s="20">
        <f t="shared" si="0"/>
        <v>0</v>
      </c>
      <c r="AM22" s="20">
        <f>Üldinfo!AQ21</f>
        <v>1</v>
      </c>
      <c r="AN22" s="58">
        <f t="shared" si="1"/>
        <v>0</v>
      </c>
    </row>
    <row r="23" spans="1:40" x14ac:dyDescent="0.25">
      <c r="A23" s="20">
        <f>Üldinfo!A22</f>
        <v>20</v>
      </c>
      <c r="B23" s="20" t="str">
        <f>Üldinfo!B22</f>
        <v>Mees</v>
      </c>
      <c r="C23" s="20" t="str">
        <f>Üldinfo!C22</f>
        <v>Täiskasvanu</v>
      </c>
      <c r="D23" s="20">
        <f>Üldinfo!D22</f>
        <v>1</v>
      </c>
      <c r="L23" s="29"/>
      <c r="U23" s="30"/>
      <c r="AB23" s="29"/>
      <c r="AC23" s="30"/>
      <c r="AJ23" s="29"/>
      <c r="AL23" s="20">
        <f t="shared" si="0"/>
        <v>0</v>
      </c>
      <c r="AM23" s="20">
        <f>Üldinfo!AQ22</f>
        <v>1</v>
      </c>
      <c r="AN23" s="58">
        <f t="shared" si="1"/>
        <v>0</v>
      </c>
    </row>
    <row r="24" spans="1:40" x14ac:dyDescent="0.25">
      <c r="A24" s="20">
        <f>Üldinfo!A23</f>
        <v>21</v>
      </c>
      <c r="B24" s="20" t="str">
        <f>Üldinfo!B23</f>
        <v>Naine</v>
      </c>
      <c r="C24" s="20" t="str">
        <f>Üldinfo!C23</f>
        <v>20-25 a</v>
      </c>
      <c r="D24" s="20">
        <f>Üldinfo!D23</f>
        <v>1</v>
      </c>
      <c r="E24" s="30"/>
      <c r="L24" s="29"/>
      <c r="U24" s="30"/>
      <c r="AB24" s="29"/>
      <c r="AC24" s="30"/>
      <c r="AJ24" s="29"/>
      <c r="AL24" s="20">
        <f t="shared" si="0"/>
        <v>0</v>
      </c>
      <c r="AM24" s="20">
        <f>Üldinfo!AQ23</f>
        <v>32</v>
      </c>
      <c r="AN24" s="58">
        <f t="shared" si="1"/>
        <v>0</v>
      </c>
    </row>
    <row r="25" spans="1:40" x14ac:dyDescent="0.25">
      <c r="A25" s="20">
        <f>Üldinfo!A24</f>
        <v>22</v>
      </c>
      <c r="B25" s="20" t="str">
        <f>Üldinfo!B24</f>
        <v>Naine</v>
      </c>
      <c r="C25" s="20" t="str">
        <f>Üldinfo!C24</f>
        <v>17-20 a</v>
      </c>
      <c r="D25" s="20">
        <f>Üldinfo!D24</f>
        <v>1</v>
      </c>
      <c r="L25" s="29"/>
      <c r="U25" s="30"/>
      <c r="AB25" s="29"/>
      <c r="AC25" s="30"/>
      <c r="AJ25" s="29"/>
      <c r="AL25" s="20">
        <f t="shared" si="0"/>
        <v>0</v>
      </c>
      <c r="AM25" s="20">
        <f>Üldinfo!AQ24</f>
        <v>32</v>
      </c>
      <c r="AN25" s="58">
        <f t="shared" si="1"/>
        <v>0</v>
      </c>
    </row>
    <row r="26" spans="1:40" x14ac:dyDescent="0.25">
      <c r="A26" s="20">
        <f>Üldinfo!A25</f>
        <v>23</v>
      </c>
      <c r="B26" s="20" t="str">
        <f>Üldinfo!B25</f>
        <v>Alaealine</v>
      </c>
      <c r="C26" s="20" t="str">
        <f>Üldinfo!C25</f>
        <v>10 a ± 30k</v>
      </c>
      <c r="D26" s="20">
        <f>Üldinfo!D25</f>
        <v>1</v>
      </c>
      <c r="L26" s="29"/>
      <c r="U26" s="30"/>
      <c r="AB26" s="29"/>
      <c r="AC26" s="30"/>
      <c r="AJ26" s="29"/>
      <c r="AL26" s="20">
        <f t="shared" si="0"/>
        <v>0</v>
      </c>
      <c r="AM26" s="20">
        <f>Üldinfo!AQ25</f>
        <v>22</v>
      </c>
      <c r="AN26" s="58">
        <f t="shared" si="1"/>
        <v>0</v>
      </c>
    </row>
    <row r="27" spans="1:40" x14ac:dyDescent="0.25">
      <c r="A27" s="20">
        <f>Üldinfo!A26</f>
        <v>24</v>
      </c>
      <c r="B27" s="20" t="str">
        <f>Üldinfo!B26</f>
        <v>Mees</v>
      </c>
      <c r="C27" s="20" t="str">
        <f>Üldinfo!C26</f>
        <v>39-44 a</v>
      </c>
      <c r="D27" s="20">
        <f>Üldinfo!D26</f>
        <v>0</v>
      </c>
      <c r="L27" s="29"/>
      <c r="U27" s="30"/>
      <c r="AB27" s="29"/>
      <c r="AC27" s="30"/>
      <c r="AJ27" s="29"/>
      <c r="AL27" s="20">
        <f t="shared" si="0"/>
        <v>0</v>
      </c>
      <c r="AM27" s="20">
        <f>Üldinfo!AQ26</f>
        <v>0</v>
      </c>
      <c r="AN27" s="58" t="e">
        <f t="shared" si="1"/>
        <v>#DIV/0!</v>
      </c>
    </row>
    <row r="28" spans="1:40" x14ac:dyDescent="0.25">
      <c r="A28" s="20">
        <f>Üldinfo!A27</f>
        <v>25</v>
      </c>
      <c r="B28" s="20" t="str">
        <f>Üldinfo!B27</f>
        <v>Alaealine</v>
      </c>
      <c r="C28" s="20" t="str">
        <f>Üldinfo!C27</f>
        <v>7-11 a</v>
      </c>
      <c r="D28" s="20">
        <f>Üldinfo!D27</f>
        <v>1</v>
      </c>
      <c r="L28" s="29"/>
      <c r="U28" s="30"/>
      <c r="AB28" s="29"/>
      <c r="AC28" s="30"/>
      <c r="AJ28" s="29"/>
      <c r="AL28" s="20">
        <f t="shared" si="0"/>
        <v>0</v>
      </c>
      <c r="AM28" s="20">
        <f>Üldinfo!AQ27</f>
        <v>12</v>
      </c>
      <c r="AN28" s="58">
        <f t="shared" si="1"/>
        <v>0</v>
      </c>
    </row>
    <row r="29" spans="1:40" x14ac:dyDescent="0.25">
      <c r="A29" s="20" t="str">
        <f>Üldinfo!A28</f>
        <v>26a</v>
      </c>
      <c r="B29" s="20" t="str">
        <f>Üldinfo!B28</f>
        <v>Alaealine</v>
      </c>
      <c r="C29" s="20" t="str">
        <f>Üldinfo!C28</f>
        <v>12-18 a</v>
      </c>
      <c r="D29" s="20">
        <f>Üldinfo!D28</f>
        <v>0</v>
      </c>
      <c r="L29" s="29"/>
      <c r="U29" s="30"/>
      <c r="AB29" s="29"/>
      <c r="AC29" s="30"/>
      <c r="AJ29" s="29"/>
      <c r="AL29" s="20">
        <f t="shared" si="0"/>
        <v>0</v>
      </c>
      <c r="AM29" s="20">
        <f>Üldinfo!AQ28</f>
        <v>0</v>
      </c>
      <c r="AN29" s="58" t="e">
        <f t="shared" si="1"/>
        <v>#DIV/0!</v>
      </c>
    </row>
    <row r="30" spans="1:40" x14ac:dyDescent="0.25">
      <c r="A30" s="20" t="str">
        <f>Üldinfo!A29</f>
        <v>26b</v>
      </c>
      <c r="B30" s="20" t="str">
        <f>Üldinfo!B29</f>
        <v>Täiskasvanu</v>
      </c>
      <c r="C30" s="20" t="str">
        <f>Üldinfo!C29</f>
        <v>Täiskasvanu</v>
      </c>
      <c r="D30" s="20">
        <f>Üldinfo!D29</f>
        <v>0</v>
      </c>
      <c r="L30" s="29"/>
      <c r="U30" s="30"/>
      <c r="AB30" s="29"/>
      <c r="AC30" s="30"/>
      <c r="AJ30" s="29"/>
      <c r="AL30" s="20">
        <f t="shared" si="0"/>
        <v>0</v>
      </c>
      <c r="AM30" s="20">
        <f>Üldinfo!AQ29</f>
        <v>0</v>
      </c>
      <c r="AN30" s="58" t="e">
        <f t="shared" si="1"/>
        <v>#DIV/0!</v>
      </c>
    </row>
    <row r="31" spans="1:40" x14ac:dyDescent="0.25">
      <c r="A31" s="20">
        <f>Üldinfo!A30</f>
        <v>27</v>
      </c>
      <c r="B31" s="20" t="str">
        <f>Üldinfo!B30</f>
        <v>Mees</v>
      </c>
      <c r="C31" s="20" t="str">
        <f>Üldinfo!C30</f>
        <v>40-50 a</v>
      </c>
      <c r="D31" s="20">
        <f>Üldinfo!D30</f>
        <v>0</v>
      </c>
      <c r="L31" s="29"/>
      <c r="U31" s="30"/>
      <c r="AB31" s="29"/>
      <c r="AC31" s="30"/>
      <c r="AJ31" s="29"/>
      <c r="AL31" s="20">
        <f t="shared" si="0"/>
        <v>0</v>
      </c>
      <c r="AM31" s="20">
        <f>Üldinfo!AQ30</f>
        <v>0</v>
      </c>
      <c r="AN31" s="58" t="e">
        <f t="shared" si="1"/>
        <v>#DIV/0!</v>
      </c>
    </row>
    <row r="32" spans="1:40" x14ac:dyDescent="0.25">
      <c r="A32" s="20">
        <f>Üldinfo!A31</f>
        <v>28</v>
      </c>
      <c r="B32" s="20" t="str">
        <f>Üldinfo!B31</f>
        <v>Naine</v>
      </c>
      <c r="C32" s="20" t="str">
        <f>Üldinfo!C31</f>
        <v>25-50 a</v>
      </c>
      <c r="D32" s="20">
        <f>Üldinfo!D31</f>
        <v>1</v>
      </c>
      <c r="L32" s="29"/>
      <c r="U32" s="30"/>
      <c r="AB32" s="29"/>
      <c r="AC32" s="30"/>
      <c r="AJ32" s="29"/>
      <c r="AL32" s="20">
        <f t="shared" si="0"/>
        <v>0</v>
      </c>
      <c r="AM32" s="20">
        <f>Üldinfo!AQ31</f>
        <v>30</v>
      </c>
      <c r="AN32" s="58">
        <f t="shared" si="1"/>
        <v>0</v>
      </c>
    </row>
    <row r="33" spans="1:40" x14ac:dyDescent="0.25">
      <c r="A33" s="20">
        <f>Üldinfo!A32</f>
        <v>29</v>
      </c>
      <c r="B33" s="20" t="str">
        <f>Üldinfo!B32</f>
        <v>Mees</v>
      </c>
      <c r="C33" s="20" t="str">
        <f>Üldinfo!C32</f>
        <v>25-30a</v>
      </c>
      <c r="D33" s="20">
        <f>Üldinfo!D32</f>
        <v>1</v>
      </c>
      <c r="L33" s="29"/>
      <c r="U33" s="30"/>
      <c r="AB33" s="29"/>
      <c r="AC33" s="30"/>
      <c r="AJ33" s="29"/>
      <c r="AL33" s="20">
        <f t="shared" si="0"/>
        <v>0</v>
      </c>
      <c r="AM33" s="20">
        <f>Üldinfo!AQ32</f>
        <v>32</v>
      </c>
      <c r="AN33" s="58">
        <f t="shared" si="1"/>
        <v>0</v>
      </c>
    </row>
    <row r="34" spans="1:40" x14ac:dyDescent="0.25">
      <c r="A34" s="20">
        <f>Üldinfo!A33</f>
        <v>30</v>
      </c>
      <c r="B34" s="20" t="str">
        <f>Üldinfo!B33</f>
        <v>Naine</v>
      </c>
      <c r="C34" s="20" t="str">
        <f>Üldinfo!C33</f>
        <v>17-25 a</v>
      </c>
      <c r="D34" s="20">
        <f>Üldinfo!D33</f>
        <v>1</v>
      </c>
      <c r="L34" s="29"/>
      <c r="U34" s="30"/>
      <c r="AB34" s="29"/>
      <c r="AC34" s="30"/>
      <c r="AI34" s="28">
        <v>1</v>
      </c>
      <c r="AJ34" s="29"/>
      <c r="AL34" s="20">
        <f t="shared" si="0"/>
        <v>1</v>
      </c>
      <c r="AM34" s="20">
        <f>Üldinfo!AQ33</f>
        <v>25</v>
      </c>
      <c r="AN34" s="58">
        <f t="shared" si="1"/>
        <v>0.04</v>
      </c>
    </row>
    <row r="35" spans="1:40" x14ac:dyDescent="0.25">
      <c r="A35" s="20">
        <f>Üldinfo!A34</f>
        <v>31</v>
      </c>
      <c r="B35" s="20" t="str">
        <f>Üldinfo!B34</f>
        <v>Alaealine</v>
      </c>
      <c r="C35" s="20" t="str">
        <f>Üldinfo!C34</f>
        <v>5+ a</v>
      </c>
      <c r="D35" s="20">
        <f>Üldinfo!D34</f>
        <v>0</v>
      </c>
      <c r="L35" s="29"/>
      <c r="U35" s="30"/>
      <c r="AB35" s="29"/>
      <c r="AC35" s="30"/>
      <c r="AJ35" s="29"/>
      <c r="AL35" s="20">
        <f t="shared" si="0"/>
        <v>0</v>
      </c>
      <c r="AM35" s="20">
        <f>Üldinfo!AQ34</f>
        <v>0</v>
      </c>
      <c r="AN35" s="58" t="e">
        <f t="shared" si="1"/>
        <v>#DIV/0!</v>
      </c>
    </row>
    <row r="36" spans="1:40" x14ac:dyDescent="0.25">
      <c r="A36" s="20">
        <f>Üldinfo!A35</f>
        <v>32</v>
      </c>
      <c r="B36" s="20" t="str">
        <f>Üldinfo!B35</f>
        <v>Alaealine</v>
      </c>
      <c r="C36" s="20" t="str">
        <f>Üldinfo!C35</f>
        <v>3-5 a</v>
      </c>
      <c r="D36" s="20">
        <f>Üldinfo!D35</f>
        <v>0</v>
      </c>
      <c r="L36" s="29"/>
      <c r="U36" s="30"/>
      <c r="AB36" s="29"/>
      <c r="AC36" s="30"/>
      <c r="AJ36" s="29"/>
      <c r="AL36" s="20">
        <f t="shared" si="0"/>
        <v>0</v>
      </c>
      <c r="AM36" s="20">
        <f>Üldinfo!AQ35</f>
        <v>0</v>
      </c>
      <c r="AN36" s="58" t="e">
        <f t="shared" si="1"/>
        <v>#DIV/0!</v>
      </c>
    </row>
    <row r="37" spans="1:40" x14ac:dyDescent="0.25">
      <c r="A37" s="20">
        <f>Üldinfo!A36</f>
        <v>33</v>
      </c>
      <c r="B37" s="20" t="str">
        <f>Üldinfo!B36</f>
        <v>Alaealine</v>
      </c>
      <c r="C37" s="20" t="str">
        <f>Üldinfo!C36</f>
        <v>1-2 a</v>
      </c>
      <c r="D37" s="20">
        <f>Üldinfo!D36</f>
        <v>1</v>
      </c>
      <c r="E37" s="30"/>
      <c r="L37" s="29"/>
      <c r="U37" s="30"/>
      <c r="AB37" s="29"/>
      <c r="AC37" s="30"/>
      <c r="AJ37" s="29"/>
      <c r="AL37" s="20">
        <f t="shared" si="0"/>
        <v>0</v>
      </c>
      <c r="AM37" s="20">
        <f>Üldinfo!AQ36</f>
        <v>0</v>
      </c>
      <c r="AN37" s="58" t="e">
        <f t="shared" si="1"/>
        <v>#DIV/0!</v>
      </c>
    </row>
    <row r="38" spans="1:40" x14ac:dyDescent="0.25">
      <c r="A38" s="20">
        <f>Üldinfo!A37</f>
        <v>34</v>
      </c>
      <c r="B38" s="20" t="str">
        <f>Üldinfo!B37</f>
        <v>Mees ?</v>
      </c>
      <c r="C38" s="20" t="str">
        <f>Üldinfo!C37</f>
        <v>Täiskasvanu</v>
      </c>
      <c r="D38" s="20">
        <f>Üldinfo!D37</f>
        <v>0</v>
      </c>
      <c r="E38" s="30"/>
      <c r="L38" s="29"/>
      <c r="U38" s="30"/>
      <c r="AB38" s="29"/>
      <c r="AC38" s="30"/>
      <c r="AJ38" s="29"/>
      <c r="AL38" s="20">
        <f t="shared" si="0"/>
        <v>0</v>
      </c>
      <c r="AM38" s="20">
        <f>Üldinfo!AQ37</f>
        <v>0</v>
      </c>
      <c r="AN38" s="58" t="e">
        <f t="shared" si="1"/>
        <v>#DIV/0!</v>
      </c>
    </row>
    <row r="39" spans="1:40" x14ac:dyDescent="0.25">
      <c r="A39" s="20">
        <f>Üldinfo!A38</f>
        <v>35</v>
      </c>
      <c r="B39" s="20" t="str">
        <f>Üldinfo!B38</f>
        <v>Naine</v>
      </c>
      <c r="C39" s="20" t="str">
        <f>Üldinfo!C38</f>
        <v>Täiskasvanu</v>
      </c>
      <c r="D39" s="20">
        <f>Üldinfo!D38</f>
        <v>0</v>
      </c>
      <c r="E39" s="30"/>
      <c r="L39" s="29"/>
      <c r="U39" s="30"/>
      <c r="AB39" s="29"/>
      <c r="AC39" s="30"/>
      <c r="AJ39" s="29"/>
      <c r="AL39" s="20">
        <f t="shared" si="0"/>
        <v>0</v>
      </c>
      <c r="AM39" s="20">
        <f>Üldinfo!AQ38</f>
        <v>0</v>
      </c>
      <c r="AN39" s="58" t="e">
        <f t="shared" si="1"/>
        <v>#DIV/0!</v>
      </c>
    </row>
    <row r="40" spans="1:40" x14ac:dyDescent="0.25">
      <c r="A40" s="20">
        <f>Üldinfo!A39</f>
        <v>36</v>
      </c>
      <c r="B40" s="20" t="str">
        <f>Üldinfo!B39</f>
        <v>Mees ?</v>
      </c>
      <c r="C40" s="20" t="str">
        <f>Üldinfo!C39</f>
        <v>40-50 a</v>
      </c>
      <c r="D40" s="20">
        <f>Üldinfo!D39</f>
        <v>0</v>
      </c>
      <c r="E40" s="30"/>
      <c r="L40" s="29"/>
      <c r="U40" s="30"/>
      <c r="AB40" s="29"/>
      <c r="AC40" s="30"/>
      <c r="AJ40" s="29"/>
      <c r="AL40" s="20">
        <f t="shared" si="0"/>
        <v>0</v>
      </c>
      <c r="AM40" s="20">
        <f>Üldinfo!AQ39</f>
        <v>0</v>
      </c>
      <c r="AN40" s="58" t="e">
        <f t="shared" si="1"/>
        <v>#DIV/0!</v>
      </c>
    </row>
    <row r="41" spans="1:40" x14ac:dyDescent="0.25">
      <c r="A41" s="20">
        <f>Üldinfo!A40</f>
        <v>37</v>
      </c>
      <c r="B41" s="20" t="str">
        <f>Üldinfo!B40</f>
        <v>Alaealine</v>
      </c>
      <c r="C41" s="20" t="str">
        <f>Üldinfo!C40</f>
        <v>12-18 a</v>
      </c>
      <c r="D41" s="20">
        <f>Üldinfo!D40</f>
        <v>1</v>
      </c>
      <c r="E41" s="30"/>
      <c r="L41" s="29"/>
      <c r="U41" s="30"/>
      <c r="AB41" s="29"/>
      <c r="AC41" s="30"/>
      <c r="AJ41" s="29"/>
      <c r="AL41" s="20">
        <f t="shared" si="0"/>
        <v>0</v>
      </c>
      <c r="AM41" s="20">
        <f>Üldinfo!AQ40</f>
        <v>14</v>
      </c>
      <c r="AN41" s="58">
        <f t="shared" si="1"/>
        <v>0</v>
      </c>
    </row>
    <row r="42" spans="1:40" x14ac:dyDescent="0.25">
      <c r="A42" s="20">
        <f>Üldinfo!A41</f>
        <v>38</v>
      </c>
      <c r="B42" s="20" t="str">
        <f>Üldinfo!B41</f>
        <v>Naine</v>
      </c>
      <c r="C42" s="20" t="str">
        <f>Üldinfo!C41</f>
        <v>40-50 a</v>
      </c>
      <c r="D42" s="20">
        <f>Üldinfo!D41</f>
        <v>1</v>
      </c>
      <c r="E42" s="30"/>
      <c r="L42" s="29"/>
      <c r="S42" s="28">
        <v>1</v>
      </c>
      <c r="T42" s="28">
        <v>1</v>
      </c>
      <c r="U42" s="30"/>
      <c r="AB42" s="29"/>
      <c r="AC42" s="30"/>
      <c r="AJ42" s="29"/>
      <c r="AL42" s="20">
        <f t="shared" si="0"/>
        <v>2</v>
      </c>
      <c r="AM42" s="20">
        <f>Üldinfo!AQ41</f>
        <v>32</v>
      </c>
      <c r="AN42" s="58">
        <f t="shared" si="1"/>
        <v>6.25E-2</v>
      </c>
    </row>
    <row r="43" spans="1:40" x14ac:dyDescent="0.25">
      <c r="A43" s="20">
        <f>Üldinfo!A42</f>
        <v>39</v>
      </c>
      <c r="B43" s="20" t="str">
        <f>Üldinfo!B42</f>
        <v>Alaealine</v>
      </c>
      <c r="C43" s="20" t="str">
        <f>Üldinfo!C42</f>
        <v>6-11 a</v>
      </c>
      <c r="D43" s="20">
        <f>Üldinfo!D42</f>
        <v>0</v>
      </c>
      <c r="E43" s="30"/>
      <c r="L43" s="29"/>
      <c r="U43" s="30"/>
      <c r="AB43" s="29"/>
      <c r="AC43" s="30"/>
      <c r="AJ43" s="29"/>
      <c r="AL43" s="20">
        <f t="shared" si="0"/>
        <v>0</v>
      </c>
      <c r="AM43" s="20">
        <f>Üldinfo!AQ42</f>
        <v>0</v>
      </c>
      <c r="AN43" s="58" t="e">
        <f t="shared" si="1"/>
        <v>#DIV/0!</v>
      </c>
    </row>
    <row r="44" spans="1:40" x14ac:dyDescent="0.25">
      <c r="A44" s="20">
        <f>Üldinfo!A43</f>
        <v>40</v>
      </c>
      <c r="B44" s="20" t="str">
        <f>Üldinfo!B43</f>
        <v>Mees</v>
      </c>
      <c r="C44" s="20" t="str">
        <f>Üldinfo!C43</f>
        <v>40+ a</v>
      </c>
      <c r="D44" s="20">
        <f>Üldinfo!D43</f>
        <v>0</v>
      </c>
      <c r="E44" s="30"/>
      <c r="L44" s="29"/>
      <c r="U44" s="30"/>
      <c r="AB44" s="29"/>
      <c r="AC44" s="30"/>
      <c r="AJ44" s="29"/>
      <c r="AL44" s="20">
        <f t="shared" si="0"/>
        <v>0</v>
      </c>
      <c r="AM44" s="20">
        <f>Üldinfo!AQ43</f>
        <v>0</v>
      </c>
      <c r="AN44" s="58" t="e">
        <f t="shared" si="1"/>
        <v>#DIV/0!</v>
      </c>
    </row>
    <row r="45" spans="1:40" x14ac:dyDescent="0.25">
      <c r="A45" s="20">
        <f>Üldinfo!A44</f>
        <v>41</v>
      </c>
      <c r="B45" s="20" t="str">
        <f>Üldinfo!B44</f>
        <v>Alaealine</v>
      </c>
      <c r="C45" s="20" t="str">
        <f>Üldinfo!C44</f>
        <v>12-15 a</v>
      </c>
      <c r="D45" s="20">
        <f>Üldinfo!D44</f>
        <v>0</v>
      </c>
      <c r="E45" s="30"/>
      <c r="L45" s="29"/>
      <c r="U45" s="30"/>
      <c r="AB45" s="29"/>
      <c r="AC45" s="30"/>
      <c r="AJ45" s="29"/>
      <c r="AL45" s="20">
        <f t="shared" si="0"/>
        <v>0</v>
      </c>
      <c r="AM45" s="20">
        <f>Üldinfo!AQ44</f>
        <v>0</v>
      </c>
      <c r="AN45" s="58" t="e">
        <f t="shared" si="1"/>
        <v>#DIV/0!</v>
      </c>
    </row>
    <row r="46" spans="1:40" x14ac:dyDescent="0.25">
      <c r="A46" s="20">
        <f>Üldinfo!A45</f>
        <v>42</v>
      </c>
      <c r="B46" s="20" t="str">
        <f>Üldinfo!B45</f>
        <v>Alaealine</v>
      </c>
      <c r="C46" s="20" t="str">
        <f>Üldinfo!C45</f>
        <v>24-32 k</v>
      </c>
      <c r="D46" s="20">
        <f>Üldinfo!D45</f>
        <v>1</v>
      </c>
      <c r="E46" s="30"/>
      <c r="L46" s="29"/>
      <c r="U46" s="30"/>
      <c r="AB46" s="29"/>
      <c r="AC46" s="30"/>
      <c r="AJ46" s="29"/>
      <c r="AL46" s="20">
        <f t="shared" si="0"/>
        <v>0</v>
      </c>
      <c r="AM46" s="20">
        <f>Üldinfo!AQ45</f>
        <v>9</v>
      </c>
      <c r="AN46" s="58">
        <f t="shared" si="1"/>
        <v>0</v>
      </c>
    </row>
    <row r="47" spans="1:40" x14ac:dyDescent="0.25">
      <c r="A47" s="20">
        <f>Üldinfo!A46</f>
        <v>43</v>
      </c>
      <c r="B47" s="20" t="str">
        <f>Üldinfo!B46</f>
        <v>Naine ?</v>
      </c>
      <c r="C47" s="20" t="str">
        <f>Üldinfo!C46</f>
        <v>18-19 a</v>
      </c>
      <c r="D47" s="20">
        <f>Üldinfo!D46</f>
        <v>0</v>
      </c>
      <c r="E47" s="30"/>
      <c r="L47" s="29"/>
      <c r="U47" s="30"/>
      <c r="AB47" s="29"/>
      <c r="AC47" s="30"/>
      <c r="AJ47" s="29"/>
      <c r="AL47" s="20">
        <f t="shared" si="0"/>
        <v>0</v>
      </c>
      <c r="AM47" s="20">
        <f>Üldinfo!AQ46</f>
        <v>0</v>
      </c>
      <c r="AN47" s="58" t="e">
        <f t="shared" si="1"/>
        <v>#DIV/0!</v>
      </c>
    </row>
    <row r="48" spans="1:40" x14ac:dyDescent="0.25">
      <c r="A48" s="20">
        <f>Üldinfo!A47</f>
        <v>44</v>
      </c>
      <c r="B48" s="20" t="str">
        <f>Üldinfo!B47</f>
        <v>Mees</v>
      </c>
      <c r="C48" s="20" t="str">
        <f>Üldinfo!C47</f>
        <v>40+ a</v>
      </c>
      <c r="D48" s="20">
        <f>Üldinfo!D47</f>
        <v>0</v>
      </c>
      <c r="E48" s="30"/>
      <c r="L48" s="29"/>
      <c r="U48" s="30"/>
      <c r="AB48" s="29"/>
      <c r="AC48" s="30"/>
      <c r="AJ48" s="29"/>
      <c r="AL48" s="20">
        <f t="shared" si="0"/>
        <v>0</v>
      </c>
      <c r="AM48" s="20">
        <f>Üldinfo!AQ47</f>
        <v>0</v>
      </c>
      <c r="AN48" s="58" t="e">
        <f t="shared" si="1"/>
        <v>#DIV/0!</v>
      </c>
    </row>
    <row r="49" spans="1:40" x14ac:dyDescent="0.25">
      <c r="A49" s="20">
        <f>Üldinfo!A48</f>
        <v>45</v>
      </c>
      <c r="B49" s="20" t="str">
        <f>Üldinfo!B48</f>
        <v>Mees</v>
      </c>
      <c r="C49" s="20" t="str">
        <f>Üldinfo!C48</f>
        <v>40+ a</v>
      </c>
      <c r="D49" s="20">
        <f>Üldinfo!D48</f>
        <v>0</v>
      </c>
      <c r="E49" s="30"/>
      <c r="L49" s="29"/>
      <c r="U49" s="30"/>
      <c r="AB49" s="29"/>
      <c r="AC49" s="30"/>
      <c r="AJ49" s="29"/>
      <c r="AL49" s="20">
        <f t="shared" si="0"/>
        <v>0</v>
      </c>
      <c r="AM49" s="20">
        <f>Üldinfo!AQ48</f>
        <v>0</v>
      </c>
      <c r="AN49" s="58" t="e">
        <f t="shared" si="1"/>
        <v>#DIV/0!</v>
      </c>
    </row>
    <row r="50" spans="1:40" x14ac:dyDescent="0.25">
      <c r="A50" s="20">
        <f>Üldinfo!A49</f>
        <v>46</v>
      </c>
      <c r="B50" s="20" t="str">
        <f>Üldinfo!B49</f>
        <v>Täiskasvanu</v>
      </c>
      <c r="C50" s="20" t="str">
        <f>Üldinfo!C49</f>
        <v>Täiskasvanu</v>
      </c>
      <c r="D50" s="20">
        <f>Üldinfo!D49</f>
        <v>0</v>
      </c>
      <c r="E50" s="30"/>
      <c r="L50" s="29"/>
      <c r="M50" s="30"/>
      <c r="T50" s="29"/>
      <c r="U50" s="30"/>
      <c r="AB50" s="29"/>
      <c r="AC50" s="30"/>
      <c r="AJ50" s="29"/>
      <c r="AL50" s="20">
        <f t="shared" si="0"/>
        <v>0</v>
      </c>
      <c r="AM50" s="20">
        <f>Üldinfo!AQ49</f>
        <v>0</v>
      </c>
      <c r="AN50" s="58" t="e">
        <f t="shared" si="1"/>
        <v>#DIV/0!</v>
      </c>
    </row>
    <row r="51" spans="1:40" x14ac:dyDescent="0.25">
      <c r="A51" s="20">
        <f>Üldinfo!A50</f>
        <v>47</v>
      </c>
      <c r="B51" s="20" t="str">
        <f>Üldinfo!B50</f>
        <v>Mees</v>
      </c>
      <c r="C51" s="20" t="str">
        <f>Üldinfo!C50</f>
        <v>40+ a</v>
      </c>
      <c r="D51" s="20">
        <f>Üldinfo!D50</f>
        <v>0</v>
      </c>
      <c r="L51" s="29"/>
      <c r="M51" s="30"/>
      <c r="T51" s="29"/>
      <c r="U51" s="30"/>
      <c r="AB51" s="29"/>
      <c r="AC51" s="30"/>
      <c r="AJ51" s="29"/>
      <c r="AL51" s="20">
        <f t="shared" si="0"/>
        <v>0</v>
      </c>
      <c r="AM51" s="20">
        <f>Üldinfo!AQ50</f>
        <v>0</v>
      </c>
      <c r="AN51" s="58" t="e">
        <f t="shared" si="1"/>
        <v>#DIV/0!</v>
      </c>
    </row>
    <row r="52" spans="1:40" x14ac:dyDescent="0.25">
      <c r="A52" s="20">
        <f>Üldinfo!A51</f>
        <v>48</v>
      </c>
      <c r="B52" s="20" t="str">
        <f>Üldinfo!B51</f>
        <v>Alaealine</v>
      </c>
      <c r="C52" s="20" t="str">
        <f>Üldinfo!C51</f>
        <v>2-5 a</v>
      </c>
      <c r="D52" s="20">
        <f>Üldinfo!D51</f>
        <v>0</v>
      </c>
      <c r="L52" s="29"/>
      <c r="M52" s="30"/>
      <c r="T52" s="29"/>
      <c r="U52" s="30"/>
      <c r="AB52" s="29"/>
      <c r="AC52" s="30"/>
      <c r="AJ52" s="29"/>
      <c r="AL52" s="20">
        <f t="shared" si="0"/>
        <v>0</v>
      </c>
      <c r="AM52" s="20">
        <f>Üldinfo!AQ51</f>
        <v>0</v>
      </c>
      <c r="AN52" s="58" t="e">
        <f t="shared" si="1"/>
        <v>#DIV/0!</v>
      </c>
    </row>
    <row r="53" spans="1:40" x14ac:dyDescent="0.25">
      <c r="A53" s="20">
        <f>Üldinfo!A52</f>
        <v>49</v>
      </c>
      <c r="B53" s="20" t="str">
        <f>Üldinfo!B52</f>
        <v>Alaealine</v>
      </c>
      <c r="C53" s="20" t="str">
        <f>Üldinfo!C52</f>
        <v>12-15 a</v>
      </c>
      <c r="D53" s="20">
        <f>Üldinfo!D52</f>
        <v>1</v>
      </c>
      <c r="L53" s="29"/>
      <c r="M53" s="30"/>
      <c r="T53" s="29"/>
      <c r="U53" s="30"/>
      <c r="AB53" s="29"/>
      <c r="AC53" s="30"/>
      <c r="AJ53" s="29"/>
      <c r="AL53" s="20">
        <f t="shared" si="0"/>
        <v>0</v>
      </c>
      <c r="AM53" s="20">
        <f>Üldinfo!AQ52</f>
        <v>7</v>
      </c>
      <c r="AN53" s="58">
        <f t="shared" si="1"/>
        <v>0</v>
      </c>
    </row>
    <row r="54" spans="1:40" x14ac:dyDescent="0.25">
      <c r="A54" s="20">
        <f>Üldinfo!A53</f>
        <v>50</v>
      </c>
      <c r="B54" s="20" t="str">
        <f>Üldinfo!B53</f>
        <v>Mees</v>
      </c>
      <c r="C54" s="20" t="str">
        <f>Üldinfo!C53</f>
        <v>40+ a</v>
      </c>
      <c r="D54" s="20">
        <f>Üldinfo!D53</f>
        <v>1</v>
      </c>
      <c r="G54" s="28">
        <v>1</v>
      </c>
      <c r="H54" s="28">
        <v>1</v>
      </c>
      <c r="I54" s="28">
        <v>1</v>
      </c>
      <c r="L54" s="29"/>
      <c r="M54" s="30"/>
      <c r="P54" s="28">
        <v>1</v>
      </c>
      <c r="Q54" s="28">
        <v>1</v>
      </c>
      <c r="R54" s="28">
        <v>1</v>
      </c>
      <c r="T54" s="29"/>
      <c r="U54" s="30"/>
      <c r="W54" s="28">
        <v>1</v>
      </c>
      <c r="AB54" s="29"/>
      <c r="AC54" s="30">
        <v>1</v>
      </c>
      <c r="AJ54" s="29"/>
      <c r="AL54" s="20">
        <f t="shared" si="0"/>
        <v>8</v>
      </c>
      <c r="AM54" s="20">
        <f>Üldinfo!AQ53</f>
        <v>28</v>
      </c>
      <c r="AN54" s="58">
        <f t="shared" si="1"/>
        <v>0.2857142857142857</v>
      </c>
    </row>
    <row r="55" spans="1:40" x14ac:dyDescent="0.25">
      <c r="A55" s="20">
        <f>Üldinfo!A54</f>
        <v>51</v>
      </c>
      <c r="B55" s="20" t="str">
        <f>Üldinfo!B54</f>
        <v>Naine</v>
      </c>
      <c r="C55" s="20" t="str">
        <f>Üldinfo!C54</f>
        <v>40+ a</v>
      </c>
      <c r="D55" s="20">
        <f>Üldinfo!D54</f>
        <v>0</v>
      </c>
      <c r="L55" s="29"/>
      <c r="M55" s="30"/>
      <c r="T55" s="29"/>
      <c r="U55" s="30"/>
      <c r="AB55" s="29"/>
      <c r="AC55" s="30"/>
      <c r="AJ55" s="29"/>
      <c r="AL55" s="20">
        <f t="shared" si="0"/>
        <v>0</v>
      </c>
      <c r="AM55" s="20">
        <f>Üldinfo!AQ54</f>
        <v>0</v>
      </c>
      <c r="AN55" s="58" t="e">
        <f t="shared" si="1"/>
        <v>#DIV/0!</v>
      </c>
    </row>
    <row r="56" spans="1:40" x14ac:dyDescent="0.25">
      <c r="A56" s="20">
        <f>Üldinfo!A55</f>
        <v>52</v>
      </c>
      <c r="B56" s="20" t="str">
        <f>Üldinfo!B55</f>
        <v>Naine</v>
      </c>
      <c r="C56" s="20" t="str">
        <f>Üldinfo!C55</f>
        <v>17-25 a</v>
      </c>
      <c r="D56" s="20">
        <f>Üldinfo!D55</f>
        <v>1</v>
      </c>
      <c r="L56" s="29"/>
      <c r="M56" s="30"/>
      <c r="T56" s="29"/>
      <c r="U56" s="30"/>
      <c r="AB56" s="29"/>
      <c r="AC56" s="30"/>
      <c r="AJ56" s="29"/>
      <c r="AL56" s="20">
        <f t="shared" si="0"/>
        <v>0</v>
      </c>
      <c r="AM56" s="20">
        <f>Üldinfo!AQ55</f>
        <v>28</v>
      </c>
      <c r="AN56" s="58">
        <f t="shared" si="1"/>
        <v>0</v>
      </c>
    </row>
    <row r="57" spans="1:40" x14ac:dyDescent="0.25">
      <c r="A57" s="20">
        <f>Üldinfo!A56</f>
        <v>53</v>
      </c>
      <c r="B57" s="20" t="str">
        <f>Üldinfo!B56</f>
        <v>Täiskasvanu</v>
      </c>
      <c r="C57" s="20" t="str">
        <f>Üldinfo!C56</f>
        <v>Täiskasvanu</v>
      </c>
      <c r="D57" s="20">
        <f>Üldinfo!D56</f>
        <v>0</v>
      </c>
      <c r="L57" s="29"/>
      <c r="M57" s="30"/>
      <c r="T57" s="29"/>
      <c r="U57" s="30"/>
      <c r="AB57" s="29"/>
      <c r="AC57" s="30"/>
      <c r="AJ57" s="29"/>
      <c r="AL57" s="20">
        <f t="shared" si="0"/>
        <v>0</v>
      </c>
      <c r="AM57" s="20">
        <f>Üldinfo!AQ56</f>
        <v>0</v>
      </c>
      <c r="AN57" s="58" t="e">
        <f t="shared" si="1"/>
        <v>#DIV/0!</v>
      </c>
    </row>
    <row r="58" spans="1:40" x14ac:dyDescent="0.25">
      <c r="A58" s="20">
        <f>Üldinfo!A57</f>
        <v>54</v>
      </c>
      <c r="B58" s="20" t="str">
        <f>Üldinfo!B57</f>
        <v>Täiskasvanu</v>
      </c>
      <c r="C58" s="20" t="str">
        <f>Üldinfo!C57</f>
        <v>Täiskasvanu</v>
      </c>
      <c r="D58" s="20">
        <f>Üldinfo!D57</f>
        <v>0</v>
      </c>
      <c r="L58" s="29"/>
      <c r="M58" s="30"/>
      <c r="T58" s="29"/>
      <c r="U58" s="30"/>
      <c r="AB58" s="29"/>
      <c r="AC58" s="30"/>
      <c r="AJ58" s="29"/>
      <c r="AL58" s="20">
        <f t="shared" si="0"/>
        <v>0</v>
      </c>
      <c r="AM58" s="20">
        <f>Üldinfo!AQ57</f>
        <v>0</v>
      </c>
      <c r="AN58" s="58" t="e">
        <f t="shared" si="1"/>
        <v>#DIV/0!</v>
      </c>
    </row>
    <row r="59" spans="1:40" x14ac:dyDescent="0.25">
      <c r="A59" s="20">
        <f>Üldinfo!A58</f>
        <v>55</v>
      </c>
      <c r="B59" s="20" t="str">
        <f>Üldinfo!B58</f>
        <v>Naine</v>
      </c>
      <c r="C59" s="20" t="str">
        <f>Üldinfo!C58</f>
        <v>18-19 a</v>
      </c>
      <c r="D59" s="20">
        <f>Üldinfo!D58</f>
        <v>1</v>
      </c>
      <c r="L59" s="29"/>
      <c r="M59" s="30"/>
      <c r="T59" s="29"/>
      <c r="U59" s="30"/>
      <c r="AB59" s="29"/>
      <c r="AC59" s="30"/>
      <c r="AJ59" s="29"/>
      <c r="AL59" s="20">
        <f t="shared" si="0"/>
        <v>0</v>
      </c>
      <c r="AM59" s="20">
        <f>Üldinfo!AQ58</f>
        <v>8</v>
      </c>
      <c r="AN59" s="58">
        <f t="shared" si="1"/>
        <v>0</v>
      </c>
    </row>
    <row r="60" spans="1:40" x14ac:dyDescent="0.25">
      <c r="A60" s="20">
        <f>Üldinfo!A59</f>
        <v>56</v>
      </c>
      <c r="B60" s="20" t="str">
        <f>Üldinfo!B59</f>
        <v>Naine</v>
      </c>
      <c r="C60" s="20" t="str">
        <f>Üldinfo!C59</f>
        <v>40+ a</v>
      </c>
      <c r="D60" s="20">
        <f>Üldinfo!D59</f>
        <v>0</v>
      </c>
      <c r="L60" s="29"/>
      <c r="M60" s="30"/>
      <c r="T60" s="29"/>
      <c r="U60" s="30"/>
      <c r="AB60" s="29"/>
      <c r="AC60" s="30"/>
      <c r="AJ60" s="29"/>
      <c r="AL60" s="20">
        <f t="shared" si="0"/>
        <v>0</v>
      </c>
      <c r="AM60" s="20">
        <f>Üldinfo!AQ59</f>
        <v>0</v>
      </c>
      <c r="AN60" s="58" t="e">
        <f t="shared" si="1"/>
        <v>#DIV/0!</v>
      </c>
    </row>
    <row r="61" spans="1:40" x14ac:dyDescent="0.25">
      <c r="A61" s="20">
        <f>Üldinfo!A60</f>
        <v>57</v>
      </c>
      <c r="B61" s="20" t="str">
        <f>Üldinfo!B60</f>
        <v>Alaealine</v>
      </c>
      <c r="C61" s="20" t="str">
        <f>Üldinfo!C60</f>
        <v>7-11 a</v>
      </c>
      <c r="D61" s="20">
        <f>Üldinfo!D60</f>
        <v>1</v>
      </c>
      <c r="L61" s="29"/>
      <c r="M61" s="30"/>
      <c r="T61" s="29"/>
      <c r="U61" s="30"/>
      <c r="AB61" s="29"/>
      <c r="AC61" s="30"/>
      <c r="AJ61" s="29"/>
      <c r="AL61" s="20">
        <f t="shared" si="0"/>
        <v>0</v>
      </c>
      <c r="AM61" s="20">
        <f>Üldinfo!AQ60</f>
        <v>13</v>
      </c>
      <c r="AN61" s="58">
        <f t="shared" si="1"/>
        <v>0</v>
      </c>
    </row>
    <row r="62" spans="1:40" x14ac:dyDescent="0.25">
      <c r="A62" s="20">
        <f>Üldinfo!A61</f>
        <v>58</v>
      </c>
      <c r="B62" s="20" t="str">
        <f>Üldinfo!B61</f>
        <v>Alaealine</v>
      </c>
      <c r="C62" s="20" t="str">
        <f>Üldinfo!C61</f>
        <v>1 a ± 4 k</v>
      </c>
      <c r="D62" s="20">
        <f>Üldinfo!D61</f>
        <v>1</v>
      </c>
      <c r="L62" s="29"/>
      <c r="M62" s="30"/>
      <c r="T62" s="29"/>
      <c r="U62" s="30"/>
      <c r="AB62" s="29"/>
      <c r="AC62" s="30"/>
      <c r="AJ62" s="29"/>
      <c r="AL62" s="20">
        <f t="shared" si="0"/>
        <v>0</v>
      </c>
      <c r="AM62" s="20">
        <f>Üldinfo!AQ61</f>
        <v>0</v>
      </c>
      <c r="AN62" s="58" t="e">
        <f t="shared" si="1"/>
        <v>#DIV/0!</v>
      </c>
    </row>
    <row r="63" spans="1:40" x14ac:dyDescent="0.25">
      <c r="A63" s="20">
        <f>Üldinfo!A62</f>
        <v>59</v>
      </c>
      <c r="B63" s="20" t="str">
        <f>Üldinfo!B62</f>
        <v>Mees</v>
      </c>
      <c r="C63" s="20" t="str">
        <f>Üldinfo!C62</f>
        <v>17-22 a</v>
      </c>
      <c r="D63" s="20">
        <f>Üldinfo!D62</f>
        <v>1</v>
      </c>
      <c r="L63" s="29"/>
      <c r="M63" s="30"/>
      <c r="T63" s="29"/>
      <c r="U63" s="30"/>
      <c r="AB63" s="29"/>
      <c r="AC63" s="30"/>
      <c r="AJ63" s="29"/>
      <c r="AL63" s="20">
        <f t="shared" si="0"/>
        <v>0</v>
      </c>
      <c r="AM63" s="20">
        <f>Üldinfo!AQ62</f>
        <v>32</v>
      </c>
      <c r="AN63" s="58">
        <f t="shared" si="1"/>
        <v>0</v>
      </c>
    </row>
    <row r="64" spans="1:40" x14ac:dyDescent="0.25">
      <c r="A64" s="20">
        <f>Üldinfo!A63</f>
        <v>60</v>
      </c>
      <c r="B64" s="20" t="str">
        <f>Üldinfo!B63</f>
        <v>Täiskasvanu</v>
      </c>
      <c r="C64" s="20" t="str">
        <f>Üldinfo!C63</f>
        <v>Täiskasvanu</v>
      </c>
      <c r="D64" s="20">
        <f>Üldinfo!D63</f>
        <v>0</v>
      </c>
      <c r="L64" s="29"/>
      <c r="M64" s="30"/>
      <c r="T64" s="29"/>
      <c r="U64" s="30"/>
      <c r="AB64" s="29"/>
      <c r="AC64" s="30"/>
      <c r="AJ64" s="29"/>
      <c r="AL64" s="20">
        <f t="shared" si="0"/>
        <v>0</v>
      </c>
      <c r="AM64" s="20">
        <f>Üldinfo!AQ63</f>
        <v>0</v>
      </c>
      <c r="AN64" s="58" t="e">
        <f t="shared" si="1"/>
        <v>#DIV/0!</v>
      </c>
    </row>
    <row r="65" spans="1:40" x14ac:dyDescent="0.25">
      <c r="A65" s="20">
        <f>Üldinfo!A64</f>
        <v>61</v>
      </c>
      <c r="B65" s="20" t="str">
        <f>Üldinfo!B64</f>
        <v>Mees</v>
      </c>
      <c r="C65" s="20" t="str">
        <f>Üldinfo!C64</f>
        <v>50+ a</v>
      </c>
      <c r="D65" s="20">
        <f>Üldinfo!D64</f>
        <v>1</v>
      </c>
      <c r="L65" s="29"/>
      <c r="M65" s="30"/>
      <c r="T65" s="29"/>
      <c r="U65" s="30"/>
      <c r="V65" s="28">
        <v>1</v>
      </c>
      <c r="W65" s="28">
        <v>1</v>
      </c>
      <c r="AB65" s="29"/>
      <c r="AC65" s="30">
        <v>1</v>
      </c>
      <c r="AH65" s="28">
        <v>1</v>
      </c>
      <c r="AI65" s="28">
        <v>1</v>
      </c>
      <c r="AJ65" s="29"/>
      <c r="AL65" s="20">
        <f t="shared" si="0"/>
        <v>5</v>
      </c>
      <c r="AM65" s="20">
        <f>Üldinfo!AQ64</f>
        <v>15</v>
      </c>
      <c r="AN65" s="58">
        <f t="shared" si="1"/>
        <v>0.33333333333333331</v>
      </c>
    </row>
    <row r="66" spans="1:40" x14ac:dyDescent="0.25">
      <c r="A66" s="20">
        <f>Üldinfo!A65</f>
        <v>62</v>
      </c>
      <c r="B66" s="20" t="str">
        <f>Üldinfo!B65</f>
        <v>Mees</v>
      </c>
      <c r="C66" s="20" t="str">
        <f>Üldinfo!C65</f>
        <v>Täiskasvanu</v>
      </c>
      <c r="D66" s="20">
        <f>Üldinfo!D65</f>
        <v>0</v>
      </c>
      <c r="L66" s="29"/>
      <c r="M66" s="30"/>
      <c r="T66" s="29"/>
      <c r="U66" s="30"/>
      <c r="AB66" s="29"/>
      <c r="AC66" s="30"/>
      <c r="AJ66" s="29"/>
      <c r="AL66" s="20">
        <f t="shared" si="0"/>
        <v>0</v>
      </c>
      <c r="AM66" s="20">
        <f>Üldinfo!AQ65</f>
        <v>0</v>
      </c>
      <c r="AN66" s="58" t="e">
        <f t="shared" si="1"/>
        <v>#DIV/0!</v>
      </c>
    </row>
    <row r="67" spans="1:40" x14ac:dyDescent="0.25">
      <c r="A67" s="20">
        <f>Üldinfo!A66</f>
        <v>63</v>
      </c>
      <c r="B67" s="20" t="str">
        <f>Üldinfo!B66</f>
        <v>Mees</v>
      </c>
      <c r="C67" s="20" t="str">
        <f>Üldinfo!C66</f>
        <v>Täiskasvanu</v>
      </c>
      <c r="D67" s="20">
        <f>Üldinfo!D66</f>
        <v>0</v>
      </c>
      <c r="L67" s="29"/>
      <c r="M67" s="30"/>
      <c r="T67" s="29"/>
      <c r="U67" s="30"/>
      <c r="AB67" s="29"/>
      <c r="AC67" s="30"/>
      <c r="AJ67" s="29"/>
      <c r="AL67" s="20">
        <f t="shared" si="0"/>
        <v>0</v>
      </c>
      <c r="AM67" s="20">
        <f>Üldinfo!AQ66</f>
        <v>0</v>
      </c>
      <c r="AN67" s="58" t="e">
        <f t="shared" si="1"/>
        <v>#DIV/0!</v>
      </c>
    </row>
    <row r="68" spans="1:40" x14ac:dyDescent="0.25">
      <c r="A68" s="20">
        <f>Üldinfo!A67</f>
        <v>64</v>
      </c>
      <c r="B68" s="20" t="str">
        <f>Üldinfo!B67</f>
        <v>Mees</v>
      </c>
      <c r="C68" s="20" t="str">
        <f>Üldinfo!C67</f>
        <v>Täiskasvanu</v>
      </c>
      <c r="D68" s="20">
        <f>Üldinfo!D67</f>
        <v>0</v>
      </c>
      <c r="L68" s="29"/>
      <c r="M68" s="30"/>
      <c r="T68" s="29"/>
      <c r="U68" s="30"/>
      <c r="AB68" s="29"/>
      <c r="AC68" s="30"/>
      <c r="AJ68" s="29"/>
      <c r="AL68" s="20">
        <f t="shared" si="0"/>
        <v>0</v>
      </c>
      <c r="AM68" s="20">
        <f>Üldinfo!AQ67</f>
        <v>0</v>
      </c>
      <c r="AN68" s="58" t="e">
        <f t="shared" si="1"/>
        <v>#DIV/0!</v>
      </c>
    </row>
    <row r="69" spans="1:40" x14ac:dyDescent="0.25">
      <c r="A69" s="20">
        <f>Üldinfo!A68</f>
        <v>65</v>
      </c>
      <c r="B69" s="20" t="str">
        <f>Üldinfo!B68</f>
        <v>Mees</v>
      </c>
      <c r="C69" s="20" t="str">
        <f>Üldinfo!C68</f>
        <v>39-44 a</v>
      </c>
      <c r="D69" s="20">
        <f>Üldinfo!D68</f>
        <v>0</v>
      </c>
      <c r="L69" s="29"/>
      <c r="M69" s="30"/>
      <c r="T69" s="29"/>
      <c r="U69" s="30"/>
      <c r="AB69" s="29"/>
      <c r="AC69" s="30"/>
      <c r="AJ69" s="29"/>
      <c r="AL69" s="20">
        <f t="shared" si="0"/>
        <v>0</v>
      </c>
      <c r="AM69" s="20">
        <f>Üldinfo!AQ68</f>
        <v>0</v>
      </c>
      <c r="AN69" s="58" t="e">
        <f t="shared" si="1"/>
        <v>#DIV/0!</v>
      </c>
    </row>
    <row r="70" spans="1:40" x14ac:dyDescent="0.25">
      <c r="A70" s="20">
        <f>Üldinfo!A69</f>
        <v>66</v>
      </c>
      <c r="B70" s="20" t="str">
        <f>Üldinfo!B69</f>
        <v>Täiskasvanu</v>
      </c>
      <c r="C70" s="20" t="str">
        <f>Üldinfo!C69</f>
        <v>Täiskasvanu</v>
      </c>
      <c r="D70" s="20">
        <f>Üldinfo!D69</f>
        <v>0</v>
      </c>
      <c r="L70" s="29"/>
      <c r="M70" s="30"/>
      <c r="T70" s="29"/>
      <c r="U70" s="30"/>
      <c r="AB70" s="29"/>
      <c r="AC70" s="30"/>
      <c r="AJ70" s="29"/>
      <c r="AL70" s="20">
        <f t="shared" si="0"/>
        <v>0</v>
      </c>
      <c r="AM70" s="20">
        <f>Üldinfo!AQ69</f>
        <v>0</v>
      </c>
      <c r="AN70" s="58" t="e">
        <f t="shared" si="1"/>
        <v>#DIV/0!</v>
      </c>
    </row>
    <row r="71" spans="1:40" x14ac:dyDescent="0.25">
      <c r="A71" s="20">
        <f>Üldinfo!A70</f>
        <v>67</v>
      </c>
      <c r="B71" s="20" t="str">
        <f>Üldinfo!B70</f>
        <v>Alaealine</v>
      </c>
      <c r="C71" s="20" t="str">
        <f>Üldinfo!C70</f>
        <v>7-11 a</v>
      </c>
      <c r="D71" s="20">
        <f>Üldinfo!D70</f>
        <v>1</v>
      </c>
      <c r="L71" s="29"/>
      <c r="M71" s="30"/>
      <c r="T71" s="29"/>
      <c r="U71" s="30"/>
      <c r="AB71" s="29"/>
      <c r="AC71" s="30"/>
      <c r="AJ71" s="29"/>
      <c r="AL71" s="20">
        <f t="shared" si="0"/>
        <v>0</v>
      </c>
      <c r="AM71" s="20">
        <f>Üldinfo!AQ70</f>
        <v>5</v>
      </c>
      <c r="AN71" s="58">
        <f t="shared" si="1"/>
        <v>0</v>
      </c>
    </row>
    <row r="72" spans="1:40" x14ac:dyDescent="0.25">
      <c r="A72" s="20">
        <f>Üldinfo!A71</f>
        <v>68</v>
      </c>
      <c r="B72" s="20" t="str">
        <f>Üldinfo!B71</f>
        <v>Naine</v>
      </c>
      <c r="C72" s="20" t="str">
        <f>Üldinfo!C71</f>
        <v>40+ a</v>
      </c>
      <c r="D72" s="20">
        <f>Üldinfo!D71</f>
        <v>0</v>
      </c>
      <c r="L72" s="29"/>
      <c r="M72" s="30"/>
      <c r="T72" s="29"/>
      <c r="U72" s="30"/>
      <c r="AB72" s="29"/>
      <c r="AC72" s="30"/>
      <c r="AJ72" s="29"/>
      <c r="AL72" s="20">
        <f t="shared" si="0"/>
        <v>0</v>
      </c>
      <c r="AM72" s="20">
        <f>Üldinfo!AQ71</f>
        <v>0</v>
      </c>
      <c r="AN72" s="58" t="e">
        <f t="shared" si="1"/>
        <v>#DIV/0!</v>
      </c>
    </row>
    <row r="73" spans="1:40" x14ac:dyDescent="0.25">
      <c r="A73" s="20">
        <f>Üldinfo!A72</f>
        <v>69</v>
      </c>
      <c r="B73" s="20" t="str">
        <f>Üldinfo!B72</f>
        <v>Mees</v>
      </c>
      <c r="C73" s="20" t="str">
        <f>Üldinfo!C72</f>
        <v>25-40 a</v>
      </c>
      <c r="D73" s="20">
        <f>Üldinfo!D72</f>
        <v>0</v>
      </c>
      <c r="L73" s="29"/>
      <c r="M73" s="30"/>
      <c r="T73" s="29"/>
      <c r="U73" s="30"/>
      <c r="AB73" s="29"/>
      <c r="AC73" s="30"/>
      <c r="AJ73" s="29"/>
      <c r="AL73" s="20">
        <f t="shared" si="0"/>
        <v>0</v>
      </c>
      <c r="AM73" s="20">
        <f>Üldinfo!AQ72</f>
        <v>0</v>
      </c>
      <c r="AN73" s="58" t="e">
        <f t="shared" si="1"/>
        <v>#DIV/0!</v>
      </c>
    </row>
    <row r="74" spans="1:40" x14ac:dyDescent="0.25">
      <c r="D74" s="31" t="s">
        <v>81</v>
      </c>
      <c r="E74" s="62">
        <f>SUM(E4:E73)</f>
        <v>8</v>
      </c>
      <c r="F74" s="62">
        <f t="shared" ref="F74:AJ74" si="2">SUM(F35:F73)</f>
        <v>0</v>
      </c>
      <c r="G74" s="62">
        <f t="shared" si="2"/>
        <v>1</v>
      </c>
      <c r="H74" s="62">
        <f t="shared" si="2"/>
        <v>1</v>
      </c>
      <c r="I74" s="62">
        <f t="shared" si="2"/>
        <v>1</v>
      </c>
      <c r="J74" s="62">
        <f t="shared" si="2"/>
        <v>0</v>
      </c>
      <c r="K74" s="62">
        <f t="shared" si="2"/>
        <v>0</v>
      </c>
      <c r="L74" s="66">
        <f t="shared" si="2"/>
        <v>0</v>
      </c>
      <c r="M74" s="62">
        <f t="shared" si="2"/>
        <v>0</v>
      </c>
      <c r="N74" s="62">
        <f t="shared" si="2"/>
        <v>0</v>
      </c>
      <c r="O74" s="62">
        <f t="shared" si="2"/>
        <v>0</v>
      </c>
      <c r="P74" s="62">
        <f t="shared" si="2"/>
        <v>1</v>
      </c>
      <c r="Q74" s="62">
        <f t="shared" si="2"/>
        <v>1</v>
      </c>
      <c r="R74" s="62">
        <f t="shared" si="2"/>
        <v>1</v>
      </c>
      <c r="S74" s="62">
        <f t="shared" si="2"/>
        <v>1</v>
      </c>
      <c r="T74" s="66">
        <f t="shared" si="2"/>
        <v>1</v>
      </c>
      <c r="U74" s="62">
        <f t="shared" si="2"/>
        <v>0</v>
      </c>
      <c r="V74" s="62">
        <f t="shared" si="2"/>
        <v>1</v>
      </c>
      <c r="W74" s="62">
        <f t="shared" si="2"/>
        <v>2</v>
      </c>
      <c r="X74" s="62">
        <f t="shared" si="2"/>
        <v>0</v>
      </c>
      <c r="Y74" s="62">
        <f t="shared" si="2"/>
        <v>0</v>
      </c>
      <c r="Z74" s="62">
        <f t="shared" si="2"/>
        <v>0</v>
      </c>
      <c r="AA74" s="62">
        <f t="shared" si="2"/>
        <v>0</v>
      </c>
      <c r="AB74" s="66">
        <f t="shared" si="2"/>
        <v>0</v>
      </c>
      <c r="AC74" s="62">
        <f t="shared" si="2"/>
        <v>2</v>
      </c>
      <c r="AD74" s="62">
        <f t="shared" si="2"/>
        <v>0</v>
      </c>
      <c r="AE74" s="62">
        <f t="shared" si="2"/>
        <v>0</v>
      </c>
      <c r="AF74" s="62">
        <f t="shared" si="2"/>
        <v>0</v>
      </c>
      <c r="AG74" s="62">
        <f t="shared" si="2"/>
        <v>0</v>
      </c>
      <c r="AH74" s="62">
        <f t="shared" si="2"/>
        <v>1</v>
      </c>
      <c r="AI74" s="62">
        <f t="shared" si="2"/>
        <v>1</v>
      </c>
      <c r="AJ74" s="62">
        <f t="shared" si="2"/>
        <v>0</v>
      </c>
      <c r="AK74" s="65">
        <f>SUM(AK5:AK73)</f>
        <v>0</v>
      </c>
      <c r="AL74" s="62">
        <f>SUM(AL4:AL73)</f>
        <v>16</v>
      </c>
      <c r="AM74" s="62">
        <f>SUM(AM4:AM73)</f>
        <v>490</v>
      </c>
      <c r="AN74" s="63">
        <f t="shared" si="1"/>
        <v>3.2653061224489799E-2</v>
      </c>
    </row>
    <row r="75" spans="1:40" x14ac:dyDescent="0.25">
      <c r="D75" s="20" t="s">
        <v>82</v>
      </c>
      <c r="E75" s="28">
        <f>Üldinfo!E77</f>
        <v>8</v>
      </c>
      <c r="F75" s="28">
        <f>Üldinfo!F77</f>
        <v>10</v>
      </c>
      <c r="G75" s="28">
        <f>Üldinfo!G77</f>
        <v>14</v>
      </c>
      <c r="H75" s="28">
        <f>Üldinfo!H77</f>
        <v>14</v>
      </c>
      <c r="I75" s="28">
        <f>Üldinfo!I77</f>
        <v>15</v>
      </c>
      <c r="J75" s="28">
        <f>Üldinfo!J77</f>
        <v>17</v>
      </c>
      <c r="K75" s="28">
        <f>Üldinfo!K77</f>
        <v>17</v>
      </c>
      <c r="L75" s="29">
        <f>Üldinfo!L77</f>
        <v>15</v>
      </c>
      <c r="M75" s="28">
        <f>Üldinfo!M77</f>
        <v>18</v>
      </c>
      <c r="N75" s="28">
        <f>Üldinfo!N77</f>
        <v>19</v>
      </c>
      <c r="O75" s="28">
        <f>Üldinfo!O77</f>
        <v>19</v>
      </c>
      <c r="P75" s="28">
        <f>Üldinfo!P77</f>
        <v>17</v>
      </c>
      <c r="Q75" s="28">
        <f>Üldinfo!Q77</f>
        <v>16</v>
      </c>
      <c r="R75" s="28">
        <f>Üldinfo!R77</f>
        <v>17</v>
      </c>
      <c r="S75" s="28">
        <f>Üldinfo!S77</f>
        <v>12</v>
      </c>
      <c r="T75" s="29">
        <f>Üldinfo!T77</f>
        <v>11</v>
      </c>
      <c r="U75" s="28">
        <f>Üldinfo!U77</f>
        <v>10</v>
      </c>
      <c r="V75" s="28">
        <f>Üldinfo!V77</f>
        <v>14</v>
      </c>
      <c r="W75" s="28">
        <f>Üldinfo!W77</f>
        <v>18</v>
      </c>
      <c r="X75" s="28">
        <f>Üldinfo!X77</f>
        <v>18</v>
      </c>
      <c r="Y75" s="28">
        <f>Üldinfo!Y77</f>
        <v>18</v>
      </c>
      <c r="Z75" s="28">
        <f>Üldinfo!Z77</f>
        <v>19</v>
      </c>
      <c r="AA75" s="28">
        <f>Üldinfo!AA77</f>
        <v>19</v>
      </c>
      <c r="AB75" s="29">
        <f>Üldinfo!AB77</f>
        <v>20</v>
      </c>
      <c r="AC75" s="28">
        <f>Üldinfo!AC77</f>
        <v>22</v>
      </c>
      <c r="AD75" s="28">
        <f>Üldinfo!AD77</f>
        <v>22</v>
      </c>
      <c r="AE75" s="28">
        <f>Üldinfo!AE77</f>
        <v>22</v>
      </c>
      <c r="AF75" s="28">
        <f>Üldinfo!AF77</f>
        <v>20</v>
      </c>
      <c r="AG75" s="28">
        <f>Üldinfo!AG77</f>
        <v>21</v>
      </c>
      <c r="AH75" s="28">
        <f>Üldinfo!AH77</f>
        <v>21</v>
      </c>
      <c r="AI75" s="28">
        <f>Üldinfo!AI77</f>
        <v>17</v>
      </c>
      <c r="AJ75" s="29">
        <f>Üldinfo!AJ77</f>
        <v>12</v>
      </c>
      <c r="AK75" s="65">
        <f>SUM(E75:AJ75)</f>
        <v>532</v>
      </c>
    </row>
    <row r="76" spans="1:40" x14ac:dyDescent="0.25">
      <c r="D76" s="20" t="s">
        <v>60</v>
      </c>
      <c r="E76" s="28">
        <f t="shared" ref="E76:AJ76" si="3">E74/E75*100</f>
        <v>100</v>
      </c>
      <c r="F76" s="28">
        <f t="shared" si="3"/>
        <v>0</v>
      </c>
      <c r="G76" s="28">
        <f t="shared" si="3"/>
        <v>7.1428571428571423</v>
      </c>
      <c r="H76" s="64">
        <f t="shared" si="3"/>
        <v>7.1428571428571423</v>
      </c>
      <c r="I76" s="28">
        <f t="shared" si="3"/>
        <v>6.666666666666667</v>
      </c>
      <c r="J76" s="28">
        <f t="shared" si="3"/>
        <v>0</v>
      </c>
      <c r="K76" s="28">
        <f t="shared" si="3"/>
        <v>0</v>
      </c>
      <c r="L76" s="29">
        <f t="shared" si="3"/>
        <v>0</v>
      </c>
      <c r="M76" s="28">
        <f t="shared" si="3"/>
        <v>0</v>
      </c>
      <c r="N76" s="28">
        <f t="shared" si="3"/>
        <v>0</v>
      </c>
      <c r="O76" s="28">
        <f t="shared" si="3"/>
        <v>0</v>
      </c>
      <c r="P76" s="64">
        <f t="shared" si="3"/>
        <v>5.8823529411764701</v>
      </c>
      <c r="Q76" s="28">
        <f t="shared" si="3"/>
        <v>6.25</v>
      </c>
      <c r="R76" s="28">
        <f t="shared" si="3"/>
        <v>5.8823529411764701</v>
      </c>
      <c r="S76" s="28">
        <f t="shared" si="3"/>
        <v>8.3333333333333321</v>
      </c>
      <c r="T76" s="29">
        <f t="shared" si="3"/>
        <v>9.0909090909090917</v>
      </c>
      <c r="U76" s="28">
        <f t="shared" si="3"/>
        <v>0</v>
      </c>
      <c r="V76" s="28">
        <f t="shared" si="3"/>
        <v>7.1428571428571423</v>
      </c>
      <c r="W76" s="28">
        <f t="shared" si="3"/>
        <v>11.111111111111111</v>
      </c>
      <c r="X76" s="28">
        <f t="shared" si="3"/>
        <v>0</v>
      </c>
      <c r="Y76" s="64">
        <f t="shared" si="3"/>
        <v>0</v>
      </c>
      <c r="Z76" s="28">
        <f t="shared" si="3"/>
        <v>0</v>
      </c>
      <c r="AA76" s="28">
        <f t="shared" si="3"/>
        <v>0</v>
      </c>
      <c r="AB76" s="29">
        <f t="shared" si="3"/>
        <v>0</v>
      </c>
      <c r="AC76" s="28">
        <f t="shared" si="3"/>
        <v>9.0909090909090917</v>
      </c>
      <c r="AD76" s="28">
        <f t="shared" si="3"/>
        <v>0</v>
      </c>
      <c r="AE76" s="28">
        <f t="shared" si="3"/>
        <v>0</v>
      </c>
      <c r="AF76" s="64">
        <f t="shared" si="3"/>
        <v>0</v>
      </c>
      <c r="AG76" s="28">
        <f t="shared" si="3"/>
        <v>0</v>
      </c>
      <c r="AH76" s="28">
        <f t="shared" si="3"/>
        <v>4.7619047619047619</v>
      </c>
      <c r="AI76" s="28">
        <f t="shared" si="3"/>
        <v>5.8823529411764701</v>
      </c>
      <c r="AJ76" s="29">
        <f t="shared" si="3"/>
        <v>0</v>
      </c>
      <c r="AK76" s="67">
        <f>AL74/AK75*100</f>
        <v>3.007518796992481</v>
      </c>
    </row>
  </sheetData>
  <sheetProtection selectLockedCells="1" selectUnlockedCells="1"/>
  <mergeCells count="7">
    <mergeCell ref="E1:AJ1"/>
    <mergeCell ref="E2:T2"/>
    <mergeCell ref="U2:AJ2"/>
    <mergeCell ref="E3:L3"/>
    <mergeCell ref="M3:T3"/>
    <mergeCell ref="U3:AB3"/>
    <mergeCell ref="AC3:AJ3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904C-4EB8-4208-B58B-75D883AE390D}">
  <dimension ref="A1:E80"/>
  <sheetViews>
    <sheetView workbookViewId="0">
      <pane xSplit="1" ySplit="1" topLeftCell="B2" activePane="bottomRight" state="frozen"/>
      <selection pane="topRight" activeCell="B1" sqref="B1"/>
      <selection pane="bottomLeft" activeCell="A143" sqref="A143"/>
      <selection pane="bottomRight" activeCell="G78" sqref="G78"/>
    </sheetView>
  </sheetViews>
  <sheetFormatPr defaultColWidth="11.5703125" defaultRowHeight="15" x14ac:dyDescent="0.25"/>
  <cols>
    <col min="1" max="1" width="4" style="33" customWidth="1"/>
    <col min="2" max="2" width="11.85546875" style="33" customWidth="1"/>
    <col min="3" max="3" width="11.5703125" style="33" bestFit="1" customWidth="1"/>
    <col min="4" max="4" width="9.140625" style="33" customWidth="1"/>
    <col min="5" max="16384" width="11.5703125" style="33"/>
  </cols>
  <sheetData>
    <row r="1" spans="1:5" x14ac:dyDescent="0.25">
      <c r="D1" s="43" t="s">
        <v>83</v>
      </c>
      <c r="E1" s="68"/>
    </row>
    <row r="2" spans="1:5" x14ac:dyDescent="0.25">
      <c r="A2" s="33" t="s">
        <v>8</v>
      </c>
      <c r="B2" s="33" t="s">
        <v>9</v>
      </c>
      <c r="C2" s="33" t="s">
        <v>10</v>
      </c>
      <c r="D2" s="43" t="s">
        <v>84</v>
      </c>
      <c r="E2" s="33" t="s">
        <v>85</v>
      </c>
    </row>
    <row r="3" spans="1:5" x14ac:dyDescent="0.25">
      <c r="A3" s="33" t="str">
        <f>Üldinfo!A4</f>
        <v>1a</v>
      </c>
      <c r="B3" s="33" t="str">
        <f>Üldinfo!B4</f>
        <v>Mees</v>
      </c>
      <c r="C3" s="33" t="str">
        <f>Üldinfo!C4</f>
        <v>Täiskasvanu</v>
      </c>
      <c r="E3" s="33">
        <f>Üldinfo!D4</f>
        <v>0</v>
      </c>
    </row>
    <row r="4" spans="1:5" x14ac:dyDescent="0.25">
      <c r="A4" s="33" t="str">
        <f>Üldinfo!A5</f>
        <v>1b</v>
      </c>
      <c r="B4" s="33" t="str">
        <f>Üldinfo!B5</f>
        <v>Alaealine</v>
      </c>
      <c r="C4" s="33" t="str">
        <f>Üldinfo!C5</f>
        <v>Alaealine</v>
      </c>
      <c r="E4" s="33">
        <f>Üldinfo!D5</f>
        <v>0</v>
      </c>
    </row>
    <row r="5" spans="1:5" x14ac:dyDescent="0.25">
      <c r="A5" s="33">
        <f>Üldinfo!A6</f>
        <v>2</v>
      </c>
      <c r="B5" s="33" t="str">
        <f>Üldinfo!B6</f>
        <v>Naine</v>
      </c>
      <c r="C5" s="33" t="str">
        <f>Üldinfo!C6</f>
        <v>Täiskasvanu</v>
      </c>
      <c r="E5" s="33">
        <f>Üldinfo!D6</f>
        <v>0</v>
      </c>
    </row>
    <row r="6" spans="1:5" x14ac:dyDescent="0.25">
      <c r="A6" s="33">
        <f>Üldinfo!A7</f>
        <v>3</v>
      </c>
      <c r="B6" s="33" t="str">
        <f>Üldinfo!B7</f>
        <v>Alaealine</v>
      </c>
      <c r="C6" s="33" t="str">
        <f>Üldinfo!C7</f>
        <v>12-18 a</v>
      </c>
      <c r="E6" s="33">
        <f>Üldinfo!D7</f>
        <v>1</v>
      </c>
    </row>
    <row r="7" spans="1:5" x14ac:dyDescent="0.25">
      <c r="A7" s="33">
        <f>Üldinfo!A8</f>
        <v>4</v>
      </c>
      <c r="B7" s="33" t="str">
        <f>Üldinfo!B8</f>
        <v>Täiskasvanu</v>
      </c>
      <c r="C7" s="33" t="str">
        <f>Üldinfo!C8</f>
        <v>Täiskasvanu</v>
      </c>
      <c r="E7" s="33">
        <f>Üldinfo!D8</f>
        <v>0</v>
      </c>
    </row>
    <row r="8" spans="1:5" x14ac:dyDescent="0.25">
      <c r="A8" s="33">
        <f>Üldinfo!A9</f>
        <v>5</v>
      </c>
      <c r="B8" s="33" t="str">
        <f>Üldinfo!B9</f>
        <v>Täiskasvanu</v>
      </c>
      <c r="C8" s="33" t="str">
        <f>Üldinfo!C9</f>
        <v>Täiskasvanu</v>
      </c>
      <c r="E8" s="33">
        <f>Üldinfo!D9</f>
        <v>0</v>
      </c>
    </row>
    <row r="9" spans="1:5" x14ac:dyDescent="0.25">
      <c r="A9" s="33">
        <f>Üldinfo!A10</f>
        <v>6</v>
      </c>
      <c r="B9" s="33" t="str">
        <f>Üldinfo!B10</f>
        <v>Täiskasvanu</v>
      </c>
      <c r="C9" s="33" t="str">
        <f>Üldinfo!C10</f>
        <v>Täiskasvanu</v>
      </c>
      <c r="E9" s="33">
        <f>Üldinfo!D10</f>
        <v>0</v>
      </c>
    </row>
    <row r="10" spans="1:5" x14ac:dyDescent="0.25">
      <c r="A10" s="33">
        <f>Üldinfo!A11</f>
        <v>7</v>
      </c>
      <c r="B10" s="33" t="str">
        <f>Üldinfo!B11</f>
        <v>Mees</v>
      </c>
      <c r="C10" s="33" t="str">
        <f>Üldinfo!C11</f>
        <v>25-35 a</v>
      </c>
      <c r="E10" s="33">
        <f>Üldinfo!D11</f>
        <v>1</v>
      </c>
    </row>
    <row r="11" spans="1:5" x14ac:dyDescent="0.25">
      <c r="A11" s="33">
        <f>Üldinfo!A12</f>
        <v>8</v>
      </c>
      <c r="B11" s="33" t="str">
        <f>Üldinfo!B12</f>
        <v>Täiskasvanu</v>
      </c>
      <c r="C11" s="33" t="str">
        <f>Üldinfo!C12</f>
        <v>Täiskasvanu</v>
      </c>
      <c r="E11" s="33">
        <f>Üldinfo!D12</f>
        <v>0</v>
      </c>
    </row>
    <row r="12" spans="1:5" x14ac:dyDescent="0.25">
      <c r="A12" s="33">
        <f>Üldinfo!A13</f>
        <v>9</v>
      </c>
      <c r="B12" s="33" t="str">
        <f>Üldinfo!B13</f>
        <v>Naine</v>
      </c>
      <c r="C12" s="33" t="str">
        <f>Üldinfo!C13</f>
        <v>25-35 a</v>
      </c>
      <c r="D12" s="33">
        <v>3</v>
      </c>
      <c r="E12" s="33">
        <f>Üldinfo!D13</f>
        <v>1</v>
      </c>
    </row>
    <row r="13" spans="1:5" x14ac:dyDescent="0.25">
      <c r="A13" s="33">
        <f>Üldinfo!A14</f>
        <v>10</v>
      </c>
      <c r="B13" s="33" t="str">
        <f>Üldinfo!B14</f>
        <v>Täiskasvanu</v>
      </c>
      <c r="C13" s="33" t="str">
        <f>Üldinfo!C14</f>
        <v>Täiskasvanu</v>
      </c>
      <c r="E13" s="33">
        <f>Üldinfo!D14</f>
        <v>0</v>
      </c>
    </row>
    <row r="14" spans="1:5" x14ac:dyDescent="0.25">
      <c r="A14" s="33">
        <f>Üldinfo!A15</f>
        <v>11</v>
      </c>
      <c r="B14" s="33" t="str">
        <f>Üldinfo!B15</f>
        <v>Täiskasvanu</v>
      </c>
      <c r="C14" s="33" t="str">
        <f>Üldinfo!C15</f>
        <v>Täiskasvanu</v>
      </c>
      <c r="E14" s="33">
        <f>Üldinfo!D15</f>
        <v>0</v>
      </c>
    </row>
    <row r="15" spans="1:5" x14ac:dyDescent="0.25">
      <c r="A15" s="33">
        <f>Üldinfo!A16</f>
        <v>12</v>
      </c>
      <c r="B15" s="33" t="str">
        <f>Üldinfo!B16</f>
        <v>Naine</v>
      </c>
      <c r="C15" s="33" t="str">
        <f>Üldinfo!C16</f>
        <v>25-30 a</v>
      </c>
      <c r="D15" s="33">
        <v>3</v>
      </c>
      <c r="E15" s="33">
        <f>Üldinfo!D16</f>
        <v>1</v>
      </c>
    </row>
    <row r="16" spans="1:5" x14ac:dyDescent="0.25">
      <c r="A16" s="33">
        <f>Üldinfo!A17</f>
        <v>14</v>
      </c>
      <c r="B16" s="33" t="str">
        <f>Üldinfo!B17</f>
        <v>Alaealine</v>
      </c>
      <c r="C16" s="33" t="str">
        <f>Üldinfo!C17</f>
        <v>Alaealine</v>
      </c>
      <c r="E16" s="33">
        <f>Üldinfo!D17</f>
        <v>0</v>
      </c>
    </row>
    <row r="17" spans="1:5" x14ac:dyDescent="0.25">
      <c r="A17" s="33">
        <f>Üldinfo!A18</f>
        <v>15</v>
      </c>
      <c r="B17" s="33" t="str">
        <f>Üldinfo!B18</f>
        <v>Täiskasvanu</v>
      </c>
      <c r="C17" s="33" t="str">
        <f>Üldinfo!C18</f>
        <v>Täiskasvanu</v>
      </c>
      <c r="E17" s="33">
        <f>Üldinfo!D18</f>
        <v>0</v>
      </c>
    </row>
    <row r="18" spans="1:5" x14ac:dyDescent="0.25">
      <c r="A18" s="33">
        <f>Üldinfo!A19</f>
        <v>16</v>
      </c>
      <c r="B18" s="33" t="str">
        <f>Üldinfo!B19</f>
        <v>Täiskasvanu</v>
      </c>
      <c r="C18" s="33" t="str">
        <f>Üldinfo!C19</f>
        <v>Täiskasvanu</v>
      </c>
      <c r="E18" s="33">
        <f>Üldinfo!D19</f>
        <v>0</v>
      </c>
    </row>
    <row r="19" spans="1:5" x14ac:dyDescent="0.25">
      <c r="A19" s="33">
        <f>Üldinfo!A20</f>
        <v>17</v>
      </c>
      <c r="B19" s="33" t="str">
        <f>Üldinfo!B20</f>
        <v>Täiskasvanu</v>
      </c>
      <c r="C19" s="33" t="str">
        <f>Üldinfo!C20</f>
        <v>Täiskasvanu</v>
      </c>
      <c r="E19" s="33">
        <f>Üldinfo!D20</f>
        <v>0</v>
      </c>
    </row>
    <row r="20" spans="1:5" x14ac:dyDescent="0.25">
      <c r="A20" s="33">
        <f>Üldinfo!A21</f>
        <v>19</v>
      </c>
      <c r="B20" s="33" t="str">
        <f>Üldinfo!B21</f>
        <v>Mees</v>
      </c>
      <c r="C20" s="33" t="str">
        <f>Üldinfo!C21</f>
        <v>Täiskasvanu</v>
      </c>
      <c r="E20" s="33">
        <f>Üldinfo!D21</f>
        <v>1</v>
      </c>
    </row>
    <row r="21" spans="1:5" x14ac:dyDescent="0.25">
      <c r="A21" s="33">
        <f>Üldinfo!A22</f>
        <v>20</v>
      </c>
      <c r="B21" s="33" t="str">
        <f>Üldinfo!B22</f>
        <v>Mees</v>
      </c>
      <c r="C21" s="33" t="str">
        <f>Üldinfo!C22</f>
        <v>Täiskasvanu</v>
      </c>
      <c r="E21" s="33">
        <f>Üldinfo!D22</f>
        <v>1</v>
      </c>
    </row>
    <row r="22" spans="1:5" x14ac:dyDescent="0.25">
      <c r="A22" s="33">
        <f>Üldinfo!A23</f>
        <v>21</v>
      </c>
      <c r="B22" s="33" t="str">
        <f>Üldinfo!B23</f>
        <v>Naine</v>
      </c>
      <c r="C22" s="33" t="str">
        <f>Üldinfo!C23</f>
        <v>20-25 a</v>
      </c>
      <c r="E22" s="33">
        <f>Üldinfo!D23</f>
        <v>1</v>
      </c>
    </row>
    <row r="23" spans="1:5" x14ac:dyDescent="0.25">
      <c r="A23" s="33">
        <f>Üldinfo!A24</f>
        <v>22</v>
      </c>
      <c r="B23" s="33" t="str">
        <f>Üldinfo!B24</f>
        <v>Naine</v>
      </c>
      <c r="C23" s="33" t="str">
        <f>Üldinfo!C24</f>
        <v>17-20 a</v>
      </c>
      <c r="E23" s="33">
        <f>Üldinfo!D24</f>
        <v>1</v>
      </c>
    </row>
    <row r="24" spans="1:5" x14ac:dyDescent="0.25">
      <c r="A24" s="33">
        <f>Üldinfo!A25</f>
        <v>23</v>
      </c>
      <c r="B24" s="33" t="str">
        <f>Üldinfo!B25</f>
        <v>Alaealine</v>
      </c>
      <c r="C24" s="33" t="str">
        <f>Üldinfo!C25</f>
        <v>10 a ± 30k</v>
      </c>
      <c r="E24" s="33">
        <f>Üldinfo!D25</f>
        <v>1</v>
      </c>
    </row>
    <row r="25" spans="1:5" x14ac:dyDescent="0.25">
      <c r="A25" s="33">
        <f>Üldinfo!A26</f>
        <v>24</v>
      </c>
      <c r="B25" s="33" t="str">
        <f>Üldinfo!B26</f>
        <v>Mees</v>
      </c>
      <c r="C25" s="33" t="str">
        <f>Üldinfo!C26</f>
        <v>39-44 a</v>
      </c>
      <c r="E25" s="33">
        <f>Üldinfo!D26</f>
        <v>0</v>
      </c>
    </row>
    <row r="26" spans="1:5" x14ac:dyDescent="0.25">
      <c r="A26" s="33">
        <f>Üldinfo!A27</f>
        <v>25</v>
      </c>
      <c r="B26" s="33" t="str">
        <f>Üldinfo!B27</f>
        <v>Alaealine</v>
      </c>
      <c r="C26" s="33" t="str">
        <f>Üldinfo!C27</f>
        <v>7-11 a</v>
      </c>
      <c r="E26" s="33">
        <f>Üldinfo!D27</f>
        <v>1</v>
      </c>
    </row>
    <row r="27" spans="1:5" x14ac:dyDescent="0.25">
      <c r="A27" s="33" t="str">
        <f>Üldinfo!A28</f>
        <v>26a</v>
      </c>
      <c r="B27" s="33" t="str">
        <f>Üldinfo!B28</f>
        <v>Alaealine</v>
      </c>
      <c r="C27" s="33" t="str">
        <f>Üldinfo!C28</f>
        <v>12-18 a</v>
      </c>
      <c r="E27" s="33">
        <f>Üldinfo!D28</f>
        <v>0</v>
      </c>
    </row>
    <row r="28" spans="1:5" x14ac:dyDescent="0.25">
      <c r="A28" s="33" t="str">
        <f>Üldinfo!A29</f>
        <v>26b</v>
      </c>
      <c r="B28" s="33" t="str">
        <f>Üldinfo!B29</f>
        <v>Täiskasvanu</v>
      </c>
      <c r="C28" s="33" t="str">
        <f>Üldinfo!C29</f>
        <v>Täiskasvanu</v>
      </c>
      <c r="E28" s="33">
        <f>Üldinfo!D29</f>
        <v>0</v>
      </c>
    </row>
    <row r="29" spans="1:5" x14ac:dyDescent="0.25">
      <c r="A29" s="33">
        <f>Üldinfo!A30</f>
        <v>27</v>
      </c>
      <c r="B29" s="33" t="str">
        <f>Üldinfo!B30</f>
        <v>Mees</v>
      </c>
      <c r="C29" s="33" t="str">
        <f>Üldinfo!C30</f>
        <v>40-50 a</v>
      </c>
      <c r="E29" s="33">
        <f>Üldinfo!D30</f>
        <v>0</v>
      </c>
    </row>
    <row r="30" spans="1:5" x14ac:dyDescent="0.25">
      <c r="A30" s="33">
        <f>Üldinfo!A31</f>
        <v>28</v>
      </c>
      <c r="B30" s="33" t="str">
        <f>Üldinfo!B31</f>
        <v>Naine</v>
      </c>
      <c r="C30" s="33" t="str">
        <f>Üldinfo!C31</f>
        <v>25-50 a</v>
      </c>
      <c r="E30" s="33">
        <f>Üldinfo!D31</f>
        <v>1</v>
      </c>
    </row>
    <row r="31" spans="1:5" x14ac:dyDescent="0.25">
      <c r="A31" s="33">
        <f>Üldinfo!A32</f>
        <v>29</v>
      </c>
      <c r="B31" s="33" t="str">
        <f>Üldinfo!B32</f>
        <v>Mees</v>
      </c>
      <c r="C31" s="33" t="str">
        <f>Üldinfo!C32</f>
        <v>25-30a</v>
      </c>
      <c r="E31" s="33">
        <f>Üldinfo!D32</f>
        <v>1</v>
      </c>
    </row>
    <row r="32" spans="1:5" x14ac:dyDescent="0.25">
      <c r="A32" s="33">
        <f>Üldinfo!A33</f>
        <v>30</v>
      </c>
      <c r="B32" s="33" t="str">
        <f>Üldinfo!B33</f>
        <v>Naine</v>
      </c>
      <c r="C32" s="33" t="str">
        <f>Üldinfo!C33</f>
        <v>17-25 a</v>
      </c>
      <c r="E32" s="33">
        <f>Üldinfo!D33</f>
        <v>1</v>
      </c>
    </row>
    <row r="33" spans="1:5" x14ac:dyDescent="0.25">
      <c r="A33" s="33">
        <f>Üldinfo!A34</f>
        <v>31</v>
      </c>
      <c r="B33" s="33" t="str">
        <f>Üldinfo!B34</f>
        <v>Alaealine</v>
      </c>
      <c r="C33" s="33" t="str">
        <f>Üldinfo!C34</f>
        <v>5+ a</v>
      </c>
      <c r="E33" s="33">
        <f>Üldinfo!D34</f>
        <v>0</v>
      </c>
    </row>
    <row r="34" spans="1:5" x14ac:dyDescent="0.25">
      <c r="A34" s="33">
        <f>Üldinfo!A35</f>
        <v>32</v>
      </c>
      <c r="B34" s="33" t="str">
        <f>Üldinfo!B35</f>
        <v>Alaealine</v>
      </c>
      <c r="C34" s="33" t="str">
        <f>Üldinfo!C35</f>
        <v>3-5 a</v>
      </c>
      <c r="E34" s="33">
        <f>Üldinfo!D35</f>
        <v>0</v>
      </c>
    </row>
    <row r="35" spans="1:5" x14ac:dyDescent="0.25">
      <c r="A35" s="33">
        <f>Üldinfo!A36</f>
        <v>33</v>
      </c>
      <c r="B35" s="33" t="str">
        <f>Üldinfo!B36</f>
        <v>Alaealine</v>
      </c>
      <c r="C35" s="33" t="str">
        <f>Üldinfo!C36</f>
        <v>1-2 a</v>
      </c>
      <c r="E35" s="33">
        <f>Üldinfo!D36</f>
        <v>1</v>
      </c>
    </row>
    <row r="36" spans="1:5" x14ac:dyDescent="0.25">
      <c r="A36" s="33">
        <f>Üldinfo!A37</f>
        <v>34</v>
      </c>
      <c r="B36" s="33" t="str">
        <f>Üldinfo!B37</f>
        <v>Mees ?</v>
      </c>
      <c r="C36" s="33" t="str">
        <f>Üldinfo!C37</f>
        <v>Täiskasvanu</v>
      </c>
      <c r="E36" s="33">
        <f>Üldinfo!D37</f>
        <v>0</v>
      </c>
    </row>
    <row r="37" spans="1:5" x14ac:dyDescent="0.25">
      <c r="A37" s="33">
        <f>Üldinfo!A38</f>
        <v>35</v>
      </c>
      <c r="B37" s="33" t="str">
        <f>Üldinfo!B38</f>
        <v>Naine</v>
      </c>
      <c r="C37" s="33" t="str">
        <f>Üldinfo!C38</f>
        <v>Täiskasvanu</v>
      </c>
      <c r="E37" s="33">
        <f>Üldinfo!D38</f>
        <v>0</v>
      </c>
    </row>
    <row r="38" spans="1:5" x14ac:dyDescent="0.25">
      <c r="A38" s="33">
        <f>Üldinfo!A39</f>
        <v>36</v>
      </c>
      <c r="B38" s="33" t="str">
        <f>Üldinfo!B39</f>
        <v>Mees ?</v>
      </c>
      <c r="C38" s="33" t="str">
        <f>Üldinfo!C39</f>
        <v>40-50 a</v>
      </c>
      <c r="E38" s="33">
        <f>Üldinfo!D39</f>
        <v>0</v>
      </c>
    </row>
    <row r="39" spans="1:5" x14ac:dyDescent="0.25">
      <c r="A39" s="33">
        <f>Üldinfo!A40</f>
        <v>37</v>
      </c>
      <c r="B39" s="33" t="str">
        <f>Üldinfo!B40</f>
        <v>Alaealine</v>
      </c>
      <c r="C39" s="33" t="str">
        <f>Üldinfo!C40</f>
        <v>12-18 a</v>
      </c>
      <c r="E39" s="33">
        <f>Üldinfo!D40</f>
        <v>1</v>
      </c>
    </row>
    <row r="40" spans="1:5" x14ac:dyDescent="0.25">
      <c r="A40" s="33">
        <f>Üldinfo!A41</f>
        <v>38</v>
      </c>
      <c r="B40" s="33" t="str">
        <f>Üldinfo!B41</f>
        <v>Naine</v>
      </c>
      <c r="C40" s="33" t="str">
        <f>Üldinfo!C41</f>
        <v>40-50 a</v>
      </c>
      <c r="D40" s="33">
        <v>2</v>
      </c>
      <c r="E40" s="33">
        <f>Üldinfo!D41</f>
        <v>1</v>
      </c>
    </row>
    <row r="41" spans="1:5" x14ac:dyDescent="0.25">
      <c r="A41" s="33">
        <f>Üldinfo!A42</f>
        <v>39</v>
      </c>
      <c r="B41" s="33" t="str">
        <f>Üldinfo!B42</f>
        <v>Alaealine</v>
      </c>
      <c r="C41" s="33" t="str">
        <f>Üldinfo!C42</f>
        <v>6-11 a</v>
      </c>
      <c r="E41" s="33">
        <f>Üldinfo!D42</f>
        <v>0</v>
      </c>
    </row>
    <row r="42" spans="1:5" x14ac:dyDescent="0.25">
      <c r="A42" s="33">
        <f>Üldinfo!A43</f>
        <v>40</v>
      </c>
      <c r="B42" s="33" t="str">
        <f>Üldinfo!B43</f>
        <v>Mees</v>
      </c>
      <c r="C42" s="33" t="str">
        <f>Üldinfo!C43</f>
        <v>40+ a</v>
      </c>
      <c r="E42" s="33">
        <f>Üldinfo!D43</f>
        <v>0</v>
      </c>
    </row>
    <row r="43" spans="1:5" x14ac:dyDescent="0.25">
      <c r="A43" s="33">
        <f>Üldinfo!A44</f>
        <v>41</v>
      </c>
      <c r="B43" s="33" t="str">
        <f>Üldinfo!B44</f>
        <v>Alaealine</v>
      </c>
      <c r="C43" s="33" t="str">
        <f>Üldinfo!C44</f>
        <v>12-15 a</v>
      </c>
      <c r="E43" s="33">
        <f>Üldinfo!D44</f>
        <v>0</v>
      </c>
    </row>
    <row r="44" spans="1:5" x14ac:dyDescent="0.25">
      <c r="A44" s="33">
        <f>Üldinfo!A45</f>
        <v>42</v>
      </c>
      <c r="B44" s="33" t="str">
        <f>Üldinfo!B45</f>
        <v>Alaealine</v>
      </c>
      <c r="C44" s="33" t="str">
        <f>Üldinfo!C45</f>
        <v>24-32 k</v>
      </c>
      <c r="E44" s="33">
        <f>Üldinfo!D45</f>
        <v>1</v>
      </c>
    </row>
    <row r="45" spans="1:5" x14ac:dyDescent="0.25">
      <c r="A45" s="33">
        <f>Üldinfo!A46</f>
        <v>43</v>
      </c>
      <c r="B45" s="33" t="str">
        <f>Üldinfo!B46</f>
        <v>Naine ?</v>
      </c>
      <c r="C45" s="33" t="str">
        <f>Üldinfo!C46</f>
        <v>18-19 a</v>
      </c>
      <c r="E45" s="33">
        <f>Üldinfo!D46</f>
        <v>0</v>
      </c>
    </row>
    <row r="46" spans="1:5" x14ac:dyDescent="0.25">
      <c r="A46" s="33">
        <f>Üldinfo!A47</f>
        <v>44</v>
      </c>
      <c r="B46" s="33" t="str">
        <f>Üldinfo!B47</f>
        <v>Mees</v>
      </c>
      <c r="C46" s="33" t="str">
        <f>Üldinfo!C47</f>
        <v>40+ a</v>
      </c>
      <c r="E46" s="33">
        <f>Üldinfo!D47</f>
        <v>0</v>
      </c>
    </row>
    <row r="47" spans="1:5" x14ac:dyDescent="0.25">
      <c r="A47" s="33">
        <f>Üldinfo!A48</f>
        <v>45</v>
      </c>
      <c r="B47" s="33" t="str">
        <f>Üldinfo!B48</f>
        <v>Mees</v>
      </c>
      <c r="C47" s="33" t="str">
        <f>Üldinfo!C48</f>
        <v>40+ a</v>
      </c>
      <c r="E47" s="33">
        <f>Üldinfo!D48</f>
        <v>0</v>
      </c>
    </row>
    <row r="48" spans="1:5" x14ac:dyDescent="0.25">
      <c r="A48" s="33">
        <f>Üldinfo!A49</f>
        <v>46</v>
      </c>
      <c r="B48" s="33" t="str">
        <f>Üldinfo!B49</f>
        <v>Täiskasvanu</v>
      </c>
      <c r="C48" s="33" t="str">
        <f>Üldinfo!C49</f>
        <v>Täiskasvanu</v>
      </c>
      <c r="E48" s="33">
        <f>Üldinfo!D49</f>
        <v>0</v>
      </c>
    </row>
    <row r="49" spans="1:5" x14ac:dyDescent="0.25">
      <c r="A49" s="33">
        <f>Üldinfo!A50</f>
        <v>47</v>
      </c>
      <c r="B49" s="33" t="str">
        <f>Üldinfo!B50</f>
        <v>Mees</v>
      </c>
      <c r="C49" s="33" t="str">
        <f>Üldinfo!C50</f>
        <v>40+ a</v>
      </c>
      <c r="E49" s="33">
        <f>Üldinfo!D50</f>
        <v>0</v>
      </c>
    </row>
    <row r="50" spans="1:5" x14ac:dyDescent="0.25">
      <c r="A50" s="33">
        <f>Üldinfo!A51</f>
        <v>48</v>
      </c>
      <c r="B50" s="33" t="str">
        <f>Üldinfo!B51</f>
        <v>Alaealine</v>
      </c>
      <c r="C50" s="33" t="str">
        <f>Üldinfo!C51</f>
        <v>2-5 a</v>
      </c>
      <c r="E50" s="33">
        <f>Üldinfo!D51</f>
        <v>0</v>
      </c>
    </row>
    <row r="51" spans="1:5" x14ac:dyDescent="0.25">
      <c r="A51" s="33">
        <f>Üldinfo!A52</f>
        <v>49</v>
      </c>
      <c r="B51" s="33" t="str">
        <f>Üldinfo!B52</f>
        <v>Alaealine</v>
      </c>
      <c r="C51" s="33" t="str">
        <f>Üldinfo!C52</f>
        <v>12-15 a</v>
      </c>
      <c r="E51" s="33">
        <f>Üldinfo!D52</f>
        <v>1</v>
      </c>
    </row>
    <row r="52" spans="1:5" x14ac:dyDescent="0.25">
      <c r="A52" s="33">
        <f>Üldinfo!A53</f>
        <v>50</v>
      </c>
      <c r="B52" s="33" t="str">
        <f>Üldinfo!B53</f>
        <v>Mees</v>
      </c>
      <c r="C52" s="33" t="str">
        <f>Üldinfo!C53</f>
        <v>40+ a</v>
      </c>
      <c r="D52" s="33">
        <v>3</v>
      </c>
      <c r="E52" s="33">
        <f>Üldinfo!D53</f>
        <v>1</v>
      </c>
    </row>
    <row r="53" spans="1:5" x14ac:dyDescent="0.25">
      <c r="A53" s="33">
        <f>Üldinfo!A54</f>
        <v>51</v>
      </c>
      <c r="B53" s="33" t="str">
        <f>Üldinfo!B54</f>
        <v>Naine</v>
      </c>
      <c r="C53" s="33" t="str">
        <f>Üldinfo!C54</f>
        <v>40+ a</v>
      </c>
      <c r="E53" s="33">
        <f>Üldinfo!D54</f>
        <v>0</v>
      </c>
    </row>
    <row r="54" spans="1:5" x14ac:dyDescent="0.25">
      <c r="A54" s="33">
        <f>Üldinfo!A55</f>
        <v>52</v>
      </c>
      <c r="B54" s="33" t="str">
        <f>Üldinfo!B55</f>
        <v>Naine</v>
      </c>
      <c r="C54" s="33" t="str">
        <f>Üldinfo!C55</f>
        <v>17-25 a</v>
      </c>
      <c r="E54" s="33">
        <f>Üldinfo!D55</f>
        <v>1</v>
      </c>
    </row>
    <row r="55" spans="1:5" x14ac:dyDescent="0.25">
      <c r="A55" s="33">
        <f>Üldinfo!A56</f>
        <v>53</v>
      </c>
      <c r="B55" s="33" t="str">
        <f>Üldinfo!B56</f>
        <v>Täiskasvanu</v>
      </c>
      <c r="C55" s="33" t="str">
        <f>Üldinfo!C56</f>
        <v>Täiskasvanu</v>
      </c>
      <c r="E55" s="33">
        <f>Üldinfo!D56</f>
        <v>0</v>
      </c>
    </row>
    <row r="56" spans="1:5" x14ac:dyDescent="0.25">
      <c r="A56" s="33">
        <f>Üldinfo!A57</f>
        <v>54</v>
      </c>
      <c r="B56" s="33" t="str">
        <f>Üldinfo!B57</f>
        <v>Täiskasvanu</v>
      </c>
      <c r="C56" s="33" t="str">
        <f>Üldinfo!C57</f>
        <v>Täiskasvanu</v>
      </c>
      <c r="E56" s="33">
        <f>Üldinfo!D57</f>
        <v>0</v>
      </c>
    </row>
    <row r="57" spans="1:5" x14ac:dyDescent="0.25">
      <c r="A57" s="33">
        <f>Üldinfo!A58</f>
        <v>55</v>
      </c>
      <c r="B57" s="33" t="str">
        <f>Üldinfo!B58</f>
        <v>Naine</v>
      </c>
      <c r="C57" s="33" t="str">
        <f>Üldinfo!C58</f>
        <v>18-19 a</v>
      </c>
      <c r="E57" s="33">
        <f>Üldinfo!D58</f>
        <v>1</v>
      </c>
    </row>
    <row r="58" spans="1:5" x14ac:dyDescent="0.25">
      <c r="A58" s="33">
        <f>Üldinfo!A59</f>
        <v>56</v>
      </c>
      <c r="B58" s="33" t="str">
        <f>Üldinfo!B59</f>
        <v>Naine</v>
      </c>
      <c r="C58" s="33" t="str">
        <f>Üldinfo!C59</f>
        <v>40+ a</v>
      </c>
      <c r="E58" s="33">
        <f>Üldinfo!D59</f>
        <v>0</v>
      </c>
    </row>
    <row r="59" spans="1:5" x14ac:dyDescent="0.25">
      <c r="A59" s="33">
        <f>Üldinfo!A60</f>
        <v>57</v>
      </c>
      <c r="B59" s="33" t="str">
        <f>Üldinfo!B60</f>
        <v>Alaealine</v>
      </c>
      <c r="C59" s="33" t="str">
        <f>Üldinfo!C60</f>
        <v>7-11 a</v>
      </c>
      <c r="E59" s="33">
        <f>Üldinfo!D60</f>
        <v>1</v>
      </c>
    </row>
    <row r="60" spans="1:5" x14ac:dyDescent="0.25">
      <c r="A60" s="33">
        <f>Üldinfo!A61</f>
        <v>58</v>
      </c>
      <c r="B60" s="33" t="str">
        <f>Üldinfo!B61</f>
        <v>Alaealine</v>
      </c>
      <c r="C60" s="33" t="str">
        <f>Üldinfo!C61</f>
        <v>1 a ± 4 k</v>
      </c>
      <c r="E60" s="33">
        <f>Üldinfo!D61</f>
        <v>1</v>
      </c>
    </row>
    <row r="61" spans="1:5" x14ac:dyDescent="0.25">
      <c r="A61" s="33">
        <f>Üldinfo!A62</f>
        <v>59</v>
      </c>
      <c r="B61" s="33" t="str">
        <f>Üldinfo!B62</f>
        <v>Mees</v>
      </c>
      <c r="C61" s="33" t="str">
        <f>Üldinfo!C62</f>
        <v>17-22 a</v>
      </c>
      <c r="E61" s="33">
        <f>Üldinfo!D62</f>
        <v>1</v>
      </c>
    </row>
    <row r="62" spans="1:5" x14ac:dyDescent="0.25">
      <c r="A62" s="33">
        <f>Üldinfo!A63</f>
        <v>60</v>
      </c>
      <c r="B62" s="33" t="str">
        <f>Üldinfo!B63</f>
        <v>Täiskasvanu</v>
      </c>
      <c r="C62" s="33" t="str">
        <f>Üldinfo!C63</f>
        <v>Täiskasvanu</v>
      </c>
      <c r="E62" s="33">
        <f>Üldinfo!D63</f>
        <v>0</v>
      </c>
    </row>
    <row r="63" spans="1:5" x14ac:dyDescent="0.25">
      <c r="A63" s="33">
        <f>Üldinfo!A64</f>
        <v>61</v>
      </c>
      <c r="B63" s="33" t="str">
        <f>Üldinfo!B64</f>
        <v>Mees</v>
      </c>
      <c r="C63" s="33" t="str">
        <f>Üldinfo!C64</f>
        <v>50+ a</v>
      </c>
      <c r="D63" s="33">
        <v>3</v>
      </c>
      <c r="E63" s="33">
        <f>Üldinfo!D64</f>
        <v>1</v>
      </c>
    </row>
    <row r="64" spans="1:5" x14ac:dyDescent="0.25">
      <c r="A64" s="33">
        <f>Üldinfo!A65</f>
        <v>62</v>
      </c>
      <c r="B64" s="33" t="str">
        <f>Üldinfo!B65</f>
        <v>Mees</v>
      </c>
      <c r="C64" s="33" t="str">
        <f>Üldinfo!C65</f>
        <v>Täiskasvanu</v>
      </c>
      <c r="E64" s="33">
        <f>Üldinfo!D65</f>
        <v>0</v>
      </c>
    </row>
    <row r="65" spans="1:5" x14ac:dyDescent="0.25">
      <c r="A65" s="33">
        <f>Üldinfo!A66</f>
        <v>63</v>
      </c>
      <c r="B65" s="33" t="str">
        <f>Üldinfo!B66</f>
        <v>Mees</v>
      </c>
      <c r="C65" s="33" t="str">
        <f>Üldinfo!C66</f>
        <v>Täiskasvanu</v>
      </c>
      <c r="E65" s="33">
        <f>Üldinfo!D66</f>
        <v>0</v>
      </c>
    </row>
    <row r="66" spans="1:5" x14ac:dyDescent="0.25">
      <c r="A66" s="33">
        <f>Üldinfo!A67</f>
        <v>64</v>
      </c>
      <c r="B66" s="33" t="str">
        <f>Üldinfo!B67</f>
        <v>Mees</v>
      </c>
      <c r="C66" s="33" t="str">
        <f>Üldinfo!C67</f>
        <v>Täiskasvanu</v>
      </c>
      <c r="E66" s="33">
        <f>Üldinfo!D67</f>
        <v>0</v>
      </c>
    </row>
    <row r="67" spans="1:5" x14ac:dyDescent="0.25">
      <c r="A67" s="33">
        <f>Üldinfo!A68</f>
        <v>65</v>
      </c>
      <c r="B67" s="33" t="str">
        <f>Üldinfo!B68</f>
        <v>Mees</v>
      </c>
      <c r="C67" s="33" t="str">
        <f>Üldinfo!C68</f>
        <v>39-44 a</v>
      </c>
      <c r="E67" s="33">
        <f>Üldinfo!D68</f>
        <v>0</v>
      </c>
    </row>
    <row r="68" spans="1:5" x14ac:dyDescent="0.25">
      <c r="A68" s="33">
        <f>Üldinfo!A69</f>
        <v>66</v>
      </c>
      <c r="B68" s="33" t="str">
        <f>Üldinfo!B69</f>
        <v>Täiskasvanu</v>
      </c>
      <c r="C68" s="33" t="str">
        <f>Üldinfo!C69</f>
        <v>Täiskasvanu</v>
      </c>
      <c r="E68" s="33">
        <f>Üldinfo!D69</f>
        <v>0</v>
      </c>
    </row>
    <row r="69" spans="1:5" x14ac:dyDescent="0.25">
      <c r="A69" s="33">
        <f>Üldinfo!A70</f>
        <v>67</v>
      </c>
      <c r="B69" s="33" t="str">
        <f>Üldinfo!B70</f>
        <v>Alaealine</v>
      </c>
      <c r="C69" s="33" t="str">
        <f>Üldinfo!C70</f>
        <v>7-11 a</v>
      </c>
      <c r="E69" s="33">
        <f>Üldinfo!D70</f>
        <v>1</v>
      </c>
    </row>
    <row r="70" spans="1:5" x14ac:dyDescent="0.25">
      <c r="A70" s="33">
        <f>Üldinfo!A71</f>
        <v>68</v>
      </c>
      <c r="B70" s="33" t="str">
        <f>Üldinfo!B71</f>
        <v>Naine</v>
      </c>
      <c r="C70" s="33" t="str">
        <f>Üldinfo!C71</f>
        <v>40+ a</v>
      </c>
      <c r="E70" s="33">
        <f>Üldinfo!D71</f>
        <v>0</v>
      </c>
    </row>
    <row r="71" spans="1:5" x14ac:dyDescent="0.25">
      <c r="A71" s="33">
        <f>Üldinfo!A72</f>
        <v>69</v>
      </c>
      <c r="B71" s="33" t="str">
        <f>Üldinfo!B72</f>
        <v>Mees</v>
      </c>
      <c r="C71" s="33" t="str">
        <f>Üldinfo!C72</f>
        <v>25-40 a</v>
      </c>
      <c r="E71" s="33">
        <f>Üldinfo!D72</f>
        <v>0</v>
      </c>
    </row>
    <row r="72" spans="1:5" x14ac:dyDescent="0.25">
      <c r="C72" s="48" t="s">
        <v>36</v>
      </c>
      <c r="D72" s="69">
        <f>COUNTA(D$3:D$71)</f>
        <v>5</v>
      </c>
      <c r="E72" s="33">
        <f>SUM(E3:E71)</f>
        <v>26</v>
      </c>
    </row>
    <row r="73" spans="1:5" x14ac:dyDescent="0.25">
      <c r="C73" s="33">
        <v>1</v>
      </c>
      <c r="D73" s="43">
        <f>COUNTIF(D$3:D$71,"1")</f>
        <v>0</v>
      </c>
    </row>
    <row r="74" spans="1:5" x14ac:dyDescent="0.25">
      <c r="C74" s="33">
        <v>2</v>
      </c>
      <c r="D74" s="43">
        <f>COUNTIF(D$3:D$71,"2")</f>
        <v>1</v>
      </c>
    </row>
    <row r="75" spans="1:5" x14ac:dyDescent="0.25">
      <c r="C75" s="33">
        <v>3</v>
      </c>
      <c r="D75" s="43">
        <f>COUNTIF(D$3:D$71,"3")</f>
        <v>4</v>
      </c>
    </row>
    <row r="76" spans="1:5" x14ac:dyDescent="0.25">
      <c r="C76" s="33" t="s">
        <v>86</v>
      </c>
      <c r="D76" s="33">
        <f>Üldinfo!D73</f>
        <v>26</v>
      </c>
    </row>
    <row r="77" spans="1:5" x14ac:dyDescent="0.25">
      <c r="C77" s="33" t="s">
        <v>60</v>
      </c>
      <c r="D77" s="70">
        <f>D72/$D$76*100</f>
        <v>19.230769230769234</v>
      </c>
    </row>
    <row r="78" spans="1:5" x14ac:dyDescent="0.25">
      <c r="C78" s="71" t="s">
        <v>87</v>
      </c>
      <c r="D78" s="70">
        <f>D73/$D$76*100</f>
        <v>0</v>
      </c>
    </row>
    <row r="79" spans="1:5" x14ac:dyDescent="0.25">
      <c r="C79" s="71" t="s">
        <v>88</v>
      </c>
      <c r="D79" s="70">
        <f>D74/$D$76*100</f>
        <v>3.8461538461538463</v>
      </c>
    </row>
    <row r="80" spans="1:5" x14ac:dyDescent="0.25">
      <c r="C80" s="71" t="s">
        <v>89</v>
      </c>
      <c r="D80" s="70">
        <f>D75/$D$76*100</f>
        <v>15.384615384615385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1523-63A5-48AE-AA79-CF119F6D2C61}">
  <dimension ref="A1:AJ80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83" sqref="G83"/>
    </sheetView>
  </sheetViews>
  <sheetFormatPr defaultRowHeight="15" x14ac:dyDescent="0.25"/>
  <cols>
    <col min="1" max="1" width="4" style="1" customWidth="1"/>
    <col min="2" max="2" width="11.42578125" style="1" customWidth="1"/>
    <col min="3" max="3" width="12.28515625" style="1" customWidth="1"/>
    <col min="4" max="4" width="6.7109375" style="1" customWidth="1"/>
    <col min="5" max="7" width="4" style="2" customWidth="1"/>
    <col min="8" max="9" width="5.140625" style="2" customWidth="1"/>
    <col min="10" max="10" width="2.7109375" style="2" customWidth="1"/>
    <col min="11" max="14" width="3" style="2" customWidth="1"/>
    <col min="15" max="15" width="2.7109375" style="2" customWidth="1"/>
    <col min="16" max="17" width="5.140625" style="2" customWidth="1"/>
    <col min="18" max="23" width="4" style="2" customWidth="1"/>
    <col min="24" max="25" width="5.140625" style="2" customWidth="1"/>
    <col min="26" max="26" width="2.7109375" style="2" customWidth="1"/>
    <col min="27" max="30" width="3" style="2" customWidth="1"/>
    <col min="31" max="31" width="2.7109375" style="2" customWidth="1"/>
    <col min="32" max="33" width="5.140625" style="2" customWidth="1"/>
    <col min="34" max="36" width="4" style="2" customWidth="1"/>
  </cols>
  <sheetData>
    <row r="1" spans="1:36" x14ac:dyDescent="0.25">
      <c r="D1" s="6"/>
      <c r="E1" s="90" t="s">
        <v>99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</row>
    <row r="2" spans="1:36" x14ac:dyDescent="0.25">
      <c r="D2" s="6"/>
      <c r="E2" s="90" t="s">
        <v>0</v>
      </c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 t="s">
        <v>1</v>
      </c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</row>
    <row r="3" spans="1:36" x14ac:dyDescent="0.25">
      <c r="D3" s="6"/>
      <c r="E3" s="91" t="s">
        <v>3</v>
      </c>
      <c r="F3" s="91"/>
      <c r="G3" s="91"/>
      <c r="H3" s="91"/>
      <c r="I3" s="91"/>
      <c r="J3" s="91"/>
      <c r="K3" s="91"/>
      <c r="L3" s="91"/>
      <c r="M3" s="92" t="s">
        <v>4</v>
      </c>
      <c r="N3" s="92"/>
      <c r="O3" s="92"/>
      <c r="P3" s="92"/>
      <c r="Q3" s="92"/>
      <c r="R3" s="92"/>
      <c r="S3" s="92"/>
      <c r="T3" s="92"/>
      <c r="U3" s="91" t="s">
        <v>3</v>
      </c>
      <c r="V3" s="91"/>
      <c r="W3" s="91"/>
      <c r="X3" s="91"/>
      <c r="Y3" s="91"/>
      <c r="Z3" s="91"/>
      <c r="AA3" s="91"/>
      <c r="AB3" s="91"/>
      <c r="AC3" s="91" t="s">
        <v>4</v>
      </c>
      <c r="AD3" s="91"/>
      <c r="AE3" s="91"/>
      <c r="AF3" s="91"/>
      <c r="AG3" s="91"/>
      <c r="AH3" s="91"/>
      <c r="AI3" s="91"/>
      <c r="AJ3" s="91"/>
    </row>
    <row r="4" spans="1:36" x14ac:dyDescent="0.25">
      <c r="A4" s="15" t="s">
        <v>8</v>
      </c>
      <c r="B4" s="15" t="s">
        <v>9</v>
      </c>
      <c r="C4" s="15" t="s">
        <v>10</v>
      </c>
      <c r="D4" s="16"/>
      <c r="E4" s="17">
        <v>8</v>
      </c>
      <c r="F4" s="17">
        <v>7</v>
      </c>
      <c r="G4" s="17">
        <v>6</v>
      </c>
      <c r="H4" s="17">
        <v>5</v>
      </c>
      <c r="I4" s="17">
        <v>4</v>
      </c>
      <c r="J4" s="17">
        <v>3</v>
      </c>
      <c r="K4" s="17">
        <v>2</v>
      </c>
      <c r="L4" s="18">
        <v>1</v>
      </c>
      <c r="M4" s="17">
        <v>1</v>
      </c>
      <c r="N4" s="17">
        <v>2</v>
      </c>
      <c r="O4" s="17">
        <v>3</v>
      </c>
      <c r="P4" s="17">
        <v>4</v>
      </c>
      <c r="Q4" s="17">
        <v>5</v>
      </c>
      <c r="R4" s="17">
        <v>6</v>
      </c>
      <c r="S4" s="17">
        <v>7</v>
      </c>
      <c r="T4" s="17">
        <v>8</v>
      </c>
      <c r="U4" s="19">
        <v>8</v>
      </c>
      <c r="V4" s="17">
        <v>7</v>
      </c>
      <c r="W4" s="17">
        <v>6</v>
      </c>
      <c r="X4" s="17">
        <v>5</v>
      </c>
      <c r="Y4" s="17">
        <v>4</v>
      </c>
      <c r="Z4" s="17">
        <v>3</v>
      </c>
      <c r="AA4" s="17">
        <v>2</v>
      </c>
      <c r="AB4" s="18">
        <v>1</v>
      </c>
      <c r="AC4" s="19">
        <v>1</v>
      </c>
      <c r="AD4" s="17">
        <v>2</v>
      </c>
      <c r="AE4" s="17">
        <v>3</v>
      </c>
      <c r="AF4" s="17">
        <v>4</v>
      </c>
      <c r="AG4" s="17">
        <v>5</v>
      </c>
      <c r="AH4" s="17">
        <v>6</v>
      </c>
      <c r="AI4" s="17">
        <v>7</v>
      </c>
      <c r="AJ4" s="18">
        <v>8</v>
      </c>
    </row>
    <row r="5" spans="1:36" x14ac:dyDescent="0.25">
      <c r="A5" s="1" t="str">
        <f>Üldinfo!A4</f>
        <v>1a</v>
      </c>
      <c r="B5" s="1" t="str">
        <f>Üldinfo!B4</f>
        <v>Mees</v>
      </c>
      <c r="C5" s="1" t="str">
        <f>Üldinfo!C4</f>
        <v>Täiskasvanu</v>
      </c>
      <c r="D5" s="6">
        <f>Üldinfo!D4</f>
        <v>0</v>
      </c>
      <c r="L5" s="3"/>
      <c r="U5" s="4"/>
      <c r="AB5" s="3"/>
      <c r="AC5" s="4"/>
      <c r="AJ5" s="3"/>
    </row>
    <row r="6" spans="1:36" x14ac:dyDescent="0.25">
      <c r="A6" s="1" t="str">
        <f>Üldinfo!A5</f>
        <v>1b</v>
      </c>
      <c r="B6" s="1" t="str">
        <f>Üldinfo!B5</f>
        <v>Alaealine</v>
      </c>
      <c r="C6" s="1" t="str">
        <f>Üldinfo!C5</f>
        <v>Alaealine</v>
      </c>
      <c r="D6" s="6">
        <f>Üldinfo!D5</f>
        <v>0</v>
      </c>
      <c r="L6" s="3"/>
      <c r="U6" s="4"/>
      <c r="AB6" s="3"/>
      <c r="AC6" s="4"/>
      <c r="AJ6" s="3"/>
    </row>
    <row r="7" spans="1:36" x14ac:dyDescent="0.25">
      <c r="A7" s="1">
        <f>Üldinfo!A6</f>
        <v>2</v>
      </c>
      <c r="B7" s="1" t="str">
        <f>Üldinfo!B6</f>
        <v>Naine</v>
      </c>
      <c r="C7" s="1" t="str">
        <f>Üldinfo!C6</f>
        <v>Täiskasvanu</v>
      </c>
      <c r="D7" s="6">
        <f>Üldinfo!D6</f>
        <v>0</v>
      </c>
      <c r="L7" s="3"/>
      <c r="U7" s="4"/>
      <c r="AB7" s="3"/>
      <c r="AC7" s="4"/>
      <c r="AJ7" s="3"/>
    </row>
    <row r="8" spans="1:36" x14ac:dyDescent="0.25">
      <c r="A8" s="1">
        <f>Üldinfo!A7</f>
        <v>3</v>
      </c>
      <c r="B8" s="1" t="str">
        <f>Üldinfo!B7</f>
        <v>Alaealine</v>
      </c>
      <c r="C8" s="1" t="str">
        <f>Üldinfo!C7</f>
        <v>12-18 a</v>
      </c>
      <c r="D8" s="6">
        <f>Üldinfo!D7</f>
        <v>1</v>
      </c>
      <c r="F8" s="2">
        <v>1</v>
      </c>
      <c r="G8" s="2">
        <v>3</v>
      </c>
      <c r="L8" s="3"/>
      <c r="R8" s="2">
        <v>3</v>
      </c>
      <c r="S8" s="2">
        <v>1</v>
      </c>
      <c r="U8" s="4"/>
      <c r="V8" s="2">
        <v>1</v>
      </c>
      <c r="W8" s="2">
        <v>3</v>
      </c>
      <c r="AB8" s="3"/>
      <c r="AC8" s="4"/>
      <c r="AH8" s="2">
        <v>3</v>
      </c>
      <c r="AI8" s="2">
        <v>1</v>
      </c>
      <c r="AJ8" s="3"/>
    </row>
    <row r="9" spans="1:36" x14ac:dyDescent="0.25">
      <c r="A9" s="1">
        <f>Üldinfo!A8</f>
        <v>4</v>
      </c>
      <c r="B9" s="1" t="str">
        <f>Üldinfo!B8</f>
        <v>Täiskasvanu</v>
      </c>
      <c r="C9" s="1" t="str">
        <f>Üldinfo!C8</f>
        <v>Täiskasvanu</v>
      </c>
      <c r="D9" s="6">
        <f>Üldinfo!D8</f>
        <v>0</v>
      </c>
      <c r="L9" s="3"/>
      <c r="U9" s="4"/>
      <c r="AB9" s="3"/>
      <c r="AC9" s="4"/>
      <c r="AJ9" s="3"/>
    </row>
    <row r="10" spans="1:36" x14ac:dyDescent="0.25">
      <c r="A10" s="1">
        <f>Üldinfo!A9</f>
        <v>5</v>
      </c>
      <c r="B10" s="1" t="str">
        <f>Üldinfo!B9</f>
        <v>Täiskasvanu</v>
      </c>
      <c r="C10" s="1" t="str">
        <f>Üldinfo!C9</f>
        <v>Täiskasvanu</v>
      </c>
      <c r="D10" s="6">
        <f>Üldinfo!D9</f>
        <v>0</v>
      </c>
      <c r="L10" s="3"/>
      <c r="U10" s="4"/>
      <c r="AB10" s="3"/>
      <c r="AC10" s="4"/>
      <c r="AJ10" s="3"/>
    </row>
    <row r="11" spans="1:36" x14ac:dyDescent="0.25">
      <c r="A11" s="1">
        <f>Üldinfo!A10</f>
        <v>6</v>
      </c>
      <c r="B11" s="1" t="str">
        <f>Üldinfo!B10</f>
        <v>Täiskasvanu</v>
      </c>
      <c r="C11" s="1" t="str">
        <f>Üldinfo!C10</f>
        <v>Täiskasvanu</v>
      </c>
      <c r="D11" s="6">
        <f>Üldinfo!D10</f>
        <v>0</v>
      </c>
      <c r="L11" s="3"/>
      <c r="U11" s="4"/>
      <c r="AB11" s="3"/>
      <c r="AC11" s="4"/>
      <c r="AJ11" s="3"/>
    </row>
    <row r="12" spans="1:36" x14ac:dyDescent="0.25">
      <c r="A12" s="1">
        <f>Üldinfo!A11</f>
        <v>7</v>
      </c>
      <c r="B12" s="1" t="str">
        <f>Üldinfo!B11</f>
        <v>Mees</v>
      </c>
      <c r="C12" s="1" t="str">
        <f>Üldinfo!C11</f>
        <v>25-35 a</v>
      </c>
      <c r="D12" s="6">
        <f>Üldinfo!D11</f>
        <v>1</v>
      </c>
      <c r="E12" s="2">
        <v>2</v>
      </c>
      <c r="F12" s="2">
        <v>3</v>
      </c>
      <c r="G12" s="2">
        <v>5</v>
      </c>
      <c r="L12" s="3"/>
      <c r="R12" s="2">
        <v>6</v>
      </c>
      <c r="S12" s="2">
        <v>4</v>
      </c>
      <c r="T12" s="2">
        <v>2</v>
      </c>
      <c r="U12" s="4">
        <v>2</v>
      </c>
      <c r="V12" s="2">
        <v>4</v>
      </c>
      <c r="W12" s="2">
        <v>6</v>
      </c>
      <c r="AB12" s="3"/>
      <c r="AC12" s="4"/>
      <c r="AH12" s="2">
        <v>6</v>
      </c>
      <c r="AI12" s="2">
        <v>4</v>
      </c>
      <c r="AJ12" s="3">
        <v>2</v>
      </c>
    </row>
    <row r="13" spans="1:36" x14ac:dyDescent="0.25">
      <c r="A13" s="1">
        <f>Üldinfo!A12</f>
        <v>8</v>
      </c>
      <c r="B13" s="1" t="str">
        <f>Üldinfo!B12</f>
        <v>Täiskasvanu</v>
      </c>
      <c r="C13" s="1" t="str">
        <f>Üldinfo!C12</f>
        <v>Täiskasvanu</v>
      </c>
      <c r="D13" s="6">
        <f>Üldinfo!D12</f>
        <v>0</v>
      </c>
      <c r="L13" s="3"/>
      <c r="U13" s="4"/>
      <c r="AB13" s="3"/>
      <c r="AC13" s="4"/>
      <c r="AJ13" s="3"/>
    </row>
    <row r="14" spans="1:36" x14ac:dyDescent="0.25">
      <c r="A14" s="1">
        <f>Üldinfo!A13</f>
        <v>9</v>
      </c>
      <c r="B14" s="1" t="str">
        <f>Üldinfo!B13</f>
        <v>Naine</v>
      </c>
      <c r="C14" s="1" t="str">
        <f>Üldinfo!C13</f>
        <v>25-35 a</v>
      </c>
      <c r="D14" s="6">
        <f>Üldinfo!D13</f>
        <v>1</v>
      </c>
      <c r="E14" s="2">
        <v>2</v>
      </c>
      <c r="F14" s="2">
        <v>5</v>
      </c>
      <c r="G14" s="2">
        <v>7</v>
      </c>
      <c r="L14" s="3"/>
      <c r="R14" s="2">
        <v>7</v>
      </c>
      <c r="S14" s="2">
        <v>5</v>
      </c>
      <c r="U14" s="4">
        <v>2</v>
      </c>
      <c r="V14" s="2">
        <v>5</v>
      </c>
      <c r="W14" s="2">
        <v>8</v>
      </c>
      <c r="AB14" s="3"/>
      <c r="AC14" s="4"/>
      <c r="AH14" s="2">
        <v>7</v>
      </c>
      <c r="AI14" s="2">
        <v>4</v>
      </c>
      <c r="AJ14" s="3">
        <v>2</v>
      </c>
    </row>
    <row r="15" spans="1:36" x14ac:dyDescent="0.25">
      <c r="A15" s="1">
        <f>Üldinfo!A14</f>
        <v>10</v>
      </c>
      <c r="B15" s="1" t="str">
        <f>Üldinfo!B14</f>
        <v>Täiskasvanu</v>
      </c>
      <c r="C15" s="1" t="str">
        <f>Üldinfo!C14</f>
        <v>Täiskasvanu</v>
      </c>
      <c r="D15" s="6">
        <f>Üldinfo!D14</f>
        <v>0</v>
      </c>
      <c r="L15" s="3"/>
      <c r="U15" s="4"/>
      <c r="AB15" s="3"/>
      <c r="AC15" s="4"/>
      <c r="AJ15" s="3"/>
    </row>
    <row r="16" spans="1:36" x14ac:dyDescent="0.25">
      <c r="A16" s="1">
        <f>Üldinfo!A15</f>
        <v>11</v>
      </c>
      <c r="B16" s="1" t="str">
        <f>Üldinfo!B15</f>
        <v>Täiskasvanu</v>
      </c>
      <c r="C16" s="1" t="str">
        <f>Üldinfo!C15</f>
        <v>Täiskasvanu</v>
      </c>
      <c r="D16" s="6">
        <f>Üldinfo!D15</f>
        <v>0</v>
      </c>
      <c r="L16" s="3"/>
      <c r="U16" s="4"/>
      <c r="AB16" s="3"/>
      <c r="AC16" s="4"/>
      <c r="AJ16" s="3"/>
    </row>
    <row r="17" spans="1:36" x14ac:dyDescent="0.25">
      <c r="A17" s="1">
        <f>Üldinfo!A16</f>
        <v>12</v>
      </c>
      <c r="B17" s="1" t="str">
        <f>Üldinfo!B16</f>
        <v>Naine</v>
      </c>
      <c r="C17" s="1" t="str">
        <f>Üldinfo!C16</f>
        <v>25-30 a</v>
      </c>
      <c r="D17" s="6">
        <f>Üldinfo!D16</f>
        <v>1</v>
      </c>
      <c r="L17" s="3"/>
      <c r="U17" s="4">
        <v>3</v>
      </c>
      <c r="V17" s="2">
        <v>4</v>
      </c>
      <c r="W17" s="2">
        <v>7</v>
      </c>
      <c r="AB17" s="3"/>
      <c r="AC17" s="4"/>
      <c r="AH17" s="2">
        <v>7</v>
      </c>
      <c r="AI17" s="2">
        <v>4</v>
      </c>
      <c r="AJ17" s="3">
        <v>3</v>
      </c>
    </row>
    <row r="18" spans="1:36" x14ac:dyDescent="0.25">
      <c r="A18" s="1">
        <f>Üldinfo!A17</f>
        <v>14</v>
      </c>
      <c r="B18" s="1" t="str">
        <f>Üldinfo!B17</f>
        <v>Alaealine</v>
      </c>
      <c r="C18" s="1" t="str">
        <f>Üldinfo!C17</f>
        <v>Alaealine</v>
      </c>
      <c r="D18" s="6">
        <f>Üldinfo!D17</f>
        <v>0</v>
      </c>
      <c r="L18" s="3"/>
      <c r="U18" s="4"/>
      <c r="AB18" s="3"/>
      <c r="AC18" s="4"/>
      <c r="AJ18" s="3"/>
    </row>
    <row r="19" spans="1:36" x14ac:dyDescent="0.25">
      <c r="A19" s="1">
        <f>Üldinfo!A18</f>
        <v>15</v>
      </c>
      <c r="B19" s="1" t="str">
        <f>Üldinfo!B18</f>
        <v>Täiskasvanu</v>
      </c>
      <c r="C19" s="1" t="str">
        <f>Üldinfo!C18</f>
        <v>Täiskasvanu</v>
      </c>
      <c r="D19" s="6">
        <f>Üldinfo!D18</f>
        <v>0</v>
      </c>
      <c r="L19" s="3"/>
      <c r="U19" s="4"/>
      <c r="AB19" s="3"/>
      <c r="AC19" s="4"/>
      <c r="AJ19" s="3"/>
    </row>
    <row r="20" spans="1:36" x14ac:dyDescent="0.25">
      <c r="A20" s="1">
        <f>Üldinfo!A19</f>
        <v>16</v>
      </c>
      <c r="B20" s="1" t="str">
        <f>Üldinfo!B19</f>
        <v>Täiskasvanu</v>
      </c>
      <c r="C20" s="1" t="str">
        <f>Üldinfo!C19</f>
        <v>Täiskasvanu</v>
      </c>
      <c r="D20" s="6">
        <f>Üldinfo!D19</f>
        <v>0</v>
      </c>
      <c r="L20" s="3"/>
      <c r="U20" s="4"/>
      <c r="AB20" s="3"/>
      <c r="AC20" s="4"/>
      <c r="AJ20" s="3"/>
    </row>
    <row r="21" spans="1:36" x14ac:dyDescent="0.25">
      <c r="A21" s="1">
        <f>Üldinfo!A20</f>
        <v>17</v>
      </c>
      <c r="B21" s="1" t="str">
        <f>Üldinfo!B20</f>
        <v>Täiskasvanu</v>
      </c>
      <c r="C21" s="1" t="str">
        <f>Üldinfo!C20</f>
        <v>Täiskasvanu</v>
      </c>
      <c r="D21" s="6">
        <f>Üldinfo!D20</f>
        <v>0</v>
      </c>
      <c r="L21" s="3"/>
      <c r="U21" s="4"/>
      <c r="AB21" s="3"/>
      <c r="AC21" s="4"/>
      <c r="AJ21" s="3"/>
    </row>
    <row r="22" spans="1:36" x14ac:dyDescent="0.25">
      <c r="A22" s="1">
        <f>Üldinfo!A21</f>
        <v>19</v>
      </c>
      <c r="B22" s="1" t="str">
        <f>Üldinfo!B21</f>
        <v>Mees</v>
      </c>
      <c r="C22" s="1" t="str">
        <f>Üldinfo!C21</f>
        <v>Täiskasvanu</v>
      </c>
      <c r="D22" s="6">
        <f>Üldinfo!D21</f>
        <v>1</v>
      </c>
      <c r="L22" s="3"/>
      <c r="R22" s="2">
        <v>2</v>
      </c>
      <c r="U22" s="4"/>
      <c r="AB22" s="3"/>
      <c r="AC22" s="4"/>
      <c r="AJ22" s="3"/>
    </row>
    <row r="23" spans="1:36" x14ac:dyDescent="0.25">
      <c r="A23" s="1">
        <f>Üldinfo!A22</f>
        <v>20</v>
      </c>
      <c r="B23" s="1" t="str">
        <f>Üldinfo!B22</f>
        <v>Mees</v>
      </c>
      <c r="C23" s="1" t="str">
        <f>Üldinfo!C22</f>
        <v>Täiskasvanu</v>
      </c>
      <c r="D23" s="6">
        <f>Üldinfo!D22</f>
        <v>1</v>
      </c>
      <c r="L23" s="3"/>
      <c r="T23" s="2">
        <v>3</v>
      </c>
      <c r="U23" s="4"/>
      <c r="AB23" s="3"/>
      <c r="AC23" s="4"/>
      <c r="AJ23" s="3"/>
    </row>
    <row r="24" spans="1:36" x14ac:dyDescent="0.25">
      <c r="A24" s="1">
        <f>Üldinfo!A23</f>
        <v>21</v>
      </c>
      <c r="B24" s="1" t="str">
        <f>Üldinfo!B23</f>
        <v>Naine</v>
      </c>
      <c r="C24" s="1" t="str">
        <f>Üldinfo!C23</f>
        <v>20-25 a</v>
      </c>
      <c r="D24" s="6">
        <f>Üldinfo!D23</f>
        <v>1</v>
      </c>
      <c r="E24" s="2">
        <v>2</v>
      </c>
      <c r="F24" s="2">
        <v>2</v>
      </c>
      <c r="G24" s="2">
        <v>3</v>
      </c>
      <c r="L24" s="3"/>
      <c r="R24" s="2">
        <v>4</v>
      </c>
      <c r="S24" s="2">
        <v>2</v>
      </c>
      <c r="T24" s="2">
        <v>2</v>
      </c>
      <c r="U24" s="4">
        <v>2</v>
      </c>
      <c r="V24" s="2">
        <v>2</v>
      </c>
      <c r="W24" s="2">
        <v>4</v>
      </c>
      <c r="AB24" s="3"/>
      <c r="AC24" s="4"/>
      <c r="AH24" s="2">
        <v>4</v>
      </c>
      <c r="AI24" s="2">
        <v>2</v>
      </c>
      <c r="AJ24" s="3">
        <v>2</v>
      </c>
    </row>
    <row r="25" spans="1:36" x14ac:dyDescent="0.25">
      <c r="A25" s="1">
        <f>Üldinfo!A24</f>
        <v>22</v>
      </c>
      <c r="B25" s="1" t="str">
        <f>Üldinfo!B24</f>
        <v>Naine</v>
      </c>
      <c r="C25" s="1" t="str">
        <f>Üldinfo!C24</f>
        <v>17-20 a</v>
      </c>
      <c r="D25" s="6">
        <f>Üldinfo!D24</f>
        <v>1</v>
      </c>
      <c r="L25" s="3"/>
      <c r="U25" s="4"/>
      <c r="AB25" s="3"/>
      <c r="AC25" s="4"/>
      <c r="AJ25" s="3"/>
    </row>
    <row r="26" spans="1:36" x14ac:dyDescent="0.25">
      <c r="A26" s="1">
        <f>Üldinfo!A25</f>
        <v>23</v>
      </c>
      <c r="B26" s="1" t="str">
        <f>Üldinfo!B25</f>
        <v>Alaealine</v>
      </c>
      <c r="C26" s="1" t="str">
        <f>Üldinfo!C25</f>
        <v>10 a ± 30k</v>
      </c>
      <c r="D26" s="6">
        <f>Üldinfo!D25</f>
        <v>1</v>
      </c>
      <c r="L26" s="3"/>
      <c r="U26" s="4"/>
      <c r="AB26" s="3"/>
      <c r="AC26" s="4"/>
      <c r="AJ26" s="3"/>
    </row>
    <row r="27" spans="1:36" x14ac:dyDescent="0.25">
      <c r="A27" s="1">
        <f>Üldinfo!A26</f>
        <v>24</v>
      </c>
      <c r="B27" s="1" t="str">
        <f>Üldinfo!B26</f>
        <v>Mees</v>
      </c>
      <c r="C27" s="1" t="str">
        <f>Üldinfo!C26</f>
        <v>39-44 a</v>
      </c>
      <c r="D27" s="6">
        <f>Üldinfo!D26</f>
        <v>0</v>
      </c>
      <c r="L27" s="3"/>
      <c r="U27" s="4"/>
      <c r="AB27" s="3"/>
      <c r="AC27" s="4"/>
      <c r="AJ27" s="3"/>
    </row>
    <row r="28" spans="1:36" x14ac:dyDescent="0.25">
      <c r="A28" s="1">
        <f>Üldinfo!A27</f>
        <v>25</v>
      </c>
      <c r="B28" s="1" t="str">
        <f>Üldinfo!B27</f>
        <v>Alaealine</v>
      </c>
      <c r="C28" s="1" t="str">
        <f>Üldinfo!C27</f>
        <v>7-11 a</v>
      </c>
      <c r="D28" s="6">
        <f>Üldinfo!D27</f>
        <v>1</v>
      </c>
      <c r="L28" s="3"/>
      <c r="U28" s="4"/>
      <c r="AB28" s="3"/>
      <c r="AC28" s="4"/>
      <c r="AJ28" s="3"/>
    </row>
    <row r="29" spans="1:36" x14ac:dyDescent="0.25">
      <c r="A29" s="1" t="str">
        <f>Üldinfo!A28</f>
        <v>26a</v>
      </c>
      <c r="B29" s="1" t="str">
        <f>Üldinfo!B28</f>
        <v>Alaealine</v>
      </c>
      <c r="C29" s="1" t="str">
        <f>Üldinfo!C28</f>
        <v>12-18 a</v>
      </c>
      <c r="D29" s="6">
        <f>Üldinfo!D28</f>
        <v>0</v>
      </c>
      <c r="L29" s="3"/>
      <c r="U29" s="4"/>
      <c r="AB29" s="3"/>
      <c r="AC29" s="4"/>
      <c r="AJ29" s="3"/>
    </row>
    <row r="30" spans="1:36" x14ac:dyDescent="0.25">
      <c r="A30" s="1" t="str">
        <f>Üldinfo!A29</f>
        <v>26b</v>
      </c>
      <c r="B30" s="1" t="str">
        <f>Üldinfo!B29</f>
        <v>Täiskasvanu</v>
      </c>
      <c r="C30" s="1" t="str">
        <f>Üldinfo!C29</f>
        <v>Täiskasvanu</v>
      </c>
      <c r="D30" s="6">
        <f>Üldinfo!D29</f>
        <v>0</v>
      </c>
      <c r="L30" s="3"/>
      <c r="U30" s="4"/>
      <c r="AB30" s="3"/>
      <c r="AC30" s="4"/>
      <c r="AJ30" s="3"/>
    </row>
    <row r="31" spans="1:36" x14ac:dyDescent="0.25">
      <c r="A31" s="1">
        <f>Üldinfo!A30</f>
        <v>27</v>
      </c>
      <c r="B31" s="1" t="str">
        <f>Üldinfo!B30</f>
        <v>Mees</v>
      </c>
      <c r="C31" s="1" t="str">
        <f>Üldinfo!C30</f>
        <v>40-50 a</v>
      </c>
      <c r="D31" s="6">
        <f>Üldinfo!D30</f>
        <v>0</v>
      </c>
      <c r="L31" s="3"/>
      <c r="U31" s="4"/>
      <c r="AB31" s="3"/>
      <c r="AC31" s="4"/>
      <c r="AJ31" s="3"/>
    </row>
    <row r="32" spans="1:36" x14ac:dyDescent="0.25">
      <c r="A32" s="1">
        <f>Üldinfo!A31</f>
        <v>28</v>
      </c>
      <c r="B32" s="1" t="str">
        <f>Üldinfo!B31</f>
        <v>Naine</v>
      </c>
      <c r="C32" s="1" t="str">
        <f>Üldinfo!C31</f>
        <v>25-50 a</v>
      </c>
      <c r="D32" s="6">
        <f>Üldinfo!D31</f>
        <v>1</v>
      </c>
      <c r="E32" s="2">
        <v>1</v>
      </c>
      <c r="F32" s="2">
        <v>2</v>
      </c>
      <c r="G32" s="2">
        <v>3</v>
      </c>
      <c r="L32" s="3"/>
      <c r="R32" s="2">
        <v>3</v>
      </c>
      <c r="S32" s="2">
        <v>2</v>
      </c>
      <c r="T32" s="2">
        <v>1</v>
      </c>
      <c r="U32" s="4"/>
      <c r="V32" s="2">
        <v>3</v>
      </c>
      <c r="W32" s="2">
        <v>4</v>
      </c>
      <c r="AB32" s="3"/>
      <c r="AC32" s="4"/>
      <c r="AH32" s="2">
        <v>4</v>
      </c>
      <c r="AJ32" s="3"/>
    </row>
    <row r="33" spans="1:36" x14ac:dyDescent="0.25">
      <c r="A33" s="1">
        <f>Üldinfo!A32</f>
        <v>29</v>
      </c>
      <c r="B33" s="1" t="str">
        <f>Üldinfo!B32</f>
        <v>Mees</v>
      </c>
      <c r="C33" s="1" t="str">
        <f>Üldinfo!C32</f>
        <v>25-30a</v>
      </c>
      <c r="D33" s="6">
        <f>Üldinfo!D32</f>
        <v>1</v>
      </c>
      <c r="E33" s="2">
        <v>3</v>
      </c>
      <c r="F33" s="2">
        <v>3</v>
      </c>
      <c r="G33" s="2">
        <v>4</v>
      </c>
      <c r="L33" s="3"/>
      <c r="R33" s="2">
        <v>5</v>
      </c>
      <c r="S33" s="2">
        <v>4</v>
      </c>
      <c r="T33" s="2">
        <v>4</v>
      </c>
      <c r="U33" s="4">
        <v>3</v>
      </c>
      <c r="V33" s="2">
        <v>4</v>
      </c>
      <c r="W33" s="2">
        <v>5</v>
      </c>
      <c r="AB33" s="3"/>
      <c r="AC33" s="4"/>
      <c r="AH33" s="2">
        <v>4</v>
      </c>
      <c r="AI33" s="2">
        <v>4</v>
      </c>
      <c r="AJ33" s="3">
        <v>5</v>
      </c>
    </row>
    <row r="34" spans="1:36" x14ac:dyDescent="0.25">
      <c r="A34" s="1">
        <f>Üldinfo!A33</f>
        <v>30</v>
      </c>
      <c r="B34" s="1" t="str">
        <f>Üldinfo!B33</f>
        <v>Naine</v>
      </c>
      <c r="C34" s="1" t="str">
        <f>Üldinfo!C33</f>
        <v>17-25 a</v>
      </c>
      <c r="D34" s="6">
        <f>Üldinfo!D33</f>
        <v>1</v>
      </c>
      <c r="L34" s="3"/>
      <c r="U34" s="4">
        <v>1</v>
      </c>
      <c r="W34" s="2">
        <v>2</v>
      </c>
      <c r="AB34" s="3"/>
      <c r="AC34" s="4"/>
      <c r="AH34" s="2">
        <v>3</v>
      </c>
      <c r="AJ34" s="3">
        <v>1</v>
      </c>
    </row>
    <row r="35" spans="1:36" x14ac:dyDescent="0.25">
      <c r="A35" s="1">
        <f>Üldinfo!A34</f>
        <v>31</v>
      </c>
      <c r="B35" s="1" t="str">
        <f>Üldinfo!B34</f>
        <v>Alaealine</v>
      </c>
      <c r="C35" s="1" t="str">
        <f>Üldinfo!C34</f>
        <v>5+ a</v>
      </c>
      <c r="D35" s="6">
        <f>Üldinfo!D34</f>
        <v>0</v>
      </c>
      <c r="L35" s="3"/>
      <c r="U35" s="4"/>
      <c r="AB35" s="3"/>
      <c r="AC35" s="4"/>
      <c r="AJ35" s="3"/>
    </row>
    <row r="36" spans="1:36" x14ac:dyDescent="0.25">
      <c r="A36" s="1">
        <f>Üldinfo!A35</f>
        <v>32</v>
      </c>
      <c r="B36" s="1" t="str">
        <f>Üldinfo!B35</f>
        <v>Alaealine</v>
      </c>
      <c r="C36" s="1" t="str">
        <f>Üldinfo!C35</f>
        <v>3-5 a</v>
      </c>
      <c r="D36" s="6">
        <f>Üldinfo!D35</f>
        <v>0</v>
      </c>
      <c r="L36" s="3"/>
      <c r="U36" s="4"/>
      <c r="AB36" s="3"/>
      <c r="AC36" s="4"/>
      <c r="AJ36" s="3"/>
    </row>
    <row r="37" spans="1:36" x14ac:dyDescent="0.25">
      <c r="A37" s="1">
        <f>Üldinfo!A36</f>
        <v>33</v>
      </c>
      <c r="B37" s="1" t="str">
        <f>Üldinfo!B36</f>
        <v>Alaealine</v>
      </c>
      <c r="C37" s="1" t="str">
        <f>Üldinfo!C36</f>
        <v>1-2 a</v>
      </c>
      <c r="D37" s="6">
        <f>Üldinfo!D36</f>
        <v>1</v>
      </c>
      <c r="L37" s="3"/>
      <c r="U37" s="4"/>
      <c r="AB37" s="3"/>
      <c r="AC37" s="4"/>
      <c r="AJ37" s="3"/>
    </row>
    <row r="38" spans="1:36" x14ac:dyDescent="0.25">
      <c r="A38" s="1">
        <f>Üldinfo!A37</f>
        <v>34</v>
      </c>
      <c r="B38" s="1" t="str">
        <f>Üldinfo!B37</f>
        <v>Mees ?</v>
      </c>
      <c r="C38" s="1" t="str">
        <f>Üldinfo!C37</f>
        <v>Täiskasvanu</v>
      </c>
      <c r="D38" s="6">
        <f>Üldinfo!D37</f>
        <v>0</v>
      </c>
      <c r="L38" s="3"/>
      <c r="U38" s="4"/>
      <c r="AB38" s="3"/>
      <c r="AC38" s="4"/>
      <c r="AJ38" s="3"/>
    </row>
    <row r="39" spans="1:36" x14ac:dyDescent="0.25">
      <c r="A39" s="1">
        <f>Üldinfo!A38</f>
        <v>35</v>
      </c>
      <c r="B39" s="1" t="str">
        <f>Üldinfo!B38</f>
        <v>Naine</v>
      </c>
      <c r="C39" s="1" t="str">
        <f>Üldinfo!C38</f>
        <v>Täiskasvanu</v>
      </c>
      <c r="D39" s="6">
        <f>Üldinfo!D38</f>
        <v>0</v>
      </c>
      <c r="L39" s="3"/>
      <c r="U39" s="4"/>
      <c r="AB39" s="3"/>
      <c r="AC39" s="4"/>
      <c r="AJ39" s="3"/>
    </row>
    <row r="40" spans="1:36" x14ac:dyDescent="0.25">
      <c r="A40" s="1">
        <f>Üldinfo!A39</f>
        <v>36</v>
      </c>
      <c r="B40" s="1" t="str">
        <f>Üldinfo!B39</f>
        <v>Mees ?</v>
      </c>
      <c r="C40" s="1" t="str">
        <f>Üldinfo!C39</f>
        <v>40-50 a</v>
      </c>
      <c r="D40" s="6">
        <f>Üldinfo!D39</f>
        <v>0</v>
      </c>
      <c r="L40" s="3"/>
      <c r="U40" s="4"/>
      <c r="AB40" s="3"/>
      <c r="AC40" s="4"/>
      <c r="AJ40" s="3"/>
    </row>
    <row r="41" spans="1:36" x14ac:dyDescent="0.25">
      <c r="A41" s="1">
        <f>Üldinfo!A40</f>
        <v>37</v>
      </c>
      <c r="B41" s="1" t="str">
        <f>Üldinfo!B40</f>
        <v>Alaealine</v>
      </c>
      <c r="C41" s="1" t="str">
        <f>Üldinfo!C40</f>
        <v>12-18 a</v>
      </c>
      <c r="D41" s="6">
        <f>Üldinfo!D40</f>
        <v>1</v>
      </c>
      <c r="L41" s="3"/>
      <c r="U41" s="4"/>
      <c r="AB41" s="3"/>
      <c r="AC41" s="4"/>
      <c r="AJ41" s="3"/>
    </row>
    <row r="42" spans="1:36" x14ac:dyDescent="0.25">
      <c r="A42" s="1">
        <f>Üldinfo!A41</f>
        <v>38</v>
      </c>
      <c r="B42" s="1" t="str">
        <f>Üldinfo!B41</f>
        <v>Naine</v>
      </c>
      <c r="C42" s="1" t="str">
        <f>Üldinfo!C41</f>
        <v>40-50 a</v>
      </c>
      <c r="D42" s="6">
        <f>Üldinfo!D41</f>
        <v>1</v>
      </c>
      <c r="E42" s="2">
        <v>2</v>
      </c>
      <c r="F42" s="2">
        <v>6</v>
      </c>
      <c r="G42" s="2">
        <v>7</v>
      </c>
      <c r="L42" s="3"/>
      <c r="R42" s="2">
        <v>7</v>
      </c>
      <c r="U42" s="4">
        <v>2</v>
      </c>
      <c r="V42" s="2">
        <v>4</v>
      </c>
      <c r="W42" s="2">
        <v>7</v>
      </c>
      <c r="AB42" s="3"/>
      <c r="AC42" s="4"/>
      <c r="AH42" s="2">
        <v>7</v>
      </c>
      <c r="AI42" s="2">
        <v>6</v>
      </c>
      <c r="AJ42" s="3">
        <v>3</v>
      </c>
    </row>
    <row r="43" spans="1:36" x14ac:dyDescent="0.25">
      <c r="A43" s="1">
        <f>Üldinfo!A42</f>
        <v>39</v>
      </c>
      <c r="B43" s="1" t="str">
        <f>Üldinfo!B42</f>
        <v>Alaealine</v>
      </c>
      <c r="C43" s="1" t="str">
        <f>Üldinfo!C42</f>
        <v>6-11 a</v>
      </c>
      <c r="D43" s="6">
        <f>Üldinfo!D42</f>
        <v>0</v>
      </c>
      <c r="L43" s="3"/>
      <c r="U43" s="4"/>
      <c r="AB43" s="3"/>
      <c r="AC43" s="4"/>
      <c r="AJ43" s="3"/>
    </row>
    <row r="44" spans="1:36" x14ac:dyDescent="0.25">
      <c r="A44" s="1">
        <f>Üldinfo!A43</f>
        <v>40</v>
      </c>
      <c r="B44" s="1" t="str">
        <f>Üldinfo!B43</f>
        <v>Mees</v>
      </c>
      <c r="C44" s="1" t="str">
        <f>Üldinfo!C43</f>
        <v>40+ a</v>
      </c>
      <c r="D44" s="6">
        <f>Üldinfo!D43</f>
        <v>0</v>
      </c>
      <c r="L44" s="3"/>
      <c r="U44" s="4"/>
      <c r="AB44" s="3"/>
      <c r="AC44" s="4"/>
      <c r="AJ44" s="3"/>
    </row>
    <row r="45" spans="1:36" x14ac:dyDescent="0.25">
      <c r="A45" s="1">
        <f>Üldinfo!A44</f>
        <v>41</v>
      </c>
      <c r="B45" s="1" t="str">
        <f>Üldinfo!B44</f>
        <v>Alaealine</v>
      </c>
      <c r="C45" s="1" t="str">
        <f>Üldinfo!C44</f>
        <v>12-15 a</v>
      </c>
      <c r="D45" s="6">
        <f>Üldinfo!D44</f>
        <v>0</v>
      </c>
      <c r="L45" s="3"/>
      <c r="U45" s="4"/>
      <c r="AB45" s="3"/>
      <c r="AC45" s="4"/>
      <c r="AJ45" s="3"/>
    </row>
    <row r="46" spans="1:36" x14ac:dyDescent="0.25">
      <c r="A46" s="1">
        <f>Üldinfo!A45</f>
        <v>42</v>
      </c>
      <c r="B46" s="1" t="str">
        <f>Üldinfo!B45</f>
        <v>Alaealine</v>
      </c>
      <c r="C46" s="1" t="str">
        <f>Üldinfo!C45</f>
        <v>24-32 k</v>
      </c>
      <c r="D46" s="6">
        <f>Üldinfo!D45</f>
        <v>1</v>
      </c>
      <c r="L46" s="3"/>
      <c r="U46" s="4"/>
      <c r="AB46" s="3"/>
      <c r="AC46" s="4"/>
      <c r="AJ46" s="3"/>
    </row>
    <row r="47" spans="1:36" x14ac:dyDescent="0.25">
      <c r="A47" s="1">
        <f>Üldinfo!A46</f>
        <v>43</v>
      </c>
      <c r="B47" s="1" t="str">
        <f>Üldinfo!B46</f>
        <v>Naine ?</v>
      </c>
      <c r="C47" s="1" t="str">
        <f>Üldinfo!C46</f>
        <v>18-19 a</v>
      </c>
      <c r="D47" s="6">
        <f>Üldinfo!D46</f>
        <v>0</v>
      </c>
      <c r="L47" s="3"/>
      <c r="U47" s="4"/>
      <c r="AB47" s="3"/>
      <c r="AC47" s="4"/>
      <c r="AJ47" s="3"/>
    </row>
    <row r="48" spans="1:36" x14ac:dyDescent="0.25">
      <c r="A48" s="1">
        <f>Üldinfo!A47</f>
        <v>44</v>
      </c>
      <c r="B48" s="1" t="str">
        <f>Üldinfo!B47</f>
        <v>Mees</v>
      </c>
      <c r="C48" s="1" t="str">
        <f>Üldinfo!C47</f>
        <v>40+ a</v>
      </c>
      <c r="D48" s="6">
        <f>Üldinfo!D47</f>
        <v>0</v>
      </c>
      <c r="L48" s="3"/>
      <c r="U48" s="4"/>
      <c r="AB48" s="3"/>
      <c r="AC48" s="4"/>
      <c r="AJ48" s="3"/>
    </row>
    <row r="49" spans="1:36" x14ac:dyDescent="0.25">
      <c r="A49" s="1">
        <f>Üldinfo!A48</f>
        <v>45</v>
      </c>
      <c r="B49" s="1" t="str">
        <f>Üldinfo!B48</f>
        <v>Mees</v>
      </c>
      <c r="C49" s="1" t="str">
        <f>Üldinfo!C48</f>
        <v>40+ a</v>
      </c>
      <c r="D49" s="6">
        <f>Üldinfo!D48</f>
        <v>0</v>
      </c>
      <c r="L49" s="3"/>
      <c r="U49" s="4"/>
      <c r="AB49" s="3"/>
      <c r="AC49" s="4"/>
      <c r="AJ49" s="3"/>
    </row>
    <row r="50" spans="1:36" x14ac:dyDescent="0.25">
      <c r="A50" s="1">
        <f>Üldinfo!A49</f>
        <v>46</v>
      </c>
      <c r="B50" s="1" t="str">
        <f>Üldinfo!B49</f>
        <v>Täiskasvanu</v>
      </c>
      <c r="C50" s="1" t="str">
        <f>Üldinfo!C49</f>
        <v>Täiskasvanu</v>
      </c>
      <c r="D50" s="6">
        <f>Üldinfo!D49</f>
        <v>0</v>
      </c>
      <c r="L50" s="3"/>
      <c r="M50" s="4"/>
      <c r="T50" s="3"/>
      <c r="U50" s="4"/>
      <c r="AB50" s="3"/>
      <c r="AC50" s="4"/>
      <c r="AJ50" s="3"/>
    </row>
    <row r="51" spans="1:36" x14ac:dyDescent="0.25">
      <c r="A51" s="1">
        <f>Üldinfo!A50</f>
        <v>47</v>
      </c>
      <c r="B51" s="1" t="str">
        <f>Üldinfo!B50</f>
        <v>Mees</v>
      </c>
      <c r="C51" s="1" t="str">
        <f>Üldinfo!C50</f>
        <v>40+ a</v>
      </c>
      <c r="D51" s="6">
        <f>Üldinfo!D50</f>
        <v>0</v>
      </c>
      <c r="L51" s="3"/>
      <c r="M51" s="4"/>
      <c r="T51" s="3"/>
      <c r="U51" s="4"/>
      <c r="AB51" s="3"/>
      <c r="AC51" s="4"/>
      <c r="AJ51" s="3"/>
    </row>
    <row r="52" spans="1:36" x14ac:dyDescent="0.25">
      <c r="A52" s="1">
        <f>Üldinfo!A51</f>
        <v>48</v>
      </c>
      <c r="B52" s="1" t="str">
        <f>Üldinfo!B51</f>
        <v>Alaealine</v>
      </c>
      <c r="C52" s="1" t="str">
        <f>Üldinfo!C51</f>
        <v>2-5 a</v>
      </c>
      <c r="D52" s="6">
        <f>Üldinfo!D51</f>
        <v>0</v>
      </c>
      <c r="L52" s="3"/>
      <c r="M52" s="4"/>
      <c r="T52" s="3"/>
      <c r="U52" s="4"/>
      <c r="AB52" s="3"/>
      <c r="AC52" s="4"/>
      <c r="AJ52" s="3"/>
    </row>
    <row r="53" spans="1:36" x14ac:dyDescent="0.25">
      <c r="A53" s="1">
        <f>Üldinfo!A52</f>
        <v>49</v>
      </c>
      <c r="B53" s="1" t="str">
        <f>Üldinfo!B52</f>
        <v>Alaealine</v>
      </c>
      <c r="C53" s="1" t="str">
        <f>Üldinfo!C52</f>
        <v>12-15 a</v>
      </c>
      <c r="D53" s="6">
        <f>Üldinfo!D52</f>
        <v>1</v>
      </c>
      <c r="L53" s="3"/>
      <c r="M53" s="4"/>
      <c r="T53" s="3"/>
      <c r="U53" s="4"/>
      <c r="AB53" s="3"/>
      <c r="AC53" s="4"/>
      <c r="AJ53" s="3"/>
    </row>
    <row r="54" spans="1:36" x14ac:dyDescent="0.25">
      <c r="A54" s="1">
        <f>Üldinfo!A53</f>
        <v>50</v>
      </c>
      <c r="B54" s="1" t="str">
        <f>Üldinfo!B53</f>
        <v>Mees</v>
      </c>
      <c r="C54" s="1" t="str">
        <f>Üldinfo!C53</f>
        <v>40+ a</v>
      </c>
      <c r="D54" s="6">
        <f>Üldinfo!D53</f>
        <v>1</v>
      </c>
      <c r="L54" s="3"/>
      <c r="M54" s="4"/>
      <c r="T54" s="3"/>
      <c r="U54" s="4"/>
      <c r="AB54" s="3"/>
      <c r="AC54" s="4"/>
      <c r="AJ54" s="3"/>
    </row>
    <row r="55" spans="1:36" x14ac:dyDescent="0.25">
      <c r="A55" s="1">
        <f>Üldinfo!A54</f>
        <v>51</v>
      </c>
      <c r="B55" s="1" t="str">
        <f>Üldinfo!B54</f>
        <v>Naine</v>
      </c>
      <c r="C55" s="1" t="str">
        <f>Üldinfo!C54</f>
        <v>40+ a</v>
      </c>
      <c r="D55" s="6">
        <f>Üldinfo!D54</f>
        <v>0</v>
      </c>
      <c r="L55" s="3"/>
      <c r="M55" s="4"/>
      <c r="T55" s="3"/>
      <c r="U55" s="4"/>
      <c r="AB55" s="3"/>
      <c r="AC55" s="4"/>
      <c r="AJ55" s="3"/>
    </row>
    <row r="56" spans="1:36" x14ac:dyDescent="0.25">
      <c r="A56" s="1">
        <f>Üldinfo!A55</f>
        <v>52</v>
      </c>
      <c r="B56" s="1" t="str">
        <f>Üldinfo!B55</f>
        <v>Naine</v>
      </c>
      <c r="C56" s="1" t="str">
        <f>Üldinfo!C55</f>
        <v>17-25 a</v>
      </c>
      <c r="D56" s="6">
        <f>Üldinfo!D55</f>
        <v>1</v>
      </c>
      <c r="L56" s="3"/>
      <c r="M56" s="4"/>
      <c r="R56" s="2">
        <v>2</v>
      </c>
      <c r="S56" s="2">
        <v>2</v>
      </c>
      <c r="T56" s="3"/>
      <c r="U56" s="4"/>
      <c r="V56" s="2">
        <v>1</v>
      </c>
      <c r="W56" s="2">
        <v>2</v>
      </c>
      <c r="AB56" s="3"/>
      <c r="AC56" s="4"/>
      <c r="AH56" s="2">
        <v>2</v>
      </c>
      <c r="AI56" s="2">
        <v>1</v>
      </c>
      <c r="AJ56" s="3"/>
    </row>
    <row r="57" spans="1:36" x14ac:dyDescent="0.25">
      <c r="A57" s="1">
        <f>Üldinfo!A56</f>
        <v>53</v>
      </c>
      <c r="B57" s="1" t="str">
        <f>Üldinfo!B56</f>
        <v>Täiskasvanu</v>
      </c>
      <c r="C57" s="1" t="str">
        <f>Üldinfo!C56</f>
        <v>Täiskasvanu</v>
      </c>
      <c r="D57" s="6">
        <f>Üldinfo!D56</f>
        <v>0</v>
      </c>
      <c r="L57" s="3"/>
      <c r="M57" s="4"/>
      <c r="T57" s="3"/>
      <c r="U57" s="4"/>
      <c r="AB57" s="3"/>
      <c r="AC57" s="4"/>
      <c r="AJ57" s="3"/>
    </row>
    <row r="58" spans="1:36" x14ac:dyDescent="0.25">
      <c r="A58" s="1">
        <f>Üldinfo!A57</f>
        <v>54</v>
      </c>
      <c r="B58" s="1" t="str">
        <f>Üldinfo!B57</f>
        <v>Täiskasvanu</v>
      </c>
      <c r="C58" s="1" t="str">
        <f>Üldinfo!C57</f>
        <v>Täiskasvanu</v>
      </c>
      <c r="D58" s="6">
        <f>Üldinfo!D57</f>
        <v>0</v>
      </c>
      <c r="L58" s="3"/>
      <c r="M58" s="4"/>
      <c r="T58" s="3"/>
      <c r="U58" s="4"/>
      <c r="AB58" s="3"/>
      <c r="AC58" s="4"/>
      <c r="AJ58" s="3"/>
    </row>
    <row r="59" spans="1:36" x14ac:dyDescent="0.25">
      <c r="A59" s="1">
        <f>Üldinfo!A58</f>
        <v>55</v>
      </c>
      <c r="B59" s="1" t="str">
        <f>Üldinfo!B58</f>
        <v>Naine</v>
      </c>
      <c r="C59" s="1" t="str">
        <f>Üldinfo!C58</f>
        <v>18-19 a</v>
      </c>
      <c r="D59" s="6">
        <f>Üldinfo!D58</f>
        <v>1</v>
      </c>
      <c r="L59" s="3"/>
      <c r="M59" s="4"/>
      <c r="T59" s="3"/>
      <c r="U59" s="4"/>
      <c r="AB59" s="3"/>
      <c r="AC59" s="4"/>
      <c r="AH59" s="2">
        <v>4</v>
      </c>
      <c r="AI59" s="2">
        <v>3</v>
      </c>
      <c r="AJ59" s="3"/>
    </row>
    <row r="60" spans="1:36" x14ac:dyDescent="0.25">
      <c r="A60" s="1">
        <f>Üldinfo!A59</f>
        <v>56</v>
      </c>
      <c r="B60" s="1" t="str">
        <f>Üldinfo!B59</f>
        <v>Naine</v>
      </c>
      <c r="C60" s="1" t="str">
        <f>Üldinfo!C59</f>
        <v>40+ a</v>
      </c>
      <c r="D60" s="6">
        <f>Üldinfo!D59</f>
        <v>0</v>
      </c>
      <c r="L60" s="3"/>
      <c r="M60" s="4"/>
      <c r="T60" s="3"/>
      <c r="U60" s="4"/>
      <c r="AB60" s="3"/>
      <c r="AC60" s="4"/>
      <c r="AJ60" s="3"/>
    </row>
    <row r="61" spans="1:36" x14ac:dyDescent="0.25">
      <c r="A61" s="1">
        <f>Üldinfo!A60</f>
        <v>57</v>
      </c>
      <c r="B61" s="1" t="str">
        <f>Üldinfo!B60</f>
        <v>Alaealine</v>
      </c>
      <c r="C61" s="1" t="str">
        <f>Üldinfo!C60</f>
        <v>7-11 a</v>
      </c>
      <c r="D61" s="6">
        <f>Üldinfo!D60</f>
        <v>1</v>
      </c>
      <c r="L61" s="3"/>
      <c r="M61" s="4"/>
      <c r="T61" s="3"/>
      <c r="U61" s="4"/>
      <c r="AB61" s="3"/>
      <c r="AC61" s="4"/>
      <c r="AJ61" s="3"/>
    </row>
    <row r="62" spans="1:36" x14ac:dyDescent="0.25">
      <c r="A62" s="1">
        <f>Üldinfo!A61</f>
        <v>58</v>
      </c>
      <c r="B62" s="1" t="str">
        <f>Üldinfo!B61</f>
        <v>Alaealine</v>
      </c>
      <c r="C62" s="1" t="str">
        <f>Üldinfo!C61</f>
        <v>1 a ± 4 k</v>
      </c>
      <c r="D62" s="6">
        <f>Üldinfo!D61</f>
        <v>1</v>
      </c>
      <c r="L62" s="3"/>
      <c r="M62" s="4"/>
      <c r="T62" s="3"/>
      <c r="U62" s="4"/>
      <c r="AB62" s="3"/>
      <c r="AC62" s="4"/>
      <c r="AJ62" s="3"/>
    </row>
    <row r="63" spans="1:36" x14ac:dyDescent="0.25">
      <c r="A63" s="1">
        <f>Üldinfo!A62</f>
        <v>59</v>
      </c>
      <c r="B63" s="1" t="str">
        <f>Üldinfo!B62</f>
        <v>Mees</v>
      </c>
      <c r="C63" s="1" t="str">
        <f>Üldinfo!C62</f>
        <v>17-22 a</v>
      </c>
      <c r="D63" s="6">
        <f>Üldinfo!D62</f>
        <v>1</v>
      </c>
      <c r="E63" s="2">
        <v>1</v>
      </c>
      <c r="F63" s="2">
        <v>2</v>
      </c>
      <c r="G63" s="2">
        <v>5</v>
      </c>
      <c r="L63" s="3"/>
      <c r="M63" s="4"/>
      <c r="R63" s="2">
        <v>5</v>
      </c>
      <c r="S63" s="2">
        <v>2</v>
      </c>
      <c r="T63" s="3">
        <v>1</v>
      </c>
      <c r="U63" s="4">
        <v>2</v>
      </c>
      <c r="V63" s="2">
        <v>3</v>
      </c>
      <c r="W63" s="2">
        <v>5</v>
      </c>
      <c r="AB63" s="3"/>
      <c r="AC63" s="4"/>
      <c r="AH63" s="2">
        <v>5</v>
      </c>
      <c r="AI63" s="2">
        <v>3</v>
      </c>
      <c r="AJ63" s="3">
        <v>1</v>
      </c>
    </row>
    <row r="64" spans="1:36" x14ac:dyDescent="0.25">
      <c r="A64" s="1">
        <f>Üldinfo!A63</f>
        <v>60</v>
      </c>
      <c r="B64" s="1" t="str">
        <f>Üldinfo!B63</f>
        <v>Täiskasvanu</v>
      </c>
      <c r="C64" s="1" t="str">
        <f>Üldinfo!C63</f>
        <v>Täiskasvanu</v>
      </c>
      <c r="D64" s="6">
        <f>Üldinfo!D63</f>
        <v>0</v>
      </c>
      <c r="L64" s="3"/>
      <c r="M64" s="4"/>
      <c r="T64" s="3"/>
      <c r="U64" s="4"/>
      <c r="AB64" s="3"/>
      <c r="AC64" s="4"/>
      <c r="AJ64" s="3"/>
    </row>
    <row r="65" spans="1:36" x14ac:dyDescent="0.25">
      <c r="A65" s="1">
        <f>Üldinfo!A64</f>
        <v>61</v>
      </c>
      <c r="B65" s="1" t="str">
        <f>Üldinfo!B64</f>
        <v>Mees</v>
      </c>
      <c r="C65" s="1" t="str">
        <f>Üldinfo!C64</f>
        <v>50+ a</v>
      </c>
      <c r="D65" s="6">
        <f>Üldinfo!D64</f>
        <v>1</v>
      </c>
      <c r="L65" s="3"/>
      <c r="M65" s="4"/>
      <c r="T65" s="3"/>
      <c r="U65" s="4"/>
      <c r="AB65" s="3"/>
      <c r="AC65" s="4"/>
      <c r="AJ65" s="3">
        <v>7</v>
      </c>
    </row>
    <row r="66" spans="1:36" x14ac:dyDescent="0.25">
      <c r="A66" s="1">
        <f>Üldinfo!A65</f>
        <v>62</v>
      </c>
      <c r="B66" s="1" t="str">
        <f>Üldinfo!B65</f>
        <v>Mees</v>
      </c>
      <c r="C66" s="1" t="str">
        <f>Üldinfo!C65</f>
        <v>Täiskasvanu</v>
      </c>
      <c r="D66" s="6">
        <f>Üldinfo!D65</f>
        <v>0</v>
      </c>
      <c r="L66" s="3"/>
      <c r="M66" s="4"/>
      <c r="T66" s="3"/>
      <c r="U66" s="4"/>
      <c r="AB66" s="3"/>
      <c r="AC66" s="4"/>
      <c r="AJ66" s="3"/>
    </row>
    <row r="67" spans="1:36" x14ac:dyDescent="0.25">
      <c r="A67" s="1">
        <f>Üldinfo!A66</f>
        <v>63</v>
      </c>
      <c r="B67" s="1" t="str">
        <f>Üldinfo!B66</f>
        <v>Mees</v>
      </c>
      <c r="C67" s="1" t="str">
        <f>Üldinfo!C66</f>
        <v>Täiskasvanu</v>
      </c>
      <c r="D67" s="6">
        <f>Üldinfo!D66</f>
        <v>0</v>
      </c>
      <c r="L67" s="3"/>
      <c r="M67" s="4"/>
      <c r="T67" s="3"/>
      <c r="U67" s="4"/>
      <c r="AB67" s="3"/>
      <c r="AC67" s="4"/>
      <c r="AJ67" s="3"/>
    </row>
    <row r="68" spans="1:36" x14ac:dyDescent="0.25">
      <c r="A68" s="1">
        <f>Üldinfo!A67</f>
        <v>64</v>
      </c>
      <c r="B68" s="1" t="str">
        <f>Üldinfo!B67</f>
        <v>Mees</v>
      </c>
      <c r="C68" s="1" t="str">
        <f>Üldinfo!C67</f>
        <v>Täiskasvanu</v>
      </c>
      <c r="D68" s="6">
        <f>Üldinfo!D67</f>
        <v>0</v>
      </c>
      <c r="L68" s="3"/>
      <c r="M68" s="4"/>
      <c r="T68" s="3"/>
      <c r="U68" s="4"/>
      <c r="AB68" s="3"/>
      <c r="AC68" s="4"/>
      <c r="AJ68" s="3"/>
    </row>
    <row r="69" spans="1:36" x14ac:dyDescent="0.25">
      <c r="A69" s="1">
        <f>Üldinfo!A68</f>
        <v>65</v>
      </c>
      <c r="B69" s="1" t="str">
        <f>Üldinfo!B68</f>
        <v>Mees</v>
      </c>
      <c r="C69" s="1" t="str">
        <f>Üldinfo!C68</f>
        <v>39-44 a</v>
      </c>
      <c r="D69" s="6">
        <f>Üldinfo!D68</f>
        <v>0</v>
      </c>
      <c r="L69" s="3"/>
      <c r="M69" s="4"/>
      <c r="T69" s="3"/>
      <c r="U69" s="4"/>
      <c r="AB69" s="3"/>
      <c r="AC69" s="4"/>
      <c r="AJ69" s="3"/>
    </row>
    <row r="70" spans="1:36" x14ac:dyDescent="0.25">
      <c r="A70" s="1">
        <f>Üldinfo!A69</f>
        <v>66</v>
      </c>
      <c r="B70" s="1" t="str">
        <f>Üldinfo!B69</f>
        <v>Täiskasvanu</v>
      </c>
      <c r="C70" s="1" t="str">
        <f>Üldinfo!C69</f>
        <v>Täiskasvanu</v>
      </c>
      <c r="D70" s="6">
        <f>Üldinfo!D69</f>
        <v>0</v>
      </c>
      <c r="L70" s="3"/>
      <c r="M70" s="4"/>
      <c r="T70" s="3"/>
      <c r="U70" s="4"/>
      <c r="AB70" s="3"/>
      <c r="AC70" s="4"/>
      <c r="AJ70" s="3"/>
    </row>
    <row r="71" spans="1:36" x14ac:dyDescent="0.25">
      <c r="A71" s="1">
        <f>Üldinfo!A70</f>
        <v>67</v>
      </c>
      <c r="B71" s="1" t="str">
        <f>Üldinfo!B70</f>
        <v>Alaealine</v>
      </c>
      <c r="C71" s="1" t="str">
        <f>Üldinfo!C70</f>
        <v>7-11 a</v>
      </c>
      <c r="D71" s="6">
        <f>Üldinfo!D70</f>
        <v>1</v>
      </c>
      <c r="L71" s="3"/>
      <c r="M71" s="4"/>
      <c r="T71" s="3"/>
      <c r="U71" s="4"/>
      <c r="AB71" s="3"/>
      <c r="AC71" s="4"/>
      <c r="AJ71" s="3"/>
    </row>
    <row r="72" spans="1:36" x14ac:dyDescent="0.25">
      <c r="A72" s="1">
        <f>Üldinfo!A71</f>
        <v>68</v>
      </c>
      <c r="B72" s="1" t="str">
        <f>Üldinfo!B71</f>
        <v>Naine</v>
      </c>
      <c r="C72" s="1" t="str">
        <f>Üldinfo!C71</f>
        <v>40+ a</v>
      </c>
      <c r="D72" s="6">
        <f>Üldinfo!D71</f>
        <v>0</v>
      </c>
      <c r="L72" s="3"/>
      <c r="M72" s="4"/>
      <c r="T72" s="3"/>
      <c r="U72" s="4"/>
      <c r="AB72" s="3"/>
      <c r="AC72" s="4"/>
      <c r="AJ72" s="3"/>
    </row>
    <row r="73" spans="1:36" x14ac:dyDescent="0.25">
      <c r="A73" s="1">
        <f>Üldinfo!A72</f>
        <v>69</v>
      </c>
      <c r="B73" s="1" t="str">
        <f>Üldinfo!B72</f>
        <v>Mees</v>
      </c>
      <c r="C73" s="1" t="str">
        <f>Üldinfo!C72</f>
        <v>25-40 a</v>
      </c>
      <c r="D73" s="6">
        <f>Üldinfo!D72</f>
        <v>0</v>
      </c>
      <c r="L73" s="3"/>
      <c r="M73" s="4"/>
      <c r="T73" s="3"/>
      <c r="U73" s="4"/>
      <c r="AB73" s="3"/>
      <c r="AC73" s="4"/>
      <c r="AJ73" s="3"/>
    </row>
    <row r="76" spans="1:36" x14ac:dyDescent="0.25">
      <c r="H76" s="78"/>
      <c r="P76" s="78"/>
      <c r="Y76" s="78"/>
      <c r="AF76" s="78"/>
    </row>
    <row r="79" spans="1:36" x14ac:dyDescent="0.25">
      <c r="C79" s="5"/>
    </row>
    <row r="80" spans="1:36" x14ac:dyDescent="0.25">
      <c r="C80" s="5"/>
    </row>
  </sheetData>
  <mergeCells count="7">
    <mergeCell ref="E1:AJ1"/>
    <mergeCell ref="E2:T2"/>
    <mergeCell ref="U2:AJ2"/>
    <mergeCell ref="E3:L3"/>
    <mergeCell ref="M3:T3"/>
    <mergeCell ref="U3:AB3"/>
    <mergeCell ref="AC3:AJ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Üldinfo</vt:lpstr>
      <vt:lpstr>DC</vt:lpstr>
      <vt:lpstr>Kaaries</vt:lpstr>
      <vt:lpstr>DEH</vt:lpstr>
      <vt:lpstr>PA</vt:lpstr>
      <vt:lpstr>AM</vt:lpstr>
      <vt:lpstr>Reduktsioon</vt:lpstr>
      <vt:lpstr>Kulumus</vt:lpstr>
      <vt:lpstr>AM!Excel_BuiltIn__FilterDatabase</vt:lpstr>
      <vt:lpstr>PA!Excel_BuiltIn__FilterDatabase</vt:lpstr>
      <vt:lpstr>Üldinfo!Excel_BuiltIn__FilterDatabase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Mari-Anne Liblik</cp:lastModifiedBy>
  <dcterms:created xsi:type="dcterms:W3CDTF">2026-10-27T11:57:56Z</dcterms:created>
  <dcterms:modified xsi:type="dcterms:W3CDTF">2026-10-27T11:57:56Z</dcterms:modified>
</cp:coreProperties>
</file>